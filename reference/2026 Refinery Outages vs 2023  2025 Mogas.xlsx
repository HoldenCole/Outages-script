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5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6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7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8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\\hoedfs03\dfs_ffx\intl_prod\Trading Analytics Meta\Balances\Gasoline\Refinery Production &amp; Outages\"/>
    </mc:Choice>
  </mc:AlternateContent>
  <xr:revisionPtr revIDLastSave="0" documentId="13_ncr:1_{FDB96293-CDD2-48C0-ADA3-0E8D04293CFC}" xr6:coauthVersionLast="47" xr6:coauthVersionMax="47" xr10:uidLastSave="{00000000-0000-0000-0000-000000000000}"/>
  <bookViews>
    <workbookView xWindow="28680" yWindow="-120" windowWidth="29040" windowHeight="15720" tabRatio="813" firstSheet="1" activeTab="3" xr2:uid="{00000000-000D-0000-FFFF-FFFF00000000}"/>
  </bookViews>
  <sheets>
    <sheet name="P2 - 2026 delet" sheetId="13" state="hidden" r:id="rId1"/>
    <sheet name="P1 - 2026" sheetId="21" r:id="rId2"/>
    <sheet name="P2 - 2026 " sheetId="20" r:id="rId3"/>
    <sheet name="P3 - 2026" sheetId="19" r:id="rId4"/>
    <sheet name="P4 - 2026" sheetId="22" r:id="rId5"/>
    <sheet name="P5 - 2026" sheetId="11" r:id="rId6"/>
    <sheet name="US" sheetId="2" r:id="rId7"/>
    <sheet name="US (2026 planned and unplanned)" sheetId="16" state="hidden" r:id="rId8"/>
    <sheet name="1h26 US &amp; PADD" sheetId="15" state="hidden" r:id="rId9"/>
    <sheet name="June Monthly updated 725" sheetId="17" state="hidden" r:id="rId10"/>
    <sheet name="Offlline Gas by month from Raw" sheetId="8" state="hidden" r:id="rId11"/>
    <sheet name="22-24 data" sheetId="3" state="hidden" r:id="rId12"/>
    <sheet name="23-26 data" sheetId="10" state="hidden" r:id="rId13"/>
  </sheets>
  <externalReferences>
    <externalReference r:id="rId14"/>
    <externalReference r:id="rId15"/>
  </externalReferences>
  <definedNames>
    <definedName name="_xlnm._FilterDatabase" localSheetId="9" hidden="1">'June Monthly updated 725'!$A$1:$EI$852</definedName>
    <definedName name="ID" localSheetId="11" hidden="1">"bb7d3dbb-ac29-4b69-9770-f898604c138c"</definedName>
    <definedName name="ID" localSheetId="12" hidden="1">"bb7d3dbb-ac29-4b69-9770-f898604c138c"</definedName>
    <definedName name="ID" localSheetId="9" hidden="1">"d39144c8-f4d7-4f5e-ace4-fb4f2187a22b"</definedName>
    <definedName name="ID" localSheetId="2" hidden="1">"36cbcae6-abe2-4900-9973-39e901868719"</definedName>
    <definedName name="ID" localSheetId="0" hidden="1">"73f18c98-a79b-4175-8d4b-47c931f3d037"</definedName>
    <definedName name="ID" localSheetId="3" hidden="1">"36cbcae6-abe2-4900-9973-39e901868719"</definedName>
    <definedName name="ID" localSheetId="5" hidden="1">"73f18c98-a79b-4175-8d4b-47c931f3d037"</definedName>
    <definedName name="ID" localSheetId="6" hidden="1">"0ea0f63e-0520-42fb-b21c-e8d4fbee2145"</definedName>
    <definedName name="ID" localSheetId="7" hidden="1">"0ea0f63e-0520-42fb-b21c-e8d4fbee2145"</definedName>
    <definedName name="solver_eng" localSheetId="9" hidden="1">1</definedName>
    <definedName name="solver_neg" localSheetId="9" hidden="1">1</definedName>
    <definedName name="solver_num" localSheetId="9" hidden="1">0</definedName>
    <definedName name="solver_opt" localSheetId="9" hidden="1">'June Monthly updated 725'!$CY$836</definedName>
    <definedName name="solver_typ" localSheetId="9" hidden="1">1</definedName>
    <definedName name="solver_val" localSheetId="9" hidden="1">0</definedName>
    <definedName name="solver_ver" localSheetId="9" hidden="1">3</definedName>
  </definedNames>
  <calcPr calcId="191029" iterate="1"/>
  <pivotCaches>
    <pivotCache cacheId="16" r:id="rId16"/>
    <pivotCache cacheId="17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9" l="1"/>
  <c r="C8" i="19"/>
  <c r="C7" i="19"/>
  <c r="E6" i="19"/>
  <c r="D6" i="19"/>
  <c r="T22" i="19"/>
  <c r="S22" i="19"/>
  <c r="S21" i="19"/>
  <c r="O25" i="19"/>
  <c r="N25" i="19"/>
  <c r="S54" i="20" l="1"/>
  <c r="S35" i="20" s="1"/>
  <c r="R6" i="11" l="1"/>
  <c r="R7" i="11" s="1"/>
  <c r="S6" i="11"/>
  <c r="S7" i="11" s="1"/>
  <c r="T6" i="11"/>
  <c r="T7" i="11" s="1"/>
  <c r="U6" i="11"/>
  <c r="U7" i="11" s="1"/>
  <c r="V6" i="11"/>
  <c r="V7" i="11" s="1"/>
  <c r="W6" i="11"/>
  <c r="W7" i="11" s="1"/>
  <c r="X6" i="11"/>
  <c r="X7" i="11" s="1"/>
  <c r="Y6" i="11"/>
  <c r="Y7" i="11" s="1"/>
  <c r="Z6" i="11"/>
  <c r="Z7" i="11" s="1"/>
  <c r="AA6" i="11"/>
  <c r="AA7" i="11" s="1"/>
  <c r="AB6" i="11"/>
  <c r="AB7" i="11" s="1"/>
  <c r="AC6" i="11"/>
  <c r="AC7" i="11" s="1"/>
  <c r="O26" i="20"/>
  <c r="P26" i="20"/>
  <c r="Q26" i="20"/>
  <c r="R26" i="20"/>
  <c r="S26" i="20"/>
  <c r="T26" i="20"/>
  <c r="U26" i="20"/>
  <c r="V26" i="20"/>
  <c r="W26" i="20"/>
  <c r="X26" i="20"/>
  <c r="Y26" i="20"/>
  <c r="N26" i="20"/>
  <c r="N27" i="19"/>
  <c r="O27" i="19"/>
  <c r="P27" i="19"/>
  <c r="P25" i="19" s="1"/>
  <c r="Q27" i="19"/>
  <c r="Q25" i="19" s="1"/>
  <c r="R27" i="19"/>
  <c r="R25" i="19" s="1"/>
  <c r="S27" i="19"/>
  <c r="S25" i="19" s="1"/>
  <c r="T27" i="19"/>
  <c r="T25" i="19" s="1"/>
  <c r="U27" i="19"/>
  <c r="U25" i="19" s="1"/>
  <c r="V27" i="19"/>
  <c r="V25" i="19" s="1"/>
  <c r="W27" i="19"/>
  <c r="W25" i="19" s="1"/>
  <c r="X27" i="19"/>
  <c r="X25" i="19" s="1"/>
  <c r="Y27" i="19"/>
  <c r="Y25" i="19" s="1"/>
  <c r="Y79" i="19"/>
  <c r="X79" i="19"/>
  <c r="X78" i="19"/>
  <c r="W78" i="19"/>
  <c r="W77" i="19"/>
  <c r="V77" i="19"/>
  <c r="U55" i="19"/>
  <c r="T55" i="19"/>
  <c r="S76" i="19"/>
  <c r="S55" i="19"/>
  <c r="R76" i="19"/>
  <c r="R75" i="19"/>
  <c r="Q74" i="19"/>
  <c r="Q33" i="19"/>
  <c r="Q34" i="19"/>
  <c r="R29" i="20"/>
  <c r="P55" i="19" l="1"/>
  <c r="AA44" i="11" l="1"/>
  <c r="Z44" i="11"/>
  <c r="Z22" i="11" s="1"/>
  <c r="R69" i="11"/>
  <c r="R55" i="19"/>
  <c r="R54" i="20"/>
  <c r="L3" i="21" l="1"/>
  <c r="L7" i="21" s="1"/>
  <c r="AA22" i="11" l="1"/>
  <c r="N33" i="19"/>
  <c r="Q55" i="19" l="1"/>
  <c r="Q54" i="20"/>
  <c r="Y44" i="11" l="1"/>
  <c r="Y22" i="11" s="1"/>
  <c r="P34" i="19"/>
  <c r="Q53" i="20" l="1"/>
  <c r="U38" i="11" l="1"/>
  <c r="P54" i="20"/>
  <c r="Q43" i="19"/>
  <c r="Q72" i="19"/>
  <c r="R54" i="19"/>
  <c r="Q64" i="19"/>
  <c r="AC56" i="11"/>
  <c r="Y54" i="11"/>
  <c r="Z54" i="11" s="1"/>
  <c r="AA54" i="11" s="1"/>
  <c r="AA55" i="11" s="1"/>
  <c r="AB54" i="11" s="1"/>
  <c r="AC54" i="11" s="1"/>
  <c r="W54" i="11"/>
  <c r="W52" i="11"/>
  <c r="W55" i="11" s="1"/>
  <c r="W51" i="11"/>
  <c r="T51" i="11"/>
  <c r="T52" i="11" s="1"/>
  <c r="U52" i="11" s="1"/>
  <c r="U51" i="11"/>
  <c r="U53" i="11" l="1"/>
  <c r="U54" i="11" s="1"/>
  <c r="O72" i="19"/>
  <c r="O55" i="19"/>
  <c r="O43" i="19"/>
  <c r="R44" i="11"/>
  <c r="R22" i="11" s="1"/>
  <c r="R15" i="11"/>
  <c r="R30" i="11" s="1"/>
  <c r="V53" i="11" l="1"/>
  <c r="W53" i="11" s="1"/>
  <c r="V54" i="11"/>
  <c r="R48" i="11"/>
  <c r="U44" i="11"/>
  <c r="U22" i="11" s="1"/>
  <c r="U30" i="11" s="1"/>
  <c r="O54" i="20"/>
  <c r="O61" i="20"/>
  <c r="T48" i="11" l="1"/>
  <c r="S48" i="11"/>
  <c r="T61" i="20"/>
  <c r="S61" i="20"/>
  <c r="P61" i="20"/>
  <c r="N34" i="19"/>
  <c r="O34" i="19"/>
  <c r="Y72" i="19"/>
  <c r="N72" i="19"/>
  <c r="N64" i="19"/>
  <c r="N43" i="19" s="1"/>
  <c r="U69" i="11"/>
  <c r="V69" i="11"/>
  <c r="W69" i="11"/>
  <c r="X69" i="11"/>
  <c r="Y69" i="11"/>
  <c r="Z69" i="11"/>
  <c r="AA69" i="11"/>
  <c r="AB69" i="11"/>
  <c r="AC69" i="11"/>
  <c r="T69" i="11"/>
  <c r="S69" i="11"/>
  <c r="T13" i="11"/>
  <c r="S13" i="11"/>
  <c r="S44" i="11"/>
  <c r="S22" i="11" s="1"/>
  <c r="S30" i="11" s="1"/>
  <c r="U61" i="20" l="1"/>
  <c r="V61" i="20"/>
  <c r="W61" i="20"/>
  <c r="X61" i="20"/>
  <c r="Y61" i="20"/>
  <c r="Q61" i="20"/>
  <c r="U35" i="20" l="1"/>
  <c r="O54" i="19" l="1"/>
  <c r="O37" i="19" l="1"/>
  <c r="Y55" i="19" l="1"/>
  <c r="N67" i="19"/>
  <c r="O67" i="19"/>
  <c r="Q67" i="19"/>
  <c r="R67" i="19"/>
  <c r="S67" i="19"/>
  <c r="T67" i="19"/>
  <c r="U67" i="19"/>
  <c r="V67" i="19"/>
  <c r="W67" i="19"/>
  <c r="X67" i="19"/>
  <c r="Y67" i="19"/>
  <c r="Z67" i="19"/>
  <c r="AA67" i="19"/>
  <c r="AB67" i="19"/>
  <c r="N69" i="19"/>
  <c r="N51" i="19" s="1"/>
  <c r="N68" i="19"/>
  <c r="O68" i="19"/>
  <c r="P68" i="19"/>
  <c r="Q68" i="19"/>
  <c r="R68" i="19"/>
  <c r="S68" i="19"/>
  <c r="T68" i="19"/>
  <c r="O69" i="19"/>
  <c r="Q69" i="19"/>
  <c r="R69" i="19"/>
  <c r="S69" i="19"/>
  <c r="T69" i="19"/>
  <c r="O53" i="20" l="1"/>
  <c r="O57" i="20"/>
  <c r="N54" i="20"/>
  <c r="Y35" i="20"/>
  <c r="AC31" i="11"/>
  <c r="AB31" i="11"/>
  <c r="AA31" i="11"/>
  <c r="Y50" i="20"/>
  <c r="X50" i="20"/>
  <c r="W50" i="20"/>
  <c r="V50" i="20"/>
  <c r="Y57" i="19" l="1"/>
  <c r="O91" i="19" l="1"/>
  <c r="U51" i="19"/>
  <c r="V51" i="19"/>
  <c r="W51" i="19"/>
  <c r="X51" i="19"/>
  <c r="Y51" i="19"/>
  <c r="Y54" i="19" s="1"/>
  <c r="X54" i="19"/>
  <c r="X55" i="19"/>
  <c r="O64" i="19" l="1"/>
  <c r="U40" i="11"/>
  <c r="AA40" i="11"/>
  <c r="Z42" i="20" l="1"/>
  <c r="T44" i="11" l="1"/>
  <c r="T22" i="11" s="1"/>
  <c r="T30" i="11" s="1"/>
  <c r="W53" i="20"/>
  <c r="W54" i="20" s="1"/>
  <c r="W35" i="20" s="1"/>
  <c r="W91" i="20" s="1"/>
  <c r="AC73" i="11"/>
  <c r="Y73" i="11"/>
  <c r="Z73" i="11"/>
  <c r="AA73" i="11"/>
  <c r="AB73" i="11"/>
  <c r="X44" i="11"/>
  <c r="X22" i="11" s="1"/>
  <c r="W31" i="11"/>
  <c r="X31" i="11"/>
  <c r="Y31" i="11"/>
  <c r="Z31" i="11"/>
  <c r="V53" i="20"/>
  <c r="V54" i="20" s="1"/>
  <c r="V35" i="20" s="1"/>
  <c r="T54" i="20"/>
  <c r="N39" i="20"/>
  <c r="T50" i="20"/>
  <c r="U50" i="20"/>
  <c r="O96" i="19"/>
  <c r="P96" i="19"/>
  <c r="Q96" i="19"/>
  <c r="R96" i="19"/>
  <c r="S96" i="19"/>
  <c r="T96" i="19"/>
  <c r="U96" i="19"/>
  <c r="V96" i="19"/>
  <c r="W96" i="19"/>
  <c r="X96" i="19"/>
  <c r="Y96" i="19"/>
  <c r="N96" i="19"/>
  <c r="U94" i="19"/>
  <c r="V94" i="19"/>
  <c r="W94" i="19"/>
  <c r="X94" i="19"/>
  <c r="Y94" i="19"/>
  <c r="O94" i="19"/>
  <c r="P94" i="19"/>
  <c r="Q94" i="19"/>
  <c r="R94" i="19"/>
  <c r="S94" i="19"/>
  <c r="T94" i="19"/>
  <c r="N94" i="19"/>
  <c r="O97" i="19"/>
  <c r="P91" i="19"/>
  <c r="P97" i="19" s="1"/>
  <c r="Q91" i="19"/>
  <c r="Q93" i="19" s="1"/>
  <c r="R91" i="19"/>
  <c r="R93" i="19" s="1"/>
  <c r="S91" i="19"/>
  <c r="S95" i="19" s="1"/>
  <c r="T91" i="19"/>
  <c r="T95" i="19" s="1"/>
  <c r="U91" i="19"/>
  <c r="U93" i="19" s="1"/>
  <c r="V91" i="19"/>
  <c r="V93" i="19" s="1"/>
  <c r="W91" i="19"/>
  <c r="W93" i="19" s="1"/>
  <c r="X91" i="19"/>
  <c r="X93" i="19" s="1"/>
  <c r="Y91" i="19"/>
  <c r="Y93" i="19" s="1"/>
  <c r="N91" i="19"/>
  <c r="N97" i="19" s="1"/>
  <c r="O44" i="19"/>
  <c r="AB37" i="19"/>
  <c r="T51" i="19"/>
  <c r="T54" i="19" s="1"/>
  <c r="U54" i="19"/>
  <c r="V54" i="19"/>
  <c r="V55" i="19" s="1"/>
  <c r="S51" i="19"/>
  <c r="S54" i="19" s="1"/>
  <c r="Y64" i="19"/>
  <c r="Y43" i="19" s="1"/>
  <c r="U64" i="19"/>
  <c r="U43" i="19" s="1"/>
  <c r="V64" i="19"/>
  <c r="W64" i="19"/>
  <c r="X64" i="19"/>
  <c r="X43" i="19" s="1"/>
  <c r="Q39" i="20"/>
  <c r="AB38" i="20"/>
  <c r="AB36" i="20"/>
  <c r="N55" i="19"/>
  <c r="R38" i="11"/>
  <c r="R16" i="11" s="1"/>
  <c r="R31" i="11" s="1"/>
  <c r="P41" i="20"/>
  <c r="O37" i="20"/>
  <c r="P53" i="20"/>
  <c r="T64" i="19"/>
  <c r="T43" i="19" s="1"/>
  <c r="N54" i="19"/>
  <c r="Q57" i="20"/>
  <c r="P57" i="20"/>
  <c r="X33" i="11"/>
  <c r="X38" i="11"/>
  <c r="X74" i="11"/>
  <c r="X72" i="11"/>
  <c r="X32" i="11"/>
  <c r="W44" i="11"/>
  <c r="W22" i="11" s="1"/>
  <c r="W32" i="11"/>
  <c r="S38" i="11"/>
  <c r="S16" i="11" s="1"/>
  <c r="S31" i="11" s="1"/>
  <c r="T38" i="11"/>
  <c r="T16" i="11" s="1"/>
  <c r="T31" i="11" s="1"/>
  <c r="U16" i="11"/>
  <c r="U31" i="11" s="1"/>
  <c r="V38" i="11"/>
  <c r="V16" i="11" s="1"/>
  <c r="V31" i="11" s="1"/>
  <c r="V34" i="11" s="1"/>
  <c r="V35" i="11" s="1"/>
  <c r="W38" i="11"/>
  <c r="Y38" i="11"/>
  <c r="Z38" i="11"/>
  <c r="AA38" i="11"/>
  <c r="AB38" i="11"/>
  <c r="AC38" i="11"/>
  <c r="AD38" i="11"/>
  <c r="AD16" i="11" s="1"/>
  <c r="AB44" i="11"/>
  <c r="AB22" i="11" s="1"/>
  <c r="AC44" i="11"/>
  <c r="AC22" i="11" s="1"/>
  <c r="AD44" i="11"/>
  <c r="AD22" i="11" s="1"/>
  <c r="Y32" i="11"/>
  <c r="Z32" i="11"/>
  <c r="AA32" i="11"/>
  <c r="AB32" i="11"/>
  <c r="AC32" i="11"/>
  <c r="AC34" i="11" s="1"/>
  <c r="AC35" i="11" s="1"/>
  <c r="AD32" i="11"/>
  <c r="Y33" i="11"/>
  <c r="Z33" i="11"/>
  <c r="AA33" i="11"/>
  <c r="AB33" i="11"/>
  <c r="AC33" i="11"/>
  <c r="AD33" i="11"/>
  <c r="O52" i="19"/>
  <c r="AB52" i="19" s="1"/>
  <c r="O51" i="19"/>
  <c r="Q51" i="19"/>
  <c r="Q54" i="19" s="1"/>
  <c r="R51" i="19"/>
  <c r="V818" i="17"/>
  <c r="U818" i="17"/>
  <c r="U820" i="17"/>
  <c r="L822" i="17"/>
  <c r="L111" i="17"/>
  <c r="R44" i="19"/>
  <c r="Q44" i="19"/>
  <c r="Q37" i="19" s="1"/>
  <c r="P44" i="19"/>
  <c r="N44" i="19"/>
  <c r="L144" i="17"/>
  <c r="K53" i="17"/>
  <c r="R73" i="16"/>
  <c r="R72" i="16"/>
  <c r="V75" i="11"/>
  <c r="W71" i="11"/>
  <c r="U75" i="11"/>
  <c r="AD73" i="11"/>
  <c r="S75" i="11"/>
  <c r="T71" i="11"/>
  <c r="R73" i="11"/>
  <c r="Z97" i="19"/>
  <c r="AA97" i="19"/>
  <c r="AB97" i="19"/>
  <c r="Z93" i="19"/>
  <c r="AA93" i="19"/>
  <c r="AB93" i="19"/>
  <c r="AS25" i="11"/>
  <c r="AS26" i="11" s="1"/>
  <c r="AR25" i="11"/>
  <c r="AR26" i="11" s="1"/>
  <c r="AQ25" i="11"/>
  <c r="AQ26" i="11" s="1"/>
  <c r="AP25" i="11"/>
  <c r="AP26" i="11" s="1"/>
  <c r="AO25" i="11"/>
  <c r="AO26" i="11" s="1"/>
  <c r="AN25" i="11"/>
  <c r="AN26" i="11" s="1"/>
  <c r="AM25" i="11"/>
  <c r="AM26" i="11" s="1"/>
  <c r="AI25" i="11"/>
  <c r="AI26" i="11" s="1"/>
  <c r="AJ25" i="11"/>
  <c r="AJ26" i="11" s="1"/>
  <c r="AK25" i="11"/>
  <c r="AK26" i="11" s="1"/>
  <c r="AL25" i="11"/>
  <c r="AL26" i="11" s="1"/>
  <c r="AH25" i="11"/>
  <c r="AH26" i="11" s="1"/>
  <c r="S84" i="16"/>
  <c r="T84" i="16"/>
  <c r="U84" i="16"/>
  <c r="V84" i="16"/>
  <c r="W84" i="16"/>
  <c r="X84" i="16"/>
  <c r="Y84" i="16"/>
  <c r="Z84" i="16"/>
  <c r="AA84" i="16"/>
  <c r="AB84" i="16"/>
  <c r="AC84" i="16"/>
  <c r="S85" i="16"/>
  <c r="T85" i="16"/>
  <c r="U85" i="16"/>
  <c r="V85" i="16"/>
  <c r="W85" i="16"/>
  <c r="X85" i="16"/>
  <c r="Y85" i="16"/>
  <c r="Z85" i="16"/>
  <c r="AA85" i="16"/>
  <c r="AB85" i="16"/>
  <c r="AC85" i="16"/>
  <c r="R85" i="16"/>
  <c r="R84" i="16"/>
  <c r="V44" i="11"/>
  <c r="V22" i="11" s="1"/>
  <c r="V30" i="11" s="1"/>
  <c r="S72" i="16"/>
  <c r="T72" i="16"/>
  <c r="U72" i="16"/>
  <c r="V72" i="16"/>
  <c r="W72" i="16"/>
  <c r="X72" i="16"/>
  <c r="Y72" i="16"/>
  <c r="Z72" i="16"/>
  <c r="AA72" i="16"/>
  <c r="AB72" i="16"/>
  <c r="AC72" i="16"/>
  <c r="S73" i="16"/>
  <c r="T73" i="16"/>
  <c r="U73" i="16"/>
  <c r="V73" i="16"/>
  <c r="W73" i="16"/>
  <c r="X73" i="16"/>
  <c r="Y73" i="16"/>
  <c r="Z73" i="16"/>
  <c r="AA73" i="16"/>
  <c r="AB73" i="16"/>
  <c r="AC73" i="16"/>
  <c r="N48" i="20"/>
  <c r="O48" i="20"/>
  <c r="P48" i="20"/>
  <c r="Q48" i="20"/>
  <c r="R48" i="20"/>
  <c r="S48" i="20"/>
  <c r="S46" i="20"/>
  <c r="O46" i="20"/>
  <c r="P46" i="20"/>
  <c r="Q46" i="20"/>
  <c r="R46" i="20"/>
  <c r="O44" i="20"/>
  <c r="P44" i="20"/>
  <c r="Q44" i="20"/>
  <c r="R44" i="20"/>
  <c r="S44" i="20"/>
  <c r="N44" i="20"/>
  <c r="P64" i="19"/>
  <c r="P43" i="19" s="1"/>
  <c r="R64" i="19"/>
  <c r="R43" i="19" s="1"/>
  <c r="S64" i="19"/>
  <c r="S43" i="19" s="1"/>
  <c r="S58" i="19"/>
  <c r="O93" i="20"/>
  <c r="O95" i="20"/>
  <c r="O98" i="20"/>
  <c r="O100" i="20"/>
  <c r="O106" i="20"/>
  <c r="O107" i="20"/>
  <c r="O41" i="20"/>
  <c r="AP37" i="20"/>
  <c r="AP36" i="20"/>
  <c r="T46" i="20"/>
  <c r="AA47" i="20"/>
  <c r="AA45" i="20"/>
  <c r="AA43" i="20"/>
  <c r="AA40" i="20"/>
  <c r="AA38" i="20"/>
  <c r="AA36" i="20"/>
  <c r="Z38" i="20"/>
  <c r="R57" i="20"/>
  <c r="S57" i="20"/>
  <c r="N57" i="20"/>
  <c r="AL17" i="20"/>
  <c r="Z102" i="20"/>
  <c r="Y102" i="20"/>
  <c r="X102" i="20"/>
  <c r="W102" i="20"/>
  <c r="V102" i="20"/>
  <c r="U102" i="20"/>
  <c r="T102" i="20"/>
  <c r="S102" i="20"/>
  <c r="R102" i="20"/>
  <c r="Q102" i="20"/>
  <c r="P102" i="20"/>
  <c r="Y100" i="20"/>
  <c r="X100" i="20"/>
  <c r="W100" i="20"/>
  <c r="U100" i="20"/>
  <c r="S100" i="20"/>
  <c r="R100" i="20"/>
  <c r="Q100" i="20"/>
  <c r="P100" i="20"/>
  <c r="Z98" i="20"/>
  <c r="Y98" i="20"/>
  <c r="X98" i="20"/>
  <c r="W98" i="20"/>
  <c r="V98" i="20"/>
  <c r="U98" i="20"/>
  <c r="T98" i="20"/>
  <c r="S98" i="20"/>
  <c r="R98" i="20"/>
  <c r="Q98" i="20"/>
  <c r="P98" i="20"/>
  <c r="Z95" i="20"/>
  <c r="Y95" i="20"/>
  <c r="X95" i="20"/>
  <c r="W95" i="20"/>
  <c r="V95" i="20"/>
  <c r="U95" i="20"/>
  <c r="T95" i="20"/>
  <c r="S95" i="20"/>
  <c r="R95" i="20"/>
  <c r="Q95" i="20"/>
  <c r="P95" i="20"/>
  <c r="Z93" i="20"/>
  <c r="Y93" i="20"/>
  <c r="X93" i="20"/>
  <c r="W93" i="20"/>
  <c r="V93" i="20"/>
  <c r="U93" i="20"/>
  <c r="S93" i="20"/>
  <c r="R93" i="20"/>
  <c r="Q93" i="20"/>
  <c r="P93" i="20"/>
  <c r="Z107" i="20"/>
  <c r="Y107" i="20"/>
  <c r="X107" i="20"/>
  <c r="W107" i="20"/>
  <c r="V107" i="20"/>
  <c r="U107" i="20"/>
  <c r="T107" i="20"/>
  <c r="S107" i="20"/>
  <c r="R107" i="20"/>
  <c r="Q107" i="20"/>
  <c r="P107" i="20"/>
  <c r="Z106" i="20"/>
  <c r="Y106" i="20"/>
  <c r="X106" i="20"/>
  <c r="W106" i="20"/>
  <c r="V106" i="20"/>
  <c r="U106" i="20"/>
  <c r="T106" i="20"/>
  <c r="S106" i="20"/>
  <c r="R106" i="20"/>
  <c r="Q106" i="20"/>
  <c r="P106" i="20"/>
  <c r="Z105" i="20"/>
  <c r="Y105" i="20"/>
  <c r="X105" i="20"/>
  <c r="W105" i="20"/>
  <c r="V105" i="20"/>
  <c r="U105" i="20"/>
  <c r="T105" i="20"/>
  <c r="Y52" i="20"/>
  <c r="X52" i="20"/>
  <c r="W52" i="20"/>
  <c r="V52" i="20"/>
  <c r="U52" i="20"/>
  <c r="T52" i="20"/>
  <c r="S52" i="20"/>
  <c r="R52" i="20"/>
  <c r="Q52" i="20"/>
  <c r="P52" i="20"/>
  <c r="O52" i="20"/>
  <c r="N52" i="20"/>
  <c r="Y51" i="20"/>
  <c r="X51" i="20"/>
  <c r="W51" i="20"/>
  <c r="V51" i="20"/>
  <c r="U51" i="20"/>
  <c r="T51" i="20"/>
  <c r="S51" i="20"/>
  <c r="R51" i="20"/>
  <c r="Q51" i="20"/>
  <c r="P51" i="20"/>
  <c r="O51" i="20"/>
  <c r="N51" i="20"/>
  <c r="T53" i="20"/>
  <c r="S50" i="20"/>
  <c r="S53" i="20"/>
  <c r="R50" i="20"/>
  <c r="R53" i="20"/>
  <c r="Q50" i="20"/>
  <c r="P50" i="20"/>
  <c r="O50" i="20"/>
  <c r="N50" i="20"/>
  <c r="Y48" i="20"/>
  <c r="X48" i="20"/>
  <c r="W48" i="20"/>
  <c r="V48" i="20"/>
  <c r="U48" i="20"/>
  <c r="T48" i="20"/>
  <c r="AB47" i="20"/>
  <c r="Z47" i="20"/>
  <c r="Z46" i="20"/>
  <c r="Y46" i="20"/>
  <c r="X46" i="20"/>
  <c r="W46" i="20"/>
  <c r="V46" i="20"/>
  <c r="U46" i="20"/>
  <c r="N46" i="20"/>
  <c r="AB45" i="20"/>
  <c r="Z45" i="20"/>
  <c r="Y44" i="20"/>
  <c r="X44" i="20"/>
  <c r="W44" i="20"/>
  <c r="V44" i="20"/>
  <c r="U44" i="20"/>
  <c r="T44" i="20"/>
  <c r="AB43" i="20"/>
  <c r="Z43" i="20"/>
  <c r="AB42" i="20"/>
  <c r="AB46" i="20" s="1"/>
  <c r="AA42" i="20"/>
  <c r="AB40" i="20"/>
  <c r="Z40" i="20"/>
  <c r="AJ19" i="20"/>
  <c r="AI19" i="20"/>
  <c r="AH19" i="20"/>
  <c r="AG19" i="20"/>
  <c r="AF19" i="20"/>
  <c r="AK17" i="20"/>
  <c r="AJ17" i="20"/>
  <c r="AI17" i="20"/>
  <c r="AH17" i="20"/>
  <c r="AG17" i="20"/>
  <c r="AF17" i="20"/>
  <c r="S37" i="20"/>
  <c r="S41" i="20"/>
  <c r="S39" i="20"/>
  <c r="AA52" i="20"/>
  <c r="AB52" i="20"/>
  <c r="N53" i="20"/>
  <c r="O39" i="20"/>
  <c r="U53" i="20"/>
  <c r="U54" i="20" s="1"/>
  <c r="Z52" i="20"/>
  <c r="AB51" i="20"/>
  <c r="T104" i="20"/>
  <c r="V104" i="20"/>
  <c r="W104" i="20"/>
  <c r="X104" i="20"/>
  <c r="AA51" i="20"/>
  <c r="AA39" i="19"/>
  <c r="AA41" i="19"/>
  <c r="AA46" i="19"/>
  <c r="AA48" i="19"/>
  <c r="AA52" i="19"/>
  <c r="AA53" i="19"/>
  <c r="N53" i="19"/>
  <c r="P52" i="19"/>
  <c r="Q52" i="19"/>
  <c r="R52" i="19"/>
  <c r="S52" i="19"/>
  <c r="T52" i="19"/>
  <c r="U52" i="19"/>
  <c r="V52" i="19"/>
  <c r="W52" i="19"/>
  <c r="W54" i="19" s="1"/>
  <c r="W55" i="19" s="1"/>
  <c r="X52" i="19"/>
  <c r="Y52" i="19"/>
  <c r="N52" i="19"/>
  <c r="O53" i="19"/>
  <c r="P53" i="19"/>
  <c r="Q53" i="19"/>
  <c r="R53" i="19"/>
  <c r="S53" i="19"/>
  <c r="AB53" i="19" s="1"/>
  <c r="T53" i="19"/>
  <c r="U53" i="19"/>
  <c r="V53" i="19"/>
  <c r="W53" i="19"/>
  <c r="X53" i="19"/>
  <c r="Y53" i="19"/>
  <c r="AK17" i="19"/>
  <c r="AJ17" i="19"/>
  <c r="AI17" i="19"/>
  <c r="AH17" i="19"/>
  <c r="AG17" i="19"/>
  <c r="AF17" i="19"/>
  <c r="AJ19" i="19"/>
  <c r="AI19" i="19"/>
  <c r="AH19" i="19"/>
  <c r="AG19" i="19"/>
  <c r="AF19" i="19"/>
  <c r="AB48" i="19"/>
  <c r="Z48" i="19"/>
  <c r="AB46" i="19"/>
  <c r="Z46" i="19"/>
  <c r="AB44" i="19"/>
  <c r="Z44" i="19"/>
  <c r="Z52" i="19" s="1"/>
  <c r="AB41" i="19"/>
  <c r="Z41" i="19"/>
  <c r="Z42" i="19" s="1"/>
  <c r="AB39" i="19"/>
  <c r="Z39" i="19"/>
  <c r="Z40" i="19" s="1"/>
  <c r="AI18" i="11"/>
  <c r="AJ18" i="11"/>
  <c r="AK18" i="11"/>
  <c r="AL18" i="11"/>
  <c r="AH18" i="11"/>
  <c r="AM14" i="11"/>
  <c r="AI14" i="11"/>
  <c r="AJ14" i="11"/>
  <c r="AK14" i="11"/>
  <c r="AL14" i="11"/>
  <c r="AD23" i="11"/>
  <c r="AH14" i="11"/>
  <c r="M65" i="16"/>
  <c r="N63" i="16"/>
  <c r="G65" i="16"/>
  <c r="E79" i="16"/>
  <c r="F79" i="16"/>
  <c r="G79" i="16"/>
  <c r="H79" i="16"/>
  <c r="I79" i="16"/>
  <c r="J79" i="16"/>
  <c r="K79" i="16"/>
  <c r="L79" i="16"/>
  <c r="M79" i="16"/>
  <c r="N79" i="16"/>
  <c r="O79" i="16"/>
  <c r="D79" i="16"/>
  <c r="E63" i="16"/>
  <c r="F65" i="16"/>
  <c r="J63" i="16"/>
  <c r="K63" i="16"/>
  <c r="O63" i="16"/>
  <c r="J78" i="16"/>
  <c r="K78" i="16"/>
  <c r="L78" i="16"/>
  <c r="M78" i="16"/>
  <c r="N78" i="16"/>
  <c r="O78" i="16"/>
  <c r="H65" i="16"/>
  <c r="I63" i="16"/>
  <c r="L63" i="16"/>
  <c r="D61" i="16"/>
  <c r="D75" i="16"/>
  <c r="E78" i="16"/>
  <c r="F78" i="16"/>
  <c r="G78" i="16"/>
  <c r="H78" i="16"/>
  <c r="I78" i="16"/>
  <c r="D78" i="16"/>
  <c r="L76" i="16"/>
  <c r="X57" i="13"/>
  <c r="E68" i="16"/>
  <c r="F68" i="16"/>
  <c r="G68" i="16"/>
  <c r="H68" i="16"/>
  <c r="I68" i="16"/>
  <c r="J68" i="16"/>
  <c r="K68" i="16"/>
  <c r="L68" i="16"/>
  <c r="M68" i="16"/>
  <c r="N68" i="16"/>
  <c r="O68" i="16"/>
  <c r="D68" i="16"/>
  <c r="L61" i="16"/>
  <c r="AB43" i="16"/>
  <c r="AA43" i="16"/>
  <c r="Z43" i="16"/>
  <c r="V56" i="16"/>
  <c r="U56" i="16"/>
  <c r="T56" i="16"/>
  <c r="S56" i="16"/>
  <c r="R56" i="16"/>
  <c r="E77" i="16"/>
  <c r="F77" i="16"/>
  <c r="G77" i="16"/>
  <c r="H77" i="16"/>
  <c r="I77" i="16"/>
  <c r="J77" i="16"/>
  <c r="K77" i="16"/>
  <c r="L77" i="16"/>
  <c r="M77" i="16"/>
  <c r="N77" i="16"/>
  <c r="O77" i="16"/>
  <c r="D77" i="16"/>
  <c r="E76" i="16"/>
  <c r="F76" i="16"/>
  <c r="G76" i="16"/>
  <c r="H76" i="16"/>
  <c r="I76" i="16"/>
  <c r="J76" i="16"/>
  <c r="K76" i="16"/>
  <c r="M76" i="16"/>
  <c r="N76" i="16"/>
  <c r="O76" i="16"/>
  <c r="D76" i="16"/>
  <c r="E75" i="16"/>
  <c r="F75" i="16"/>
  <c r="G75" i="16"/>
  <c r="H75" i="16"/>
  <c r="I75" i="16"/>
  <c r="J75" i="16"/>
  <c r="K75" i="16"/>
  <c r="L75" i="16"/>
  <c r="M75" i="16"/>
  <c r="N75" i="16"/>
  <c r="O75" i="16"/>
  <c r="P60" i="16"/>
  <c r="P62" i="16"/>
  <c r="P64" i="16"/>
  <c r="P66" i="16"/>
  <c r="P67" i="16"/>
  <c r="P69" i="16"/>
  <c r="P71" i="16"/>
  <c r="D72" i="16"/>
  <c r="O72" i="16"/>
  <c r="N72" i="16"/>
  <c r="M72" i="16"/>
  <c r="L72" i="16"/>
  <c r="K72" i="16"/>
  <c r="J72" i="16"/>
  <c r="I72" i="16"/>
  <c r="H72" i="16"/>
  <c r="G72" i="16"/>
  <c r="F72" i="16"/>
  <c r="E72" i="16"/>
  <c r="O70" i="16"/>
  <c r="N70" i="16"/>
  <c r="M70" i="16"/>
  <c r="L70" i="16"/>
  <c r="K70" i="16"/>
  <c r="J70" i="16"/>
  <c r="I70" i="16"/>
  <c r="H70" i="16"/>
  <c r="G70" i="16"/>
  <c r="F70" i="16"/>
  <c r="E70" i="16"/>
  <c r="D70" i="16"/>
  <c r="M63" i="16"/>
  <c r="R39" i="16"/>
  <c r="V776" i="17"/>
  <c r="V775" i="17"/>
  <c r="V770" i="17"/>
  <c r="V769" i="17"/>
  <c r="V756" i="17"/>
  <c r="U755" i="17"/>
  <c r="L69" i="16"/>
  <c r="M69" i="16"/>
  <c r="N69" i="16"/>
  <c r="AM52" i="16"/>
  <c r="AN52" i="16"/>
  <c r="AO52" i="16"/>
  <c r="AP52" i="16"/>
  <c r="AQ52" i="16"/>
  <c r="AP54" i="16"/>
  <c r="AO54" i="16"/>
  <c r="AN54" i="16"/>
  <c r="BI852" i="17"/>
  <c r="BH852" i="17"/>
  <c r="BG852" i="17"/>
  <c r="BF852" i="17"/>
  <c r="BE852" i="17"/>
  <c r="BD852" i="17"/>
  <c r="BC852" i="17"/>
  <c r="BB852" i="17"/>
  <c r="BA852" i="17"/>
  <c r="AZ852" i="17"/>
  <c r="AY852" i="17"/>
  <c r="AX852" i="17"/>
  <c r="AW852" i="17"/>
  <c r="AV852" i="17"/>
  <c r="AU852" i="17"/>
  <c r="AT852" i="17"/>
  <c r="AS852" i="17"/>
  <c r="AR852" i="17"/>
  <c r="AQ852" i="17"/>
  <c r="AP852" i="17"/>
  <c r="AO852" i="17"/>
  <c r="AN852" i="17"/>
  <c r="AM852" i="17"/>
  <c r="AL852" i="17"/>
  <c r="AK852" i="17"/>
  <c r="AJ852" i="17"/>
  <c r="AI852" i="17"/>
  <c r="AH852" i="17"/>
  <c r="X851" i="17"/>
  <c r="D851" i="17"/>
  <c r="AF844" i="17"/>
  <c r="DH839" i="17"/>
  <c r="DG839" i="17"/>
  <c r="DF839" i="17"/>
  <c r="DE839" i="17"/>
  <c r="DD839" i="17"/>
  <c r="DC839" i="17"/>
  <c r="DB839" i="17"/>
  <c r="DA839" i="17"/>
  <c r="CZ839" i="17"/>
  <c r="CY839" i="17"/>
  <c r="CW839" i="17"/>
  <c r="CV839" i="17"/>
  <c r="CU839" i="17"/>
  <c r="CS839" i="17"/>
  <c r="CR839" i="17"/>
  <c r="CQ839" i="17"/>
  <c r="CO839" i="17"/>
  <c r="CN839" i="17"/>
  <c r="CM839" i="17"/>
  <c r="CL839" i="17"/>
  <c r="CK839" i="17"/>
  <c r="CJ839" i="17"/>
  <c r="CP838" i="17"/>
  <c r="CP839" i="17"/>
  <c r="CL836" i="17"/>
  <c r="BN833" i="17"/>
  <c r="AG831" i="17"/>
  <c r="AF831" i="17"/>
  <c r="AG830" i="17"/>
  <c r="AF830" i="17"/>
  <c r="AG828" i="17"/>
  <c r="EI824" i="17"/>
  <c r="EH824" i="17"/>
  <c r="EE824" i="17"/>
  <c r="DR824" i="17"/>
  <c r="DO824" i="17"/>
  <c r="DL824" i="17"/>
  <c r="DK824" i="17"/>
  <c r="BO824" i="17"/>
  <c r="BL824" i="17"/>
  <c r="BK824" i="17"/>
  <c r="AM824" i="17"/>
  <c r="AL824" i="17"/>
  <c r="AI824" i="17"/>
  <c r="AH824" i="17"/>
  <c r="AH831" i="17"/>
  <c r="AE824" i="17"/>
  <c r="AD824" i="17"/>
  <c r="AD831" i="17"/>
  <c r="AC824" i="17"/>
  <c r="AC831" i="17"/>
  <c r="AB824" i="17"/>
  <c r="AB831" i="17"/>
  <c r="AA824" i="17"/>
  <c r="Z824" i="17"/>
  <c r="Y824" i="17"/>
  <c r="Y831" i="17"/>
  <c r="EI823" i="17"/>
  <c r="EH823" i="17"/>
  <c r="EG823" i="17"/>
  <c r="EF823" i="17"/>
  <c r="EE823" i="17"/>
  <c r="ED823" i="17"/>
  <c r="EC823" i="17"/>
  <c r="EB823" i="17"/>
  <c r="EA823" i="17"/>
  <c r="DY823" i="17"/>
  <c r="DW823" i="17"/>
  <c r="DV823" i="17"/>
  <c r="DU823" i="17"/>
  <c r="DT823" i="17"/>
  <c r="DS823" i="17"/>
  <c r="DR823" i="17"/>
  <c r="DQ823" i="17"/>
  <c r="DP823" i="17"/>
  <c r="DO823" i="17"/>
  <c r="DN823" i="17"/>
  <c r="DM823" i="17"/>
  <c r="DL823" i="17"/>
  <c r="DK823" i="17"/>
  <c r="DE823" i="17"/>
  <c r="CL823" i="17"/>
  <c r="CF823" i="17"/>
  <c r="CB823" i="17"/>
  <c r="CA823" i="17"/>
  <c r="BS823" i="17"/>
  <c r="BQ823" i="17"/>
  <c r="BP823" i="17"/>
  <c r="BO823" i="17"/>
  <c r="BN823" i="17"/>
  <c r="BK823" i="17"/>
  <c r="BI823" i="17"/>
  <c r="BH823" i="17"/>
  <c r="BG823" i="17"/>
  <c r="BF823" i="17"/>
  <c r="BE823" i="17"/>
  <c r="AX823" i="17"/>
  <c r="AW823" i="17"/>
  <c r="AQ823" i="17"/>
  <c r="AQ830" i="17"/>
  <c r="AP823" i="17"/>
  <c r="AM823" i="17"/>
  <c r="AL823" i="17"/>
  <c r="AI823" i="17"/>
  <c r="AH823" i="17"/>
  <c r="AH830" i="17"/>
  <c r="AG823" i="17"/>
  <c r="AF823" i="17"/>
  <c r="AE823" i="17"/>
  <c r="AD823" i="17"/>
  <c r="AD830" i="17"/>
  <c r="AC823" i="17"/>
  <c r="AC830" i="17"/>
  <c r="AB823" i="17"/>
  <c r="AB830" i="17"/>
  <c r="AA823" i="17"/>
  <c r="Z823" i="17"/>
  <c r="Y823" i="17"/>
  <c r="Y830" i="17"/>
  <c r="EI822" i="17"/>
  <c r="EH822" i="17"/>
  <c r="EG822" i="17"/>
  <c r="EF822" i="17"/>
  <c r="EE822" i="17"/>
  <c r="ED822" i="17"/>
  <c r="EC822" i="17"/>
  <c r="DX822" i="17"/>
  <c r="DO822" i="17"/>
  <c r="DN822" i="17"/>
  <c r="DM822" i="17"/>
  <c r="DL822" i="17"/>
  <c r="AH822" i="17"/>
  <c r="AH829" i="17"/>
  <c r="AG822" i="17"/>
  <c r="AF822" i="17"/>
  <c r="AE822" i="17"/>
  <c r="AD822" i="17"/>
  <c r="AC822" i="17"/>
  <c r="AC829" i="17"/>
  <c r="AC844" i="17"/>
  <c r="AB822" i="17"/>
  <c r="AB829" i="17"/>
  <c r="AA822" i="17"/>
  <c r="Z822" i="17"/>
  <c r="Y822" i="17"/>
  <c r="Y829" i="17"/>
  <c r="EI821" i="17"/>
  <c r="EH821" i="17"/>
  <c r="EE821" i="17"/>
  <c r="ED821" i="17"/>
  <c r="EC821" i="17"/>
  <c r="EB821" i="17"/>
  <c r="DV821" i="17"/>
  <c r="DP821" i="17"/>
  <c r="DO821" i="17"/>
  <c r="DN821" i="17"/>
  <c r="CP821" i="17"/>
  <c r="AI821" i="17"/>
  <c r="AH821" i="17"/>
  <c r="AG821" i="17"/>
  <c r="AF821" i="17"/>
  <c r="AE821" i="17"/>
  <c r="AD821" i="17"/>
  <c r="AD828" i="17"/>
  <c r="AC821" i="17"/>
  <c r="AC828" i="17"/>
  <c r="AB821" i="17"/>
  <c r="AB828" i="17"/>
  <c r="AA821" i="17"/>
  <c r="AA828" i="17"/>
  <c r="Z821" i="17"/>
  <c r="Y821" i="17"/>
  <c r="Y828" i="17"/>
  <c r="EI820" i="17"/>
  <c r="EH820" i="17"/>
  <c r="EG820" i="17"/>
  <c r="EF820" i="17"/>
  <c r="EE820" i="17"/>
  <c r="ED820" i="17"/>
  <c r="EC820" i="17"/>
  <c r="EB820" i="17"/>
  <c r="EA820" i="17"/>
  <c r="DZ820" i="17"/>
  <c r="DY820" i="17"/>
  <c r="DV820" i="17"/>
  <c r="DU820" i="17"/>
  <c r="DT820" i="17"/>
  <c r="DQ820" i="17"/>
  <c r="DP820" i="17"/>
  <c r="DO820" i="17"/>
  <c r="DN820" i="17"/>
  <c r="DM820" i="17"/>
  <c r="DL820" i="17"/>
  <c r="DK820" i="17"/>
  <c r="DJ820" i="17"/>
  <c r="DI820" i="17"/>
  <c r="CX820" i="17"/>
  <c r="CT820" i="17"/>
  <c r="CS820" i="17"/>
  <c r="CR820" i="17"/>
  <c r="CJ820" i="17"/>
  <c r="CG820" i="17"/>
  <c r="CE820" i="17"/>
  <c r="BR820" i="17"/>
  <c r="BQ820" i="17"/>
  <c r="BP820" i="17"/>
  <c r="BO820" i="17"/>
  <c r="BN820" i="17"/>
  <c r="BM820" i="17"/>
  <c r="BI820" i="17"/>
  <c r="BH820" i="17"/>
  <c r="BG820" i="17"/>
  <c r="BF820" i="17"/>
  <c r="BE820" i="17"/>
  <c r="BD820" i="17"/>
  <c r="BC820" i="17"/>
  <c r="AW820" i="17"/>
  <c r="AV820" i="17"/>
  <c r="AT820" i="17"/>
  <c r="AP820" i="17"/>
  <c r="AO820" i="17"/>
  <c r="AN820" i="17"/>
  <c r="AM820" i="17"/>
  <c r="AL820" i="17"/>
  <c r="AJ820" i="17"/>
  <c r="AH820" i="17"/>
  <c r="AH827" i="17"/>
  <c r="AG820" i="17"/>
  <c r="AF820" i="17"/>
  <c r="AE820" i="17"/>
  <c r="AD820" i="17"/>
  <c r="AD827" i="17"/>
  <c r="AC820" i="17"/>
  <c r="AC827" i="17"/>
  <c r="AB820" i="17"/>
  <c r="AB827" i="17"/>
  <c r="AA820" i="17"/>
  <c r="AA827" i="17"/>
  <c r="Z820" i="17"/>
  <c r="Y820" i="17"/>
  <c r="Y827" i="17"/>
  <c r="X818" i="17"/>
  <c r="C817" i="17"/>
  <c r="BU817" i="17"/>
  <c r="DQ816" i="17"/>
  <c r="C816" i="17"/>
  <c r="D816" i="17"/>
  <c r="X815" i="17"/>
  <c r="C815" i="17"/>
  <c r="D815" i="17"/>
  <c r="X814" i="17"/>
  <c r="C814" i="17"/>
  <c r="D814" i="17"/>
  <c r="CP813" i="17"/>
  <c r="X813" i="17"/>
  <c r="U813" i="17"/>
  <c r="T813" i="17"/>
  <c r="S813" i="17"/>
  <c r="R813" i="17"/>
  <c r="Q813" i="17"/>
  <c r="P813" i="17"/>
  <c r="D813" i="17"/>
  <c r="C813" i="17"/>
  <c r="V813" i="17"/>
  <c r="X812" i="17"/>
  <c r="C812" i="17"/>
  <c r="D812" i="17"/>
  <c r="X811" i="17"/>
  <c r="D811" i="17"/>
  <c r="C811" i="17"/>
  <c r="X810" i="17"/>
  <c r="C810" i="17"/>
  <c r="D810" i="17"/>
  <c r="D809" i="17"/>
  <c r="C809" i="17"/>
  <c r="X808" i="17"/>
  <c r="C808" i="17"/>
  <c r="D808" i="17"/>
  <c r="X807" i="17"/>
  <c r="C807" i="17"/>
  <c r="D807" i="17"/>
  <c r="X806" i="17"/>
  <c r="C806" i="17"/>
  <c r="D806" i="17"/>
  <c r="X805" i="17"/>
  <c r="F805" i="17"/>
  <c r="C805" i="17"/>
  <c r="D805" i="17"/>
  <c r="C804" i="17"/>
  <c r="ED804" i="17"/>
  <c r="ED824" i="17"/>
  <c r="EG803" i="17"/>
  <c r="EG824" i="17"/>
  <c r="EF803" i="17"/>
  <c r="EF824" i="17"/>
  <c r="DZ803" i="17"/>
  <c r="C803" i="17"/>
  <c r="D803" i="17"/>
  <c r="EB802" i="17"/>
  <c r="DB802" i="17"/>
  <c r="U802" i="17"/>
  <c r="C802" i="17"/>
  <c r="D802" i="17"/>
  <c r="C801" i="17"/>
  <c r="DY801" i="17"/>
  <c r="DV800" i="17"/>
  <c r="DV824" i="17"/>
  <c r="DU800" i="17"/>
  <c r="C800" i="17"/>
  <c r="C799" i="17"/>
  <c r="C798" i="17"/>
  <c r="EA798" i="17"/>
  <c r="C797" i="17"/>
  <c r="C796" i="17"/>
  <c r="C795" i="17"/>
  <c r="D795" i="17"/>
  <c r="C794" i="17"/>
  <c r="DX793" i="17"/>
  <c r="D793" i="17"/>
  <c r="C793" i="17"/>
  <c r="DV792" i="17"/>
  <c r="DY792" i="17"/>
  <c r="DU792" i="17"/>
  <c r="D792" i="17"/>
  <c r="C792" i="17"/>
  <c r="C791" i="17"/>
  <c r="DT791" i="17"/>
  <c r="C790" i="17"/>
  <c r="DY790" i="17"/>
  <c r="DZ790" i="17"/>
  <c r="C789" i="17"/>
  <c r="DS788" i="17"/>
  <c r="C788" i="17"/>
  <c r="D788" i="17"/>
  <c r="C787" i="17"/>
  <c r="F786" i="17"/>
  <c r="C786" i="17"/>
  <c r="C785" i="17"/>
  <c r="DQ784" i="17"/>
  <c r="DX784" i="17"/>
  <c r="C784" i="17"/>
  <c r="DS783" i="17"/>
  <c r="C783" i="17"/>
  <c r="C782" i="17"/>
  <c r="DQ782" i="17"/>
  <c r="DV782" i="17"/>
  <c r="C781" i="17"/>
  <c r="DW781" i="17"/>
  <c r="DX781" i="17"/>
  <c r="DQ780" i="17"/>
  <c r="DV780" i="17"/>
  <c r="D780" i="17"/>
  <c r="C780" i="17"/>
  <c r="DR780" i="17"/>
  <c r="DW780" i="17"/>
  <c r="U779" i="17"/>
  <c r="C779" i="17"/>
  <c r="V779" i="17"/>
  <c r="DU778" i="17"/>
  <c r="DU821" i="17"/>
  <c r="DT778" i="17"/>
  <c r="DQ778" i="17"/>
  <c r="C778" i="17"/>
  <c r="C777" i="17"/>
  <c r="DQ776" i="17"/>
  <c r="D776" i="17"/>
  <c r="C776" i="17"/>
  <c r="EK775" i="17"/>
  <c r="EJ775" i="17"/>
  <c r="C775" i="17"/>
  <c r="C774" i="17"/>
  <c r="DP774" i="17"/>
  <c r="DP822" i="17"/>
  <c r="DI773" i="17"/>
  <c r="DN773" i="17"/>
  <c r="C773" i="17"/>
  <c r="V773" i="17"/>
  <c r="C772" i="17"/>
  <c r="V772" i="17"/>
  <c r="C771" i="17"/>
  <c r="D771" i="17"/>
  <c r="U770" i="17"/>
  <c r="C770" i="17"/>
  <c r="F769" i="17"/>
  <c r="C769" i="17"/>
  <c r="DH769" i="17"/>
  <c r="DJ769" i="17"/>
  <c r="F768" i="17"/>
  <c r="D768" i="17"/>
  <c r="C768" i="17"/>
  <c r="V768" i="17"/>
  <c r="C767" i="17"/>
  <c r="V767" i="17"/>
  <c r="DG766" i="17"/>
  <c r="DJ766" i="17"/>
  <c r="U766" i="17"/>
  <c r="D766" i="17"/>
  <c r="C766" i="17"/>
  <c r="DF766" i="17"/>
  <c r="DI766" i="17"/>
  <c r="F765" i="17"/>
  <c r="C765" i="17"/>
  <c r="DH765" i="17"/>
  <c r="DI765" i="17"/>
  <c r="F764" i="17"/>
  <c r="D764" i="17"/>
  <c r="C764" i="17"/>
  <c r="U764" i="17"/>
  <c r="C763" i="17"/>
  <c r="V763" i="17"/>
  <c r="C762" i="17"/>
  <c r="V762" i="17"/>
  <c r="C761" i="17"/>
  <c r="V761" i="17"/>
  <c r="C760" i="17"/>
  <c r="V760" i="17"/>
  <c r="C759" i="17"/>
  <c r="U758" i="17"/>
  <c r="F758" i="17"/>
  <c r="D758" i="17"/>
  <c r="C758" i="17"/>
  <c r="DG758" i="17"/>
  <c r="DI758" i="17"/>
  <c r="C757" i="17"/>
  <c r="U757" i="17"/>
  <c r="F756" i="17"/>
  <c r="C756" i="17"/>
  <c r="C755" i="17"/>
  <c r="DH755" i="17"/>
  <c r="DI755" i="17"/>
  <c r="C754" i="17"/>
  <c r="DH754" i="17"/>
  <c r="DI754" i="17"/>
  <c r="C753" i="17"/>
  <c r="D753" i="17"/>
  <c r="U752" i="17"/>
  <c r="C752" i="17"/>
  <c r="D752" i="17"/>
  <c r="C751" i="17"/>
  <c r="D750" i="17"/>
  <c r="C750" i="17"/>
  <c r="C749" i="17"/>
  <c r="DG749" i="17"/>
  <c r="DH749" i="17"/>
  <c r="DG748" i="17"/>
  <c r="DH748" i="17"/>
  <c r="C748" i="17"/>
  <c r="U748" i="17"/>
  <c r="C747" i="17"/>
  <c r="DG747" i="17"/>
  <c r="DH747" i="17"/>
  <c r="DF746" i="17"/>
  <c r="F746" i="17"/>
  <c r="C746" i="17"/>
  <c r="DH746" i="17"/>
  <c r="CV745" i="17"/>
  <c r="CU745" i="17"/>
  <c r="U745" i="17"/>
  <c r="T745" i="17"/>
  <c r="S745" i="17"/>
  <c r="R745" i="17"/>
  <c r="C745" i="17"/>
  <c r="C744" i="17"/>
  <c r="C743" i="17"/>
  <c r="DF743" i="17"/>
  <c r="DG743" i="17"/>
  <c r="DG742" i="17"/>
  <c r="DH742" i="17"/>
  <c r="C742" i="17"/>
  <c r="U742" i="17"/>
  <c r="C741" i="17"/>
  <c r="D741" i="17"/>
  <c r="DE740" i="17"/>
  <c r="C740" i="17"/>
  <c r="U740" i="17"/>
  <c r="U739" i="17"/>
  <c r="D739" i="17"/>
  <c r="C739" i="17"/>
  <c r="DF739" i="17"/>
  <c r="DG739" i="17"/>
  <c r="C738" i="17"/>
  <c r="D738" i="17"/>
  <c r="C737" i="17"/>
  <c r="C736" i="17"/>
  <c r="DF736" i="17"/>
  <c r="DG736" i="17"/>
  <c r="DF735" i="17"/>
  <c r="DG735" i="17"/>
  <c r="U735" i="17"/>
  <c r="D735" i="17"/>
  <c r="C735" i="17"/>
  <c r="F734" i="17"/>
  <c r="C734" i="17"/>
  <c r="DF733" i="17"/>
  <c r="DG733" i="17"/>
  <c r="C733" i="17"/>
  <c r="U733" i="17"/>
  <c r="C732" i="17"/>
  <c r="D732" i="17"/>
  <c r="F731" i="17"/>
  <c r="C731" i="17"/>
  <c r="C730" i="17"/>
  <c r="DF730" i="17"/>
  <c r="C729" i="17"/>
  <c r="CW728" i="17"/>
  <c r="C728" i="17"/>
  <c r="C727" i="17"/>
  <c r="C726" i="17"/>
  <c r="DE725" i="17"/>
  <c r="DF725" i="17"/>
  <c r="U725" i="17"/>
  <c r="C725" i="17"/>
  <c r="D725" i="17"/>
  <c r="C724" i="17"/>
  <c r="C723" i="17"/>
  <c r="DE723" i="17"/>
  <c r="C722" i="17"/>
  <c r="U722" i="17"/>
  <c r="C721" i="17"/>
  <c r="D721" i="17"/>
  <c r="D720" i="17"/>
  <c r="C720" i="17"/>
  <c r="DE720" i="17"/>
  <c r="DF720" i="17"/>
  <c r="F719" i="17"/>
  <c r="C719" i="17"/>
  <c r="DD719" i="17"/>
  <c r="DF719" i="17"/>
  <c r="DE718" i="17"/>
  <c r="DD718" i="17"/>
  <c r="T718" i="17"/>
  <c r="F718" i="17"/>
  <c r="U718" i="17"/>
  <c r="C718" i="17"/>
  <c r="D718" i="17"/>
  <c r="C717" i="17"/>
  <c r="DE717" i="17"/>
  <c r="C716" i="17"/>
  <c r="C715" i="17"/>
  <c r="C714" i="17"/>
  <c r="DE714" i="17"/>
  <c r="C713" i="17"/>
  <c r="C712" i="17"/>
  <c r="C711" i="17"/>
  <c r="T710" i="17"/>
  <c r="C710" i="17"/>
  <c r="D710" i="17"/>
  <c r="U709" i="17"/>
  <c r="C709" i="17"/>
  <c r="T709" i="17"/>
  <c r="C708" i="17"/>
  <c r="DC708" i="17"/>
  <c r="DD708" i="17"/>
  <c r="DA707" i="17"/>
  <c r="DE707" i="17"/>
  <c r="C707" i="17"/>
  <c r="C706" i="17"/>
  <c r="T705" i="17"/>
  <c r="D705" i="17"/>
  <c r="C705" i="17"/>
  <c r="DC705" i="17"/>
  <c r="DD705" i="17"/>
  <c r="X705" i="17"/>
  <c r="C704" i="17"/>
  <c r="T704" i="17"/>
  <c r="DC703" i="17"/>
  <c r="DD703" i="17"/>
  <c r="DB703" i="17"/>
  <c r="DE703" i="17"/>
  <c r="C703" i="17"/>
  <c r="T703" i="17"/>
  <c r="C702" i="17"/>
  <c r="D702" i="17"/>
  <c r="C701" i="17"/>
  <c r="CZ701" i="17"/>
  <c r="C700" i="17"/>
  <c r="F699" i="17"/>
  <c r="C699" i="17"/>
  <c r="DD699" i="17"/>
  <c r="C698" i="17"/>
  <c r="D698" i="17"/>
  <c r="DC697" i="17"/>
  <c r="DD697" i="17"/>
  <c r="C697" i="17"/>
  <c r="DC696" i="17"/>
  <c r="DD696" i="17"/>
  <c r="T696" i="17"/>
  <c r="C696" i="17"/>
  <c r="D696" i="17"/>
  <c r="C695" i="17"/>
  <c r="T695" i="17"/>
  <c r="C694" i="17"/>
  <c r="DB693" i="17"/>
  <c r="DD693" i="17"/>
  <c r="T693" i="17"/>
  <c r="C693" i="17"/>
  <c r="D693" i="17"/>
  <c r="C692" i="17"/>
  <c r="D692" i="17"/>
  <c r="DB691" i="17"/>
  <c r="DD691" i="17"/>
  <c r="D691" i="17"/>
  <c r="C691" i="17"/>
  <c r="DB690" i="17"/>
  <c r="DC690" i="17"/>
  <c r="DE690" i="17"/>
  <c r="I690" i="17"/>
  <c r="F690" i="17"/>
  <c r="C690" i="17"/>
  <c r="D690" i="17"/>
  <c r="C689" i="17"/>
  <c r="DC688" i="17"/>
  <c r="CV688" i="17"/>
  <c r="CU688" i="17"/>
  <c r="S688" i="17"/>
  <c r="C688" i="17"/>
  <c r="DD687" i="17"/>
  <c r="DC687" i="17"/>
  <c r="CZ687" i="17"/>
  <c r="T687" i="17"/>
  <c r="C687" i="17"/>
  <c r="D687" i="17"/>
  <c r="C686" i="17"/>
  <c r="DD686" i="17"/>
  <c r="C685" i="17"/>
  <c r="DB684" i="17"/>
  <c r="DC684" i="17"/>
  <c r="F684" i="17"/>
  <c r="T684" i="17"/>
  <c r="C684" i="17"/>
  <c r="D684" i="17"/>
  <c r="DA683" i="17"/>
  <c r="C683" i="17"/>
  <c r="D683" i="17"/>
  <c r="C682" i="17"/>
  <c r="DA682" i="17"/>
  <c r="DD682" i="17"/>
  <c r="CY681" i="17"/>
  <c r="DC681" i="17"/>
  <c r="S681" i="17"/>
  <c r="C681" i="17"/>
  <c r="T680" i="17"/>
  <c r="C680" i="17"/>
  <c r="D679" i="17"/>
  <c r="C679" i="17"/>
  <c r="C678" i="17"/>
  <c r="CX677" i="17"/>
  <c r="DB677" i="17"/>
  <c r="C677" i="17"/>
  <c r="T677" i="17"/>
  <c r="DB676" i="17"/>
  <c r="DC676" i="17"/>
  <c r="C676" i="17"/>
  <c r="D676" i="17"/>
  <c r="C675" i="17"/>
  <c r="T675" i="17"/>
  <c r="CV674" i="17"/>
  <c r="S674" i="17"/>
  <c r="C674" i="17"/>
  <c r="DC674" i="17"/>
  <c r="C673" i="17"/>
  <c r="CX672" i="17"/>
  <c r="T672" i="17"/>
  <c r="C672" i="17"/>
  <c r="C671" i="17"/>
  <c r="T671" i="17"/>
  <c r="C670" i="17"/>
  <c r="CZ670" i="17"/>
  <c r="C669" i="17"/>
  <c r="CY669" i="17"/>
  <c r="DB669" i="17"/>
  <c r="C668" i="17"/>
  <c r="C667" i="17"/>
  <c r="DA666" i="17"/>
  <c r="DB666" i="17"/>
  <c r="T666" i="17"/>
  <c r="D666" i="17"/>
  <c r="C666" i="17"/>
  <c r="DA665" i="17"/>
  <c r="T665" i="17"/>
  <c r="D665" i="17"/>
  <c r="C665" i="17"/>
  <c r="F664" i="17"/>
  <c r="C664" i="17"/>
  <c r="DA663" i="17"/>
  <c r="DB663" i="17"/>
  <c r="T663" i="17"/>
  <c r="C663" i="17"/>
  <c r="D663" i="17"/>
  <c r="CZ662" i="17"/>
  <c r="DB662" i="17"/>
  <c r="F662" i="17"/>
  <c r="C662" i="17"/>
  <c r="D662" i="17"/>
  <c r="C661" i="17"/>
  <c r="C660" i="17"/>
  <c r="C659" i="17"/>
  <c r="CZ659" i="17"/>
  <c r="DA659" i="17"/>
  <c r="C658" i="17"/>
  <c r="C657" i="17"/>
  <c r="CZ657" i="17"/>
  <c r="DB657" i="17"/>
  <c r="C656" i="17"/>
  <c r="CZ655" i="17"/>
  <c r="DB655" i="17"/>
  <c r="T655" i="17"/>
  <c r="D655" i="17"/>
  <c r="C655" i="17"/>
  <c r="C654" i="17"/>
  <c r="F653" i="17"/>
  <c r="C653" i="17"/>
  <c r="DA653" i="17"/>
  <c r="C652" i="17"/>
  <c r="DA652" i="17"/>
  <c r="CT651" i="17"/>
  <c r="C651" i="17"/>
  <c r="D651" i="17"/>
  <c r="F650" i="17"/>
  <c r="C650" i="17"/>
  <c r="C649" i="17"/>
  <c r="CY648" i="17"/>
  <c r="DA648" i="17"/>
  <c r="C648" i="17"/>
  <c r="T648" i="17"/>
  <c r="C647" i="17"/>
  <c r="CX647" i="17"/>
  <c r="C646" i="17"/>
  <c r="C645" i="17"/>
  <c r="S645" i="17"/>
  <c r="T644" i="17"/>
  <c r="D644" i="17"/>
  <c r="C644" i="17"/>
  <c r="CY644" i="17"/>
  <c r="DA644" i="17"/>
  <c r="C643" i="17"/>
  <c r="F642" i="17"/>
  <c r="C642" i="17"/>
  <c r="CZ641" i="17"/>
  <c r="CY641" i="17"/>
  <c r="C641" i="17"/>
  <c r="CO641" i="17"/>
  <c r="CY640" i="17"/>
  <c r="CZ640" i="17"/>
  <c r="S640" i="17"/>
  <c r="D640" i="17"/>
  <c r="C640" i="17"/>
  <c r="S639" i="17"/>
  <c r="C639" i="17"/>
  <c r="CX639" i="17"/>
  <c r="CZ639" i="17"/>
  <c r="C638" i="17"/>
  <c r="EG637" i="17"/>
  <c r="EG821" i="17"/>
  <c r="EF637" i="17"/>
  <c r="EF821" i="17"/>
  <c r="CZ637" i="17"/>
  <c r="CY637" i="17"/>
  <c r="CS637" i="17"/>
  <c r="CR637" i="17"/>
  <c r="C637" i="17"/>
  <c r="S637" i="17"/>
  <c r="C636" i="17"/>
  <c r="C635" i="17"/>
  <c r="CX635" i="17"/>
  <c r="CY635" i="17"/>
  <c r="S634" i="17"/>
  <c r="C634" i="17"/>
  <c r="R633" i="17"/>
  <c r="C633" i="17"/>
  <c r="CX632" i="17"/>
  <c r="CY632" i="17"/>
  <c r="C632" i="17"/>
  <c r="D632" i="17"/>
  <c r="C631" i="17"/>
  <c r="CX631" i="17"/>
  <c r="CY631" i="17"/>
  <c r="C630" i="17"/>
  <c r="CX630" i="17"/>
  <c r="CY630" i="17"/>
  <c r="CX629" i="17"/>
  <c r="CY629" i="17"/>
  <c r="S629" i="17"/>
  <c r="C629" i="17"/>
  <c r="D629" i="17"/>
  <c r="CW628" i="17"/>
  <c r="C628" i="17"/>
  <c r="CV628" i="17"/>
  <c r="C627" i="17"/>
  <c r="S627" i="17"/>
  <c r="S626" i="17"/>
  <c r="C626" i="17"/>
  <c r="CW626" i="17"/>
  <c r="F625" i="17"/>
  <c r="C625" i="17"/>
  <c r="CW625" i="17"/>
  <c r="CY625" i="17"/>
  <c r="CY624" i="17"/>
  <c r="CX624" i="17"/>
  <c r="CT624" i="17"/>
  <c r="CS624" i="17"/>
  <c r="C624" i="17"/>
  <c r="D624" i="17"/>
  <c r="C623" i="17"/>
  <c r="C622" i="17"/>
  <c r="CY622" i="17"/>
  <c r="C621" i="17"/>
  <c r="CX620" i="17"/>
  <c r="CS620" i="17"/>
  <c r="S620" i="17"/>
  <c r="R620" i="17"/>
  <c r="C620" i="17"/>
  <c r="C619" i="17"/>
  <c r="CW618" i="17"/>
  <c r="CX618" i="17"/>
  <c r="S618" i="17"/>
  <c r="C618" i="17"/>
  <c r="D618" i="17"/>
  <c r="C617" i="17"/>
  <c r="C616" i="17"/>
  <c r="C615" i="17"/>
  <c r="CY615" i="17"/>
  <c r="CY614" i="17"/>
  <c r="CS614" i="17"/>
  <c r="R614" i="17"/>
  <c r="C614" i="17"/>
  <c r="CX614" i="17"/>
  <c r="CV613" i="17"/>
  <c r="C613" i="17"/>
  <c r="CW612" i="17"/>
  <c r="CX612" i="17"/>
  <c r="CV612" i="17"/>
  <c r="CY612" i="17"/>
  <c r="S612" i="17"/>
  <c r="D612" i="17"/>
  <c r="C612" i="17"/>
  <c r="CV611" i="17"/>
  <c r="CX611" i="17"/>
  <c r="S611" i="17"/>
  <c r="D611" i="17"/>
  <c r="C611" i="17"/>
  <c r="CW611" i="17"/>
  <c r="CY611" i="17"/>
  <c r="C610" i="17"/>
  <c r="CU610" i="17"/>
  <c r="CW609" i="17"/>
  <c r="CS609" i="17"/>
  <c r="D609" i="17"/>
  <c r="C609" i="17"/>
  <c r="CT609" i="17"/>
  <c r="C608" i="17"/>
  <c r="S607" i="17"/>
  <c r="C607" i="17"/>
  <c r="CV606" i="17"/>
  <c r="CY606" i="17"/>
  <c r="C606" i="17"/>
  <c r="CX605" i="17"/>
  <c r="C605" i="17"/>
  <c r="D605" i="17"/>
  <c r="C604" i="17"/>
  <c r="CW603" i="17"/>
  <c r="Q603" i="17"/>
  <c r="C603" i="17"/>
  <c r="CW602" i="17"/>
  <c r="C602" i="17"/>
  <c r="Q602" i="17"/>
  <c r="C601" i="17"/>
  <c r="F600" i="17"/>
  <c r="S600" i="17"/>
  <c r="D600" i="17"/>
  <c r="C600" i="17"/>
  <c r="CV599" i="17"/>
  <c r="CW599" i="17"/>
  <c r="C599" i="17"/>
  <c r="S599" i="17"/>
  <c r="S598" i="17"/>
  <c r="Q598" i="17"/>
  <c r="P598" i="17"/>
  <c r="D598" i="17"/>
  <c r="C598" i="17"/>
  <c r="R598" i="17"/>
  <c r="C597" i="17"/>
  <c r="C596" i="17"/>
  <c r="CU595" i="17"/>
  <c r="CW595" i="17"/>
  <c r="C595" i="17"/>
  <c r="C594" i="17"/>
  <c r="CW593" i="17"/>
  <c r="CO593" i="17"/>
  <c r="C593" i="17"/>
  <c r="Q593" i="17"/>
  <c r="CV592" i="17"/>
  <c r="CW592" i="17"/>
  <c r="C592" i="17"/>
  <c r="C591" i="17"/>
  <c r="C590" i="17"/>
  <c r="S590" i="17"/>
  <c r="C589" i="17"/>
  <c r="C588" i="17"/>
  <c r="CS588" i="17"/>
  <c r="S587" i="17"/>
  <c r="R587" i="17"/>
  <c r="D587" i="17"/>
  <c r="C587" i="17"/>
  <c r="CU587" i="17"/>
  <c r="CV587" i="17"/>
  <c r="S586" i="17"/>
  <c r="C586" i="17"/>
  <c r="CU585" i="17"/>
  <c r="F585" i="17"/>
  <c r="C585" i="17"/>
  <c r="D585" i="17"/>
  <c r="F584" i="17"/>
  <c r="C584" i="17"/>
  <c r="D584" i="17"/>
  <c r="C583" i="17"/>
  <c r="S583" i="17"/>
  <c r="CU582" i="17"/>
  <c r="D582" i="17"/>
  <c r="C582" i="17"/>
  <c r="S582" i="17"/>
  <c r="R581" i="17"/>
  <c r="F581" i="17"/>
  <c r="D581" i="17"/>
  <c r="C581" i="17"/>
  <c r="F580" i="17"/>
  <c r="C580" i="17"/>
  <c r="D580" i="17"/>
  <c r="C579" i="17"/>
  <c r="CV578" i="17"/>
  <c r="CU578" i="17"/>
  <c r="CQ578" i="17"/>
  <c r="CP578" i="17"/>
  <c r="R578" i="17"/>
  <c r="C578" i="17"/>
  <c r="Q578" i="17"/>
  <c r="CP577" i="17"/>
  <c r="CU577" i="17"/>
  <c r="C577" i="17"/>
  <c r="Q577" i="17"/>
  <c r="C576" i="17"/>
  <c r="C575" i="17"/>
  <c r="R575" i="17"/>
  <c r="C574" i="17"/>
  <c r="CR574" i="17"/>
  <c r="R573" i="17"/>
  <c r="C573" i="17"/>
  <c r="CT573" i="17"/>
  <c r="CT572" i="17"/>
  <c r="D572" i="17"/>
  <c r="C572" i="17"/>
  <c r="R572" i="17"/>
  <c r="C571" i="17"/>
  <c r="D571" i="17"/>
  <c r="F570" i="17"/>
  <c r="D570" i="17"/>
  <c r="C570" i="17"/>
  <c r="CR569" i="17"/>
  <c r="CT569" i="17"/>
  <c r="CQ569" i="17"/>
  <c r="CU569" i="17"/>
  <c r="R569" i="17"/>
  <c r="D569" i="17"/>
  <c r="C569" i="17"/>
  <c r="C568" i="17"/>
  <c r="D568" i="17"/>
  <c r="R567" i="17"/>
  <c r="D567" i="17"/>
  <c r="C567" i="17"/>
  <c r="CS567" i="17"/>
  <c r="D566" i="17"/>
  <c r="C566" i="17"/>
  <c r="R566" i="17"/>
  <c r="C565" i="17"/>
  <c r="F564" i="17"/>
  <c r="C564" i="17"/>
  <c r="C563" i="17"/>
  <c r="CS563" i="17"/>
  <c r="CV563" i="17"/>
  <c r="D562" i="17"/>
  <c r="C562" i="17"/>
  <c r="CQ561" i="17"/>
  <c r="CT561" i="17"/>
  <c r="R561" i="17"/>
  <c r="C561" i="17"/>
  <c r="CR561" i="17"/>
  <c r="CS561" i="17"/>
  <c r="C560" i="17"/>
  <c r="C559" i="17"/>
  <c r="CL559" i="17"/>
  <c r="C558" i="17"/>
  <c r="CS557" i="17"/>
  <c r="CT557" i="17"/>
  <c r="CR557" i="17"/>
  <c r="CU557" i="17"/>
  <c r="R557" i="17"/>
  <c r="D557" i="17"/>
  <c r="C557" i="17"/>
  <c r="C556" i="17"/>
  <c r="Q555" i="17"/>
  <c r="P555" i="17"/>
  <c r="D555" i="17"/>
  <c r="C555" i="17"/>
  <c r="C554" i="17"/>
  <c r="CS553" i="17"/>
  <c r="CR553" i="17"/>
  <c r="CP553" i="17"/>
  <c r="CO553" i="17"/>
  <c r="R553" i="17"/>
  <c r="Q553" i="17"/>
  <c r="F552" i="17"/>
  <c r="C552" i="17"/>
  <c r="C551" i="17"/>
  <c r="D551" i="17"/>
  <c r="F550" i="17"/>
  <c r="C550" i="17"/>
  <c r="R549" i="17"/>
  <c r="C549" i="17"/>
  <c r="CQ549" i="17"/>
  <c r="CR549" i="17"/>
  <c r="X549" i="17"/>
  <c r="C548" i="17"/>
  <c r="F547" i="17"/>
  <c r="C547" i="17"/>
  <c r="CQ547" i="17"/>
  <c r="CR547" i="17"/>
  <c r="X547" i="17"/>
  <c r="CR546" i="17"/>
  <c r="CQ546" i="17"/>
  <c r="R546" i="17"/>
  <c r="C546" i="17"/>
  <c r="Q546" i="17"/>
  <c r="C545" i="17"/>
  <c r="CR545" i="17"/>
  <c r="F544" i="17"/>
  <c r="C544" i="17"/>
  <c r="CP543" i="17"/>
  <c r="CR543" i="17"/>
  <c r="D543" i="17"/>
  <c r="C543" i="17"/>
  <c r="F542" i="17"/>
  <c r="C542" i="17"/>
  <c r="Q541" i="17"/>
  <c r="C541" i="17"/>
  <c r="F540" i="17"/>
  <c r="C540" i="17"/>
  <c r="CQ540" i="17"/>
  <c r="F539" i="17"/>
  <c r="C539" i="17"/>
  <c r="C538" i="17"/>
  <c r="CK538" i="17"/>
  <c r="F537" i="17"/>
  <c r="R537" i="17"/>
  <c r="C537" i="17"/>
  <c r="CQ537" i="17"/>
  <c r="CR537" i="17"/>
  <c r="X537" i="17"/>
  <c r="C536" i="17"/>
  <c r="R536" i="17"/>
  <c r="C535" i="17"/>
  <c r="CO535" i="17"/>
  <c r="CP534" i="17"/>
  <c r="CQ534" i="17"/>
  <c r="X534" i="17"/>
  <c r="Q534" i="17"/>
  <c r="C534" i="17"/>
  <c r="D534" i="17"/>
  <c r="CM533" i="17"/>
  <c r="CP533" i="17"/>
  <c r="Q533" i="17"/>
  <c r="C533" i="17"/>
  <c r="D533" i="17"/>
  <c r="CP532" i="17"/>
  <c r="CQ532" i="17"/>
  <c r="X532" i="17"/>
  <c r="D532" i="17"/>
  <c r="C532" i="17"/>
  <c r="Q532" i="17"/>
  <c r="Q531" i="17"/>
  <c r="C531" i="17"/>
  <c r="P531" i="17"/>
  <c r="C530" i="17"/>
  <c r="Q529" i="17"/>
  <c r="C529" i="17"/>
  <c r="C528" i="17"/>
  <c r="C527" i="17"/>
  <c r="Q527" i="17"/>
  <c r="CK526" i="17"/>
  <c r="CP526" i="17"/>
  <c r="CJ526" i="17"/>
  <c r="Q526" i="17"/>
  <c r="C526" i="17"/>
  <c r="D526" i="17"/>
  <c r="C525" i="17"/>
  <c r="Q525" i="17"/>
  <c r="CN524" i="17"/>
  <c r="CQ524" i="17"/>
  <c r="CM524" i="17"/>
  <c r="Q524" i="17"/>
  <c r="D524" i="17"/>
  <c r="P523" i="17"/>
  <c r="F523" i="17"/>
  <c r="Q523" i="17"/>
  <c r="D523" i="17"/>
  <c r="C523" i="17"/>
  <c r="CL523" i="17"/>
  <c r="CP523" i="17"/>
  <c r="C522" i="17"/>
  <c r="C521" i="17"/>
  <c r="CO520" i="17"/>
  <c r="D520" i="17"/>
  <c r="C520" i="17"/>
  <c r="Q520" i="17"/>
  <c r="C519" i="17"/>
  <c r="CO519" i="17"/>
  <c r="CP519" i="17"/>
  <c r="X519" i="17"/>
  <c r="C518" i="17"/>
  <c r="CM518" i="17"/>
  <c r="CP518" i="17"/>
  <c r="Q517" i="17"/>
  <c r="C517" i="17"/>
  <c r="C516" i="17"/>
  <c r="CO515" i="17"/>
  <c r="Q515" i="17"/>
  <c r="C515" i="17"/>
  <c r="CM514" i="17"/>
  <c r="F514" i="17"/>
  <c r="Q514" i="17"/>
  <c r="C514" i="17"/>
  <c r="CN513" i="17"/>
  <c r="C513" i="17"/>
  <c r="CO512" i="17"/>
  <c r="Q512" i="17"/>
  <c r="C512" i="17"/>
  <c r="Q511" i="17"/>
  <c r="C511" i="17"/>
  <c r="Q510" i="17"/>
  <c r="P510" i="17"/>
  <c r="C510" i="17"/>
  <c r="CP510" i="17"/>
  <c r="C509" i="17"/>
  <c r="CM508" i="17"/>
  <c r="Q508" i="17"/>
  <c r="C508" i="17"/>
  <c r="CO508" i="17"/>
  <c r="CN507" i="17"/>
  <c r="CO507" i="17"/>
  <c r="Q507" i="17"/>
  <c r="D507" i="17"/>
  <c r="C507" i="17"/>
  <c r="C506" i="17"/>
  <c r="Q506" i="17"/>
  <c r="C505" i="17"/>
  <c r="C504" i="17"/>
  <c r="CN504" i="17"/>
  <c r="F503" i="17"/>
  <c r="C503" i="17"/>
  <c r="D503" i="17"/>
  <c r="CO502" i="17"/>
  <c r="CN502" i="17"/>
  <c r="CL502" i="17"/>
  <c r="Q502" i="17"/>
  <c r="P502" i="17"/>
  <c r="D502" i="17"/>
  <c r="C502" i="17"/>
  <c r="CM502" i="17"/>
  <c r="CK501" i="17"/>
  <c r="Q501" i="17"/>
  <c r="C501" i="17"/>
  <c r="CO501" i="17"/>
  <c r="CK500" i="17"/>
  <c r="Q500" i="17"/>
  <c r="C500" i="17"/>
  <c r="Q499" i="17"/>
  <c r="C499" i="17"/>
  <c r="C498" i="17"/>
  <c r="CM498" i="17"/>
  <c r="CM823" i="17"/>
  <c r="C497" i="17"/>
  <c r="Q497" i="17"/>
  <c r="CM496" i="17"/>
  <c r="CL496" i="17"/>
  <c r="CN496" i="17"/>
  <c r="F496" i="17"/>
  <c r="Q496" i="17"/>
  <c r="D496" i="17"/>
  <c r="C496" i="17"/>
  <c r="P496" i="17"/>
  <c r="CJ495" i="17"/>
  <c r="Q495" i="17"/>
  <c r="C495" i="17"/>
  <c r="Q494" i="17"/>
  <c r="C494" i="17"/>
  <c r="C493" i="17"/>
  <c r="CM493" i="17"/>
  <c r="CN493" i="17"/>
  <c r="X493" i="17"/>
  <c r="Q492" i="17"/>
  <c r="C492" i="17"/>
  <c r="CM492" i="17"/>
  <c r="CN492" i="17"/>
  <c r="Q491" i="17"/>
  <c r="C491" i="17"/>
  <c r="Q490" i="17"/>
  <c r="C490" i="17"/>
  <c r="Q489" i="17"/>
  <c r="C489" i="17"/>
  <c r="D489" i="17"/>
  <c r="Q488" i="17"/>
  <c r="C488" i="17"/>
  <c r="Q487" i="17"/>
  <c r="C487" i="17"/>
  <c r="CM487" i="17"/>
  <c r="X486" i="17"/>
  <c r="Q486" i="17"/>
  <c r="C486" i="17"/>
  <c r="D486" i="17"/>
  <c r="Q485" i="17"/>
  <c r="C485" i="17"/>
  <c r="P485" i="17"/>
  <c r="CL484" i="17"/>
  <c r="CM484" i="17"/>
  <c r="P484" i="17"/>
  <c r="D484" i="17"/>
  <c r="C484" i="17"/>
  <c r="CH483" i="17"/>
  <c r="P483" i="17"/>
  <c r="C483" i="17"/>
  <c r="CM483" i="17"/>
  <c r="F482" i="17"/>
  <c r="C482" i="17"/>
  <c r="CK482" i="17"/>
  <c r="F481" i="17"/>
  <c r="C481" i="17"/>
  <c r="F480" i="17"/>
  <c r="C480" i="17"/>
  <c r="C479" i="17"/>
  <c r="P478" i="17"/>
  <c r="C478" i="17"/>
  <c r="CK478" i="17"/>
  <c r="CM478" i="17"/>
  <c r="C477" i="17"/>
  <c r="C476" i="17"/>
  <c r="CL476" i="17"/>
  <c r="CL475" i="17"/>
  <c r="C475" i="17"/>
  <c r="CK474" i="17"/>
  <c r="CL474" i="17"/>
  <c r="X474" i="17"/>
  <c r="F474" i="17"/>
  <c r="P474" i="17"/>
  <c r="C474" i="17"/>
  <c r="D474" i="17"/>
  <c r="F473" i="17"/>
  <c r="C473" i="17"/>
  <c r="D473" i="17"/>
  <c r="F472" i="17"/>
  <c r="C472" i="17"/>
  <c r="CK472" i="17"/>
  <c r="P471" i="17"/>
  <c r="C471" i="17"/>
  <c r="C470" i="17"/>
  <c r="C469" i="17"/>
  <c r="CK469" i="17"/>
  <c r="CL468" i="17"/>
  <c r="CK468" i="17"/>
  <c r="CJ468" i="17"/>
  <c r="F468" i="17"/>
  <c r="P468" i="17"/>
  <c r="C468" i="17"/>
  <c r="D468" i="17"/>
  <c r="F467" i="17"/>
  <c r="C467" i="17"/>
  <c r="CL467" i="17"/>
  <c r="CK466" i="17"/>
  <c r="P466" i="17"/>
  <c r="D466" i="17"/>
  <c r="C466" i="17"/>
  <c r="CK465" i="17"/>
  <c r="CM465" i="17"/>
  <c r="CJ465" i="17"/>
  <c r="P465" i="17"/>
  <c r="D465" i="17"/>
  <c r="C465" i="17"/>
  <c r="C464" i="17"/>
  <c r="D464" i="17"/>
  <c r="F463" i="17"/>
  <c r="D463" i="17"/>
  <c r="C463" i="17"/>
  <c r="F462" i="17"/>
  <c r="C462" i="17"/>
  <c r="CK461" i="17"/>
  <c r="CM461" i="17"/>
  <c r="X461" i="17"/>
  <c r="D461" i="17"/>
  <c r="C461" i="17"/>
  <c r="P461" i="17"/>
  <c r="C460" i="17"/>
  <c r="D460" i="17"/>
  <c r="X459" i="17"/>
  <c r="P459" i="17"/>
  <c r="C459" i="17"/>
  <c r="D459" i="17"/>
  <c r="P458" i="17"/>
  <c r="C458" i="17"/>
  <c r="CK458" i="17"/>
  <c r="CL458" i="17"/>
  <c r="C457" i="17"/>
  <c r="D457" i="17"/>
  <c r="CK456" i="17"/>
  <c r="F456" i="17"/>
  <c r="P456" i="17"/>
  <c r="C456" i="17"/>
  <c r="D456" i="17"/>
  <c r="F455" i="17"/>
  <c r="C455" i="17"/>
  <c r="CK454" i="17"/>
  <c r="C454" i="17"/>
  <c r="D454" i="17"/>
  <c r="C453" i="17"/>
  <c r="CK453" i="17"/>
  <c r="C452" i="17"/>
  <c r="CK452" i="17"/>
  <c r="C451" i="17"/>
  <c r="D451" i="17"/>
  <c r="CJ450" i="17"/>
  <c r="P450" i="17"/>
  <c r="D450" i="17"/>
  <c r="C450" i="17"/>
  <c r="P449" i="17"/>
  <c r="D449" i="17"/>
  <c r="C449" i="17"/>
  <c r="CJ449" i="17"/>
  <c r="C448" i="17"/>
  <c r="C447" i="17"/>
  <c r="AG447" i="17"/>
  <c r="AG824" i="17"/>
  <c r="C446" i="17"/>
  <c r="D445" i="17"/>
  <c r="C445" i="17"/>
  <c r="P444" i="17"/>
  <c r="D444" i="17"/>
  <c r="C444" i="17"/>
  <c r="CJ444" i="17"/>
  <c r="C443" i="17"/>
  <c r="C442" i="17"/>
  <c r="F441" i="17"/>
  <c r="C441" i="17"/>
  <c r="D441" i="17"/>
  <c r="C440" i="17"/>
  <c r="D440" i="17"/>
  <c r="F439" i="17"/>
  <c r="D439" i="17"/>
  <c r="C439" i="17"/>
  <c r="CJ439" i="17"/>
  <c r="CK439" i="17"/>
  <c r="X439" i="17"/>
  <c r="C438" i="17"/>
  <c r="F437" i="17"/>
  <c r="C437" i="17"/>
  <c r="C436" i="17"/>
  <c r="F435" i="17"/>
  <c r="C435" i="17"/>
  <c r="C434" i="17"/>
  <c r="P433" i="17"/>
  <c r="C433" i="17"/>
  <c r="CH433" i="17"/>
  <c r="CK433" i="17"/>
  <c r="C432" i="17"/>
  <c r="D431" i="17"/>
  <c r="C431" i="17"/>
  <c r="CH431" i="17"/>
  <c r="C430" i="17"/>
  <c r="CH429" i="17"/>
  <c r="P429" i="17"/>
  <c r="C429" i="17"/>
  <c r="D429" i="17"/>
  <c r="CH428" i="17"/>
  <c r="P428" i="17"/>
  <c r="D428" i="17"/>
  <c r="C427" i="17"/>
  <c r="C426" i="17"/>
  <c r="C425" i="17"/>
  <c r="F424" i="17"/>
  <c r="C424" i="17"/>
  <c r="F423" i="17"/>
  <c r="C423" i="17"/>
  <c r="F422" i="17"/>
  <c r="C422" i="17"/>
  <c r="CF421" i="17"/>
  <c r="F421" i="17"/>
  <c r="D421" i="17"/>
  <c r="CF420" i="17"/>
  <c r="CG420" i="17"/>
  <c r="F420" i="17"/>
  <c r="D420" i="17"/>
  <c r="C419" i="17"/>
  <c r="CC419" i="17"/>
  <c r="CD419" i="17"/>
  <c r="CG419" i="17"/>
  <c r="F418" i="17"/>
  <c r="C418" i="17"/>
  <c r="C417" i="17"/>
  <c r="C416" i="17"/>
  <c r="C415" i="17"/>
  <c r="D415" i="17"/>
  <c r="F414" i="17"/>
  <c r="C414" i="17"/>
  <c r="D414" i="17"/>
  <c r="C413" i="17"/>
  <c r="CD412" i="17"/>
  <c r="F412" i="17"/>
  <c r="C412" i="17"/>
  <c r="D412" i="17"/>
  <c r="CE411" i="17"/>
  <c r="CG411" i="17"/>
  <c r="CD411" i="17"/>
  <c r="CF411" i="17"/>
  <c r="C411" i="17"/>
  <c r="D411" i="17"/>
  <c r="C410" i="17"/>
  <c r="C409" i="17"/>
  <c r="BY409" i="17"/>
  <c r="CE409" i="17"/>
  <c r="C408" i="17"/>
  <c r="CE408" i="17"/>
  <c r="CF408" i="17"/>
  <c r="F407" i="17"/>
  <c r="C407" i="17"/>
  <c r="CD407" i="17"/>
  <c r="C406" i="17"/>
  <c r="D406" i="17"/>
  <c r="CB405" i="17"/>
  <c r="CD405" i="17"/>
  <c r="C405" i="17"/>
  <c r="C404" i="17"/>
  <c r="C403" i="17"/>
  <c r="BV402" i="17"/>
  <c r="D402" i="17"/>
  <c r="C402" i="17"/>
  <c r="BU402" i="17"/>
  <c r="C401" i="17"/>
  <c r="C400" i="17"/>
  <c r="CD400" i="17"/>
  <c r="CE400" i="17"/>
  <c r="C399" i="17"/>
  <c r="CC398" i="17"/>
  <c r="BZ398" i="17"/>
  <c r="C398" i="17"/>
  <c r="BY398" i="17"/>
  <c r="C397" i="17"/>
  <c r="C396" i="17"/>
  <c r="D396" i="17"/>
  <c r="C395" i="17"/>
  <c r="C394" i="17"/>
  <c r="BX394" i="17"/>
  <c r="C393" i="17"/>
  <c r="C392" i="17"/>
  <c r="C391" i="17"/>
  <c r="C390" i="17"/>
  <c r="BZ390" i="17"/>
  <c r="CB389" i="17"/>
  <c r="X389" i="17"/>
  <c r="C389" i="17"/>
  <c r="D389" i="17"/>
  <c r="C388" i="17"/>
  <c r="CC387" i="17"/>
  <c r="CB387" i="17"/>
  <c r="CA387" i="17"/>
  <c r="F387" i="17"/>
  <c r="C387" i="17"/>
  <c r="D387" i="17"/>
  <c r="CA386" i="17"/>
  <c r="CC386" i="17"/>
  <c r="D386" i="17"/>
  <c r="C386" i="17"/>
  <c r="CA385" i="17"/>
  <c r="CB385" i="17"/>
  <c r="X385" i="17"/>
  <c r="C385" i="17"/>
  <c r="D385" i="17"/>
  <c r="C384" i="17"/>
  <c r="CA384" i="17"/>
  <c r="BR383" i="17"/>
  <c r="F383" i="17"/>
  <c r="D383" i="17"/>
  <c r="C383" i="17"/>
  <c r="CB383" i="17"/>
  <c r="C382" i="17"/>
  <c r="C381" i="17"/>
  <c r="CA381" i="17"/>
  <c r="C380" i="17"/>
  <c r="BZ380" i="17"/>
  <c r="CB380" i="17"/>
  <c r="BX379" i="17"/>
  <c r="CB379" i="17"/>
  <c r="C379" i="17"/>
  <c r="X378" i="17"/>
  <c r="F378" i="17"/>
  <c r="D378" i="17"/>
  <c r="C378" i="17"/>
  <c r="C377" i="17"/>
  <c r="C376" i="17"/>
  <c r="BU376" i="17"/>
  <c r="CB376" i="17"/>
  <c r="C375" i="17"/>
  <c r="D375" i="17"/>
  <c r="D374" i="17"/>
  <c r="C374" i="17"/>
  <c r="BZ374" i="17"/>
  <c r="CA374" i="17"/>
  <c r="BY373" i="17"/>
  <c r="CB373" i="17"/>
  <c r="F373" i="17"/>
  <c r="D373" i="17"/>
  <c r="C373" i="17"/>
  <c r="C372" i="17"/>
  <c r="CA372" i="17"/>
  <c r="CB372" i="17"/>
  <c r="X372" i="17"/>
  <c r="D371" i="17"/>
  <c r="C371" i="17"/>
  <c r="F370" i="17"/>
  <c r="C370" i="17"/>
  <c r="BR369" i="17"/>
  <c r="CA369" i="17"/>
  <c r="BQ369" i="17"/>
  <c r="C369" i="17"/>
  <c r="D369" i="17"/>
  <c r="F368" i="17"/>
  <c r="C368" i="17"/>
  <c r="C367" i="17"/>
  <c r="C366" i="17"/>
  <c r="CA365" i="17"/>
  <c r="BV365" i="17"/>
  <c r="F365" i="17"/>
  <c r="D365" i="17"/>
  <c r="C365" i="17"/>
  <c r="CB365" i="17"/>
  <c r="C364" i="17"/>
  <c r="CA364" i="17"/>
  <c r="CB364" i="17"/>
  <c r="C363" i="17"/>
  <c r="D363" i="17"/>
  <c r="D362" i="17"/>
  <c r="C362" i="17"/>
  <c r="BT362" i="17"/>
  <c r="CA362" i="17"/>
  <c r="C361" i="17"/>
  <c r="BY361" i="17"/>
  <c r="BQ360" i="17"/>
  <c r="C360" i="17"/>
  <c r="BR360" i="17"/>
  <c r="CA360" i="17"/>
  <c r="C359" i="17"/>
  <c r="BX359" i="17"/>
  <c r="BZ358" i="17"/>
  <c r="BY358" i="17"/>
  <c r="D358" i="17"/>
  <c r="C357" i="17"/>
  <c r="BX357" i="17"/>
  <c r="BZ357" i="17"/>
  <c r="BZ820" i="17"/>
  <c r="BX356" i="17"/>
  <c r="BZ356" i="17"/>
  <c r="X356" i="17"/>
  <c r="C356" i="17"/>
  <c r="D356" i="17"/>
  <c r="C355" i="17"/>
  <c r="I354" i="17"/>
  <c r="C354" i="17"/>
  <c r="BU354" i="17"/>
  <c r="D353" i="17"/>
  <c r="C353" i="17"/>
  <c r="BX352" i="17"/>
  <c r="BZ352" i="17"/>
  <c r="C352" i="17"/>
  <c r="D352" i="17"/>
  <c r="X351" i="17"/>
  <c r="D351" i="17"/>
  <c r="C351" i="17"/>
  <c r="F350" i="17"/>
  <c r="C350" i="17"/>
  <c r="BY350" i="17"/>
  <c r="F349" i="17"/>
  <c r="C349" i="17"/>
  <c r="BV349" i="17"/>
  <c r="F348" i="17"/>
  <c r="C348" i="17"/>
  <c r="BW347" i="17"/>
  <c r="F347" i="17"/>
  <c r="D347" i="17"/>
  <c r="C347" i="17"/>
  <c r="BV347" i="17"/>
  <c r="C346" i="17"/>
  <c r="BY345" i="17"/>
  <c r="BT345" i="17"/>
  <c r="D345" i="17"/>
  <c r="C345" i="17"/>
  <c r="BU345" i="17"/>
  <c r="C344" i="17"/>
  <c r="C343" i="17"/>
  <c r="D343" i="17"/>
  <c r="C342" i="17"/>
  <c r="D342" i="17"/>
  <c r="C341" i="17"/>
  <c r="C340" i="17"/>
  <c r="BT339" i="17"/>
  <c r="D339" i="17"/>
  <c r="C338" i="17"/>
  <c r="CA337" i="17"/>
  <c r="F337" i="17"/>
  <c r="D337" i="17"/>
  <c r="C337" i="17"/>
  <c r="X336" i="17"/>
  <c r="F336" i="17"/>
  <c r="C336" i="17"/>
  <c r="D336" i="17"/>
  <c r="X335" i="17"/>
  <c r="D335" i="17"/>
  <c r="D334" i="17"/>
  <c r="C334" i="17"/>
  <c r="BQ334" i="17"/>
  <c r="C333" i="17"/>
  <c r="BX333" i="17"/>
  <c r="C332" i="17"/>
  <c r="C331" i="17"/>
  <c r="F330" i="17"/>
  <c r="D330" i="17"/>
  <c r="C330" i="17"/>
  <c r="BW330" i="17"/>
  <c r="BX330" i="17"/>
  <c r="BW329" i="17"/>
  <c r="C329" i="17"/>
  <c r="D329" i="17"/>
  <c r="C328" i="17"/>
  <c r="C327" i="17"/>
  <c r="D327" i="17"/>
  <c r="BT326" i="17"/>
  <c r="BX326" i="17"/>
  <c r="F326" i="17"/>
  <c r="D326" i="17"/>
  <c r="C326" i="17"/>
  <c r="BU326" i="17"/>
  <c r="BW326" i="17"/>
  <c r="BR325" i="17"/>
  <c r="BV325" i="17"/>
  <c r="BW325" i="17"/>
  <c r="BW823" i="17"/>
  <c r="D325" i="17"/>
  <c r="C325" i="17"/>
  <c r="C324" i="17"/>
  <c r="C323" i="17"/>
  <c r="BV323" i="17"/>
  <c r="BW323" i="17"/>
  <c r="BV322" i="17"/>
  <c r="BW322" i="17"/>
  <c r="C322" i="17"/>
  <c r="D322" i="17"/>
  <c r="F321" i="17"/>
  <c r="C321" i="17"/>
  <c r="BV320" i="17"/>
  <c r="BW320" i="17"/>
  <c r="D320" i="17"/>
  <c r="C319" i="17"/>
  <c r="C318" i="17"/>
  <c r="C317" i="17"/>
  <c r="C316" i="17"/>
  <c r="BU316" i="17"/>
  <c r="BV316" i="17"/>
  <c r="BU315" i="17"/>
  <c r="BU820" i="17"/>
  <c r="D315" i="17"/>
  <c r="C314" i="17"/>
  <c r="D314" i="17"/>
  <c r="C313" i="17"/>
  <c r="D313" i="17"/>
  <c r="C312" i="17"/>
  <c r="D312" i="17"/>
  <c r="C311" i="17"/>
  <c r="BU311" i="17"/>
  <c r="BV311" i="17"/>
  <c r="X311" i="17"/>
  <c r="C310" i="17"/>
  <c r="BU309" i="17"/>
  <c r="D309" i="17"/>
  <c r="C309" i="17"/>
  <c r="C308" i="17"/>
  <c r="BT307" i="17"/>
  <c r="D307" i="17"/>
  <c r="C307" i="17"/>
  <c r="C306" i="17"/>
  <c r="C305" i="17"/>
  <c r="D305" i="17"/>
  <c r="X304" i="17"/>
  <c r="F304" i="17"/>
  <c r="D304" i="17"/>
  <c r="C303" i="17"/>
  <c r="BU302" i="17"/>
  <c r="BS302" i="17"/>
  <c r="C302" i="17"/>
  <c r="BV302" i="17"/>
  <c r="C301" i="17"/>
  <c r="D301" i="17"/>
  <c r="BT300" i="17"/>
  <c r="D300" i="17"/>
  <c r="C300" i="17"/>
  <c r="BT299" i="17"/>
  <c r="BU299" i="17"/>
  <c r="C299" i="17"/>
  <c r="D299" i="17"/>
  <c r="D298" i="17"/>
  <c r="C298" i="17"/>
  <c r="C297" i="17"/>
  <c r="C296" i="17"/>
  <c r="C295" i="17"/>
  <c r="D295" i="17"/>
  <c r="C294" i="17"/>
  <c r="BT294" i="17"/>
  <c r="BS293" i="17"/>
  <c r="BR293" i="17"/>
  <c r="C293" i="17"/>
  <c r="BU293" i="17"/>
  <c r="C292" i="17"/>
  <c r="D292" i="17"/>
  <c r="BT291" i="17"/>
  <c r="BU291" i="17"/>
  <c r="D291" i="17"/>
  <c r="C291" i="17"/>
  <c r="BU290" i="17"/>
  <c r="C290" i="17"/>
  <c r="BT289" i="17"/>
  <c r="C289" i="17"/>
  <c r="D289" i="17"/>
  <c r="BS288" i="17"/>
  <c r="BU288" i="17"/>
  <c r="C288" i="17"/>
  <c r="D288" i="17"/>
  <c r="C287" i="17"/>
  <c r="C286" i="17"/>
  <c r="BS286" i="17"/>
  <c r="BU286" i="17"/>
  <c r="C285" i="17"/>
  <c r="BS285" i="17"/>
  <c r="C284" i="17"/>
  <c r="X283" i="17"/>
  <c r="D283" i="17"/>
  <c r="BS282" i="17"/>
  <c r="BT282" i="17"/>
  <c r="BT820" i="17"/>
  <c r="F282" i="17"/>
  <c r="D282" i="17"/>
  <c r="C282" i="17"/>
  <c r="C281" i="17"/>
  <c r="BS281" i="17"/>
  <c r="BT281" i="17"/>
  <c r="C280" i="17"/>
  <c r="BR280" i="17"/>
  <c r="C279" i="17"/>
  <c r="BR279" i="17"/>
  <c r="BR278" i="17"/>
  <c r="BS278" i="17"/>
  <c r="C278" i="17"/>
  <c r="D278" i="17"/>
  <c r="BR277" i="17"/>
  <c r="BS277" i="17"/>
  <c r="C277" i="17"/>
  <c r="D277" i="17"/>
  <c r="C276" i="17"/>
  <c r="BQ275" i="17"/>
  <c r="BS275" i="17"/>
  <c r="F275" i="17"/>
  <c r="D275" i="17"/>
  <c r="C275" i="17"/>
  <c r="BR274" i="17"/>
  <c r="F274" i="17"/>
  <c r="D274" i="17"/>
  <c r="C273" i="17"/>
  <c r="D273" i="17"/>
  <c r="BR272" i="17"/>
  <c r="BS272" i="17"/>
  <c r="C272" i="17"/>
  <c r="D272" i="17"/>
  <c r="F271" i="17"/>
  <c r="D271" i="17"/>
  <c r="C271" i="17"/>
  <c r="BR271" i="17"/>
  <c r="BS270" i="17"/>
  <c r="X270" i="17"/>
  <c r="C270" i="17"/>
  <c r="D270" i="17"/>
  <c r="BR269" i="17"/>
  <c r="BS269" i="17"/>
  <c r="C269" i="17"/>
  <c r="D269" i="17"/>
  <c r="C268" i="17"/>
  <c r="C267" i="17"/>
  <c r="BM267" i="17"/>
  <c r="BN267" i="17"/>
  <c r="BQ266" i="17"/>
  <c r="D266" i="17"/>
  <c r="C266" i="17"/>
  <c r="C265" i="17"/>
  <c r="X264" i="17"/>
  <c r="C264" i="17"/>
  <c r="D264" i="17"/>
  <c r="D263" i="17"/>
  <c r="C263" i="17"/>
  <c r="BR263" i="17"/>
  <c r="X262" i="17"/>
  <c r="F262" i="17"/>
  <c r="C262" i="17"/>
  <c r="D262" i="17"/>
  <c r="X261" i="17"/>
  <c r="D261" i="17"/>
  <c r="C261" i="17"/>
  <c r="X260" i="17"/>
  <c r="C260" i="17"/>
  <c r="D260" i="17"/>
  <c r="X259" i="17"/>
  <c r="D259" i="17"/>
  <c r="C258" i="17"/>
  <c r="BP257" i="17"/>
  <c r="BQ257" i="17"/>
  <c r="BN257" i="17"/>
  <c r="D257" i="17"/>
  <c r="C256" i="17"/>
  <c r="C255" i="17"/>
  <c r="D255" i="17"/>
  <c r="C254" i="17"/>
  <c r="X253" i="17"/>
  <c r="F253" i="17"/>
  <c r="D253" i="17"/>
  <c r="X252" i="17"/>
  <c r="D252" i="17"/>
  <c r="C251" i="17"/>
  <c r="BN251" i="17"/>
  <c r="BO251" i="17"/>
  <c r="C250" i="17"/>
  <c r="D250" i="17"/>
  <c r="BL249" i="17"/>
  <c r="C249" i="17"/>
  <c r="D249" i="17"/>
  <c r="BN248" i="17"/>
  <c r="BO248" i="17"/>
  <c r="D248" i="17"/>
  <c r="C248" i="17"/>
  <c r="C247" i="17"/>
  <c r="C246" i="17"/>
  <c r="D246" i="17"/>
  <c r="C245" i="17"/>
  <c r="BM245" i="17"/>
  <c r="BM244" i="17"/>
  <c r="C244" i="17"/>
  <c r="BN243" i="17"/>
  <c r="C243" i="17"/>
  <c r="D242" i="17"/>
  <c r="C242" i="17"/>
  <c r="BK242" i="17"/>
  <c r="BL242" i="17"/>
  <c r="BN242" i="17"/>
  <c r="C241" i="17"/>
  <c r="BM241" i="17"/>
  <c r="C240" i="17"/>
  <c r="BN239" i="17"/>
  <c r="F239" i="17"/>
  <c r="D239" i="17"/>
  <c r="C239" i="17"/>
  <c r="BM238" i="17"/>
  <c r="BN238" i="17"/>
  <c r="X238" i="17"/>
  <c r="C238" i="17"/>
  <c r="D238" i="17"/>
  <c r="C237" i="17"/>
  <c r="BM236" i="17"/>
  <c r="BK236" i="17"/>
  <c r="BL236" i="17"/>
  <c r="D236" i="17"/>
  <c r="C236" i="17"/>
  <c r="C235" i="17"/>
  <c r="D235" i="17"/>
  <c r="X234" i="17"/>
  <c r="D234" i="17"/>
  <c r="C233" i="17"/>
  <c r="C232" i="17"/>
  <c r="BK232" i="17"/>
  <c r="BM232" i="17"/>
  <c r="C231" i="17"/>
  <c r="X230" i="17"/>
  <c r="C230" i="17"/>
  <c r="D230" i="17"/>
  <c r="C229" i="17"/>
  <c r="D228" i="17"/>
  <c r="C228" i="17"/>
  <c r="BK228" i="17"/>
  <c r="D227" i="17"/>
  <c r="C227" i="17"/>
  <c r="C226" i="17"/>
  <c r="BJ226" i="17"/>
  <c r="BL226" i="17"/>
  <c r="BL823" i="17"/>
  <c r="F225" i="17"/>
  <c r="C225" i="17"/>
  <c r="D225" i="17"/>
  <c r="C224" i="17"/>
  <c r="BI224" i="17"/>
  <c r="C223" i="17"/>
  <c r="BJ222" i="17"/>
  <c r="D222" i="17"/>
  <c r="C222" i="17"/>
  <c r="D221" i="17"/>
  <c r="C221" i="17"/>
  <c r="BJ221" i="17"/>
  <c r="C220" i="17"/>
  <c r="BJ220" i="17"/>
  <c r="F219" i="17"/>
  <c r="C219" i="17"/>
  <c r="BM218" i="17"/>
  <c r="BK218" i="17"/>
  <c r="F218" i="17"/>
  <c r="C218" i="17"/>
  <c r="C217" i="17"/>
  <c r="BI216" i="17"/>
  <c r="D216" i="17"/>
  <c r="BI215" i="17"/>
  <c r="BJ215" i="17"/>
  <c r="X215" i="17"/>
  <c r="D215" i="17"/>
  <c r="C214" i="17"/>
  <c r="BI213" i="17"/>
  <c r="BJ213" i="17"/>
  <c r="X213" i="17"/>
  <c r="F213" i="17"/>
  <c r="D213" i="17"/>
  <c r="BI212" i="17"/>
  <c r="BJ212" i="17"/>
  <c r="C212" i="17"/>
  <c r="D212" i="17"/>
  <c r="C211" i="17"/>
  <c r="C210" i="17"/>
  <c r="BH210" i="17"/>
  <c r="BI209" i="17"/>
  <c r="BD209" i="17"/>
  <c r="BD821" i="17"/>
  <c r="C209" i="17"/>
  <c r="D209" i="17"/>
  <c r="C208" i="17"/>
  <c r="BH208" i="17"/>
  <c r="C207" i="17"/>
  <c r="X206" i="17"/>
  <c r="D206" i="17"/>
  <c r="C206" i="17"/>
  <c r="C205" i="17"/>
  <c r="N205" i="17"/>
  <c r="F204" i="17"/>
  <c r="C204" i="17"/>
  <c r="BD203" i="17"/>
  <c r="C203" i="17"/>
  <c r="D203" i="17"/>
  <c r="F202" i="17"/>
  <c r="C202" i="17"/>
  <c r="BG202" i="17"/>
  <c r="BI202" i="17"/>
  <c r="C201" i="17"/>
  <c r="BG201" i="17"/>
  <c r="BH201" i="17"/>
  <c r="C200" i="17"/>
  <c r="X199" i="17"/>
  <c r="C199" i="17"/>
  <c r="C198" i="17"/>
  <c r="C197" i="17"/>
  <c r="BG196" i="17"/>
  <c r="D196" i="17"/>
  <c r="C196" i="17"/>
  <c r="BE196" i="17"/>
  <c r="BH196" i="17"/>
  <c r="C195" i="17"/>
  <c r="BE195" i="17"/>
  <c r="BF195" i="17"/>
  <c r="X195" i="17"/>
  <c r="C194" i="17"/>
  <c r="X193" i="17"/>
  <c r="N193" i="17"/>
  <c r="D193" i="17"/>
  <c r="BF192" i="17"/>
  <c r="D192" i="17"/>
  <c r="C192" i="17"/>
  <c r="C191" i="17"/>
  <c r="BE191" i="17"/>
  <c r="BG191" i="17"/>
  <c r="C190" i="17"/>
  <c r="D190" i="17"/>
  <c r="C189" i="17"/>
  <c r="BE189" i="17"/>
  <c r="C188" i="17"/>
  <c r="BE188" i="17"/>
  <c r="F187" i="17"/>
  <c r="C187" i="17"/>
  <c r="D187" i="17"/>
  <c r="BD186" i="17"/>
  <c r="F186" i="17"/>
  <c r="C186" i="17"/>
  <c r="D186" i="17"/>
  <c r="D185" i="17"/>
  <c r="C185" i="17"/>
  <c r="BE185" i="17"/>
  <c r="BF185" i="17"/>
  <c r="F184" i="17"/>
  <c r="C184" i="17"/>
  <c r="F183" i="17"/>
  <c r="C183" i="17"/>
  <c r="BF182" i="17"/>
  <c r="C182" i="17"/>
  <c r="M182" i="17"/>
  <c r="C181" i="17"/>
  <c r="BD181" i="17"/>
  <c r="BD180" i="17"/>
  <c r="C180" i="17"/>
  <c r="D180" i="17"/>
  <c r="AW179" i="17"/>
  <c r="BE179" i="17"/>
  <c r="AV179" i="17"/>
  <c r="N179" i="17"/>
  <c r="M179" i="17"/>
  <c r="D179" i="17"/>
  <c r="D178" i="17"/>
  <c r="C178" i="17"/>
  <c r="M178" i="17"/>
  <c r="C177" i="17"/>
  <c r="C176" i="17"/>
  <c r="BB176" i="17"/>
  <c r="X176" i="17"/>
  <c r="AZ175" i="17"/>
  <c r="BA175" i="17"/>
  <c r="C175" i="17"/>
  <c r="N175" i="17"/>
  <c r="C174" i="17"/>
  <c r="BB173" i="17"/>
  <c r="BC173" i="17"/>
  <c r="X173" i="17"/>
  <c r="D173" i="17"/>
  <c r="C173" i="17"/>
  <c r="N173" i="17"/>
  <c r="BB172" i="17"/>
  <c r="C172" i="17"/>
  <c r="C171" i="17"/>
  <c r="N170" i="17"/>
  <c r="C170" i="17"/>
  <c r="C169" i="17"/>
  <c r="BB169" i="17"/>
  <c r="AZ168" i="17"/>
  <c r="BB168" i="17"/>
  <c r="N168" i="17"/>
  <c r="C168" i="17"/>
  <c r="D168" i="17"/>
  <c r="X167" i="17"/>
  <c r="C167" i="17"/>
  <c r="D167" i="17"/>
  <c r="C166" i="17"/>
  <c r="AQ165" i="17"/>
  <c r="BB165" i="17"/>
  <c r="BC165" i="17"/>
  <c r="N165" i="17"/>
  <c r="C165" i="17"/>
  <c r="L165" i="17"/>
  <c r="BA164" i="17"/>
  <c r="BB164" i="17"/>
  <c r="AY164" i="17"/>
  <c r="C164" i="17"/>
  <c r="C163" i="17"/>
  <c r="N163" i="17"/>
  <c r="BA162" i="17"/>
  <c r="BB162" i="17"/>
  <c r="X162" i="17"/>
  <c r="C162" i="17"/>
  <c r="N162" i="17"/>
  <c r="AU161" i="17"/>
  <c r="BA161" i="17"/>
  <c r="BA823" i="17"/>
  <c r="D161" i="17"/>
  <c r="C161" i="17"/>
  <c r="N161" i="17"/>
  <c r="X160" i="17"/>
  <c r="C160" i="17"/>
  <c r="C159" i="17"/>
  <c r="D159" i="17"/>
  <c r="BA158" i="17"/>
  <c r="BB158" i="17"/>
  <c r="BB820" i="17"/>
  <c r="AQ158" i="17"/>
  <c r="AQ820" i="17"/>
  <c r="N158" i="17"/>
  <c r="N820" i="17"/>
  <c r="L158" i="17"/>
  <c r="D158" i="17"/>
  <c r="BA157" i="17"/>
  <c r="F157" i="17"/>
  <c r="N157" i="17"/>
  <c r="C157" i="17"/>
  <c r="D157" i="17"/>
  <c r="N156" i="17"/>
  <c r="M156" i="17"/>
  <c r="C156" i="17"/>
  <c r="AW156" i="17"/>
  <c r="C155" i="17"/>
  <c r="C154" i="17"/>
  <c r="C153" i="17"/>
  <c r="AX153" i="17"/>
  <c r="AZ153" i="17"/>
  <c r="BA153" i="17"/>
  <c r="M152" i="17"/>
  <c r="C152" i="17"/>
  <c r="D152" i="17"/>
  <c r="AX151" i="17"/>
  <c r="AY151" i="17"/>
  <c r="N151" i="17"/>
  <c r="L151" i="17"/>
  <c r="D151" i="17"/>
  <c r="C151" i="17"/>
  <c r="AY150" i="17"/>
  <c r="BA150" i="17"/>
  <c r="BB150" i="17"/>
  <c r="F150" i="17"/>
  <c r="C150" i="17"/>
  <c r="BA149" i="17"/>
  <c r="C149" i="17"/>
  <c r="N149" i="17"/>
  <c r="M148" i="17"/>
  <c r="D148" i="17"/>
  <c r="C148" i="17"/>
  <c r="AX148" i="17"/>
  <c r="AY148" i="17"/>
  <c r="X147" i="17"/>
  <c r="C147" i="17"/>
  <c r="M147" i="17"/>
  <c r="AU146" i="17"/>
  <c r="AV146" i="17"/>
  <c r="C146" i="17"/>
  <c r="D146" i="17"/>
  <c r="C145" i="17"/>
  <c r="AW144" i="17"/>
  <c r="AV144" i="17"/>
  <c r="C144" i="17"/>
  <c r="M143" i="17"/>
  <c r="M820" i="17"/>
  <c r="D143" i="17"/>
  <c r="C143" i="17"/>
  <c r="AY143" i="17"/>
  <c r="AY820" i="17"/>
  <c r="AX142" i="17"/>
  <c r="C142" i="17"/>
  <c r="D142" i="17"/>
  <c r="M141" i="17"/>
  <c r="D141" i="17"/>
  <c r="C141" i="17"/>
  <c r="BU141" i="17"/>
  <c r="AX140" i="17"/>
  <c r="C140" i="17"/>
  <c r="D140" i="17"/>
  <c r="AW139" i="17"/>
  <c r="AY139" i="17"/>
  <c r="AZ139" i="17"/>
  <c r="M139" i="17"/>
  <c r="C139" i="17"/>
  <c r="D139" i="17"/>
  <c r="C138" i="17"/>
  <c r="AY137" i="17"/>
  <c r="X137" i="17"/>
  <c r="D137" i="17"/>
  <c r="AV136" i="17"/>
  <c r="AX136" i="17"/>
  <c r="C136" i="17"/>
  <c r="M136" i="17"/>
  <c r="AV135" i="17"/>
  <c r="X135" i="17"/>
  <c r="C135" i="17"/>
  <c r="D135" i="17"/>
  <c r="C134" i="17"/>
  <c r="D134" i="17"/>
  <c r="C133" i="17"/>
  <c r="X132" i="17"/>
  <c r="L132" i="17"/>
  <c r="C132" i="17"/>
  <c r="M132" i="17"/>
  <c r="F131" i="17"/>
  <c r="C131" i="17"/>
  <c r="AW130" i="17"/>
  <c r="AX130" i="17"/>
  <c r="AY130" i="17"/>
  <c r="AR130" i="17"/>
  <c r="AQ130" i="17"/>
  <c r="M130" i="17"/>
  <c r="K130" i="17"/>
  <c r="D130" i="17"/>
  <c r="AW129" i="17"/>
  <c r="AX129" i="17"/>
  <c r="X129" i="17"/>
  <c r="M129" i="17"/>
  <c r="C129" i="17"/>
  <c r="D129" i="17"/>
  <c r="C128" i="17"/>
  <c r="D128" i="17"/>
  <c r="AW127" i="17"/>
  <c r="M127" i="17"/>
  <c r="D127" i="17"/>
  <c r="AW126" i="17"/>
  <c r="AX126" i="17"/>
  <c r="AQ126" i="17"/>
  <c r="M126" i="17"/>
  <c r="L126" i="17"/>
  <c r="D126" i="17"/>
  <c r="X125" i="17"/>
  <c r="M125" i="17"/>
  <c r="L125" i="17"/>
  <c r="D125" i="17"/>
  <c r="AW124" i="17"/>
  <c r="AX124" i="17"/>
  <c r="M124" i="17"/>
  <c r="K124" i="17"/>
  <c r="D124" i="17"/>
  <c r="AV123" i="17"/>
  <c r="AW123" i="17"/>
  <c r="M123" i="17"/>
  <c r="D123" i="17"/>
  <c r="C122" i="17"/>
  <c r="AV122" i="17"/>
  <c r="C121" i="17"/>
  <c r="AU121" i="17"/>
  <c r="AV121" i="17"/>
  <c r="AX120" i="17"/>
  <c r="AW120" i="17"/>
  <c r="M120" i="17"/>
  <c r="K120" i="17"/>
  <c r="D120" i="17"/>
  <c r="C119" i="17"/>
  <c r="M119" i="17"/>
  <c r="L118" i="17"/>
  <c r="D118" i="17"/>
  <c r="C118" i="17"/>
  <c r="AV117" i="17"/>
  <c r="AW117" i="17"/>
  <c r="X117" i="17"/>
  <c r="M117" i="17"/>
  <c r="C117" i="17"/>
  <c r="D117" i="17"/>
  <c r="C116" i="17"/>
  <c r="M116" i="17"/>
  <c r="X115" i="17"/>
  <c r="F115" i="17"/>
  <c r="C115" i="17"/>
  <c r="L115" i="17"/>
  <c r="X114" i="17"/>
  <c r="L114" i="17"/>
  <c r="F114" i="17"/>
  <c r="D114" i="17"/>
  <c r="C114" i="17"/>
  <c r="AR113" i="17"/>
  <c r="C113" i="17"/>
  <c r="AU113" i="17"/>
  <c r="C112" i="17"/>
  <c r="D112" i="17"/>
  <c r="C111" i="17"/>
  <c r="F110" i="17"/>
  <c r="C110" i="17"/>
  <c r="C109" i="17"/>
  <c r="AU109" i="17"/>
  <c r="AW109" i="17"/>
  <c r="X108" i="17"/>
  <c r="L108" i="17"/>
  <c r="D108" i="17"/>
  <c r="X107" i="17"/>
  <c r="F107" i="17"/>
  <c r="L107" i="17"/>
  <c r="D107" i="17"/>
  <c r="C107" i="17"/>
  <c r="AN106" i="17"/>
  <c r="AO106" i="17"/>
  <c r="AO824" i="17"/>
  <c r="C106" i="17"/>
  <c r="K106" i="17"/>
  <c r="D105" i="17"/>
  <c r="C105" i="17"/>
  <c r="L105" i="17"/>
  <c r="X104" i="17"/>
  <c r="L104" i="17"/>
  <c r="D104" i="17"/>
  <c r="AU103" i="17"/>
  <c r="AS103" i="17"/>
  <c r="C103" i="17"/>
  <c r="AT103" i="17"/>
  <c r="AS102" i="17"/>
  <c r="AS820" i="17"/>
  <c r="L102" i="17"/>
  <c r="D102" i="17"/>
  <c r="AV101" i="17"/>
  <c r="AU101" i="17"/>
  <c r="AT101" i="17"/>
  <c r="AP101" i="17"/>
  <c r="L101" i="17"/>
  <c r="K101" i="17"/>
  <c r="D101" i="17"/>
  <c r="C100" i="17"/>
  <c r="AT99" i="17"/>
  <c r="AU99" i="17"/>
  <c r="X99" i="17"/>
  <c r="L99" i="17"/>
  <c r="K99" i="17"/>
  <c r="D99" i="17"/>
  <c r="L98" i="17"/>
  <c r="D98" i="17"/>
  <c r="C98" i="17"/>
  <c r="AT98" i="17"/>
  <c r="AU98" i="17"/>
  <c r="X98" i="17"/>
  <c r="AT97" i="17"/>
  <c r="AU97" i="17"/>
  <c r="X97" i="17"/>
  <c r="L97" i="17"/>
  <c r="D97" i="17"/>
  <c r="C96" i="17"/>
  <c r="AR96" i="17"/>
  <c r="AT96" i="17"/>
  <c r="AU96" i="17"/>
  <c r="X95" i="17"/>
  <c r="L95" i="17"/>
  <c r="D95" i="17"/>
  <c r="AU94" i="17"/>
  <c r="AS94" i="17"/>
  <c r="L94" i="17"/>
  <c r="D94" i="17"/>
  <c r="C94" i="17"/>
  <c r="X93" i="17"/>
  <c r="C93" i="17"/>
  <c r="D93" i="17"/>
  <c r="X92" i="17"/>
  <c r="L92" i="17"/>
  <c r="D92" i="17"/>
  <c r="AP91" i="17"/>
  <c r="L91" i="17"/>
  <c r="C91" i="17"/>
  <c r="AU91" i="17"/>
  <c r="AV91" i="17"/>
  <c r="AS90" i="17"/>
  <c r="AU90" i="17"/>
  <c r="C90" i="17"/>
  <c r="AR89" i="17"/>
  <c r="C89" i="17"/>
  <c r="C88" i="17"/>
  <c r="AR87" i="17"/>
  <c r="AQ87" i="17"/>
  <c r="L87" i="17"/>
  <c r="D87" i="17"/>
  <c r="C86" i="17"/>
  <c r="J86" i="17"/>
  <c r="AS85" i="17"/>
  <c r="AT85" i="17"/>
  <c r="AJ85" i="17"/>
  <c r="AK85" i="17"/>
  <c r="L85" i="17"/>
  <c r="J85" i="17"/>
  <c r="C85" i="17"/>
  <c r="D85" i="17"/>
  <c r="I84" i="17"/>
  <c r="C84" i="17"/>
  <c r="AJ84" i="17"/>
  <c r="AK84" i="17"/>
  <c r="C83" i="17"/>
  <c r="AS82" i="17"/>
  <c r="L82" i="17"/>
  <c r="K82" i="17"/>
  <c r="D82" i="17"/>
  <c r="J81" i="17"/>
  <c r="C81" i="17"/>
  <c r="X80" i="17"/>
  <c r="L80" i="17"/>
  <c r="D80" i="17"/>
  <c r="X79" i="17"/>
  <c r="L79" i="17"/>
  <c r="D79" i="17"/>
  <c r="X78" i="17"/>
  <c r="L78" i="17"/>
  <c r="D78" i="17"/>
  <c r="X77" i="17"/>
  <c r="L77" i="17"/>
  <c r="D77" i="17"/>
  <c r="L76" i="17"/>
  <c r="D76" i="17"/>
  <c r="C76" i="17"/>
  <c r="AP76" i="17"/>
  <c r="AR76" i="17"/>
  <c r="AS76" i="17"/>
  <c r="C75" i="17"/>
  <c r="D75" i="17"/>
  <c r="C74" i="17"/>
  <c r="AR73" i="17"/>
  <c r="AK73" i="17"/>
  <c r="J73" i="17"/>
  <c r="D73" i="17"/>
  <c r="C73" i="17"/>
  <c r="L73" i="17"/>
  <c r="X72" i="17"/>
  <c r="L72" i="17"/>
  <c r="K72" i="17"/>
  <c r="D72" i="17"/>
  <c r="X71" i="17"/>
  <c r="L71" i="17"/>
  <c r="K71" i="17"/>
  <c r="D71" i="17"/>
  <c r="C70" i="17"/>
  <c r="X69" i="17"/>
  <c r="L69" i="17"/>
  <c r="K69" i="17"/>
  <c r="D69" i="17"/>
  <c r="C68" i="17"/>
  <c r="J68" i="17"/>
  <c r="AS67" i="17"/>
  <c r="C67" i="17"/>
  <c r="D67" i="17"/>
  <c r="AR66" i="17"/>
  <c r="C66" i="17"/>
  <c r="AS66" i="17"/>
  <c r="X65" i="17"/>
  <c r="L65" i="17"/>
  <c r="K65" i="17"/>
  <c r="D65" i="17"/>
  <c r="C64" i="17"/>
  <c r="X63" i="17"/>
  <c r="L63" i="17"/>
  <c r="D63" i="17"/>
  <c r="X62" i="17"/>
  <c r="L62" i="17"/>
  <c r="K62" i="17"/>
  <c r="D62" i="17"/>
  <c r="AQ61" i="17"/>
  <c r="AR61" i="17"/>
  <c r="AK61" i="17"/>
  <c r="C61" i="17"/>
  <c r="L61" i="17"/>
  <c r="AQ60" i="17"/>
  <c r="L60" i="17"/>
  <c r="I60" i="17"/>
  <c r="C60" i="17"/>
  <c r="X59" i="17"/>
  <c r="L59" i="17"/>
  <c r="K59" i="17"/>
  <c r="D59" i="17"/>
  <c r="AM58" i="17"/>
  <c r="L58" i="17"/>
  <c r="K58" i="17"/>
  <c r="D58" i="17"/>
  <c r="X57" i="17"/>
  <c r="L57" i="17"/>
  <c r="K57" i="17"/>
  <c r="D57" i="17"/>
  <c r="X56" i="17"/>
  <c r="L56" i="17"/>
  <c r="K56" i="17"/>
  <c r="D56" i="17"/>
  <c r="X55" i="17"/>
  <c r="L55" i="17"/>
  <c r="K55" i="17"/>
  <c r="D55" i="17"/>
  <c r="C54" i="17"/>
  <c r="L54" i="17"/>
  <c r="AN53" i="17"/>
  <c r="AN821" i="17"/>
  <c r="L53" i="17"/>
  <c r="C53" i="17"/>
  <c r="X52" i="17"/>
  <c r="L52" i="17"/>
  <c r="J52" i="17"/>
  <c r="D52" i="17"/>
  <c r="AP51" i="17"/>
  <c r="AO51" i="17"/>
  <c r="AI51" i="17"/>
  <c r="AJ51" i="17"/>
  <c r="K51" i="17"/>
  <c r="J51" i="17"/>
  <c r="D51" i="17"/>
  <c r="C51" i="17"/>
  <c r="X50" i="17"/>
  <c r="K50" i="17"/>
  <c r="D50" i="17"/>
  <c r="AN49" i="17"/>
  <c r="AQ49" i="17"/>
  <c r="C49" i="17"/>
  <c r="AP49" i="17"/>
  <c r="X48" i="17"/>
  <c r="K48" i="17"/>
  <c r="D48" i="17"/>
  <c r="AM47" i="17"/>
  <c r="C47" i="17"/>
  <c r="D46" i="17"/>
  <c r="C46" i="17"/>
  <c r="X45" i="17"/>
  <c r="K45" i="17"/>
  <c r="J45" i="17"/>
  <c r="D45" i="17"/>
  <c r="X44" i="17"/>
  <c r="K44" i="17"/>
  <c r="D44" i="17"/>
  <c r="X43" i="17"/>
  <c r="K43" i="17"/>
  <c r="D43" i="17"/>
  <c r="AP42" i="17"/>
  <c r="AP824" i="17"/>
  <c r="AP831" i="17"/>
  <c r="C42" i="17"/>
  <c r="AP41" i="17"/>
  <c r="AQ41" i="17"/>
  <c r="AR41" i="17"/>
  <c r="C41" i="17"/>
  <c r="D41" i="17"/>
  <c r="AQ40" i="17"/>
  <c r="AP40" i="17"/>
  <c r="AK40" i="17"/>
  <c r="AL40" i="17"/>
  <c r="K40" i="17"/>
  <c r="J40" i="17"/>
  <c r="D40" i="17"/>
  <c r="X39" i="17"/>
  <c r="K39" i="17"/>
  <c r="D39" i="17"/>
  <c r="X38" i="17"/>
  <c r="K38" i="17"/>
  <c r="D38" i="17"/>
  <c r="X37" i="17"/>
  <c r="K37" i="17"/>
  <c r="D37" i="17"/>
  <c r="C37" i="17"/>
  <c r="C36" i="17"/>
  <c r="D36" i="17"/>
  <c r="AO35" i="17"/>
  <c r="AN35" i="17"/>
  <c r="C35" i="17"/>
  <c r="X34" i="17"/>
  <c r="K34" i="17"/>
  <c r="J34" i="17"/>
  <c r="D34" i="17"/>
  <c r="X33" i="17"/>
  <c r="K33" i="17"/>
  <c r="K820" i="17"/>
  <c r="D33" i="17"/>
  <c r="C32" i="17"/>
  <c r="AO32" i="17"/>
  <c r="X31" i="17"/>
  <c r="K31" i="17"/>
  <c r="D31" i="17"/>
  <c r="K30" i="17"/>
  <c r="D30" i="17"/>
  <c r="C30" i="17"/>
  <c r="AM30" i="17"/>
  <c r="X29" i="17"/>
  <c r="K29" i="17"/>
  <c r="J29" i="17"/>
  <c r="D29" i="17"/>
  <c r="X28" i="17"/>
  <c r="K28" i="17"/>
  <c r="J28" i="17"/>
  <c r="D28" i="17"/>
  <c r="X27" i="17"/>
  <c r="K27" i="17"/>
  <c r="J27" i="17"/>
  <c r="D27" i="17"/>
  <c r="X26" i="17"/>
  <c r="J26" i="17"/>
  <c r="D26" i="17"/>
  <c r="C25" i="17"/>
  <c r="X24" i="17"/>
  <c r="J24" i="17"/>
  <c r="D24" i="17"/>
  <c r="D23" i="17"/>
  <c r="C23" i="17"/>
  <c r="X22" i="17"/>
  <c r="J22" i="17"/>
  <c r="D22" i="17"/>
  <c r="C21" i="17"/>
  <c r="AI21" i="17"/>
  <c r="X20" i="17"/>
  <c r="J20" i="17"/>
  <c r="D20" i="17"/>
  <c r="AV19" i="17"/>
  <c r="J19" i="17"/>
  <c r="D19" i="17"/>
  <c r="C18" i="17"/>
  <c r="J17" i="17"/>
  <c r="C17" i="17"/>
  <c r="D17" i="17"/>
  <c r="C16" i="17"/>
  <c r="C15" i="17"/>
  <c r="C14" i="17"/>
  <c r="D14" i="17"/>
  <c r="X13" i="17"/>
  <c r="C13" i="17"/>
  <c r="J13" i="17"/>
  <c r="C12" i="17"/>
  <c r="X11" i="17"/>
  <c r="J11" i="17"/>
  <c r="D11" i="17"/>
  <c r="AJ10" i="17"/>
  <c r="AK10" i="17"/>
  <c r="J10" i="17"/>
  <c r="C10" i="17"/>
  <c r="D10" i="17"/>
  <c r="X9" i="17"/>
  <c r="J9" i="17"/>
  <c r="D9" i="17"/>
  <c r="X8" i="17"/>
  <c r="J8" i="17"/>
  <c r="D8" i="17"/>
  <c r="J7" i="17"/>
  <c r="C7" i="17"/>
  <c r="C6" i="17"/>
  <c r="X5" i="17"/>
  <c r="J5" i="17"/>
  <c r="D5" i="17"/>
  <c r="X4" i="17"/>
  <c r="D4" i="17"/>
  <c r="X3" i="17"/>
  <c r="J3" i="17"/>
  <c r="D3" i="17"/>
  <c r="X2" i="17"/>
  <c r="J2" i="17"/>
  <c r="D2" i="17"/>
  <c r="AC41" i="16"/>
  <c r="AB41" i="16"/>
  <c r="AA41" i="16"/>
  <c r="Z41" i="16"/>
  <c r="Y41" i="16"/>
  <c r="X41" i="16"/>
  <c r="W41" i="16"/>
  <c r="V41" i="16"/>
  <c r="U41" i="16"/>
  <c r="T41" i="16"/>
  <c r="S41" i="16"/>
  <c r="R41" i="16"/>
  <c r="AD40" i="16"/>
  <c r="AC39" i="16"/>
  <c r="AB39" i="16"/>
  <c r="AA39" i="16"/>
  <c r="Z39" i="16"/>
  <c r="Y39" i="16"/>
  <c r="X39" i="16"/>
  <c r="W39" i="16"/>
  <c r="V39" i="16"/>
  <c r="U39" i="16"/>
  <c r="T39" i="16"/>
  <c r="S39" i="16"/>
  <c r="AD38" i="16"/>
  <c r="AC37" i="16"/>
  <c r="AB37" i="16"/>
  <c r="AA37" i="16"/>
  <c r="Z37" i="16"/>
  <c r="Y37" i="16"/>
  <c r="X37" i="16"/>
  <c r="W37" i="16"/>
  <c r="V37" i="16"/>
  <c r="U37" i="16"/>
  <c r="T37" i="16"/>
  <c r="S37" i="16"/>
  <c r="R37" i="16"/>
  <c r="AD36" i="16"/>
  <c r="AD35" i="16"/>
  <c r="AD41" i="16"/>
  <c r="AC33" i="16"/>
  <c r="AB33" i="16"/>
  <c r="AA33" i="16"/>
  <c r="Z33" i="16"/>
  <c r="W33" i="16"/>
  <c r="V33" i="16"/>
  <c r="U33" i="16"/>
  <c r="T33" i="16"/>
  <c r="S33" i="16"/>
  <c r="R33" i="16"/>
  <c r="AC32" i="16"/>
  <c r="AB32" i="16"/>
  <c r="AA32" i="16"/>
  <c r="Z32" i="16"/>
  <c r="W32" i="16"/>
  <c r="V32" i="16"/>
  <c r="U32" i="16"/>
  <c r="T32" i="16"/>
  <c r="S32" i="16"/>
  <c r="R32" i="16"/>
  <c r="AC31" i="16"/>
  <c r="AB31" i="16"/>
  <c r="AA31" i="16"/>
  <c r="Z31" i="16"/>
  <c r="W31" i="16"/>
  <c r="V31" i="16"/>
  <c r="U31" i="16"/>
  <c r="T31" i="16"/>
  <c r="S31" i="16"/>
  <c r="R31" i="16"/>
  <c r="AC30" i="16"/>
  <c r="AB30" i="16"/>
  <c r="AA30" i="16"/>
  <c r="Z30" i="16"/>
  <c r="W30" i="16"/>
  <c r="V30" i="16"/>
  <c r="U30" i="16"/>
  <c r="T30" i="16"/>
  <c r="S30" i="16"/>
  <c r="R30" i="16"/>
  <c r="AC29" i="16"/>
  <c r="AB29" i="16"/>
  <c r="AA29" i="16"/>
  <c r="Z29" i="16"/>
  <c r="W29" i="16"/>
  <c r="V29" i="16"/>
  <c r="U29" i="16"/>
  <c r="T29" i="16"/>
  <c r="S29" i="16"/>
  <c r="R29" i="16"/>
  <c r="AC28" i="16"/>
  <c r="AB28" i="16"/>
  <c r="AA28" i="16"/>
  <c r="Z28" i="16"/>
  <c r="W28" i="16"/>
  <c r="V28" i="16"/>
  <c r="U28" i="16"/>
  <c r="T28" i="16"/>
  <c r="S28" i="16"/>
  <c r="R28" i="16"/>
  <c r="AC27" i="16"/>
  <c r="AB27" i="16"/>
  <c r="AA27" i="16"/>
  <c r="Z27" i="16"/>
  <c r="W27" i="16"/>
  <c r="V27" i="16"/>
  <c r="U27" i="16"/>
  <c r="T27" i="16"/>
  <c r="S27" i="16"/>
  <c r="R27" i="16"/>
  <c r="AC26" i="16"/>
  <c r="AB26" i="16"/>
  <c r="AA26" i="16"/>
  <c r="Z26" i="16"/>
  <c r="W26" i="16"/>
  <c r="V26" i="16"/>
  <c r="U26" i="16"/>
  <c r="T26" i="16"/>
  <c r="S26" i="16"/>
  <c r="R26" i="16"/>
  <c r="AC25" i="16"/>
  <c r="AB25" i="16"/>
  <c r="AA25" i="16"/>
  <c r="Z25" i="16"/>
  <c r="W25" i="16"/>
  <c r="V25" i="16"/>
  <c r="U25" i="16"/>
  <c r="T25" i="16"/>
  <c r="S25" i="16"/>
  <c r="R25" i="16"/>
  <c r="AC24" i="16"/>
  <c r="AB24" i="16"/>
  <c r="AA24" i="16"/>
  <c r="Z24" i="16"/>
  <c r="W24" i="16"/>
  <c r="V24" i="16"/>
  <c r="U24" i="16"/>
  <c r="T24" i="16"/>
  <c r="S24" i="16"/>
  <c r="R24" i="16"/>
  <c r="AC23" i="16"/>
  <c r="AB23" i="16"/>
  <c r="AA23" i="16"/>
  <c r="Z23" i="16"/>
  <c r="W23" i="16"/>
  <c r="V23" i="16"/>
  <c r="U23" i="16"/>
  <c r="T23" i="16"/>
  <c r="S23" i="16"/>
  <c r="R23" i="16"/>
  <c r="AC22" i="16"/>
  <c r="AB22" i="16"/>
  <c r="AA22" i="16"/>
  <c r="Z22" i="16"/>
  <c r="W22" i="16"/>
  <c r="V22" i="16"/>
  <c r="U22" i="16"/>
  <c r="T22" i="16"/>
  <c r="S22" i="16"/>
  <c r="R22" i="16"/>
  <c r="AC21" i="16"/>
  <c r="AB21" i="16"/>
  <c r="AA21" i="16"/>
  <c r="Z21" i="16"/>
  <c r="W21" i="16"/>
  <c r="V21" i="16"/>
  <c r="U21" i="16"/>
  <c r="T21" i="16"/>
  <c r="S21" i="16"/>
  <c r="R21" i="16"/>
  <c r="AC20" i="16"/>
  <c r="AB20" i="16"/>
  <c r="AA20" i="16"/>
  <c r="Z20" i="16"/>
  <c r="W20" i="16"/>
  <c r="V20" i="16"/>
  <c r="U20" i="16"/>
  <c r="T20" i="16"/>
  <c r="S20" i="16"/>
  <c r="R20" i="16"/>
  <c r="AC19" i="16"/>
  <c r="AB19" i="16"/>
  <c r="AA19" i="16"/>
  <c r="Z19" i="16"/>
  <c r="W19" i="16"/>
  <c r="V19" i="16"/>
  <c r="U19" i="16"/>
  <c r="T19" i="16"/>
  <c r="S19" i="16"/>
  <c r="R19" i="16"/>
  <c r="AC18" i="16"/>
  <c r="AB18" i="16"/>
  <c r="AA18" i="16"/>
  <c r="Z18" i="16"/>
  <c r="W18" i="16"/>
  <c r="V18" i="16"/>
  <c r="U18" i="16"/>
  <c r="T18" i="16"/>
  <c r="S18" i="16"/>
  <c r="R18" i="16"/>
  <c r="AC17" i="16"/>
  <c r="AB17" i="16"/>
  <c r="AA17" i="16"/>
  <c r="Z17" i="16"/>
  <c r="W17" i="16"/>
  <c r="V17" i="16"/>
  <c r="U17" i="16"/>
  <c r="T17" i="16"/>
  <c r="S17" i="16"/>
  <c r="R17" i="16"/>
  <c r="AC16" i="16"/>
  <c r="AB16" i="16"/>
  <c r="AA16" i="16"/>
  <c r="Z16" i="16"/>
  <c r="W16" i="16"/>
  <c r="V16" i="16"/>
  <c r="U16" i="16"/>
  <c r="T16" i="16"/>
  <c r="S16" i="16"/>
  <c r="R16" i="16"/>
  <c r="AC15" i="16"/>
  <c r="AB15" i="16"/>
  <c r="AA15" i="16"/>
  <c r="Z15" i="16"/>
  <c r="W15" i="16"/>
  <c r="V15" i="16"/>
  <c r="U15" i="16"/>
  <c r="T15" i="16"/>
  <c r="S15" i="16"/>
  <c r="R15" i="16"/>
  <c r="AC14" i="16"/>
  <c r="AB14" i="16"/>
  <c r="AA14" i="16"/>
  <c r="Z14" i="16"/>
  <c r="W14" i="16"/>
  <c r="V14" i="16"/>
  <c r="U14" i="16"/>
  <c r="T14" i="16"/>
  <c r="S14" i="16"/>
  <c r="R14" i="16"/>
  <c r="AC13" i="16"/>
  <c r="AB13" i="16"/>
  <c r="AA13" i="16"/>
  <c r="Z13" i="16"/>
  <c r="W13" i="16"/>
  <c r="V13" i="16"/>
  <c r="U13" i="16"/>
  <c r="T13" i="16"/>
  <c r="S13" i="16"/>
  <c r="R13" i="16"/>
  <c r="AC12" i="16"/>
  <c r="AB12" i="16"/>
  <c r="AA12" i="16"/>
  <c r="Z12" i="16"/>
  <c r="W12" i="16"/>
  <c r="V12" i="16"/>
  <c r="U12" i="16"/>
  <c r="T12" i="16"/>
  <c r="S12" i="16"/>
  <c r="R12" i="16"/>
  <c r="AC11" i="16"/>
  <c r="AB11" i="16"/>
  <c r="AA11" i="16"/>
  <c r="Z11" i="16"/>
  <c r="W11" i="16"/>
  <c r="V11" i="16"/>
  <c r="U11" i="16"/>
  <c r="T11" i="16"/>
  <c r="S11" i="16"/>
  <c r="R11" i="16"/>
  <c r="AC10" i="16"/>
  <c r="AB10" i="16"/>
  <c r="AA10" i="16"/>
  <c r="Z10" i="16"/>
  <c r="W10" i="16"/>
  <c r="V10" i="16"/>
  <c r="U10" i="16"/>
  <c r="T10" i="16"/>
  <c r="S10" i="16"/>
  <c r="R10" i="16"/>
  <c r="AC9" i="16"/>
  <c r="AB9" i="16"/>
  <c r="AA9" i="16"/>
  <c r="Z9" i="16"/>
  <c r="W9" i="16"/>
  <c r="V9" i="16"/>
  <c r="U9" i="16"/>
  <c r="T9" i="16"/>
  <c r="S9" i="16"/>
  <c r="R9" i="16"/>
  <c r="AC8" i="16"/>
  <c r="AB8" i="16"/>
  <c r="AA8" i="16"/>
  <c r="Z8" i="16"/>
  <c r="W8" i="16"/>
  <c r="V8" i="16"/>
  <c r="U8" i="16"/>
  <c r="T8" i="16"/>
  <c r="S8" i="16"/>
  <c r="R8" i="16"/>
  <c r="AC7" i="16"/>
  <c r="AB7" i="16"/>
  <c r="AA7" i="16"/>
  <c r="Z7" i="16"/>
  <c r="W7" i="16"/>
  <c r="V7" i="16"/>
  <c r="U7" i="16"/>
  <c r="T7" i="16"/>
  <c r="S7" i="16"/>
  <c r="R7" i="16"/>
  <c r="AC6" i="16"/>
  <c r="AB6" i="16"/>
  <c r="AA6" i="16"/>
  <c r="Z6" i="16"/>
  <c r="W6" i="16"/>
  <c r="V6" i="16"/>
  <c r="U6" i="16"/>
  <c r="T6" i="16"/>
  <c r="S6" i="16"/>
  <c r="R6" i="16"/>
  <c r="AC5" i="16"/>
  <c r="AB5" i="16"/>
  <c r="AA5" i="16"/>
  <c r="Z5" i="16"/>
  <c r="W5" i="16"/>
  <c r="V5" i="16"/>
  <c r="U5" i="16"/>
  <c r="T5" i="16"/>
  <c r="S5" i="16"/>
  <c r="R5" i="16"/>
  <c r="R37" i="2"/>
  <c r="S37" i="2"/>
  <c r="T37" i="2"/>
  <c r="U37" i="2"/>
  <c r="V37" i="2"/>
  <c r="P68" i="16"/>
  <c r="D777" i="17"/>
  <c r="V777" i="17"/>
  <c r="EN777" i="17"/>
  <c r="EU777" i="17"/>
  <c r="EM777" i="17"/>
  <c r="EV777" i="17"/>
  <c r="J83" i="17"/>
  <c r="AS83" i="17"/>
  <c r="AT83" i="17"/>
  <c r="X83" i="17"/>
  <c r="L83" i="17"/>
  <c r="BU296" i="17"/>
  <c r="BV296" i="17"/>
  <c r="BV823" i="17"/>
  <c r="BM296" i="17"/>
  <c r="BM823" i="17"/>
  <c r="D296" i="17"/>
  <c r="CK471" i="17"/>
  <c r="CL471" i="17"/>
  <c r="D471" i="17"/>
  <c r="Q550" i="17"/>
  <c r="CQ550" i="17"/>
  <c r="CP550" i="17"/>
  <c r="CR550" i="17"/>
  <c r="X550" i="17"/>
  <c r="D550" i="17"/>
  <c r="CW600" i="17"/>
  <c r="CV600" i="17"/>
  <c r="CU600" i="17"/>
  <c r="DI777" i="17"/>
  <c r="DJ777" i="17"/>
  <c r="BJ225" i="17"/>
  <c r="BL225" i="17"/>
  <c r="X225" i="17"/>
  <c r="BU346" i="17"/>
  <c r="BV346" i="17"/>
  <c r="D346" i="17"/>
  <c r="T650" i="17"/>
  <c r="L93" i="17"/>
  <c r="AY140" i="17"/>
  <c r="BA140" i="17"/>
  <c r="D286" i="17"/>
  <c r="CB388" i="17"/>
  <c r="CC388" i="17"/>
  <c r="X388" i="17"/>
  <c r="D388" i="17"/>
  <c r="T664" i="17"/>
  <c r="CW706" i="17"/>
  <c r="U706" i="17"/>
  <c r="DD715" i="17"/>
  <c r="DE715" i="17"/>
  <c r="U715" i="17"/>
  <c r="D715" i="17"/>
  <c r="D176" i="17"/>
  <c r="CK480" i="17"/>
  <c r="CM480" i="17"/>
  <c r="X480" i="17"/>
  <c r="D480" i="17"/>
  <c r="CX617" i="17"/>
  <c r="CV617" i="17"/>
  <c r="AR74" i="17"/>
  <c r="AS74" i="17"/>
  <c r="AJ74" i="17"/>
  <c r="AK74" i="17"/>
  <c r="N176" i="17"/>
  <c r="CG426" i="17"/>
  <c r="P426" i="17"/>
  <c r="CF426" i="17"/>
  <c r="CH426" i="17"/>
  <c r="CH821" i="17"/>
  <c r="D426" i="17"/>
  <c r="D617" i="17"/>
  <c r="DC692" i="17"/>
  <c r="T692" i="17"/>
  <c r="DA692" i="17"/>
  <c r="DA820" i="17"/>
  <c r="D15" i="17"/>
  <c r="AJ15" i="17"/>
  <c r="AK15" i="17"/>
  <c r="X15" i="17"/>
  <c r="J15" i="17"/>
  <c r="L74" i="17"/>
  <c r="BT295" i="17"/>
  <c r="BU295" i="17"/>
  <c r="BZ366" i="17"/>
  <c r="CA366" i="17"/>
  <c r="X366" i="17"/>
  <c r="D366" i="17"/>
  <c r="DQ817" i="17"/>
  <c r="DU817" i="17"/>
  <c r="AU100" i="17"/>
  <c r="L100" i="17"/>
  <c r="D100" i="17"/>
  <c r="S664" i="17"/>
  <c r="CX664" i="17"/>
  <c r="DA664" i="17"/>
  <c r="DC694" i="17"/>
  <c r="DD694" i="17"/>
  <c r="T694" i="17"/>
  <c r="D694" i="17"/>
  <c r="AT19" i="17"/>
  <c r="AU19" i="17"/>
  <c r="AN70" i="17"/>
  <c r="AO70" i="17"/>
  <c r="L70" i="17"/>
  <c r="K70" i="17"/>
  <c r="D70" i="17"/>
  <c r="AR70" i="17"/>
  <c r="AS70" i="17"/>
  <c r="AS823" i="17"/>
  <c r="AS830" i="17"/>
  <c r="BI217" i="17"/>
  <c r="BJ217" i="17"/>
  <c r="X217" i="17"/>
  <c r="D217" i="17"/>
  <c r="CO521" i="17"/>
  <c r="CP521" i="17"/>
  <c r="X521" i="17"/>
  <c r="Q521" i="17"/>
  <c r="D521" i="17"/>
  <c r="Q542" i="17"/>
  <c r="P542" i="17"/>
  <c r="D630" i="17"/>
  <c r="BA170" i="17"/>
  <c r="BC170" i="17"/>
  <c r="X170" i="17"/>
  <c r="D170" i="17"/>
  <c r="BZ337" i="17"/>
  <c r="BY337" i="17"/>
  <c r="BS337" i="17"/>
  <c r="BT337" i="17"/>
  <c r="D380" i="17"/>
  <c r="BK494" i="17"/>
  <c r="BL494" i="17"/>
  <c r="X494" i="17"/>
  <c r="D494" i="17"/>
  <c r="S617" i="17"/>
  <c r="AV118" i="17"/>
  <c r="M118" i="17"/>
  <c r="D160" i="17"/>
  <c r="N160" i="17"/>
  <c r="M160" i="17"/>
  <c r="BY380" i="17"/>
  <c r="CA380" i="17"/>
  <c r="CB391" i="17"/>
  <c r="CC391" i="17"/>
  <c r="CA391" i="17"/>
  <c r="CD391" i="17"/>
  <c r="M133" i="17"/>
  <c r="AW133" i="17"/>
  <c r="AX133" i="17"/>
  <c r="X133" i="17"/>
  <c r="BQ276" i="17"/>
  <c r="BR276" i="17"/>
  <c r="BS276" i="17"/>
  <c r="BT276" i="17"/>
  <c r="D276" i="17"/>
  <c r="CB392" i="17"/>
  <c r="CC392" i="17"/>
  <c r="X392" i="17"/>
  <c r="D392" i="17"/>
  <c r="DB679" i="17"/>
  <c r="DD679" i="17"/>
  <c r="DC679" i="17"/>
  <c r="DA679" i="17"/>
  <c r="T679" i="17"/>
  <c r="DC698" i="17"/>
  <c r="DD698" i="17"/>
  <c r="D711" i="17"/>
  <c r="DC711" i="17"/>
  <c r="DE711" i="17"/>
  <c r="BC177" i="17"/>
  <c r="BE177" i="17"/>
  <c r="X177" i="17"/>
  <c r="N177" i="17"/>
  <c r="D177" i="17"/>
  <c r="BY338" i="17"/>
  <c r="BT338" i="17"/>
  <c r="D338" i="17"/>
  <c r="U759" i="17"/>
  <c r="V759" i="17"/>
  <c r="DH759" i="17"/>
  <c r="DI759" i="17"/>
  <c r="D759" i="17"/>
  <c r="V794" i="17"/>
  <c r="D794" i="17"/>
  <c r="EA794" i="17"/>
  <c r="D372" i="17"/>
  <c r="D434" i="17"/>
  <c r="CJ434" i="17"/>
  <c r="CI434" i="17"/>
  <c r="CK434" i="17"/>
  <c r="CH434" i="17"/>
  <c r="D195" i="17"/>
  <c r="D316" i="17"/>
  <c r="D476" i="17"/>
  <c r="CN514" i="17"/>
  <c r="CO514" i="17"/>
  <c r="D606" i="17"/>
  <c r="CW606" i="17"/>
  <c r="CX606" i="17"/>
  <c r="CZ656" i="17"/>
  <c r="DA656" i="17"/>
  <c r="T656" i="17"/>
  <c r="D656" i="17"/>
  <c r="T711" i="17"/>
  <c r="BF198" i="17"/>
  <c r="BG198" i="17"/>
  <c r="BG824" i="17"/>
  <c r="D198" i="17"/>
  <c r="BI219" i="17"/>
  <c r="BK219" i="17"/>
  <c r="X219" i="17"/>
  <c r="D219" i="17"/>
  <c r="CQ544" i="17"/>
  <c r="CR544" i="17"/>
  <c r="D544" i="17"/>
  <c r="BS338" i="17"/>
  <c r="D258" i="17"/>
  <c r="BP258" i="17"/>
  <c r="BQ258" i="17"/>
  <c r="X258" i="17"/>
  <c r="BT363" i="17"/>
  <c r="CA363" i="17"/>
  <c r="P476" i="17"/>
  <c r="D514" i="17"/>
  <c r="S606" i="17"/>
  <c r="U711" i="17"/>
  <c r="BE237" i="17"/>
  <c r="BF237" i="17"/>
  <c r="BN237" i="17"/>
  <c r="D237" i="17"/>
  <c r="CK517" i="17"/>
  <c r="CP517" i="17"/>
  <c r="CJ517" i="17"/>
  <c r="CQ517" i="17"/>
  <c r="P517" i="17"/>
  <c r="D517" i="17"/>
  <c r="D527" i="17"/>
  <c r="CP527" i="17"/>
  <c r="CQ527" i="17"/>
  <c r="DA673" i="17"/>
  <c r="DB673" i="17"/>
  <c r="T673" i="17"/>
  <c r="D673" i="17"/>
  <c r="CK451" i="17"/>
  <c r="CL457" i="17"/>
  <c r="CK457" i="17"/>
  <c r="P457" i="17"/>
  <c r="CV594" i="17"/>
  <c r="CV823" i="17"/>
  <c r="S594" i="17"/>
  <c r="D267" i="17"/>
  <c r="BR267" i="17"/>
  <c r="BS267" i="17"/>
  <c r="BV327" i="17"/>
  <c r="BX327" i="17"/>
  <c r="BX821" i="17"/>
  <c r="BU327" i="17"/>
  <c r="BW327" i="17"/>
  <c r="D594" i="17"/>
  <c r="CY642" i="17"/>
  <c r="S642" i="17"/>
  <c r="CS642" i="17"/>
  <c r="L89" i="17"/>
  <c r="D89" i="17"/>
  <c r="D423" i="17"/>
  <c r="CH423" i="17"/>
  <c r="CI423" i="17"/>
  <c r="X423" i="17"/>
  <c r="CY658" i="17"/>
  <c r="DA658" i="17"/>
  <c r="CX658" i="17"/>
  <c r="DB658" i="17"/>
  <c r="S658" i="17"/>
  <c r="DC700" i="17"/>
  <c r="DD700" i="17"/>
  <c r="T700" i="17"/>
  <c r="D700" i="17"/>
  <c r="D138" i="17"/>
  <c r="AY138" i="17"/>
  <c r="AZ138" i="17"/>
  <c r="M138" i="17"/>
  <c r="D425" i="17"/>
  <c r="CG425" i="17"/>
  <c r="CH425" i="17"/>
  <c r="X425" i="17"/>
  <c r="AT138" i="17"/>
  <c r="AU138" i="17"/>
  <c r="P480" i="17"/>
  <c r="CO516" i="17"/>
  <c r="CP516" i="17"/>
  <c r="CP823" i="17"/>
  <c r="D516" i="17"/>
  <c r="D74" i="17"/>
  <c r="DE704" i="17"/>
  <c r="DC704" i="17"/>
  <c r="DD704" i="17"/>
  <c r="CJ440" i="17"/>
  <c r="CK440" i="17"/>
  <c r="X440" i="17"/>
  <c r="P440" i="17"/>
  <c r="T698" i="17"/>
  <c r="AS113" i="17"/>
  <c r="AT145" i="17"/>
  <c r="AU145" i="17"/>
  <c r="M145" i="17"/>
  <c r="BM246" i="17"/>
  <c r="X246" i="17"/>
  <c r="CU586" i="17"/>
  <c r="CT586" i="17"/>
  <c r="D727" i="17"/>
  <c r="U727" i="17"/>
  <c r="DE727" i="17"/>
  <c r="DF727" i="17"/>
  <c r="D749" i="17"/>
  <c r="D81" i="17"/>
  <c r="AJ81" i="17"/>
  <c r="AK81" i="17"/>
  <c r="X81" i="17"/>
  <c r="L81" i="17"/>
  <c r="AT113" i="17"/>
  <c r="AV113" i="17"/>
  <c r="L145" i="17"/>
  <c r="D586" i="17"/>
  <c r="U749" i="17"/>
  <c r="DS785" i="17"/>
  <c r="DS820" i="17"/>
  <c r="D785" i="17"/>
  <c r="DR785" i="17"/>
  <c r="DW785" i="17"/>
  <c r="DW820" i="17"/>
  <c r="D469" i="17"/>
  <c r="D508" i="17"/>
  <c r="Q536" i="17"/>
  <c r="R563" i="17"/>
  <c r="D625" i="17"/>
  <c r="D631" i="17"/>
  <c r="R651" i="17"/>
  <c r="D699" i="17"/>
  <c r="D719" i="17"/>
  <c r="D736" i="17"/>
  <c r="D769" i="17"/>
  <c r="D804" i="17"/>
  <c r="P469" i="17"/>
  <c r="P508" i="17"/>
  <c r="CQ536" i="17"/>
  <c r="CR536" i="17"/>
  <c r="CT563" i="17"/>
  <c r="CU563" i="17"/>
  <c r="X563" i="17"/>
  <c r="S625" i="17"/>
  <c r="S631" i="17"/>
  <c r="S651" i="17"/>
  <c r="T699" i="17"/>
  <c r="U719" i="17"/>
  <c r="U736" i="17"/>
  <c r="EC804" i="17"/>
  <c r="EC824" i="17"/>
  <c r="EC825" i="17"/>
  <c r="S602" i="17"/>
  <c r="T651" i="17"/>
  <c r="DC699" i="17"/>
  <c r="X699" i="17"/>
  <c r="U769" i="17"/>
  <c r="V802" i="17"/>
  <c r="S593" i="17"/>
  <c r="AS87" i="17"/>
  <c r="X87" i="17"/>
  <c r="M114" i="17"/>
  <c r="AT119" i="17"/>
  <c r="X119" i="17"/>
  <c r="AW152" i="17"/>
  <c r="AX152" i="17"/>
  <c r="D433" i="17"/>
  <c r="D458" i="17"/>
  <c r="CL508" i="17"/>
  <c r="X508" i="17"/>
  <c r="D537" i="17"/>
  <c r="D549" i="17"/>
  <c r="D614" i="17"/>
  <c r="D639" i="17"/>
  <c r="CS651" i="17"/>
  <c r="D674" i="17"/>
  <c r="DE760" i="17"/>
  <c r="DH760" i="17"/>
  <c r="AJ17" i="17"/>
  <c r="AK17" i="17"/>
  <c r="X17" i="17"/>
  <c r="K76" i="17"/>
  <c r="M161" i="17"/>
  <c r="BO249" i="17"/>
  <c r="BP249" i="17"/>
  <c r="BY347" i="17"/>
  <c r="X347" i="17"/>
  <c r="CI433" i="17"/>
  <c r="CI821" i="17"/>
  <c r="R609" i="17"/>
  <c r="S614" i="17"/>
  <c r="S644" i="17"/>
  <c r="DA651" i="17"/>
  <c r="T674" i="17"/>
  <c r="U720" i="17"/>
  <c r="D730" i="17"/>
  <c r="U738" i="17"/>
  <c r="DG752" i="17"/>
  <c r="DH752" i="17"/>
  <c r="DR788" i="17"/>
  <c r="DY788" i="17"/>
  <c r="V755" i="17"/>
  <c r="V771" i="17"/>
  <c r="R544" i="17"/>
  <c r="DD730" i="17"/>
  <c r="DE730" i="17"/>
  <c r="DF738" i="17"/>
  <c r="DG738" i="17"/>
  <c r="CK523" i="17"/>
  <c r="CQ523" i="17"/>
  <c r="D538" i="17"/>
  <c r="R588" i="17"/>
  <c r="CT614" i="17"/>
  <c r="X614" i="17"/>
  <c r="D627" i="17"/>
  <c r="CT652" i="17"/>
  <c r="U721" i="17"/>
  <c r="V758" i="17"/>
  <c r="V774" i="17"/>
  <c r="V757" i="17"/>
  <c r="CL538" i="17"/>
  <c r="D189" i="17"/>
  <c r="D453" i="17"/>
  <c r="K54" i="17"/>
  <c r="AR60" i="17"/>
  <c r="X60" i="17"/>
  <c r="D84" i="17"/>
  <c r="D116" i="17"/>
  <c r="AW134" i="17"/>
  <c r="AX134" i="17"/>
  <c r="X134" i="17"/>
  <c r="N148" i="17"/>
  <c r="D220" i="17"/>
  <c r="D281" i="17"/>
  <c r="D311" i="17"/>
  <c r="D323" i="17"/>
  <c r="D359" i="17"/>
  <c r="BT376" i="17"/>
  <c r="CC376" i="17"/>
  <c r="X376" i="17"/>
  <c r="P453" i="17"/>
  <c r="CK460" i="17"/>
  <c r="CM460" i="17"/>
  <c r="D467" i="17"/>
  <c r="CM503" i="17"/>
  <c r="CO503" i="17"/>
  <c r="X503" i="17"/>
  <c r="CQ538" i="17"/>
  <c r="P545" i="17"/>
  <c r="CS575" i="17"/>
  <c r="BX598" i="17"/>
  <c r="P605" i="17"/>
  <c r="D610" i="17"/>
  <c r="D615" i="17"/>
  <c r="D635" i="17"/>
  <c r="D641" i="17"/>
  <c r="T645" i="17"/>
  <c r="CW675" i="17"/>
  <c r="T682" i="17"/>
  <c r="CY695" i="17"/>
  <c r="DC701" i="17"/>
  <c r="U708" i="17"/>
  <c r="D717" i="17"/>
  <c r="DE722" i="17"/>
  <c r="D774" i="17"/>
  <c r="DR790" i="17"/>
  <c r="DS790" i="17"/>
  <c r="D54" i="17"/>
  <c r="D376" i="17"/>
  <c r="AK41" i="17"/>
  <c r="X41" i="17"/>
  <c r="K49" i="17"/>
  <c r="AP54" i="17"/>
  <c r="X54" i="17"/>
  <c r="L116" i="17"/>
  <c r="AV128" i="17"/>
  <c r="AW128" i="17"/>
  <c r="BE190" i="17"/>
  <c r="BG190" i="17"/>
  <c r="X190" i="17"/>
  <c r="D232" i="17"/>
  <c r="BT292" i="17"/>
  <c r="BU292" i="17"/>
  <c r="X292" i="17"/>
  <c r="BR301" i="17"/>
  <c r="BV301" i="17"/>
  <c r="P467" i="17"/>
  <c r="P533" i="17"/>
  <c r="CR538" i="17"/>
  <c r="Q545" i="17"/>
  <c r="BY598" i="17"/>
  <c r="Q605" i="17"/>
  <c r="S610" i="17"/>
  <c r="R615" i="17"/>
  <c r="D628" i="17"/>
  <c r="S635" i="17"/>
  <c r="Q641" i="17"/>
  <c r="S653" i="17"/>
  <c r="DB675" i="17"/>
  <c r="DC675" i="17"/>
  <c r="DB682" i="17"/>
  <c r="DC682" i="17"/>
  <c r="CZ695" i="17"/>
  <c r="T717" i="17"/>
  <c r="DJ774" i="17"/>
  <c r="DK774" i="17"/>
  <c r="DK822" i="17"/>
  <c r="P460" i="17"/>
  <c r="Q503" i="17"/>
  <c r="J84" i="17"/>
  <c r="AT116" i="17"/>
  <c r="AW116" i="17"/>
  <c r="CJ467" i="17"/>
  <c r="D504" i="17"/>
  <c r="Q518" i="17"/>
  <c r="CQ545" i="17"/>
  <c r="R559" i="17"/>
  <c r="CV598" i="17"/>
  <c r="R605" i="17"/>
  <c r="S615" i="17"/>
  <c r="S628" i="17"/>
  <c r="R641" i="17"/>
  <c r="CU653" i="17"/>
  <c r="T669" i="17"/>
  <c r="T702" i="17"/>
  <c r="U717" i="17"/>
  <c r="D723" i="17"/>
  <c r="D733" i="17"/>
  <c r="D740" i="17"/>
  <c r="D747" i="17"/>
  <c r="U765" i="17"/>
  <c r="DQ781" i="17"/>
  <c r="DR781" i="17"/>
  <c r="D791" i="17"/>
  <c r="M134" i="17"/>
  <c r="D384" i="17"/>
  <c r="D545" i="17"/>
  <c r="CX627" i="17"/>
  <c r="CY627" i="17"/>
  <c r="D682" i="17"/>
  <c r="D790" i="17"/>
  <c r="AT67" i="17"/>
  <c r="X67" i="17"/>
  <c r="L84" i="17"/>
  <c r="K91" i="17"/>
  <c r="AU102" i="17"/>
  <c r="AU820" i="17"/>
  <c r="D109" i="17"/>
  <c r="AU116" i="17"/>
  <c r="AV116" i="17"/>
  <c r="AZ157" i="17"/>
  <c r="X157" i="17"/>
  <c r="D201" i="17"/>
  <c r="D293" i="17"/>
  <c r="D302" i="17"/>
  <c r="BU312" i="17"/>
  <c r="BV312" i="17"/>
  <c r="X312" i="17"/>
  <c r="D360" i="17"/>
  <c r="CB396" i="17"/>
  <c r="CC396" i="17"/>
  <c r="CC820" i="17"/>
  <c r="D408" i="17"/>
  <c r="CK467" i="17"/>
  <c r="D483" i="17"/>
  <c r="Q504" i="17"/>
  <c r="CO525" i="17"/>
  <c r="CP525" i="17"/>
  <c r="X525" i="17"/>
  <c r="CL533" i="17"/>
  <c r="CQ533" i="17"/>
  <c r="X533" i="17"/>
  <c r="CW598" i="17"/>
  <c r="CW820" i="17"/>
  <c r="S605" i="17"/>
  <c r="CU615" i="17"/>
  <c r="S641" i="17"/>
  <c r="CZ653" i="17"/>
  <c r="T662" i="17"/>
  <c r="T676" i="17"/>
  <c r="DC702" i="17"/>
  <c r="DD702" i="17"/>
  <c r="CW717" i="17"/>
  <c r="U723" i="17"/>
  <c r="DD740" i="17"/>
  <c r="DH740" i="17"/>
  <c r="U747" i="17"/>
  <c r="V764" i="17"/>
  <c r="AX116" i="17"/>
  <c r="AZ116" i="17"/>
  <c r="CK605" i="17"/>
  <c r="CV615" i="17"/>
  <c r="T641" i="17"/>
  <c r="V765" i="17"/>
  <c r="D165" i="17"/>
  <c r="D182" i="17"/>
  <c r="D202" i="17"/>
  <c r="BS343" i="17"/>
  <c r="BY343" i="17"/>
  <c r="D409" i="17"/>
  <c r="D447" i="17"/>
  <c r="D519" i="17"/>
  <c r="P526" i="17"/>
  <c r="R540" i="17"/>
  <c r="D546" i="17"/>
  <c r="D599" i="17"/>
  <c r="CL605" i="17"/>
  <c r="CX615" i="17"/>
  <c r="R624" i="17"/>
  <c r="D637" i="17"/>
  <c r="CN641" i="17"/>
  <c r="X641" i="17"/>
  <c r="D648" i="17"/>
  <c r="D703" i="17"/>
  <c r="D748" i="17"/>
  <c r="D757" i="17"/>
  <c r="V766" i="17"/>
  <c r="D61" i="17"/>
  <c r="L68" i="17"/>
  <c r="L820" i="17"/>
  <c r="D103" i="17"/>
  <c r="M110" i="17"/>
  <c r="J61" i="17"/>
  <c r="AR68" i="17"/>
  <c r="X68" i="17"/>
  <c r="L103" i="17"/>
  <c r="AX143" i="17"/>
  <c r="AZ143" i="17"/>
  <c r="AZ820" i="17"/>
  <c r="BE182" i="17"/>
  <c r="X182" i="17"/>
  <c r="BK235" i="17"/>
  <c r="BM235" i="17"/>
  <c r="X235" i="17"/>
  <c r="BO255" i="17"/>
  <c r="BP255" i="17"/>
  <c r="BP821" i="17"/>
  <c r="BU314" i="17"/>
  <c r="BV314" i="17"/>
  <c r="X314" i="17"/>
  <c r="BZ409" i="17"/>
  <c r="CF409" i="17"/>
  <c r="D492" i="17"/>
  <c r="CN506" i="17"/>
  <c r="CO506" i="17"/>
  <c r="X506" i="17"/>
  <c r="Q519" i="17"/>
  <c r="D561" i="17"/>
  <c r="D578" i="17"/>
  <c r="S585" i="17"/>
  <c r="CU599" i="17"/>
  <c r="CX599" i="17"/>
  <c r="CW605" i="17"/>
  <c r="S624" i="17"/>
  <c r="R637" i="17"/>
  <c r="DH757" i="17"/>
  <c r="DI757" i="17"/>
  <c r="M61" i="16"/>
  <c r="K61" i="16"/>
  <c r="J61" i="16"/>
  <c r="K65" i="16"/>
  <c r="G61" i="16"/>
  <c r="G63" i="16"/>
  <c r="O65" i="16"/>
  <c r="N65" i="16"/>
  <c r="N61" i="16"/>
  <c r="L65" i="16"/>
  <c r="J65" i="16"/>
  <c r="I65" i="16"/>
  <c r="E65" i="16"/>
  <c r="F63" i="16"/>
  <c r="P59" i="16"/>
  <c r="D65" i="16"/>
  <c r="D63" i="16"/>
  <c r="O61" i="16"/>
  <c r="I61" i="16"/>
  <c r="H61" i="16"/>
  <c r="F61" i="16"/>
  <c r="E61" i="16"/>
  <c r="H63" i="16"/>
  <c r="P70" i="16"/>
  <c r="P72" i="16"/>
  <c r="X10" i="17"/>
  <c r="AE831" i="17"/>
  <c r="AE829" i="17"/>
  <c r="AE844" i="17"/>
  <c r="X358" i="17"/>
  <c r="Z827" i="17"/>
  <c r="X272" i="17"/>
  <c r="DE820" i="17"/>
  <c r="P463" i="17"/>
  <c r="DX821" i="17"/>
  <c r="X387" i="17"/>
  <c r="X468" i="17"/>
  <c r="Z828" i="17"/>
  <c r="Z829" i="17"/>
  <c r="AA829" i="17"/>
  <c r="X411" i="17"/>
  <c r="R547" i="17"/>
  <c r="X778" i="17"/>
  <c r="AT66" i="17"/>
  <c r="X383" i="17"/>
  <c r="X803" i="17"/>
  <c r="CL453" i="17"/>
  <c r="X453" i="17"/>
  <c r="X460" i="17"/>
  <c r="X611" i="17"/>
  <c r="X420" i="17"/>
  <c r="AI830" i="17"/>
  <c r="AR49" i="17"/>
  <c r="X478" i="17"/>
  <c r="DB823" i="17"/>
  <c r="X637" i="17"/>
  <c r="X316" i="17"/>
  <c r="BZ823" i="17"/>
  <c r="AZ148" i="17"/>
  <c r="BA148" i="17"/>
  <c r="BA143" i="17"/>
  <c r="BA820" i="17"/>
  <c r="N150" i="17"/>
  <c r="X212" i="17"/>
  <c r="X278" i="17"/>
  <c r="X320" i="17"/>
  <c r="X251" i="17"/>
  <c r="X232" i="17"/>
  <c r="CM820" i="17"/>
  <c r="AE828" i="17"/>
  <c r="AF828" i="17"/>
  <c r="AE830" i="17"/>
  <c r="X374" i="17"/>
  <c r="AR40" i="17"/>
  <c r="X40" i="17"/>
  <c r="X293" i="17"/>
  <c r="DG740" i="17"/>
  <c r="EI825" i="17"/>
  <c r="X202" i="17"/>
  <c r="BV315" i="17"/>
  <c r="BV820" i="17"/>
  <c r="DO825" i="17"/>
  <c r="X257" i="17"/>
  <c r="X281" i="17"/>
  <c r="CL452" i="17"/>
  <c r="X452" i="17"/>
  <c r="DQ774" i="17"/>
  <c r="X196" i="17"/>
  <c r="X291" i="17"/>
  <c r="X299" i="17"/>
  <c r="X543" i="17"/>
  <c r="X502" i="17"/>
  <c r="X201" i="17"/>
  <c r="X330" i="17"/>
  <c r="CV595" i="17"/>
  <c r="X595" i="17"/>
  <c r="EH825" i="17"/>
  <c r="BO245" i="17"/>
  <c r="X245" i="17"/>
  <c r="BY333" i="17"/>
  <c r="X333" i="17"/>
  <c r="X185" i="17"/>
  <c r="BL220" i="17"/>
  <c r="X220" i="17"/>
  <c r="X365" i="17"/>
  <c r="X103" i="17"/>
  <c r="X94" i="17"/>
  <c r="AR158" i="17"/>
  <c r="X507" i="17"/>
  <c r="X592" i="17"/>
  <c r="X655" i="17"/>
  <c r="X286" i="17"/>
  <c r="EE825" i="17"/>
  <c r="AH825" i="17"/>
  <c r="AJ21" i="17"/>
  <c r="AK21" i="17"/>
  <c r="AY153" i="17"/>
  <c r="X153" i="17"/>
  <c r="AO49" i="17"/>
  <c r="BT275" i="17"/>
  <c r="X275" i="17"/>
  <c r="DD690" i="17"/>
  <c r="X345" i="17"/>
  <c r="X175" i="17"/>
  <c r="BE209" i="17"/>
  <c r="R550" i="17"/>
  <c r="BG188" i="17"/>
  <c r="X188" i="17"/>
  <c r="J16" i="17"/>
  <c r="AJ16" i="17"/>
  <c r="AP35" i="17"/>
  <c r="AY142" i="17"/>
  <c r="X142" i="17"/>
  <c r="D172" i="17"/>
  <c r="BE200" i="17"/>
  <c r="BR273" i="17"/>
  <c r="BS280" i="17"/>
  <c r="X280" i="17"/>
  <c r="D303" i="17"/>
  <c r="BT303" i="17"/>
  <c r="BU303" i="17"/>
  <c r="BW303" i="17"/>
  <c r="BO344" i="17"/>
  <c r="D344" i="17"/>
  <c r="CY613" i="17"/>
  <c r="D668" i="17"/>
  <c r="T668" i="17"/>
  <c r="DA668" i="17"/>
  <c r="DB668" i="17"/>
  <c r="DY786" i="17"/>
  <c r="DY824" i="17"/>
  <c r="DU786" i="17"/>
  <c r="D786" i="17"/>
  <c r="DX786" i="17"/>
  <c r="DX824" i="17"/>
  <c r="DT786" i="17"/>
  <c r="DX823" i="17"/>
  <c r="DZ793" i="17"/>
  <c r="DZ823" i="17"/>
  <c r="D16" i="17"/>
  <c r="AL23" i="17"/>
  <c r="AM23" i="17"/>
  <c r="AK23" i="17"/>
  <c r="J23" i="17"/>
  <c r="M172" i="17"/>
  <c r="AV178" i="17"/>
  <c r="N178" i="17"/>
  <c r="D200" i="17"/>
  <c r="BR266" i="17"/>
  <c r="X266" i="17"/>
  <c r="D280" i="17"/>
  <c r="BU313" i="17"/>
  <c r="D328" i="17"/>
  <c r="BV328" i="17"/>
  <c r="AO36" i="17"/>
  <c r="AP36" i="17"/>
  <c r="AJ36" i="17"/>
  <c r="K36" i="17"/>
  <c r="J36" i="17"/>
  <c r="X322" i="17"/>
  <c r="BY359" i="17"/>
  <c r="BY823" i="17"/>
  <c r="BU321" i="17"/>
  <c r="BV321" i="17"/>
  <c r="BW321" i="17"/>
  <c r="D321" i="17"/>
  <c r="AT111" i="17"/>
  <c r="AU111" i="17"/>
  <c r="M111" i="17"/>
  <c r="D111" i="17"/>
  <c r="AX131" i="17"/>
  <c r="M131" i="17"/>
  <c r="D131" i="17"/>
  <c r="AY154" i="17"/>
  <c r="M154" i="17"/>
  <c r="D154" i="17"/>
  <c r="N154" i="17"/>
  <c r="AW166" i="17"/>
  <c r="D166" i="17"/>
  <c r="BN241" i="17"/>
  <c r="CC424" i="17"/>
  <c r="CH424" i="17"/>
  <c r="CD424" i="17"/>
  <c r="CD823" i="17"/>
  <c r="D424" i="17"/>
  <c r="D432" i="17"/>
  <c r="CI432" i="17"/>
  <c r="P432" i="17"/>
  <c r="CN495" i="17"/>
  <c r="X495" i="17"/>
  <c r="S604" i="17"/>
  <c r="CV604" i="17"/>
  <c r="CX604" i="17"/>
  <c r="J42" i="17"/>
  <c r="AJ42" i="17"/>
  <c r="K42" i="17"/>
  <c r="K824" i="17"/>
  <c r="AQ42" i="17"/>
  <c r="AQ824" i="17"/>
  <c r="AQ831" i="17"/>
  <c r="AS89" i="17"/>
  <c r="X89" i="17"/>
  <c r="AV111" i="17"/>
  <c r="M166" i="17"/>
  <c r="BI210" i="17"/>
  <c r="X210" i="17"/>
  <c r="D241" i="17"/>
  <c r="D604" i="17"/>
  <c r="CY638" i="17"/>
  <c r="CQ638" i="17"/>
  <c r="D638" i="17"/>
  <c r="S638" i="17"/>
  <c r="R638" i="17"/>
  <c r="CP638" i="17"/>
  <c r="U714" i="17"/>
  <c r="DB714" i="17"/>
  <c r="DC714" i="17"/>
  <c r="D714" i="17"/>
  <c r="D42" i="17"/>
  <c r="D106" i="17"/>
  <c r="L106" i="17"/>
  <c r="AW111" i="17"/>
  <c r="X120" i="17"/>
  <c r="AR126" i="17"/>
  <c r="X126" i="17"/>
  <c r="AV131" i="17"/>
  <c r="AW131" i="17"/>
  <c r="AZ149" i="17"/>
  <c r="D149" i="17"/>
  <c r="AQ149" i="17"/>
  <c r="AR149" i="17"/>
  <c r="L149" i="17"/>
  <c r="N166" i="17"/>
  <c r="BM298" i="17"/>
  <c r="BU298" i="17"/>
  <c r="BN298" i="17"/>
  <c r="CM489" i="17"/>
  <c r="P489" i="17"/>
  <c r="Q638" i="17"/>
  <c r="Q820" i="17"/>
  <c r="T714" i="17"/>
  <c r="CV582" i="17"/>
  <c r="X582" i="17"/>
  <c r="K64" i="17"/>
  <c r="AQ64" i="17"/>
  <c r="AL64" i="17"/>
  <c r="L64" i="17"/>
  <c r="D121" i="17"/>
  <c r="M121" i="17"/>
  <c r="L121" i="17"/>
  <c r="BG186" i="17"/>
  <c r="X186" i="17"/>
  <c r="BR353" i="17"/>
  <c r="BS353" i="17"/>
  <c r="BZ353" i="17"/>
  <c r="D361" i="17"/>
  <c r="CM482" i="17"/>
  <c r="X482" i="17"/>
  <c r="AX144" i="17"/>
  <c r="AS144" i="17"/>
  <c r="AT144" i="17"/>
  <c r="D144" i="17"/>
  <c r="M144" i="17"/>
  <c r="D419" i="17"/>
  <c r="AP47" i="17"/>
  <c r="D47" i="17"/>
  <c r="CR565" i="17"/>
  <c r="CU565" i="17"/>
  <c r="CT565" i="17"/>
  <c r="R565" i="17"/>
  <c r="D565" i="17"/>
  <c r="AW122" i="17"/>
  <c r="AX122" i="17"/>
  <c r="AY122" i="17"/>
  <c r="BU307" i="17"/>
  <c r="X307" i="17"/>
  <c r="AV821" i="17"/>
  <c r="BA168" i="17"/>
  <c r="BC168" i="17"/>
  <c r="BE180" i="17"/>
  <c r="X180" i="17"/>
  <c r="D188" i="17"/>
  <c r="BN244" i="17"/>
  <c r="BO244" i="17"/>
  <c r="BK244" i="17"/>
  <c r="D244" i="17"/>
  <c r="CD401" i="17"/>
  <c r="D401" i="17"/>
  <c r="CQ528" i="17"/>
  <c r="Q528" i="17"/>
  <c r="CM528" i="17"/>
  <c r="D528" i="17"/>
  <c r="CR528" i="17"/>
  <c r="D7" i="17"/>
  <c r="AI7" i="17"/>
  <c r="J14" i="17"/>
  <c r="D86" i="17"/>
  <c r="AK86" i="17"/>
  <c r="AL86" i="17"/>
  <c r="L86" i="17"/>
  <c r="D163" i="17"/>
  <c r="BB163" i="17"/>
  <c r="M163" i="17"/>
  <c r="D205" i="17"/>
  <c r="D552" i="17"/>
  <c r="R552" i="17"/>
  <c r="CR552" i="17"/>
  <c r="CV574" i="17"/>
  <c r="X640" i="17"/>
  <c r="P436" i="17"/>
  <c r="D436" i="17"/>
  <c r="CI436" i="17"/>
  <c r="X124" i="17"/>
  <c r="D191" i="17"/>
  <c r="BH207" i="17"/>
  <c r="D207" i="17"/>
  <c r="BZ350" i="17"/>
  <c r="X350" i="17"/>
  <c r="BS279" i="17"/>
  <c r="X279" i="17"/>
  <c r="D350" i="17"/>
  <c r="CA395" i="17"/>
  <c r="D395" i="17"/>
  <c r="CE422" i="17"/>
  <c r="D422" i="17"/>
  <c r="CG422" i="17"/>
  <c r="CH422" i="17"/>
  <c r="CI429" i="17"/>
  <c r="X429" i="17"/>
  <c r="CJ446" i="17"/>
  <c r="CK446" i="17"/>
  <c r="D446" i="17"/>
  <c r="CI446" i="17"/>
  <c r="P446" i="17"/>
  <c r="D279" i="17"/>
  <c r="Q548" i="17"/>
  <c r="CP548" i="17"/>
  <c r="R548" i="17"/>
  <c r="D548" i="17"/>
  <c r="CO548" i="17"/>
  <c r="AN824" i="17"/>
  <c r="AU106" i="17"/>
  <c r="AW121" i="17"/>
  <c r="AX121" i="17"/>
  <c r="BD179" i="17"/>
  <c r="X179" i="17"/>
  <c r="N187" i="17"/>
  <c r="BB187" i="17"/>
  <c r="BE187" i="17"/>
  <c r="BC187" i="17"/>
  <c r="BF187" i="17"/>
  <c r="AO187" i="17"/>
  <c r="AP187" i="17"/>
  <c r="AN187" i="17"/>
  <c r="BZ361" i="17"/>
  <c r="X361" i="17"/>
  <c r="CH419" i="17"/>
  <c r="BF181" i="17"/>
  <c r="X181" i="17"/>
  <c r="AU85" i="17"/>
  <c r="X85" i="17"/>
  <c r="D181" i="17"/>
  <c r="BK229" i="17"/>
  <c r="D229" i="17"/>
  <c r="BT824" i="17"/>
  <c r="BV300" i="17"/>
  <c r="X300" i="17"/>
  <c r="CB370" i="17"/>
  <c r="CA370" i="17"/>
  <c r="D370" i="17"/>
  <c r="BR370" i="17"/>
  <c r="D214" i="17"/>
  <c r="BI214" i="17"/>
  <c r="D254" i="17"/>
  <c r="BO254" i="17"/>
  <c r="CD402" i="17"/>
  <c r="CE402" i="17"/>
  <c r="AJ14" i="17"/>
  <c r="AZ140" i="17"/>
  <c r="BS319" i="17"/>
  <c r="BT319" i="17"/>
  <c r="D319" i="17"/>
  <c r="BV319" i="17"/>
  <c r="BW319" i="17"/>
  <c r="BR334" i="17"/>
  <c r="BX334" i="17"/>
  <c r="BY334" i="17"/>
  <c r="X334" i="17"/>
  <c r="CI428" i="17"/>
  <c r="X428" i="17"/>
  <c r="D512" i="17"/>
  <c r="CJ512" i="17"/>
  <c r="CP512" i="17"/>
  <c r="P512" i="17"/>
  <c r="X61" i="17"/>
  <c r="X191" i="17"/>
  <c r="M115" i="17"/>
  <c r="AU172" i="17"/>
  <c r="D115" i="17"/>
  <c r="D147" i="17"/>
  <c r="N183" i="17"/>
  <c r="BD183" i="17"/>
  <c r="D183" i="17"/>
  <c r="BJ820" i="17"/>
  <c r="BJ827" i="17"/>
  <c r="BK222" i="17"/>
  <c r="BK820" i="17"/>
  <c r="BO256" i="17"/>
  <c r="D256" i="17"/>
  <c r="BT287" i="17"/>
  <c r="BS287" i="17"/>
  <c r="D287" i="17"/>
  <c r="K47" i="17"/>
  <c r="BJ216" i="17"/>
  <c r="X216" i="17"/>
  <c r="BC172" i="17"/>
  <c r="N172" i="17"/>
  <c r="BD184" i="17"/>
  <c r="D184" i="17"/>
  <c r="N184" i="17"/>
  <c r="T661" i="17"/>
  <c r="CZ661" i="17"/>
  <c r="DB661" i="17"/>
  <c r="D661" i="17"/>
  <c r="AJ18" i="17"/>
  <c r="J18" i="17"/>
  <c r="D18" i="17"/>
  <c r="AJ25" i="17"/>
  <c r="J25" i="17"/>
  <c r="D25" i="17"/>
  <c r="D64" i="17"/>
  <c r="BS306" i="17"/>
  <c r="D306" i="17"/>
  <c r="BU306" i="17"/>
  <c r="P462" i="17"/>
  <c r="D462" i="17"/>
  <c r="CK462" i="17"/>
  <c r="AJ32" i="17"/>
  <c r="AK32" i="17"/>
  <c r="AK823" i="17"/>
  <c r="K32" i="17"/>
  <c r="D32" i="17"/>
  <c r="J32" i="17"/>
  <c r="J823" i="17"/>
  <c r="AM64" i="17"/>
  <c r="AV161" i="17"/>
  <c r="BB161" i="17"/>
  <c r="BB823" i="17"/>
  <c r="X269" i="17"/>
  <c r="CT580" i="17"/>
  <c r="S580" i="17"/>
  <c r="R580" i="17"/>
  <c r="BS284" i="17"/>
  <c r="D284" i="17"/>
  <c r="CH442" i="17"/>
  <c r="D442" i="17"/>
  <c r="D558" i="17"/>
  <c r="CR558" i="17"/>
  <c r="R558" i="17"/>
  <c r="AZ205" i="17"/>
  <c r="BH205" i="17"/>
  <c r="BI205" i="17"/>
  <c r="AY205" i="17"/>
  <c r="CM475" i="17"/>
  <c r="R623" i="17"/>
  <c r="CX623" i="17"/>
  <c r="S623" i="17"/>
  <c r="D623" i="17"/>
  <c r="Q623" i="17"/>
  <c r="P623" i="17"/>
  <c r="CY623" i="17"/>
  <c r="CL623" i="17"/>
  <c r="CK623" i="17"/>
  <c r="DG751" i="17"/>
  <c r="DH751" i="17"/>
  <c r="U751" i="17"/>
  <c r="D751" i="17"/>
  <c r="AJ7" i="17"/>
  <c r="AP46" i="17"/>
  <c r="K46" i="17"/>
  <c r="J46" i="17"/>
  <c r="BU294" i="17"/>
  <c r="X294" i="17"/>
  <c r="CL465" i="17"/>
  <c r="D560" i="17"/>
  <c r="CS560" i="17"/>
  <c r="R560" i="17"/>
  <c r="BJ223" i="17"/>
  <c r="D223" i="17"/>
  <c r="D231" i="17"/>
  <c r="BI231" i="17"/>
  <c r="X288" i="17"/>
  <c r="D377" i="17"/>
  <c r="BX377" i="17"/>
  <c r="BY377" i="17"/>
  <c r="CB377" i="17"/>
  <c r="P490" i="17"/>
  <c r="CK490" i="17"/>
  <c r="CO490" i="17"/>
  <c r="D490" i="17"/>
  <c r="D513" i="17"/>
  <c r="CO513" i="17"/>
  <c r="CM513" i="17"/>
  <c r="Q513" i="17"/>
  <c r="CS568" i="17"/>
  <c r="CT568" i="17"/>
  <c r="R568" i="17"/>
  <c r="D646" i="17"/>
  <c r="T646" i="17"/>
  <c r="CY646" i="17"/>
  <c r="DA646" i="17"/>
  <c r="DB678" i="17"/>
  <c r="DC678" i="17"/>
  <c r="T678" i="17"/>
  <c r="D678" i="17"/>
  <c r="DC729" i="17"/>
  <c r="DD729" i="17"/>
  <c r="D729" i="17"/>
  <c r="T729" i="17"/>
  <c r="U729" i="17"/>
  <c r="DF729" i="17"/>
  <c r="D60" i="17"/>
  <c r="D83" i="17"/>
  <c r="S646" i="17"/>
  <c r="DB665" i="17"/>
  <c r="X665" i="17"/>
  <c r="D744" i="17"/>
  <c r="DF744" i="17"/>
  <c r="DG744" i="17"/>
  <c r="L90" i="17"/>
  <c r="AR90" i="17"/>
  <c r="D122" i="17"/>
  <c r="M122" i="17"/>
  <c r="AX159" i="17"/>
  <c r="N159" i="17"/>
  <c r="AZ164" i="17"/>
  <c r="BC169" i="17"/>
  <c r="X169" i="17"/>
  <c r="BG189" i="17"/>
  <c r="X189" i="17"/>
  <c r="BH203" i="17"/>
  <c r="D210" i="17"/>
  <c r="CB390" i="17"/>
  <c r="D90" i="17"/>
  <c r="D169" i="17"/>
  <c r="BG204" i="17"/>
  <c r="D204" i="17"/>
  <c r="BK224" i="17"/>
  <c r="D390" i="17"/>
  <c r="D448" i="17"/>
  <c r="CJ448" i="17"/>
  <c r="P448" i="17"/>
  <c r="CL454" i="17"/>
  <c r="X454" i="17"/>
  <c r="AX127" i="17"/>
  <c r="X127" i="17"/>
  <c r="AX139" i="17"/>
  <c r="X139" i="17"/>
  <c r="D132" i="17"/>
  <c r="BV141" i="17"/>
  <c r="AZ150" i="17"/>
  <c r="X150" i="17"/>
  <c r="N155" i="17"/>
  <c r="AY155" i="17"/>
  <c r="M155" i="17"/>
  <c r="D155" i="17"/>
  <c r="M159" i="17"/>
  <c r="BF164" i="17"/>
  <c r="N169" i="17"/>
  <c r="BH211" i="17"/>
  <c r="BH821" i="17"/>
  <c r="D211" i="17"/>
  <c r="BV309" i="17"/>
  <c r="X309" i="17"/>
  <c r="BR317" i="17"/>
  <c r="D317" i="17"/>
  <c r="BX331" i="17"/>
  <c r="D331" i="17"/>
  <c r="CB384" i="17"/>
  <c r="CC384" i="17"/>
  <c r="CA390" i="17"/>
  <c r="CC390" i="17"/>
  <c r="CC399" i="17"/>
  <c r="D399" i="17"/>
  <c r="D407" i="17"/>
  <c r="D427" i="17"/>
  <c r="CG427" i="17"/>
  <c r="CH427" i="17"/>
  <c r="CJ427" i="17"/>
  <c r="P427" i="17"/>
  <c r="P823" i="17"/>
  <c r="CJ490" i="17"/>
  <c r="R535" i="17"/>
  <c r="Q535" i="17"/>
  <c r="CQ535" i="17"/>
  <c r="CP535" i="17"/>
  <c r="D535" i="17"/>
  <c r="Q540" i="17"/>
  <c r="D540" i="17"/>
  <c r="R595" i="17"/>
  <c r="S595" i="17"/>
  <c r="U744" i="17"/>
  <c r="AS110" i="17"/>
  <c r="L110" i="17"/>
  <c r="AZ156" i="17"/>
  <c r="BA156" i="17"/>
  <c r="AX156" i="17"/>
  <c r="BC174" i="17"/>
  <c r="D174" i="17"/>
  <c r="BT823" i="17"/>
  <c r="BU289" i="17"/>
  <c r="D310" i="17"/>
  <c r="BU310" i="17"/>
  <c r="CM476" i="17"/>
  <c r="X476" i="17"/>
  <c r="CM491" i="17"/>
  <c r="D491" i="17"/>
  <c r="P491" i="17"/>
  <c r="CL491" i="17"/>
  <c r="CK491" i="17"/>
  <c r="CQ576" i="17"/>
  <c r="CR576" i="17"/>
  <c r="R576" i="17"/>
  <c r="D576" i="17"/>
  <c r="D110" i="17"/>
  <c r="AT118" i="17"/>
  <c r="AS118" i="17"/>
  <c r="X123" i="17"/>
  <c r="M128" i="17"/>
  <c r="M142" i="17"/>
  <c r="AZ151" i="17"/>
  <c r="BA151" i="17"/>
  <c r="AU151" i="17"/>
  <c r="D156" i="17"/>
  <c r="N174" i="17"/>
  <c r="N823" i="17"/>
  <c r="BF197" i="17"/>
  <c r="D197" i="17"/>
  <c r="BJ218" i="17"/>
  <c r="BI218" i="17"/>
  <c r="D218" i="17"/>
  <c r="BQ290" i="17"/>
  <c r="D290" i="17"/>
  <c r="BR823" i="17"/>
  <c r="X325" i="17"/>
  <c r="BX332" i="17"/>
  <c r="D332" i="17"/>
  <c r="BX823" i="17"/>
  <c r="X352" i="17"/>
  <c r="BY379" i="17"/>
  <c r="D379" i="17"/>
  <c r="CE407" i="17"/>
  <c r="X407" i="17"/>
  <c r="CL466" i="17"/>
  <c r="X466" i="17"/>
  <c r="X484" i="17"/>
  <c r="CO496" i="17"/>
  <c r="CP524" i="17"/>
  <c r="X524" i="17"/>
  <c r="D685" i="17"/>
  <c r="T685" i="17"/>
  <c r="DB685" i="17"/>
  <c r="DC685" i="17"/>
  <c r="DA691" i="17"/>
  <c r="DE691" i="17"/>
  <c r="T691" i="17"/>
  <c r="EB798" i="17"/>
  <c r="DR798" i="17"/>
  <c r="DS798" i="17"/>
  <c r="D798" i="17"/>
  <c r="CL449" i="17"/>
  <c r="X449" i="17"/>
  <c r="D531" i="17"/>
  <c r="CL531" i="17"/>
  <c r="CR540" i="17"/>
  <c r="X540" i="17"/>
  <c r="X625" i="17"/>
  <c r="DE731" i="17"/>
  <c r="DF731" i="17"/>
  <c r="U731" i="17"/>
  <c r="D731" i="17"/>
  <c r="D435" i="17"/>
  <c r="CI435" i="17"/>
  <c r="P435" i="17"/>
  <c r="I435" i="17"/>
  <c r="P479" i="17"/>
  <c r="CK479" i="17"/>
  <c r="X492" i="17"/>
  <c r="CK499" i="17"/>
  <c r="CO499" i="17"/>
  <c r="D499" i="17"/>
  <c r="CJ499" i="17"/>
  <c r="AT110" i="17"/>
  <c r="BJ823" i="17"/>
  <c r="BJ830" i="17"/>
  <c r="BK830" i="17"/>
  <c r="BL830" i="17"/>
  <c r="X226" i="17"/>
  <c r="CV601" i="17"/>
  <c r="CX601" i="17"/>
  <c r="S601" i="17"/>
  <c r="CX622" i="17"/>
  <c r="S622" i="17"/>
  <c r="D622" i="17"/>
  <c r="P622" i="17"/>
  <c r="CQ622" i="17"/>
  <c r="Q622" i="17"/>
  <c r="CY626" i="17"/>
  <c r="X626" i="17"/>
  <c r="AP66" i="17"/>
  <c r="L66" i="17"/>
  <c r="K66" i="17"/>
  <c r="D66" i="17"/>
  <c r="AQ91" i="17"/>
  <c r="X91" i="17"/>
  <c r="AU110" i="17"/>
  <c r="BA171" i="17"/>
  <c r="D171" i="17"/>
  <c r="N171" i="17"/>
  <c r="D199" i="17"/>
  <c r="M199" i="17"/>
  <c r="D226" i="17"/>
  <c r="D240" i="17"/>
  <c r="BJ240" i="17"/>
  <c r="BJ821" i="17"/>
  <c r="X326" i="17"/>
  <c r="BU339" i="17"/>
  <c r="BY339" i="17"/>
  <c r="BZ339" i="17"/>
  <c r="BR367" i="17"/>
  <c r="CA367" i="17"/>
  <c r="BQ367" i="17"/>
  <c r="D367" i="17"/>
  <c r="CA373" i="17"/>
  <c r="X373" i="17"/>
  <c r="D393" i="17"/>
  <c r="CB393" i="17"/>
  <c r="CD414" i="17"/>
  <c r="CF415" i="17"/>
  <c r="D479" i="17"/>
  <c r="P499" i="17"/>
  <c r="CR564" i="17"/>
  <c r="CU564" i="17"/>
  <c r="R564" i="17"/>
  <c r="CS564" i="17"/>
  <c r="CV564" i="17"/>
  <c r="D564" i="17"/>
  <c r="CU584" i="17"/>
  <c r="S584" i="17"/>
  <c r="D601" i="17"/>
  <c r="R622" i="17"/>
  <c r="D681" i="17"/>
  <c r="CX681" i="17"/>
  <c r="T681" i="17"/>
  <c r="BV340" i="17"/>
  <c r="BY340" i="17"/>
  <c r="BU340" i="17"/>
  <c r="D340" i="17"/>
  <c r="BW348" i="17"/>
  <c r="D348" i="17"/>
  <c r="CM633" i="17"/>
  <c r="Q633" i="17"/>
  <c r="S633" i="17"/>
  <c r="D633" i="17"/>
  <c r="CY633" i="17"/>
  <c r="CN633" i="17"/>
  <c r="D801" i="17"/>
  <c r="EB801" i="17"/>
  <c r="X801" i="17"/>
  <c r="CF416" i="17"/>
  <c r="D416" i="17"/>
  <c r="D430" i="17"/>
  <c r="CI430" i="17"/>
  <c r="P430" i="17"/>
  <c r="CK430" i="17"/>
  <c r="CJ430" i="17"/>
  <c r="CT591" i="17"/>
  <c r="CU591" i="17"/>
  <c r="D591" i="17"/>
  <c r="CW591" i="17"/>
  <c r="CV591" i="17"/>
  <c r="S591" i="17"/>
  <c r="R591" i="17"/>
  <c r="K35" i="17"/>
  <c r="AJ35" i="17"/>
  <c r="AK35" i="17"/>
  <c r="J35" i="17"/>
  <c r="J67" i="17"/>
  <c r="D285" i="17"/>
  <c r="D13" i="17"/>
  <c r="D35" i="17"/>
  <c r="BW404" i="17"/>
  <c r="BW824" i="17"/>
  <c r="D404" i="17"/>
  <c r="D418" i="17"/>
  <c r="CF418" i="17"/>
  <c r="CN501" i="17"/>
  <c r="D501" i="17"/>
  <c r="CJ501" i="17"/>
  <c r="P501" i="17"/>
  <c r="D506" i="17"/>
  <c r="CO522" i="17"/>
  <c r="Q522" i="17"/>
  <c r="CU572" i="17"/>
  <c r="X572" i="17"/>
  <c r="CV585" i="17"/>
  <c r="X585" i="17"/>
  <c r="D608" i="17"/>
  <c r="S608" i="17"/>
  <c r="CR608" i="17"/>
  <c r="R608" i="17"/>
  <c r="CW608" i="17"/>
  <c r="CS608" i="17"/>
  <c r="AN75" i="17"/>
  <c r="L75" i="17"/>
  <c r="K75" i="17"/>
  <c r="AT112" i="17"/>
  <c r="L112" i="17"/>
  <c r="BS271" i="17"/>
  <c r="X271" i="17"/>
  <c r="BT285" i="17"/>
  <c r="X285" i="17"/>
  <c r="BV348" i="17"/>
  <c r="CB381" i="17"/>
  <c r="X381" i="17"/>
  <c r="D403" i="17"/>
  <c r="BV403" i="17"/>
  <c r="CH430" i="17"/>
  <c r="P437" i="17"/>
  <c r="CK437" i="17"/>
  <c r="CI437" i="17"/>
  <c r="D437" i="17"/>
  <c r="CL487" i="17"/>
  <c r="CK487" i="17"/>
  <c r="D487" i="17"/>
  <c r="P487" i="17"/>
  <c r="CN487" i="17"/>
  <c r="CQ526" i="17"/>
  <c r="X526" i="17"/>
  <c r="DB670" i="17"/>
  <c r="D670" i="17"/>
  <c r="T670" i="17"/>
  <c r="CY670" i="17"/>
  <c r="D194" i="17"/>
  <c r="BF194" i="17"/>
  <c r="BD194" i="17"/>
  <c r="BN240" i="17"/>
  <c r="BM240" i="17"/>
  <c r="BY342" i="17"/>
  <c r="BW342" i="17"/>
  <c r="BX342" i="17"/>
  <c r="BY348" i="17"/>
  <c r="BT375" i="17"/>
  <c r="D381" i="17"/>
  <c r="CK444" i="17"/>
  <c r="X444" i="17"/>
  <c r="S670" i="17"/>
  <c r="DK771" i="17"/>
  <c r="DJ771" i="17"/>
  <c r="DM771" i="17"/>
  <c r="DM821" i="17"/>
  <c r="DZ792" i="17"/>
  <c r="X792" i="17"/>
  <c r="AR53" i="17"/>
  <c r="AQ53" i="17"/>
  <c r="AO53" i="17"/>
  <c r="L67" i="17"/>
  <c r="AR75" i="17"/>
  <c r="AS75" i="17"/>
  <c r="D88" i="17"/>
  <c r="L88" i="17"/>
  <c r="AO88" i="17"/>
  <c r="AQ88" i="17"/>
  <c r="M112" i="17"/>
  <c r="X130" i="17"/>
  <c r="AW136" i="17"/>
  <c r="M140" i="17"/>
  <c r="N194" i="17"/>
  <c r="AI6" i="17"/>
  <c r="J6" i="17"/>
  <c r="J820" i="17"/>
  <c r="D6" i="17"/>
  <c r="D53" i="17"/>
  <c r="K88" i="17"/>
  <c r="D136" i="17"/>
  <c r="BK221" i="17"/>
  <c r="X221" i="17"/>
  <c r="BM249" i="17"/>
  <c r="CJ431" i="17"/>
  <c r="X431" i="17"/>
  <c r="P482" i="17"/>
  <c r="D482" i="17"/>
  <c r="CK488" i="17"/>
  <c r="CL488" i="17"/>
  <c r="CN488" i="17"/>
  <c r="P488" i="17"/>
  <c r="D488" i="17"/>
  <c r="D522" i="17"/>
  <c r="D573" i="17"/>
  <c r="CU573" i="17"/>
  <c r="CS573" i="17"/>
  <c r="R593" i="17"/>
  <c r="CV593" i="17"/>
  <c r="D593" i="17"/>
  <c r="CN593" i="17"/>
  <c r="U726" i="17"/>
  <c r="D726" i="17"/>
  <c r="DE726" i="17"/>
  <c r="DF726" i="17"/>
  <c r="BL228" i="17"/>
  <c r="X228" i="17"/>
  <c r="CA405" i="17"/>
  <c r="D405" i="17"/>
  <c r="CG421" i="17"/>
  <c r="X421" i="17"/>
  <c r="CP515" i="17"/>
  <c r="X515" i="17"/>
  <c r="D529" i="17"/>
  <c r="CO529" i="17"/>
  <c r="CY659" i="17"/>
  <c r="D659" i="17"/>
  <c r="T659" i="17"/>
  <c r="S659" i="17"/>
  <c r="DA671" i="17"/>
  <c r="DB671" i="17"/>
  <c r="D671" i="17"/>
  <c r="DE734" i="17"/>
  <c r="DG734" i="17"/>
  <c r="U734" i="17"/>
  <c r="D734" i="17"/>
  <c r="P511" i="17"/>
  <c r="CN509" i="17"/>
  <c r="CP511" i="17"/>
  <c r="CJ511" i="17"/>
  <c r="CP520" i="17"/>
  <c r="X520" i="17"/>
  <c r="S596" i="17"/>
  <c r="CV596" i="17"/>
  <c r="CS636" i="17"/>
  <c r="CQ636" i="17"/>
  <c r="CR636" i="17"/>
  <c r="D636" i="17"/>
  <c r="CY636" i="17"/>
  <c r="R636" i="17"/>
  <c r="T643" i="17"/>
  <c r="D643" i="17"/>
  <c r="S643" i="17"/>
  <c r="CY643" i="17"/>
  <c r="CZ643" i="17"/>
  <c r="CZ820" i="17"/>
  <c r="D472" i="17"/>
  <c r="D477" i="17"/>
  <c r="CK477" i="17"/>
  <c r="CM477" i="17"/>
  <c r="P477" i="17"/>
  <c r="CJ477" i="17"/>
  <c r="D498" i="17"/>
  <c r="D511" i="17"/>
  <c r="D596" i="17"/>
  <c r="CU616" i="17"/>
  <c r="CX616" i="17"/>
  <c r="D616" i="17"/>
  <c r="D621" i="17"/>
  <c r="CY621" i="17"/>
  <c r="CX621" i="17"/>
  <c r="S636" i="17"/>
  <c r="D649" i="17"/>
  <c r="S649" i="17"/>
  <c r="T649" i="17"/>
  <c r="D767" i="17"/>
  <c r="U767" i="17"/>
  <c r="DH767" i="17"/>
  <c r="DJ767" i="17"/>
  <c r="M109" i="17"/>
  <c r="D119" i="17"/>
  <c r="D224" i="17"/>
  <c r="D265" i="17"/>
  <c r="D294" i="17"/>
  <c r="BV318" i="17"/>
  <c r="BW318" i="17"/>
  <c r="BS318" i="17"/>
  <c r="BY346" i="17"/>
  <c r="BU362" i="17"/>
  <c r="BW400" i="17"/>
  <c r="D400" i="17"/>
  <c r="P438" i="17"/>
  <c r="CJ438" i="17"/>
  <c r="D443" i="17"/>
  <c r="P443" i="17"/>
  <c r="X458" i="17"/>
  <c r="CK463" i="17"/>
  <c r="CH820" i="17"/>
  <c r="Q498" i="17"/>
  <c r="CP529" i="17"/>
  <c r="CQ529" i="17"/>
  <c r="D547" i="17"/>
  <c r="CR556" i="17"/>
  <c r="D556" i="17"/>
  <c r="CS566" i="17"/>
  <c r="R571" i="17"/>
  <c r="S613" i="17"/>
  <c r="CW613" i="17"/>
  <c r="CX613" i="17"/>
  <c r="S616" i="17"/>
  <c r="S621" i="17"/>
  <c r="CZ636" i="17"/>
  <c r="CY649" i="17"/>
  <c r="DA649" i="17"/>
  <c r="U716" i="17"/>
  <c r="T716" i="17"/>
  <c r="D716" i="17"/>
  <c r="DA716" i="17"/>
  <c r="DB716" i="17"/>
  <c r="U775" i="17"/>
  <c r="DE775" i="17"/>
  <c r="D318" i="17"/>
  <c r="BV324" i="17"/>
  <c r="D324" i="17"/>
  <c r="BX329" i="17"/>
  <c r="X329" i="17"/>
  <c r="D357" i="17"/>
  <c r="D394" i="17"/>
  <c r="CD394" i="17"/>
  <c r="D438" i="17"/>
  <c r="CJ443" i="17"/>
  <c r="P454" i="17"/>
  <c r="P472" i="17"/>
  <c r="CI483" i="17"/>
  <c r="CI820" i="17"/>
  <c r="CI511" i="17"/>
  <c r="D525" i="17"/>
  <c r="R551" i="17"/>
  <c r="R556" i="17"/>
  <c r="CT571" i="17"/>
  <c r="S597" i="17"/>
  <c r="D597" i="17"/>
  <c r="D613" i="17"/>
  <c r="CV616" i="17"/>
  <c r="CV621" i="17"/>
  <c r="CZ650" i="17"/>
  <c r="D650" i="17"/>
  <c r="T654" i="17"/>
  <c r="D654" i="17"/>
  <c r="CY660" i="17"/>
  <c r="T660" i="17"/>
  <c r="D660" i="17"/>
  <c r="DD716" i="17"/>
  <c r="T728" i="17"/>
  <c r="DG728" i="17"/>
  <c r="U728" i="17"/>
  <c r="CX728" i="17"/>
  <c r="DF728" i="17"/>
  <c r="AY728" i="17"/>
  <c r="AZ728" i="17"/>
  <c r="BA728" i="17"/>
  <c r="D728" i="17"/>
  <c r="DQ775" i="17"/>
  <c r="DG761" i="17"/>
  <c r="DI761" i="17"/>
  <c r="DR775" i="17"/>
  <c r="D761" i="17"/>
  <c r="D787" i="17"/>
  <c r="DY787" i="17"/>
  <c r="L109" i="17"/>
  <c r="J12" i="17"/>
  <c r="D12" i="17"/>
  <c r="D21" i="17"/>
  <c r="AN30" i="17"/>
  <c r="AO30" i="17"/>
  <c r="AS73" i="17"/>
  <c r="AS84" i="17"/>
  <c r="AS105" i="17"/>
  <c r="D150" i="17"/>
  <c r="D153" i="17"/>
  <c r="M167" i="17"/>
  <c r="D208" i="17"/>
  <c r="J21" i="17"/>
  <c r="AQ58" i="17"/>
  <c r="AR58" i="17"/>
  <c r="AQ76" i="17"/>
  <c r="X76" i="17"/>
  <c r="AQ101" i="17"/>
  <c r="X101" i="17"/>
  <c r="M113" i="17"/>
  <c r="L113" i="17"/>
  <c r="L119" i="17"/>
  <c r="M135" i="17"/>
  <c r="M153" i="17"/>
  <c r="N167" i="17"/>
  <c r="D175" i="17"/>
  <c r="D245" i="17"/>
  <c r="AJ12" i="17"/>
  <c r="X12" i="17"/>
  <c r="AQ51" i="17"/>
  <c r="AR51" i="17"/>
  <c r="J74" i="17"/>
  <c r="BJ227" i="17"/>
  <c r="AT82" i="17"/>
  <c r="X82" i="17"/>
  <c r="AU105" i="17"/>
  <c r="AT109" i="17"/>
  <c r="X109" i="17"/>
  <c r="D113" i="17"/>
  <c r="M150" i="17"/>
  <c r="N153" i="17"/>
  <c r="N164" i="17"/>
  <c r="D164" i="17"/>
  <c r="M164" i="17"/>
  <c r="BG192" i="17"/>
  <c r="BG821" i="17"/>
  <c r="BI208" i="17"/>
  <c r="X208" i="17"/>
  <c r="D251" i="17"/>
  <c r="BO265" i="17"/>
  <c r="BS820" i="17"/>
  <c r="X282" i="17"/>
  <c r="BU305" i="17"/>
  <c r="D341" i="17"/>
  <c r="BW341" i="17"/>
  <c r="X357" i="17"/>
  <c r="D368" i="17"/>
  <c r="BZ368" i="17"/>
  <c r="BW394" i="17"/>
  <c r="CD406" i="17"/>
  <c r="CL472" i="17"/>
  <c r="X472" i="17"/>
  <c r="D478" i="17"/>
  <c r="CN498" i="17"/>
  <c r="CO511" i="17"/>
  <c r="CP530" i="17"/>
  <c r="D530" i="17"/>
  <c r="Q530" i="17"/>
  <c r="CP539" i="17"/>
  <c r="Q539" i="17"/>
  <c r="D539" i="17"/>
  <c r="R539" i="17"/>
  <c r="CR551" i="17"/>
  <c r="CS551" i="17"/>
  <c r="S592" i="17"/>
  <c r="D592" i="17"/>
  <c r="CV597" i="17"/>
  <c r="CY616" i="17"/>
  <c r="CW621" i="17"/>
  <c r="CZ654" i="17"/>
  <c r="DA654" i="17"/>
  <c r="CZ660" i="17"/>
  <c r="DB660" i="17"/>
  <c r="DC683" i="17"/>
  <c r="T683" i="17"/>
  <c r="DB683" i="17"/>
  <c r="DC709" i="17"/>
  <c r="DD709" i="17"/>
  <c r="D709" i="17"/>
  <c r="S728" i="17"/>
  <c r="U761" i="17"/>
  <c r="DF775" i="17"/>
  <c r="DV787" i="17"/>
  <c r="DZ788" i="17"/>
  <c r="T689" i="17"/>
  <c r="DB689" i="17"/>
  <c r="DG756" i="17"/>
  <c r="DI756" i="17"/>
  <c r="U756" i="17"/>
  <c r="D763" i="17"/>
  <c r="BN247" i="17"/>
  <c r="D247" i="17"/>
  <c r="CB369" i="17"/>
  <c r="X369" i="17"/>
  <c r="CF412" i="17"/>
  <c r="CF820" i="17"/>
  <c r="CD820" i="17"/>
  <c r="P495" i="17"/>
  <c r="D495" i="17"/>
  <c r="CJ500" i="17"/>
  <c r="D500" i="17"/>
  <c r="P602" i="17"/>
  <c r="CX602" i="17"/>
  <c r="CB602" i="17"/>
  <c r="D689" i="17"/>
  <c r="D756" i="17"/>
  <c r="DH763" i="17"/>
  <c r="DI763" i="17"/>
  <c r="DY781" i="17"/>
  <c r="DV789" i="17"/>
  <c r="DY789" i="17"/>
  <c r="D789" i="17"/>
  <c r="CJ445" i="17"/>
  <c r="P445" i="17"/>
  <c r="CL450" i="17"/>
  <c r="X450" i="17"/>
  <c r="D485" i="17"/>
  <c r="BQ485" i="17"/>
  <c r="P500" i="17"/>
  <c r="CN518" i="17"/>
  <c r="D518" i="17"/>
  <c r="D536" i="17"/>
  <c r="S588" i="17"/>
  <c r="D588" i="17"/>
  <c r="CV588" i="17"/>
  <c r="CR588" i="17"/>
  <c r="D602" i="17"/>
  <c r="R602" i="17"/>
  <c r="R822" i="17" s="1"/>
  <c r="P67" i="19" s="1"/>
  <c r="P69" i="19" s="1"/>
  <c r="S632" i="17"/>
  <c r="T667" i="17"/>
  <c r="D667" i="17"/>
  <c r="CZ667" i="17"/>
  <c r="DB667" i="17"/>
  <c r="DC689" i="17"/>
  <c r="DD689" i="17"/>
  <c r="EA797" i="17"/>
  <c r="DV797" i="17"/>
  <c r="D797" i="17"/>
  <c r="DZ797" i="17"/>
  <c r="BL243" i="17"/>
  <c r="BM243" i="17"/>
  <c r="BO243" i="17"/>
  <c r="D243" i="17"/>
  <c r="D297" i="17"/>
  <c r="BU297" i="17"/>
  <c r="BN297" i="17"/>
  <c r="BV354" i="17"/>
  <c r="BZ354" i="17"/>
  <c r="CA354" i="17"/>
  <c r="X354" i="17"/>
  <c r="D397" i="17"/>
  <c r="CM469" i="17"/>
  <c r="X469" i="17"/>
  <c r="CM504" i="17"/>
  <c r="CO504" i="17"/>
  <c r="D509" i="17"/>
  <c r="Q509" i="17"/>
  <c r="CQ554" i="17"/>
  <c r="D554" i="17"/>
  <c r="CT579" i="17"/>
  <c r="D579" i="17"/>
  <c r="R589" i="17"/>
  <c r="CU589" i="17"/>
  <c r="R603" i="17"/>
  <c r="S603" i="17"/>
  <c r="CL603" i="17"/>
  <c r="CX603" i="17"/>
  <c r="CK603" i="17"/>
  <c r="S619" i="17"/>
  <c r="D619" i="17"/>
  <c r="S686" i="17"/>
  <c r="CV686" i="17"/>
  <c r="DC686" i="17"/>
  <c r="CU686" i="17"/>
  <c r="D686" i="17"/>
  <c r="DD701" i="17"/>
  <c r="T701" i="17"/>
  <c r="S701" i="17"/>
  <c r="DD706" i="17"/>
  <c r="T706" i="17"/>
  <c r="CV706" i="17"/>
  <c r="U712" i="17"/>
  <c r="T712" i="17"/>
  <c r="D712" i="17"/>
  <c r="D724" i="17"/>
  <c r="DD724" i="17"/>
  <c r="DF724" i="17"/>
  <c r="DF824" i="17"/>
  <c r="U724" i="17"/>
  <c r="DJ772" i="17"/>
  <c r="DI772" i="17"/>
  <c r="DN772" i="17"/>
  <c r="DN824" i="17"/>
  <c r="DN825" i="17"/>
  <c r="DM772" i="17"/>
  <c r="D772" i="17"/>
  <c r="DV799" i="17"/>
  <c r="EA799" i="17"/>
  <c r="DU799" i="17"/>
  <c r="DZ799" i="17"/>
  <c r="D799" i="17"/>
  <c r="BR268" i="17"/>
  <c r="D268" i="17"/>
  <c r="J41" i="17"/>
  <c r="D68" i="17"/>
  <c r="AU821" i="17"/>
  <c r="D96" i="17"/>
  <c r="AS96" i="17"/>
  <c r="X96" i="17"/>
  <c r="D133" i="17"/>
  <c r="AY145" i="17"/>
  <c r="D162" i="17"/>
  <c r="AR165" i="17"/>
  <c r="X165" i="17"/>
  <c r="BL233" i="17"/>
  <c r="D233" i="17"/>
  <c r="BS274" i="17"/>
  <c r="X274" i="17"/>
  <c r="BM297" i="17"/>
  <c r="D333" i="17"/>
  <c r="BU397" i="17"/>
  <c r="BV397" i="17"/>
  <c r="CC397" i="17"/>
  <c r="D452" i="17"/>
  <c r="CL456" i="17"/>
  <c r="X456" i="17"/>
  <c r="CK470" i="17"/>
  <c r="D470" i="17"/>
  <c r="P470" i="17"/>
  <c r="D475" i="17"/>
  <c r="P475" i="17"/>
  <c r="P481" i="17"/>
  <c r="CK481" i="17"/>
  <c r="CN505" i="17"/>
  <c r="Q505" i="17"/>
  <c r="D505" i="17"/>
  <c r="CO510" i="17"/>
  <c r="CI510" i="17"/>
  <c r="R542" i="17"/>
  <c r="CL542" i="17"/>
  <c r="CM542" i="17"/>
  <c r="CQ542" i="17"/>
  <c r="R554" i="17"/>
  <c r="Q559" i="17"/>
  <c r="P559" i="17"/>
  <c r="CK559" i="17"/>
  <c r="X569" i="17"/>
  <c r="CR575" i="17"/>
  <c r="CU575" i="17"/>
  <c r="R579" i="17"/>
  <c r="D589" i="17"/>
  <c r="D603" i="17"/>
  <c r="CW619" i="17"/>
  <c r="CX619" i="17"/>
  <c r="CX823" i="17"/>
  <c r="S647" i="17"/>
  <c r="DA647" i="17"/>
  <c r="CW647" i="17"/>
  <c r="D647" i="17"/>
  <c r="CZ647" i="17"/>
  <c r="D652" i="17"/>
  <c r="S652" i="17"/>
  <c r="R652" i="17"/>
  <c r="CZ652" i="17"/>
  <c r="CS652" i="17"/>
  <c r="R686" i="17"/>
  <c r="D701" i="17"/>
  <c r="D706" i="17"/>
  <c r="DC712" i="17"/>
  <c r="DE712" i="17"/>
  <c r="U732" i="17"/>
  <c r="D765" i="17"/>
  <c r="K41" i="17"/>
  <c r="D49" i="17"/>
  <c r="D91" i="17"/>
  <c r="L96" i="17"/>
  <c r="AT100" i="17"/>
  <c r="K100" i="17"/>
  <c r="L138" i="17"/>
  <c r="D145" i="17"/>
  <c r="BN263" i="17"/>
  <c r="BS263" i="17"/>
  <c r="D355" i="17"/>
  <c r="BU355" i="17"/>
  <c r="BZ360" i="17"/>
  <c r="X360" i="17"/>
  <c r="D391" i="17"/>
  <c r="P452" i="17"/>
  <c r="D481" i="17"/>
  <c r="D510" i="17"/>
  <c r="D542" i="17"/>
  <c r="D559" i="17"/>
  <c r="D575" i="17"/>
  <c r="S589" i="17"/>
  <c r="P603" i="17"/>
  <c r="CV607" i="17"/>
  <c r="CX607" i="17"/>
  <c r="D607" i="17"/>
  <c r="CX634" i="17"/>
  <c r="CY634" i="17"/>
  <c r="D634" i="17"/>
  <c r="T647" i="17"/>
  <c r="T652" i="17"/>
  <c r="T686" i="17"/>
  <c r="CY701" i="17"/>
  <c r="S706" i="17"/>
  <c r="DD713" i="17"/>
  <c r="DE713" i="17"/>
  <c r="U713" i="17"/>
  <c r="D713" i="17"/>
  <c r="DE732" i="17"/>
  <c r="DF732" i="17"/>
  <c r="U750" i="17"/>
  <c r="DG750" i="17"/>
  <c r="DH750" i="17"/>
  <c r="D354" i="17"/>
  <c r="D364" i="17"/>
  <c r="BV364" i="17"/>
  <c r="D417" i="17"/>
  <c r="BW417" i="17"/>
  <c r="CK455" i="17"/>
  <c r="D455" i="17"/>
  <c r="CQ562" i="17"/>
  <c r="CR562" i="17"/>
  <c r="R562" i="17"/>
  <c r="CX610" i="17"/>
  <c r="CX824" i="17"/>
  <c r="CW610" i="17"/>
  <c r="D657" i="17"/>
  <c r="T657" i="17"/>
  <c r="S794" i="17"/>
  <c r="CZ794" i="17"/>
  <c r="U794" i="17"/>
  <c r="T794" i="17"/>
  <c r="CY794" i="17"/>
  <c r="AZ146" i="17"/>
  <c r="M146" i="17"/>
  <c r="N152" i="17"/>
  <c r="BM242" i="17"/>
  <c r="X242" i="17"/>
  <c r="D308" i="17"/>
  <c r="BU308" i="17"/>
  <c r="BW349" i="17"/>
  <c r="BY349" i="17"/>
  <c r="D349" i="17"/>
  <c r="D382" i="17"/>
  <c r="CA382" i="17"/>
  <c r="CJ441" i="17"/>
  <c r="P441" i="17"/>
  <c r="P455" i="17"/>
  <c r="Q516" i="17"/>
  <c r="D541" i="17"/>
  <c r="CP541" i="17"/>
  <c r="R541" i="17"/>
  <c r="S581" i="17"/>
  <c r="CT581" i="17"/>
  <c r="R610" i="17"/>
  <c r="S630" i="17"/>
  <c r="D669" i="17"/>
  <c r="CZ669" i="17"/>
  <c r="DC669" i="17"/>
  <c r="S669" i="17"/>
  <c r="DE721" i="17"/>
  <c r="DF721" i="17"/>
  <c r="DG746" i="17"/>
  <c r="U746" i="17"/>
  <c r="D746" i="17"/>
  <c r="DW783" i="17"/>
  <c r="DW824" i="17"/>
  <c r="D783" i="17"/>
  <c r="DZ794" i="17"/>
  <c r="DZ824" i="17"/>
  <c r="DS824" i="17"/>
  <c r="BN218" i="17"/>
  <c r="BO239" i="17"/>
  <c r="BL239" i="17"/>
  <c r="BM239" i="17"/>
  <c r="X248" i="17"/>
  <c r="X302" i="17"/>
  <c r="X408" i="17"/>
  <c r="D413" i="17"/>
  <c r="CD413" i="17"/>
  <c r="CD451" i="17"/>
  <c r="CE451" i="17"/>
  <c r="CK473" i="17"/>
  <c r="P473" i="17"/>
  <c r="X553" i="17"/>
  <c r="CU567" i="17"/>
  <c r="X567" i="17"/>
  <c r="T653" i="17"/>
  <c r="CT653" i="17"/>
  <c r="R653" i="17"/>
  <c r="D653" i="17"/>
  <c r="CV675" i="17"/>
  <c r="S675" i="17"/>
  <c r="CS722" i="17"/>
  <c r="S722" i="17"/>
  <c r="D722" i="17"/>
  <c r="T722" i="17"/>
  <c r="CT722" i="17"/>
  <c r="R722" i="17"/>
  <c r="DQ773" i="17"/>
  <c r="DJ773" i="17"/>
  <c r="DM773" i="17"/>
  <c r="DP773" i="17"/>
  <c r="DP824" i="17"/>
  <c r="DP825" i="17"/>
  <c r="D773" i="17"/>
  <c r="DG753" i="17"/>
  <c r="DI753" i="17"/>
  <c r="U753" i="17"/>
  <c r="DT796" i="17"/>
  <c r="EA796" i="17"/>
  <c r="EA821" i="17"/>
  <c r="D796" i="17"/>
  <c r="DS796" i="17"/>
  <c r="DS821" i="17"/>
  <c r="U741" i="17"/>
  <c r="DF741" i="17"/>
  <c r="DG741" i="17"/>
  <c r="U760" i="17"/>
  <c r="DD760" i="17"/>
  <c r="AL73" i="17"/>
  <c r="AM73" i="17"/>
  <c r="X236" i="17"/>
  <c r="BP250" i="17"/>
  <c r="BM250" i="17"/>
  <c r="BR371" i="17"/>
  <c r="BS371" i="17"/>
  <c r="CB371" i="17"/>
  <c r="CC410" i="17"/>
  <c r="D410" i="17"/>
  <c r="R555" i="17"/>
  <c r="CS555" i="17"/>
  <c r="CK555" i="17"/>
  <c r="CL555" i="17"/>
  <c r="CR555" i="17"/>
  <c r="D574" i="17"/>
  <c r="R574" i="17"/>
  <c r="CS574" i="17"/>
  <c r="CU574" i="17"/>
  <c r="DB672" i="17"/>
  <c r="DC672" i="17"/>
  <c r="D672" i="17"/>
  <c r="S672" i="17"/>
  <c r="CY672" i="17"/>
  <c r="T697" i="17"/>
  <c r="D697" i="17"/>
  <c r="U707" i="17"/>
  <c r="D707" i="17"/>
  <c r="DB707" i="17"/>
  <c r="DD707" i="17"/>
  <c r="T707" i="17"/>
  <c r="U737" i="17"/>
  <c r="DF737" i="17"/>
  <c r="D737" i="17"/>
  <c r="D493" i="17"/>
  <c r="Q493" i="17"/>
  <c r="CM497" i="17"/>
  <c r="D497" i="17"/>
  <c r="DD710" i="17"/>
  <c r="DE710" i="17"/>
  <c r="U710" i="17"/>
  <c r="DH824" i="17"/>
  <c r="D782" i="17"/>
  <c r="DR782" i="17"/>
  <c r="DW782" i="17"/>
  <c r="DW822" i="17"/>
  <c r="EA800" i="17"/>
  <c r="D800" i="17"/>
  <c r="EB800" i="17"/>
  <c r="EB824" i="17"/>
  <c r="X323" i="17"/>
  <c r="Q538" i="17"/>
  <c r="R538" i="17"/>
  <c r="P538" i="17"/>
  <c r="D577" i="17"/>
  <c r="R577" i="17"/>
  <c r="CQ577" i="17"/>
  <c r="CY645" i="17"/>
  <c r="CZ645" i="17"/>
  <c r="CX645" i="17"/>
  <c r="DA645" i="17"/>
  <c r="T658" i="17"/>
  <c r="D658" i="17"/>
  <c r="CW677" i="17"/>
  <c r="DC677" i="17"/>
  <c r="D677" i="17"/>
  <c r="S677" i="17"/>
  <c r="CX717" i="17"/>
  <c r="DF717" i="17"/>
  <c r="S717" i="17"/>
  <c r="D743" i="17"/>
  <c r="U743" i="17"/>
  <c r="D755" i="17"/>
  <c r="X277" i="17"/>
  <c r="AK447" i="17"/>
  <c r="AJ447" i="17"/>
  <c r="D590" i="17"/>
  <c r="CU590" i="17"/>
  <c r="CW594" i="17"/>
  <c r="CU594" i="17"/>
  <c r="D664" i="17"/>
  <c r="CY664" i="17"/>
  <c r="DB664" i="17"/>
  <c r="CU674" i="17"/>
  <c r="R674" i="17"/>
  <c r="DB674" i="17"/>
  <c r="DD688" i="17"/>
  <c r="X688" i="17"/>
  <c r="T688" i="17"/>
  <c r="D688" i="17"/>
  <c r="DH768" i="17"/>
  <c r="DJ768" i="17"/>
  <c r="U768" i="17"/>
  <c r="D398" i="17"/>
  <c r="CD398" i="17"/>
  <c r="P439" i="17"/>
  <c r="AF447" i="17"/>
  <c r="P464" i="17"/>
  <c r="CK464" i="17"/>
  <c r="R543" i="17"/>
  <c r="Q543" i="17"/>
  <c r="CT570" i="17"/>
  <c r="R570" i="17"/>
  <c r="X578" i="17"/>
  <c r="S609" i="17"/>
  <c r="CX609" i="17"/>
  <c r="X609" i="17"/>
  <c r="CY620" i="17"/>
  <c r="D620" i="17"/>
  <c r="CR620" i="17"/>
  <c r="CY628" i="17"/>
  <c r="CX628" i="17"/>
  <c r="DB680" i="17"/>
  <c r="DC680" i="17"/>
  <c r="D680" i="17"/>
  <c r="DD853" i="17"/>
  <c r="DE853" i="17"/>
  <c r="U730" i="17"/>
  <c r="D770" i="17"/>
  <c r="DG770" i="17"/>
  <c r="DI770" i="17"/>
  <c r="D817" i="17"/>
  <c r="BV817" i="17"/>
  <c r="BZ817" i="17"/>
  <c r="X386" i="17"/>
  <c r="P546" i="17"/>
  <c r="CJ546" i="17"/>
  <c r="X546" i="17"/>
  <c r="CU583" i="17"/>
  <c r="CV583" i="17"/>
  <c r="D583" i="17"/>
  <c r="DC695" i="17"/>
  <c r="DD695" i="17"/>
  <c r="D695" i="17"/>
  <c r="U762" i="17"/>
  <c r="DG762" i="17"/>
  <c r="DH762" i="17"/>
  <c r="DI762" i="17"/>
  <c r="D762" i="17"/>
  <c r="DU816" i="17"/>
  <c r="X816" i="17"/>
  <c r="AE827" i="17"/>
  <c r="EF825" i="17"/>
  <c r="R545" i="17"/>
  <c r="CJ545" i="17"/>
  <c r="R586" i="17"/>
  <c r="CV586" i="17"/>
  <c r="CU617" i="17"/>
  <c r="CY617" i="17"/>
  <c r="T642" i="17"/>
  <c r="R642" i="17"/>
  <c r="D642" i="17"/>
  <c r="CT642" i="17"/>
  <c r="DF776" i="17"/>
  <c r="DG776" i="17"/>
  <c r="U776" i="17"/>
  <c r="DZ791" i="17"/>
  <c r="DY791" i="17"/>
  <c r="DT822" i="17"/>
  <c r="DG745" i="17"/>
  <c r="D745" i="17"/>
  <c r="AP827" i="17"/>
  <c r="AQ827" i="17"/>
  <c r="ED825" i="17"/>
  <c r="D704" i="17"/>
  <c r="D708" i="17"/>
  <c r="T708" i="17"/>
  <c r="DE708" i="17"/>
  <c r="AC841" i="17"/>
  <c r="CZ651" i="17"/>
  <c r="DA802" i="17"/>
  <c r="T802" i="17"/>
  <c r="DF718" i="17"/>
  <c r="DC718" i="17"/>
  <c r="U754" i="17"/>
  <c r="D754" i="17"/>
  <c r="EG825" i="17"/>
  <c r="T690" i="17"/>
  <c r="DR784" i="17"/>
  <c r="DW784" i="17"/>
  <c r="DW821" i="17"/>
  <c r="D784" i="17"/>
  <c r="AH828" i="17"/>
  <c r="AG841" i="17"/>
  <c r="DA687" i="17"/>
  <c r="X687" i="17"/>
  <c r="Z830" i="17"/>
  <c r="AA830" i="17"/>
  <c r="Z831" i="17"/>
  <c r="AA831" i="17"/>
  <c r="AD829" i="17"/>
  <c r="AD844" i="17"/>
  <c r="AD39" i="16"/>
  <c r="AD37" i="16"/>
  <c r="K818" i="17"/>
  <c r="X380" i="17"/>
  <c r="J818" i="17"/>
  <c r="M823" i="17"/>
  <c r="X658" i="17"/>
  <c r="DR820" i="17"/>
  <c r="X295" i="17"/>
  <c r="X267" i="17"/>
  <c r="X409" i="17"/>
  <c r="DY821" i="17"/>
  <c r="X276" i="17"/>
  <c r="BF824" i="17"/>
  <c r="X471" i="17"/>
  <c r="X514" i="17"/>
  <c r="X391" i="17"/>
  <c r="X426" i="17"/>
  <c r="X653" i="17"/>
  <c r="X605" i="17"/>
  <c r="DJ822" i="17"/>
  <c r="EA824" i="17"/>
  <c r="X545" i="17"/>
  <c r="X343" i="17"/>
  <c r="DS822" i="17"/>
  <c r="DS825" i="17"/>
  <c r="CH824" i="17"/>
  <c r="X527" i="17"/>
  <c r="AN823" i="17"/>
  <c r="AR820" i="17"/>
  <c r="AR827" i="17"/>
  <c r="AS827" i="17"/>
  <c r="AT827" i="17"/>
  <c r="AU827" i="17"/>
  <c r="AV827" i="17"/>
  <c r="AW827" i="17"/>
  <c r="DB692" i="17"/>
  <c r="DB820" i="17"/>
  <c r="AS824" i="17"/>
  <c r="X255" i="17"/>
  <c r="BU363" i="17"/>
  <c r="BZ363" i="17"/>
  <c r="X363" i="17"/>
  <c r="AR823" i="17"/>
  <c r="X19" i="17"/>
  <c r="X586" i="17"/>
  <c r="BS301" i="17"/>
  <c r="BU301" i="17"/>
  <c r="L823" i="17"/>
  <c r="X102" i="17"/>
  <c r="X467" i="17"/>
  <c r="CK820" i="17"/>
  <c r="X338" i="17"/>
  <c r="X434" i="17"/>
  <c r="DX785" i="17"/>
  <c r="DX820" i="17"/>
  <c r="DX825" i="17"/>
  <c r="J824" i="17"/>
  <c r="X598" i="17"/>
  <c r="X538" i="17"/>
  <c r="X600" i="17"/>
  <c r="X615" i="17"/>
  <c r="AP821" i="17"/>
  <c r="AP828" i="17"/>
  <c r="X651" i="17"/>
  <c r="BF821" i="17"/>
  <c r="CO823" i="17"/>
  <c r="CO820" i="17"/>
  <c r="CO827" i="17" s="1"/>
  <c r="CB824" i="17"/>
  <c r="X237" i="17"/>
  <c r="AX820" i="17"/>
  <c r="BE821" i="17"/>
  <c r="DQ777" i="17"/>
  <c r="DQ821" i="17"/>
  <c r="AY152" i="17"/>
  <c r="AZ152" i="17"/>
  <c r="AZ822" i="17"/>
  <c r="X523" i="17"/>
  <c r="X249" i="17"/>
  <c r="BM830" i="17"/>
  <c r="BN830" i="17"/>
  <c r="BO830" i="17"/>
  <c r="BP830" i="17"/>
  <c r="BQ830" i="17"/>
  <c r="BR830" i="17"/>
  <c r="BS830" i="17"/>
  <c r="BT830" i="17"/>
  <c r="X296" i="17"/>
  <c r="AY116" i="17"/>
  <c r="AY824" i="17"/>
  <c r="AX824" i="17"/>
  <c r="X517" i="17"/>
  <c r="CB820" i="17"/>
  <c r="X337" i="17"/>
  <c r="DQ824" i="17"/>
  <c r="X113" i="17"/>
  <c r="X128" i="17"/>
  <c r="DI821" i="17"/>
  <c r="X599" i="17"/>
  <c r="X346" i="17"/>
  <c r="DD820" i="17"/>
  <c r="X74" i="17"/>
  <c r="X138" i="17"/>
  <c r="X327" i="17"/>
  <c r="P820" i="17"/>
  <c r="BX820" i="17"/>
  <c r="X457" i="17"/>
  <c r="X198" i="17"/>
  <c r="CN823" i="17"/>
  <c r="CJ433" i="17"/>
  <c r="X433" i="17"/>
  <c r="CQ823" i="17"/>
  <c r="X642" i="17"/>
  <c r="BU823" i="17"/>
  <c r="BC821" i="17"/>
  <c r="BW821" i="17"/>
  <c r="P61" i="16"/>
  <c r="P63" i="16"/>
  <c r="P65" i="16"/>
  <c r="S818" i="17"/>
  <c r="X628" i="17"/>
  <c r="BT821" i="17"/>
  <c r="X638" i="17"/>
  <c r="X793" i="17"/>
  <c r="J821" i="17"/>
  <c r="X49" i="17"/>
  <c r="AZ824" i="17"/>
  <c r="X718" i="17"/>
  <c r="N821" i="17"/>
  <c r="X683" i="17"/>
  <c r="X672" i="17"/>
  <c r="X340" i="17"/>
  <c r="X652" i="17"/>
  <c r="L824" i="17"/>
  <c r="X158" i="17"/>
  <c r="CO822" i="17"/>
  <c r="X164" i="17"/>
  <c r="CZ822" i="17"/>
  <c r="X513" i="17"/>
  <c r="DI822" i="17"/>
  <c r="EB822" i="17"/>
  <c r="EB825" i="17"/>
  <c r="DF820" i="17"/>
  <c r="X610" i="17"/>
  <c r="BH822" i="17"/>
  <c r="X817" i="17"/>
  <c r="BQ822" i="17"/>
  <c r="DJ824" i="17"/>
  <c r="X143" i="17"/>
  <c r="T820" i="17"/>
  <c r="X608" i="17"/>
  <c r="CY823" i="17"/>
  <c r="AR42" i="17"/>
  <c r="AR824" i="17"/>
  <c r="AR831" i="17"/>
  <c r="AT73" i="17"/>
  <c r="X73" i="17"/>
  <c r="X306" i="17"/>
  <c r="DD822" i="17"/>
  <c r="X675" i="17"/>
  <c r="X783" i="17"/>
  <c r="CQ821" i="17"/>
  <c r="X148" i="17"/>
  <c r="T821" i="17"/>
  <c r="AS822" i="17"/>
  <c r="AX821" i="17"/>
  <c r="CD824" i="17"/>
  <c r="DC821" i="17"/>
  <c r="DQ822" i="17"/>
  <c r="X501" i="17"/>
  <c r="M821" i="17"/>
  <c r="X168" i="17"/>
  <c r="K821" i="17"/>
  <c r="X402" i="17"/>
  <c r="X122" i="17"/>
  <c r="CY820" i="17"/>
  <c r="L821" i="17"/>
  <c r="DW825" i="17"/>
  <c r="DG820" i="17"/>
  <c r="AD841" i="17"/>
  <c r="AD842" i="17"/>
  <c r="X791" i="17"/>
  <c r="DE824" i="17"/>
  <c r="X451" i="17"/>
  <c r="X617" i="17"/>
  <c r="T823" i="17"/>
  <c r="CP820" i="17"/>
  <c r="X620" i="17"/>
  <c r="X773" i="17"/>
  <c r="BO297" i="17"/>
  <c r="X297" i="17"/>
  <c r="X161" i="17"/>
  <c r="AL21" i="17"/>
  <c r="X21" i="17"/>
  <c r="CX822" i="17"/>
  <c r="CS821" i="17"/>
  <c r="BL222" i="17"/>
  <c r="BL820" i="17"/>
  <c r="X800" i="17"/>
  <c r="N818" i="17"/>
  <c r="P824" i="17"/>
  <c r="X633" i="17"/>
  <c r="X156" i="17"/>
  <c r="CY822" i="17"/>
  <c r="P821" i="17"/>
  <c r="Q818" i="17"/>
  <c r="DA821" i="17"/>
  <c r="N822" i="17"/>
  <c r="AX822" i="17"/>
  <c r="DC823" i="17"/>
  <c r="BR485" i="17"/>
  <c r="X485" i="17"/>
  <c r="DD824" i="17"/>
  <c r="CL820" i="17"/>
  <c r="CQ820" i="17"/>
  <c r="X575" i="17"/>
  <c r="DB822" i="17"/>
  <c r="X789" i="17"/>
  <c r="CY821" i="17"/>
  <c r="CF822" i="17"/>
  <c r="R823" i="17"/>
  <c r="J822" i="17"/>
  <c r="X349" i="17"/>
  <c r="Q824" i="17"/>
  <c r="DZ822" i="17"/>
  <c r="X192" i="17"/>
  <c r="DG824" i="17"/>
  <c r="K822" i="17"/>
  <c r="X565" i="17"/>
  <c r="DD821" i="17"/>
  <c r="X218" i="17"/>
  <c r="AJ822" i="17"/>
  <c r="AJ829" i="17"/>
  <c r="DE822" i="17"/>
  <c r="U824" i="17"/>
  <c r="Q823" i="17"/>
  <c r="BY821" i="17"/>
  <c r="X209" i="17"/>
  <c r="L818" i="17"/>
  <c r="CL824" i="17"/>
  <c r="DD823" i="17"/>
  <c r="T818" i="17"/>
  <c r="R821" i="17"/>
  <c r="X315" i="17"/>
  <c r="S823" i="17"/>
  <c r="X588" i="17"/>
  <c r="X483" i="17"/>
  <c r="R820" i="17"/>
  <c r="X121" i="17"/>
  <c r="P818" i="17"/>
  <c r="DA822" i="17"/>
  <c r="M822" i="17"/>
  <c r="BM821" i="17"/>
  <c r="X528" i="17"/>
  <c r="X674" i="17"/>
  <c r="X784" i="17"/>
  <c r="X70" i="17"/>
  <c r="X384" i="17"/>
  <c r="X797" i="17"/>
  <c r="DI824" i="17"/>
  <c r="S820" i="17"/>
  <c r="BN821" i="17"/>
  <c r="Q822" i="17"/>
  <c r="DH822" i="17"/>
  <c r="X573" i="17"/>
  <c r="DI823" i="17"/>
  <c r="CJ824" i="17"/>
  <c r="CK438" i="17"/>
  <c r="X419" i="17"/>
  <c r="CJ432" i="17"/>
  <c r="X432" i="17"/>
  <c r="BS273" i="17"/>
  <c r="X273" i="17"/>
  <c r="DH745" i="17"/>
  <c r="DH820" i="17"/>
  <c r="BS265" i="17"/>
  <c r="DC660" i="17"/>
  <c r="DC822" i="17"/>
  <c r="CN820" i="17"/>
  <c r="X593" i="17"/>
  <c r="CG416" i="17"/>
  <c r="X416" i="17"/>
  <c r="CB367" i="17"/>
  <c r="CK448" i="17"/>
  <c r="X448" i="17"/>
  <c r="X465" i="17"/>
  <c r="S821" i="17"/>
  <c r="BP254" i="17"/>
  <c r="X254" i="17"/>
  <c r="BO263" i="17"/>
  <c r="X263" i="17"/>
  <c r="CR542" i="17"/>
  <c r="X542" i="17"/>
  <c r="DM824" i="17"/>
  <c r="DM825" i="17"/>
  <c r="CE394" i="17"/>
  <c r="DB659" i="17"/>
  <c r="DB824" i="17"/>
  <c r="X348" i="17"/>
  <c r="CG824" i="17"/>
  <c r="CV580" i="17"/>
  <c r="X580" i="17"/>
  <c r="BU287" i="17"/>
  <c r="BU822" i="17"/>
  <c r="X512" i="17"/>
  <c r="CR548" i="17"/>
  <c r="X548" i="17"/>
  <c r="BC163" i="17"/>
  <c r="BC822" i="17"/>
  <c r="BL244" i="17"/>
  <c r="BL821" i="17"/>
  <c r="BH200" i="17"/>
  <c r="CU823" i="17"/>
  <c r="X594" i="17"/>
  <c r="X722" i="17"/>
  <c r="CV581" i="17"/>
  <c r="X581" i="17"/>
  <c r="CG417" i="17"/>
  <c r="BX417" i="17"/>
  <c r="CH417" i="17"/>
  <c r="CH822" i="17"/>
  <c r="X603" i="17"/>
  <c r="X787" i="17"/>
  <c r="CR539" i="17"/>
  <c r="X539" i="17"/>
  <c r="CZ821" i="17"/>
  <c r="BZ362" i="17"/>
  <c r="X362" i="17"/>
  <c r="CR529" i="17"/>
  <c r="X529" i="17"/>
  <c r="DU822" i="17"/>
  <c r="AQ66" i="17"/>
  <c r="X66" i="17"/>
  <c r="X151" i="17"/>
  <c r="X535" i="17"/>
  <c r="BJ214" i="17"/>
  <c r="BJ824" i="17"/>
  <c r="DT824" i="17"/>
  <c r="X786" i="17"/>
  <c r="CG413" i="17"/>
  <c r="CE413" i="17"/>
  <c r="CF413" i="17"/>
  <c r="CF821" i="17"/>
  <c r="BG197" i="17"/>
  <c r="X197" i="17"/>
  <c r="DG760" i="17"/>
  <c r="DG822" i="17"/>
  <c r="CR500" i="17"/>
  <c r="CL455" i="17"/>
  <c r="CL821" i="17"/>
  <c r="DC820" i="17"/>
  <c r="CW823" i="17"/>
  <c r="S822" i="17"/>
  <c r="AZ821" i="17"/>
  <c r="BA146" i="17"/>
  <c r="T822" i="17"/>
  <c r="X772" i="17"/>
  <c r="CX821" i="17"/>
  <c r="X412" i="17"/>
  <c r="X339" i="17"/>
  <c r="CN499" i="17"/>
  <c r="CN821" i="17"/>
  <c r="CP531" i="17"/>
  <c r="X531" i="17"/>
  <c r="CQ824" i="17"/>
  <c r="BI211" i="17"/>
  <c r="X211" i="17"/>
  <c r="AM25" i="17"/>
  <c r="AM822" i="17"/>
  <c r="BI207" i="17"/>
  <c r="X207" i="17"/>
  <c r="X140" i="17"/>
  <c r="X111" i="17"/>
  <c r="CC823" i="17"/>
  <c r="X424" i="17"/>
  <c r="CZ823" i="17"/>
  <c r="CZ824" i="17"/>
  <c r="DA650" i="17"/>
  <c r="DA824" i="17"/>
  <c r="BM233" i="17"/>
  <c r="X233" i="17"/>
  <c r="CQ530" i="17"/>
  <c r="X530" i="17"/>
  <c r="X621" i="17"/>
  <c r="CV584" i="17"/>
  <c r="X584" i="17"/>
  <c r="R824" i="17"/>
  <c r="X398" i="17"/>
  <c r="DU824" i="17"/>
  <c r="DZ796" i="17"/>
  <c r="X796" i="17"/>
  <c r="X794" i="17"/>
  <c r="CW596" i="17"/>
  <c r="X596" i="17"/>
  <c r="AI820" i="17"/>
  <c r="AK6" i="17"/>
  <c r="AK820" i="17"/>
  <c r="CN490" i="17"/>
  <c r="CN824" i="17"/>
  <c r="AY159" i="17"/>
  <c r="BA159" i="17"/>
  <c r="CM821" i="17"/>
  <c r="AJ821" i="17"/>
  <c r="AJ46" i="17"/>
  <c r="AK18" i="17"/>
  <c r="AK821" i="17"/>
  <c r="BK827" i="17"/>
  <c r="BZ824" i="17"/>
  <c r="X86" i="17"/>
  <c r="X289" i="17"/>
  <c r="AU824" i="17"/>
  <c r="AV106" i="17"/>
  <c r="AV824" i="17"/>
  <c r="CK445" i="17"/>
  <c r="X445" i="17"/>
  <c r="DB681" i="17"/>
  <c r="DB821" i="17"/>
  <c r="X536" i="17"/>
  <c r="X203" i="17"/>
  <c r="AK36" i="17"/>
  <c r="X36" i="17"/>
  <c r="CU820" i="17"/>
  <c r="CV590" i="17"/>
  <c r="CV820" i="17"/>
  <c r="X239" i="17"/>
  <c r="CJ510" i="17"/>
  <c r="X510" i="17"/>
  <c r="DY822" i="17"/>
  <c r="DL771" i="17"/>
  <c r="DL821" i="17"/>
  <c r="DL825" i="17"/>
  <c r="DK821" i="17"/>
  <c r="DK825" i="17"/>
  <c r="BQ256" i="17"/>
  <c r="BQ821" i="17"/>
  <c r="CU570" i="17"/>
  <c r="CR541" i="17"/>
  <c r="X541" i="17"/>
  <c r="BT318" i="17"/>
  <c r="X318" i="17"/>
  <c r="CC379" i="17"/>
  <c r="CC824" i="17"/>
  <c r="BV310" i="17"/>
  <c r="X310" i="17"/>
  <c r="BS370" i="17"/>
  <c r="BS824" i="17"/>
  <c r="CA353" i="17"/>
  <c r="X353" i="17"/>
  <c r="BW328" i="17"/>
  <c r="X328" i="17"/>
  <c r="CN497" i="17"/>
  <c r="X497" i="17"/>
  <c r="X555" i="17"/>
  <c r="AV100" i="17"/>
  <c r="AV823" i="17"/>
  <c r="CV589" i="17"/>
  <c r="X589" i="17"/>
  <c r="S824" i="17"/>
  <c r="CP522" i="17"/>
  <c r="BK240" i="17"/>
  <c r="BK821" i="17"/>
  <c r="CM479" i="17"/>
  <c r="X224" i="17"/>
  <c r="CA377" i="17"/>
  <c r="CA820" i="17"/>
  <c r="X475" i="17"/>
  <c r="CK436" i="17"/>
  <c r="X436" i="17"/>
  <c r="CN489" i="17"/>
  <c r="X489" i="17"/>
  <c r="BU824" i="17"/>
  <c r="BV313" i="17"/>
  <c r="BV824" i="17"/>
  <c r="AP822" i="17"/>
  <c r="CD821" i="17"/>
  <c r="X205" i="17"/>
  <c r="CL446" i="17"/>
  <c r="X446" i="17"/>
  <c r="AK16" i="17"/>
  <c r="X16" i="17"/>
  <c r="P822" i="17"/>
  <c r="CT821" i="17"/>
  <c r="CU571" i="17"/>
  <c r="X571" i="17"/>
  <c r="CS556" i="17"/>
  <c r="CN477" i="17"/>
  <c r="BA155" i="17"/>
  <c r="X155" i="17"/>
  <c r="AQ46" i="17"/>
  <c r="AR46" i="17"/>
  <c r="BF183" i="17"/>
  <c r="X183" i="17"/>
  <c r="X319" i="17"/>
  <c r="BD187" i="17"/>
  <c r="BG187" i="17"/>
  <c r="X298" i="17"/>
  <c r="X241" i="17"/>
  <c r="X321" i="17"/>
  <c r="X613" i="17"/>
  <c r="BW324" i="17"/>
  <c r="X324" i="17"/>
  <c r="CM481" i="17"/>
  <c r="X481" i="17"/>
  <c r="AY136" i="17"/>
  <c r="X136" i="17"/>
  <c r="CI427" i="17"/>
  <c r="CI823" i="17"/>
  <c r="BP247" i="17"/>
  <c r="X247" i="17"/>
  <c r="AE841" i="17"/>
  <c r="AF827" i="17"/>
  <c r="AF841" i="17"/>
  <c r="DR777" i="17"/>
  <c r="DR821" i="17"/>
  <c r="CB382" i="17"/>
  <c r="CB822" i="17"/>
  <c r="CQ518" i="17"/>
  <c r="X518" i="17"/>
  <c r="CE406" i="17"/>
  <c r="X406" i="17"/>
  <c r="X58" i="17"/>
  <c r="CP824" i="17"/>
  <c r="CE405" i="17"/>
  <c r="X405" i="17"/>
  <c r="CB375" i="17"/>
  <c r="AV112" i="17"/>
  <c r="AV822" i="17"/>
  <c r="X564" i="17"/>
  <c r="CK435" i="17"/>
  <c r="CJ435" i="17"/>
  <c r="BC823" i="17"/>
  <c r="BD174" i="17"/>
  <c r="BD823" i="17"/>
  <c r="AJ824" i="17"/>
  <c r="BR824" i="17"/>
  <c r="CF410" i="17"/>
  <c r="X410" i="17"/>
  <c r="CR554" i="17"/>
  <c r="X554" i="17"/>
  <c r="X602" i="17"/>
  <c r="BX400" i="17"/>
  <c r="BB728" i="17"/>
  <c r="BB821" i="17"/>
  <c r="X775" i="17"/>
  <c r="CO509" i="17"/>
  <c r="CO824" i="17"/>
  <c r="X488" i="17"/>
  <c r="X88" i="17"/>
  <c r="BU375" i="17"/>
  <c r="CC375" i="17"/>
  <c r="X487" i="17"/>
  <c r="CW824" i="17"/>
  <c r="CI822" i="17"/>
  <c r="DA823" i="17"/>
  <c r="BM231" i="17"/>
  <c r="BN231" i="17"/>
  <c r="BN822" i="17"/>
  <c r="BJ231" i="17"/>
  <c r="BJ822" i="17"/>
  <c r="BJ829" i="17"/>
  <c r="AJ823" i="17"/>
  <c r="AJ830" i="17"/>
  <c r="AK830" i="17"/>
  <c r="AL830" i="17"/>
  <c r="X32" i="17"/>
  <c r="CI824" i="17"/>
  <c r="AU823" i="17"/>
  <c r="AK42" i="17"/>
  <c r="AK824" i="17"/>
  <c r="AK831" i="17"/>
  <c r="AL831" i="17"/>
  <c r="AX166" i="17"/>
  <c r="BC166" i="17"/>
  <c r="BC824" i="17"/>
  <c r="BB166" i="17"/>
  <c r="BB824" i="17"/>
  <c r="BB831" i="17"/>
  <c r="X359" i="17"/>
  <c r="X396" i="17"/>
  <c r="AQ35" i="17"/>
  <c r="DF823" i="17"/>
  <c r="DG737" i="17"/>
  <c r="DG823" i="17"/>
  <c r="CA371" i="17"/>
  <c r="X371" i="17"/>
  <c r="BW364" i="17"/>
  <c r="X364" i="17"/>
  <c r="X243" i="17"/>
  <c r="CD399" i="17"/>
  <c r="X399" i="17"/>
  <c r="K823" i="17"/>
  <c r="CT558" i="17"/>
  <c r="CT823" i="17"/>
  <c r="BM229" i="17"/>
  <c r="X229" i="17"/>
  <c r="CH823" i="17"/>
  <c r="AQ47" i="17"/>
  <c r="AR47" i="17"/>
  <c r="N824" i="17"/>
  <c r="BV317" i="17"/>
  <c r="X317" i="17"/>
  <c r="CO505" i="17"/>
  <c r="CO821" i="17"/>
  <c r="DH761" i="17"/>
  <c r="BI204" i="17"/>
  <c r="X204" i="17"/>
  <c r="CK441" i="17"/>
  <c r="X441" i="17"/>
  <c r="T824" i="17"/>
  <c r="DR776" i="17"/>
  <c r="DR822" i="17"/>
  <c r="DJ762" i="17"/>
  <c r="U823" i="17"/>
  <c r="CA368" i="17"/>
  <c r="CA824" i="17"/>
  <c r="AT824" i="17"/>
  <c r="X511" i="17"/>
  <c r="M824" i="17"/>
  <c r="M818" i="17"/>
  <c r="CG418" i="17"/>
  <c r="X418" i="17"/>
  <c r="BB171" i="17"/>
  <c r="BC171" i="17"/>
  <c r="BF184" i="17"/>
  <c r="BE184" i="17"/>
  <c r="CG823" i="17"/>
  <c r="AW178" i="17"/>
  <c r="BD178" i="17"/>
  <c r="BY344" i="17"/>
  <c r="BZ344" i="17"/>
  <c r="BN250" i="17"/>
  <c r="BN824" i="17"/>
  <c r="CL470" i="17"/>
  <c r="X470" i="17"/>
  <c r="CR823" i="17"/>
  <c r="X544" i="17"/>
  <c r="BM227" i="17"/>
  <c r="BK227" i="17"/>
  <c r="BL227" i="17"/>
  <c r="BL822" i="17"/>
  <c r="X498" i="17"/>
  <c r="BP265" i="17"/>
  <c r="BR265" i="17"/>
  <c r="X342" i="17"/>
  <c r="X437" i="17"/>
  <c r="AO75" i="17"/>
  <c r="X75" i="17"/>
  <c r="X591" i="17"/>
  <c r="CG415" i="17"/>
  <c r="X415" i="17"/>
  <c r="DE821" i="17"/>
  <c r="BR290" i="17"/>
  <c r="X290" i="17"/>
  <c r="BB822" i="17"/>
  <c r="BK223" i="17"/>
  <c r="X223" i="17"/>
  <c r="CL462" i="17"/>
  <c r="X462" i="17"/>
  <c r="AK14" i="17"/>
  <c r="AL14" i="17"/>
  <c r="X574" i="17"/>
  <c r="AT64" i="17"/>
  <c r="AT821" i="17"/>
  <c r="AT825" i="17"/>
  <c r="X149" i="17"/>
  <c r="Q821" i="17"/>
  <c r="DV822" i="17"/>
  <c r="DV825" i="17"/>
  <c r="DC824" i="17"/>
  <c r="X504" i="17"/>
  <c r="DJ821" i="17"/>
  <c r="CF414" i="17"/>
  <c r="X414" i="17"/>
  <c r="CU576" i="17"/>
  <c r="X576" i="17"/>
  <c r="CA821" i="17"/>
  <c r="CK442" i="17"/>
  <c r="CK823" i="17"/>
  <c r="CJ442" i="17"/>
  <c r="CJ823" i="17"/>
  <c r="AV172" i="17"/>
  <c r="CE823" i="17"/>
  <c r="CE830" i="17"/>
  <c r="CF830" i="17"/>
  <c r="X422" i="17"/>
  <c r="CS552" i="17"/>
  <c r="CS823" i="17"/>
  <c r="BA154" i="17"/>
  <c r="X154" i="17"/>
  <c r="BP344" i="17"/>
  <c r="AY823" i="17"/>
  <c r="AZ145" i="17"/>
  <c r="AZ823" i="17"/>
  <c r="AT90" i="17"/>
  <c r="AT823" i="17"/>
  <c r="AT830" i="17"/>
  <c r="BV308" i="17"/>
  <c r="X308" i="17"/>
  <c r="BW820" i="17"/>
  <c r="BY341" i="17"/>
  <c r="BY820" i="17"/>
  <c r="CC393" i="17"/>
  <c r="CC822" i="17"/>
  <c r="X496" i="17"/>
  <c r="X110" i="17"/>
  <c r="X390" i="17"/>
  <c r="CT560" i="17"/>
  <c r="CT822" i="17"/>
  <c r="AN822" i="17"/>
  <c r="X30" i="17"/>
  <c r="CK443" i="17"/>
  <c r="CL464" i="17"/>
  <c r="X464" i="17"/>
  <c r="CV577" i="17"/>
  <c r="CU566" i="17"/>
  <c r="X566" i="17"/>
  <c r="BY332" i="17"/>
  <c r="BY824" i="17"/>
  <c r="AI822" i="17"/>
  <c r="X7" i="17"/>
  <c r="X788" i="17"/>
  <c r="CV579" i="17"/>
  <c r="DT821" i="17"/>
  <c r="BP824" i="17"/>
  <c r="BQ250" i="17"/>
  <c r="BQ824" i="17"/>
  <c r="CL473" i="17"/>
  <c r="X473" i="17"/>
  <c r="X689" i="17"/>
  <c r="CL463" i="17"/>
  <c r="X463" i="17"/>
  <c r="CW597" i="17"/>
  <c r="X597" i="17"/>
  <c r="AT105" i="17"/>
  <c r="X105" i="17"/>
  <c r="DG821" i="17"/>
  <c r="CE404" i="17"/>
  <c r="CE824" i="17"/>
  <c r="BX404" i="17"/>
  <c r="CF404" i="17"/>
  <c r="DH821" i="17"/>
  <c r="CM824" i="17"/>
  <c r="AR64" i="17"/>
  <c r="AY821" i="17"/>
  <c r="AM821" i="17"/>
  <c r="BV303" i="17"/>
  <c r="X303" i="17"/>
  <c r="DF821" i="17"/>
  <c r="BM824" i="17"/>
  <c r="BM831" i="17"/>
  <c r="DF822" i="17"/>
  <c r="CS562" i="17"/>
  <c r="X562" i="17"/>
  <c r="CS559" i="17"/>
  <c r="X559" i="17"/>
  <c r="CD397" i="17"/>
  <c r="X397" i="17"/>
  <c r="BR821" i="17"/>
  <c r="BS268" i="17"/>
  <c r="X686" i="17"/>
  <c r="EA822" i="17"/>
  <c r="AO821" i="17"/>
  <c r="X53" i="17"/>
  <c r="BO240" i="17"/>
  <c r="BO821" i="17"/>
  <c r="X430" i="17"/>
  <c r="AW118" i="17"/>
  <c r="X118" i="17"/>
  <c r="X491" i="17"/>
  <c r="BY331" i="17"/>
  <c r="X331" i="17"/>
  <c r="CW822" i="17"/>
  <c r="CT824" i="17"/>
  <c r="CU568" i="17"/>
  <c r="CU824" i="17"/>
  <c r="BT284" i="17"/>
  <c r="X284" i="17"/>
  <c r="CC395" i="17"/>
  <c r="X395" i="17"/>
  <c r="CE401" i="17"/>
  <c r="X23" i="17"/>
  <c r="X51" i="17"/>
  <c r="AF824" i="17"/>
  <c r="X447" i="17"/>
  <c r="X516" i="17"/>
  <c r="BZ355" i="17"/>
  <c r="X355" i="17"/>
  <c r="CY824" i="17"/>
  <c r="BV305" i="17"/>
  <c r="X305" i="17"/>
  <c r="AT84" i="17"/>
  <c r="X664" i="17"/>
  <c r="AQ821" i="17"/>
  <c r="AQ825" i="17"/>
  <c r="BD824" i="17"/>
  <c r="BE194" i="17"/>
  <c r="BE824" i="17"/>
  <c r="CD403" i="17"/>
  <c r="CE403" i="17"/>
  <c r="X141" i="17"/>
  <c r="CS824" i="17"/>
  <c r="CV568" i="17"/>
  <c r="CV824" i="17"/>
  <c r="X623" i="17"/>
  <c r="X144" i="17"/>
  <c r="X131" i="17"/>
  <c r="AL821" i="17"/>
  <c r="AO823" i="17"/>
  <c r="AO830" i="17"/>
  <c r="DY825" i="17"/>
  <c r="EA825" i="17"/>
  <c r="BS821" i="17"/>
  <c r="BA116" i="17"/>
  <c r="X116" i="17"/>
  <c r="AX827" i="17"/>
  <c r="AY827" i="17"/>
  <c r="AZ827" i="17"/>
  <c r="BA827" i="17"/>
  <c r="BB827" i="17"/>
  <c r="BC827" i="17"/>
  <c r="BD827" i="17"/>
  <c r="BE827" i="17"/>
  <c r="BF827" i="17"/>
  <c r="BG827" i="17"/>
  <c r="BH827" i="17"/>
  <c r="AN825" i="17"/>
  <c r="DQ825" i="17"/>
  <c r="CJ821" i="17"/>
  <c r="BU830" i="17"/>
  <c r="BV830" i="17"/>
  <c r="BW830" i="17"/>
  <c r="BX830" i="17"/>
  <c r="BY830" i="17"/>
  <c r="BZ830" i="17"/>
  <c r="CA830" i="17"/>
  <c r="CB830" i="17"/>
  <c r="CC830" i="17"/>
  <c r="AS831" i="17"/>
  <c r="X301" i="17"/>
  <c r="X785" i="17"/>
  <c r="X152" i="17"/>
  <c r="AP825" i="17"/>
  <c r="X159" i="17"/>
  <c r="X560" i="17"/>
  <c r="X341" i="17"/>
  <c r="X377" i="17"/>
  <c r="X313" i="17"/>
  <c r="X435" i="17"/>
  <c r="BO822" i="17"/>
  <c r="X760" i="17"/>
  <c r="X25" i="17"/>
  <c r="X214" i="17"/>
  <c r="BS822" i="17"/>
  <c r="X184" i="17"/>
  <c r="X90" i="17"/>
  <c r="X344" i="17"/>
  <c r="X552" i="17"/>
  <c r="AM825" i="17"/>
  <c r="BF822" i="17"/>
  <c r="X745" i="17"/>
  <c r="CU821" i="17"/>
  <c r="AE842" i="17"/>
  <c r="X590" i="17"/>
  <c r="X490" i="17"/>
  <c r="DB825" i="17"/>
  <c r="BI821" i="17"/>
  <c r="X660" i="17"/>
  <c r="X222" i="17"/>
  <c r="X403" i="17"/>
  <c r="X509" i="17"/>
  <c r="CX825" i="17"/>
  <c r="BL827" i="17"/>
  <c r="BM827" i="17"/>
  <c r="BN827" i="17"/>
  <c r="BO827" i="17"/>
  <c r="BP827" i="17"/>
  <c r="BQ827" i="17"/>
  <c r="BR827" i="17"/>
  <c r="BS827" i="17"/>
  <c r="BT827" i="17"/>
  <c r="BU827" i="17"/>
  <c r="BV827" i="17"/>
  <c r="BW827" i="17"/>
  <c r="BX827" i="17"/>
  <c r="BY827" i="17"/>
  <c r="BZ827" i="17"/>
  <c r="CA827" i="17"/>
  <c r="CB827" i="17"/>
  <c r="CC827" i="17"/>
  <c r="CD827" i="17"/>
  <c r="CE827" i="17"/>
  <c r="CF827" i="17"/>
  <c r="CG827" i="17"/>
  <c r="CH827" i="17"/>
  <c r="CI827" i="17"/>
  <c r="CJ827" i="17"/>
  <c r="CK827" i="17"/>
  <c r="CF824" i="17"/>
  <c r="CP822" i="17"/>
  <c r="CP825" i="17"/>
  <c r="DD825" i="17"/>
  <c r="X505" i="17"/>
  <c r="AF842" i="17"/>
  <c r="BV821" i="17"/>
  <c r="CK824" i="17"/>
  <c r="CG830" i="17"/>
  <c r="CH830" i="17"/>
  <c r="CI830" i="17"/>
  <c r="CJ830" i="17"/>
  <c r="CK830" i="17"/>
  <c r="X244" i="17"/>
  <c r="DI825" i="17"/>
  <c r="X163" i="17"/>
  <c r="AO822" i="17"/>
  <c r="AO829" i="17"/>
  <c r="AP829" i="17"/>
  <c r="CU822" i="17"/>
  <c r="CY825" i="17"/>
  <c r="CC821" i="17"/>
  <c r="CD822" i="17"/>
  <c r="DA825" i="17"/>
  <c r="CK822" i="17"/>
  <c r="BW822" i="17"/>
  <c r="CG821" i="17"/>
  <c r="AL822" i="17"/>
  <c r="AL829" i="17"/>
  <c r="X14" i="17"/>
  <c r="X570" i="17"/>
  <c r="BM822" i="17"/>
  <c r="X145" i="17"/>
  <c r="CB821" i="17"/>
  <c r="CB828" i="17"/>
  <c r="BN831" i="17"/>
  <c r="BO831" i="17"/>
  <c r="BP831" i="17"/>
  <c r="BQ831" i="17"/>
  <c r="BR831" i="17"/>
  <c r="BS831" i="17"/>
  <c r="BT831" i="17"/>
  <c r="BU831" i="17"/>
  <c r="BV831" i="17"/>
  <c r="BW831" i="17"/>
  <c r="BC831" i="17"/>
  <c r="BD831" i="17"/>
  <c r="BE831" i="17"/>
  <c r="BF831" i="17"/>
  <c r="BG831" i="17"/>
  <c r="BX822" i="17"/>
  <c r="AR822" i="17"/>
  <c r="X187" i="17"/>
  <c r="X287" i="17"/>
  <c r="X417" i="17"/>
  <c r="DZ821" i="17"/>
  <c r="DZ825" i="17"/>
  <c r="X18" i="17"/>
  <c r="BZ822" i="17"/>
  <c r="BA822" i="17"/>
  <c r="AY822" i="17"/>
  <c r="AW172" i="17"/>
  <c r="AW821" i="17"/>
  <c r="DE825" i="17"/>
  <c r="BZ821" i="17"/>
  <c r="CV821" i="17"/>
  <c r="BV822" i="17"/>
  <c r="CN822" i="17"/>
  <c r="CN825" i="17"/>
  <c r="CZ825" i="17"/>
  <c r="BY822" i="17"/>
  <c r="X171" i="17"/>
  <c r="CS822" i="17"/>
  <c r="CS825" i="17"/>
  <c r="X379" i="17"/>
  <c r="BG822" i="17"/>
  <c r="AJ825" i="17"/>
  <c r="CE821" i="17"/>
  <c r="X393" i="17"/>
  <c r="DR825" i="17"/>
  <c r="BP822" i="17"/>
  <c r="CW821" i="17"/>
  <c r="CW825" i="17"/>
  <c r="CT825" i="17"/>
  <c r="X400" i="17"/>
  <c r="X265" i="17"/>
  <c r="DF825" i="17"/>
  <c r="X47" i="17"/>
  <c r="X332" i="17"/>
  <c r="X522" i="17"/>
  <c r="DG825" i="17"/>
  <c r="AL828" i="17"/>
  <c r="AM828" i="17"/>
  <c r="AK822" i="17"/>
  <c r="AK825" i="17"/>
  <c r="X427" i="17"/>
  <c r="X477" i="17"/>
  <c r="X100" i="17"/>
  <c r="X499" i="17"/>
  <c r="X438" i="17"/>
  <c r="X227" i="17"/>
  <c r="CR821" i="17"/>
  <c r="CR824" i="17"/>
  <c r="X579" i="17"/>
  <c r="X442" i="17"/>
  <c r="X166" i="17"/>
  <c r="X728" i="17"/>
  <c r="X112" i="17"/>
  <c r="X556" i="17"/>
  <c r="X367" i="17"/>
  <c r="AU84" i="17"/>
  <c r="AT822" i="17"/>
  <c r="AQ822" i="17"/>
  <c r="X681" i="17"/>
  <c r="X240" i="17"/>
  <c r="X413" i="17"/>
  <c r="DT825" i="17"/>
  <c r="BK822" i="17"/>
  <c r="BK829" i="17"/>
  <c r="BL829" i="17"/>
  <c r="X250" i="17"/>
  <c r="X375" i="17"/>
  <c r="X6" i="17"/>
  <c r="X659" i="17"/>
  <c r="CE822" i="17"/>
  <c r="X35" i="17"/>
  <c r="AS64" i="17"/>
  <c r="AS821" i="17"/>
  <c r="AS825" i="17"/>
  <c r="X256" i="17"/>
  <c r="X401" i="17"/>
  <c r="CM822" i="17"/>
  <c r="CM825" i="17"/>
  <c r="X368" i="17"/>
  <c r="X558" i="17"/>
  <c r="AG842" i="17"/>
  <c r="X568" i="17"/>
  <c r="AR821" i="17"/>
  <c r="AR825" i="17"/>
  <c r="CG822" i="17"/>
  <c r="AK827" i="17"/>
  <c r="BA821" i="17"/>
  <c r="X146" i="17"/>
  <c r="X268" i="17"/>
  <c r="X404" i="17"/>
  <c r="BX824" i="17"/>
  <c r="CV822" i="17"/>
  <c r="X231" i="17"/>
  <c r="X370" i="17"/>
  <c r="X455" i="17"/>
  <c r="X194" i="17"/>
  <c r="CK821" i="17"/>
  <c r="BR822" i="17"/>
  <c r="DH823" i="17"/>
  <c r="DH825" i="17"/>
  <c r="DJ761" i="17"/>
  <c r="DJ823" i="17"/>
  <c r="DJ825" i="17"/>
  <c r="BU821" i="17"/>
  <c r="X382" i="17"/>
  <c r="CR822" i="17"/>
  <c r="DU825" i="17"/>
  <c r="AT831" i="17"/>
  <c r="AU831" i="17"/>
  <c r="AV831" i="17"/>
  <c r="AI825" i="17"/>
  <c r="AI827" i="17"/>
  <c r="AU830" i="17"/>
  <c r="AV830" i="17"/>
  <c r="AW830" i="17"/>
  <c r="AX830" i="17"/>
  <c r="AY830" i="17"/>
  <c r="AZ830" i="17"/>
  <c r="BA830" i="17"/>
  <c r="BB830" i="17"/>
  <c r="BC830" i="17"/>
  <c r="BD830" i="17"/>
  <c r="BE830" i="17"/>
  <c r="BF830" i="17"/>
  <c r="BG830" i="17"/>
  <c r="BH830" i="17"/>
  <c r="AW106" i="17"/>
  <c r="X106" i="17"/>
  <c r="BD822" i="17"/>
  <c r="BE178" i="17"/>
  <c r="AQ828" i="17"/>
  <c r="CJ822" i="17"/>
  <c r="CL822" i="17"/>
  <c r="CL825" i="17"/>
  <c r="X479" i="17"/>
  <c r="DC825" i="17"/>
  <c r="X577" i="17"/>
  <c r="X42" i="17"/>
  <c r="CQ822" i="17"/>
  <c r="CQ825" i="17"/>
  <c r="CA822" i="17"/>
  <c r="BT822" i="17"/>
  <c r="BT829" i="17"/>
  <c r="BU829" i="17"/>
  <c r="X394" i="17"/>
  <c r="BH824" i="17"/>
  <c r="BI200" i="17"/>
  <c r="BI822" i="17"/>
  <c r="X443" i="17"/>
  <c r="X174" i="17"/>
  <c r="X777" i="17"/>
  <c r="AK46" i="17"/>
  <c r="X46" i="17"/>
  <c r="X500" i="17"/>
  <c r="BA824" i="17"/>
  <c r="CJ825" i="17"/>
  <c r="CU825" i="17"/>
  <c r="BM829" i="17"/>
  <c r="BN829" i="17"/>
  <c r="BO829" i="17"/>
  <c r="BP829" i="17"/>
  <c r="BQ829" i="17"/>
  <c r="BR829" i="17"/>
  <c r="CV825" i="17"/>
  <c r="AL825" i="17"/>
  <c r="AO825" i="17"/>
  <c r="CC828" i="17"/>
  <c r="CD828" i="17"/>
  <c r="CE828" i="17"/>
  <c r="CF828" i="17"/>
  <c r="CG828" i="17"/>
  <c r="CH828" i="17"/>
  <c r="CI828" i="17"/>
  <c r="CJ828" i="17"/>
  <c r="CK828" i="17"/>
  <c r="CL828" i="17"/>
  <c r="CK825" i="17"/>
  <c r="AR828" i="17"/>
  <c r="AS828" i="17"/>
  <c r="AT828" i="17"/>
  <c r="AU828" i="17"/>
  <c r="AV828" i="17"/>
  <c r="AW828" i="17"/>
  <c r="AX828" i="17"/>
  <c r="AY828" i="17"/>
  <c r="AZ828" i="17"/>
  <c r="BA828" i="17"/>
  <c r="BB828" i="17"/>
  <c r="BC828" i="17"/>
  <c r="BD828" i="17"/>
  <c r="BE828" i="17"/>
  <c r="BF828" i="17"/>
  <c r="BG828" i="17"/>
  <c r="BH828" i="17"/>
  <c r="BI828" i="17"/>
  <c r="BJ828" i="17"/>
  <c r="BK828" i="17"/>
  <c r="BL828" i="17"/>
  <c r="BM828" i="17"/>
  <c r="BN828" i="17"/>
  <c r="BO828" i="17"/>
  <c r="BP828" i="17"/>
  <c r="BQ828" i="17"/>
  <c r="BR828" i="17"/>
  <c r="BS828" i="17"/>
  <c r="BT828" i="17"/>
  <c r="BU828" i="17"/>
  <c r="BV828" i="17"/>
  <c r="BW828" i="17"/>
  <c r="BX828" i="17"/>
  <c r="BY828" i="17"/>
  <c r="BZ828" i="17"/>
  <c r="BH831" i="17"/>
  <c r="BV829" i="17"/>
  <c r="BW829" i="17"/>
  <c r="BX829" i="17"/>
  <c r="BY829" i="17"/>
  <c r="BZ829" i="17"/>
  <c r="CA829" i="17"/>
  <c r="CB829" i="17"/>
  <c r="CC829" i="17"/>
  <c r="CD829" i="17"/>
  <c r="CE829" i="17"/>
  <c r="CF829" i="17"/>
  <c r="CG829" i="17"/>
  <c r="CH829" i="17"/>
  <c r="CI829" i="17"/>
  <c r="CJ829" i="17"/>
  <c r="CK829" i="17"/>
  <c r="CK844" i="17"/>
  <c r="X172" i="17"/>
  <c r="CR825" i="17"/>
  <c r="CK842" i="17"/>
  <c r="CL827" i="17"/>
  <c r="BX831" i="17"/>
  <c r="BY831" i="17"/>
  <c r="BZ831" i="17"/>
  <c r="CA831" i="17"/>
  <c r="CB831" i="17"/>
  <c r="CC831" i="17"/>
  <c r="CD831" i="17"/>
  <c r="CE831" i="17"/>
  <c r="CF831" i="17"/>
  <c r="CG831" i="17"/>
  <c r="CH831" i="17"/>
  <c r="CI831" i="17"/>
  <c r="CJ831" i="17"/>
  <c r="CK831" i="17"/>
  <c r="AW824" i="17"/>
  <c r="AW831" i="17"/>
  <c r="AX831" i="17"/>
  <c r="AY831" i="17"/>
  <c r="AZ831" i="17"/>
  <c r="AW822" i="17"/>
  <c r="BE822" i="17"/>
  <c r="BE829" i="17"/>
  <c r="BF829" i="17"/>
  <c r="BG829" i="17"/>
  <c r="BH829" i="17"/>
  <c r="X178" i="17"/>
  <c r="BI824" i="17"/>
  <c r="X200" i="17"/>
  <c r="CK845" i="17"/>
  <c r="CL830" i="17"/>
  <c r="AU822" i="17"/>
  <c r="AU829" i="17"/>
  <c r="AV829" i="17"/>
  <c r="X84" i="17"/>
  <c r="AQ829" i="17"/>
  <c r="AR829" i="17"/>
  <c r="AS829" i="17"/>
  <c r="X64" i="17"/>
  <c r="BI831" i="17"/>
  <c r="BJ831" i="17"/>
  <c r="BK831" i="17"/>
  <c r="AW829" i="17"/>
  <c r="AX829" i="17"/>
  <c r="AY829" i="17"/>
  <c r="AZ829" i="17"/>
  <c r="BA829" i="17"/>
  <c r="BB829" i="17"/>
  <c r="BC829" i="17"/>
  <c r="CL829" i="17"/>
  <c r="CM829" i="17"/>
  <c r="CK843" i="17"/>
  <c r="CL845" i="17"/>
  <c r="CM830" i="17"/>
  <c r="CL831" i="17"/>
  <c r="CK846" i="17"/>
  <c r="CL843" i="17"/>
  <c r="CM828" i="17"/>
  <c r="CL842" i="17"/>
  <c r="CM827" i="17"/>
  <c r="CK847" i="17"/>
  <c r="CL844" i="17"/>
  <c r="CM842" i="17"/>
  <c r="CN827" i="17"/>
  <c r="CN828" i="17"/>
  <c r="CM843" i="17"/>
  <c r="CL846" i="17"/>
  <c r="CM831" i="17"/>
  <c r="CN829" i="17"/>
  <c r="CM844" i="17"/>
  <c r="CN830" i="17"/>
  <c r="CM845" i="17"/>
  <c r="CL847" i="17"/>
  <c r="CO830" i="17"/>
  <c r="CN845" i="17"/>
  <c r="CO829" i="17"/>
  <c r="CN844" i="17"/>
  <c r="CN831" i="17"/>
  <c r="CM846" i="17"/>
  <c r="CM847" i="17"/>
  <c r="CO828" i="17"/>
  <c r="CN843" i="17"/>
  <c r="CN842" i="17"/>
  <c r="CN846" i="17"/>
  <c r="CN847" i="17"/>
  <c r="CO831" i="17"/>
  <c r="CP830" i="17"/>
  <c r="CO845" i="17"/>
  <c r="CP828" i="17"/>
  <c r="CO843" i="17"/>
  <c r="CP829" i="17"/>
  <c r="CO844" i="17"/>
  <c r="CQ829" i="17"/>
  <c r="CP844" i="17"/>
  <c r="CP843" i="17"/>
  <c r="CQ828" i="17"/>
  <c r="CQ830" i="17"/>
  <c r="CP845" i="17"/>
  <c r="CP831" i="17"/>
  <c r="CO846" i="17"/>
  <c r="CQ831" i="17"/>
  <c r="CP846" i="17"/>
  <c r="CR830" i="17"/>
  <c r="CQ845" i="17"/>
  <c r="CQ843" i="17"/>
  <c r="CR828" i="17"/>
  <c r="CR829" i="17"/>
  <c r="CQ844" i="17"/>
  <c r="CS829" i="17"/>
  <c r="CR844" i="17"/>
  <c r="CR843" i="17"/>
  <c r="CS828" i="17"/>
  <c r="CS830" i="17"/>
  <c r="CR845" i="17"/>
  <c r="CR831" i="17"/>
  <c r="CQ846" i="17"/>
  <c r="CS831" i="17"/>
  <c r="CR846" i="17"/>
  <c r="CT830" i="17"/>
  <c r="CS845" i="17"/>
  <c r="CS843" i="17"/>
  <c r="CT828" i="17"/>
  <c r="CT829" i="17"/>
  <c r="CS844" i="17"/>
  <c r="CT831" i="17"/>
  <c r="CS846" i="17"/>
  <c r="CU828" i="17"/>
  <c r="CT843" i="17"/>
  <c r="CU830" i="17"/>
  <c r="CT845" i="17"/>
  <c r="CT844" i="17"/>
  <c r="CU829" i="17"/>
  <c r="CU844" i="17"/>
  <c r="CV829" i="17"/>
  <c r="CU845" i="17"/>
  <c r="CV830" i="17"/>
  <c r="CU843" i="17"/>
  <c r="CV828" i="17"/>
  <c r="CU831" i="17"/>
  <c r="CT846" i="17"/>
  <c r="CV831" i="17"/>
  <c r="CU846" i="17"/>
  <c r="CV843" i="17"/>
  <c r="CW828" i="17"/>
  <c r="CV845" i="17"/>
  <c r="CW830" i="17"/>
  <c r="CV844" i="17"/>
  <c r="CW829" i="17"/>
  <c r="CW844" i="17"/>
  <c r="CX829" i="17"/>
  <c r="CW845" i="17"/>
  <c r="CX830" i="17"/>
  <c r="CW843" i="17"/>
  <c r="CX828" i="17"/>
  <c r="CW831" i="17"/>
  <c r="CV846" i="17"/>
  <c r="CW846" i="17"/>
  <c r="CX831" i="17"/>
  <c r="CX843" i="17"/>
  <c r="CY828" i="17"/>
  <c r="CX845" i="17"/>
  <c r="CY830" i="17"/>
  <c r="CX844" i="17"/>
  <c r="CY829" i="17"/>
  <c r="CY844" i="17"/>
  <c r="CZ829" i="17"/>
  <c r="CY845" i="17"/>
  <c r="CZ830" i="17"/>
  <c r="CY843" i="17"/>
  <c r="CZ828" i="17"/>
  <c r="CX846" i="17"/>
  <c r="CY831" i="17"/>
  <c r="CZ831" i="17"/>
  <c r="CY846" i="17"/>
  <c r="DA828" i="17"/>
  <c r="CZ843" i="17"/>
  <c r="CZ845" i="17"/>
  <c r="DA830" i="17"/>
  <c r="CZ844" i="17"/>
  <c r="DA829" i="17"/>
  <c r="DA844" i="17"/>
  <c r="DB829" i="17"/>
  <c r="DA845" i="17"/>
  <c r="DB830" i="17"/>
  <c r="DA843" i="17"/>
  <c r="DB828" i="17"/>
  <c r="CZ846" i="17"/>
  <c r="DA831" i="17"/>
  <c r="DB844" i="17"/>
  <c r="DC829" i="17"/>
  <c r="DA846" i="17"/>
  <c r="DB831" i="17"/>
  <c r="DB843" i="17"/>
  <c r="DC828" i="17"/>
  <c r="DC830" i="17"/>
  <c r="DB845" i="17"/>
  <c r="DC843" i="17"/>
  <c r="DD828" i="17"/>
  <c r="DB846" i="17"/>
  <c r="DC831" i="17"/>
  <c r="DD829" i="17"/>
  <c r="DC844" i="17"/>
  <c r="DD830" i="17"/>
  <c r="DC845" i="17"/>
  <c r="DE830" i="17"/>
  <c r="DD845" i="17"/>
  <c r="DE829" i="17"/>
  <c r="DD844" i="17"/>
  <c r="DD831" i="17"/>
  <c r="DC846" i="17"/>
  <c r="DD843" i="17"/>
  <c r="DE828" i="17"/>
  <c r="DE843" i="17"/>
  <c r="DF828" i="17"/>
  <c r="DD846" i="17"/>
  <c r="DE831" i="17"/>
  <c r="DE844" i="17"/>
  <c r="DF829" i="17"/>
  <c r="DF830" i="17"/>
  <c r="DE845" i="17"/>
  <c r="DF844" i="17"/>
  <c r="DG829" i="17"/>
  <c r="DG830" i="17"/>
  <c r="DF845" i="17"/>
  <c r="DE846" i="17"/>
  <c r="DF831" i="17"/>
  <c r="DF843" i="17"/>
  <c r="DG828" i="17"/>
  <c r="DG843" i="17"/>
  <c r="DH828" i="17"/>
  <c r="DF846" i="17"/>
  <c r="DG831" i="17"/>
  <c r="DG845" i="17"/>
  <c r="DH830" i="17"/>
  <c r="DG844" i="17"/>
  <c r="DH829" i="17"/>
  <c r="DH845" i="17"/>
  <c r="DI830" i="17"/>
  <c r="DJ830" i="17"/>
  <c r="DK830" i="17"/>
  <c r="DL830" i="17"/>
  <c r="DM830" i="17"/>
  <c r="DN830" i="17"/>
  <c r="DO830" i="17"/>
  <c r="DP830" i="17"/>
  <c r="DQ830" i="17"/>
  <c r="DR830" i="17"/>
  <c r="DS830" i="17"/>
  <c r="DT830" i="17"/>
  <c r="DU830" i="17"/>
  <c r="DV830" i="17"/>
  <c r="DW830" i="17"/>
  <c r="DX830" i="17"/>
  <c r="DY830" i="17"/>
  <c r="DZ830" i="17"/>
  <c r="EA830" i="17"/>
  <c r="EB830" i="17"/>
  <c r="EC830" i="17"/>
  <c r="ED830" i="17"/>
  <c r="EE830" i="17"/>
  <c r="EF830" i="17"/>
  <c r="EG830" i="17"/>
  <c r="EH830" i="17"/>
  <c r="EI830" i="17"/>
  <c r="DG846" i="17"/>
  <c r="DH831" i="17"/>
  <c r="DH843" i="17"/>
  <c r="DI828" i="17"/>
  <c r="DJ828" i="17"/>
  <c r="DK828" i="17"/>
  <c r="DL828" i="17"/>
  <c r="DM828" i="17"/>
  <c r="DN828" i="17"/>
  <c r="DO828" i="17"/>
  <c r="DP828" i="17"/>
  <c r="DQ828" i="17"/>
  <c r="DR828" i="17"/>
  <c r="DS828" i="17"/>
  <c r="DT828" i="17"/>
  <c r="DU828" i="17"/>
  <c r="DV828" i="17"/>
  <c r="DW828" i="17"/>
  <c r="DX828" i="17"/>
  <c r="DY828" i="17"/>
  <c r="DZ828" i="17"/>
  <c r="EA828" i="17"/>
  <c r="EB828" i="17"/>
  <c r="EC828" i="17"/>
  <c r="ED828" i="17"/>
  <c r="EE828" i="17"/>
  <c r="EF828" i="17"/>
  <c r="EG828" i="17"/>
  <c r="EH828" i="17"/>
  <c r="EI828" i="17"/>
  <c r="DI829" i="17"/>
  <c r="DJ829" i="17"/>
  <c r="DK829" i="17"/>
  <c r="DL829" i="17"/>
  <c r="DM829" i="17"/>
  <c r="DN829" i="17"/>
  <c r="DO829" i="17"/>
  <c r="DP829" i="17"/>
  <c r="DQ829" i="17"/>
  <c r="DR829" i="17"/>
  <c r="DS829" i="17"/>
  <c r="DT829" i="17"/>
  <c r="DU829" i="17"/>
  <c r="DV829" i="17"/>
  <c r="DW829" i="17"/>
  <c r="DX829" i="17"/>
  <c r="DY829" i="17"/>
  <c r="DZ829" i="17"/>
  <c r="EA829" i="17"/>
  <c r="EB829" i="17"/>
  <c r="EC829" i="17"/>
  <c r="ED829" i="17"/>
  <c r="EE829" i="17"/>
  <c r="EF829" i="17"/>
  <c r="EG829" i="17"/>
  <c r="EH829" i="17"/>
  <c r="EI829" i="17"/>
  <c r="DH844" i="17"/>
  <c r="DI831" i="17"/>
  <c r="DJ831" i="17"/>
  <c r="DK831" i="17"/>
  <c r="DL831" i="17"/>
  <c r="DM831" i="17"/>
  <c r="DN831" i="17"/>
  <c r="DO831" i="17"/>
  <c r="DP831" i="17"/>
  <c r="DQ831" i="17"/>
  <c r="DR831" i="17"/>
  <c r="DS831" i="17"/>
  <c r="DT831" i="17"/>
  <c r="DU831" i="17"/>
  <c r="DV831" i="17"/>
  <c r="DW831" i="17"/>
  <c r="DX831" i="17"/>
  <c r="DY831" i="17"/>
  <c r="DZ831" i="17"/>
  <c r="EA831" i="17"/>
  <c r="EB831" i="17"/>
  <c r="EC831" i="17"/>
  <c r="ED831" i="17"/>
  <c r="EE831" i="17"/>
  <c r="EF831" i="17"/>
  <c r="EG831" i="17"/>
  <c r="EH831" i="17"/>
  <c r="EI831" i="17"/>
  <c r="DH846" i="17"/>
  <c r="V45" i="15"/>
  <c r="V46" i="15"/>
  <c r="V47" i="15"/>
  <c r="V48" i="15"/>
  <c r="V49" i="15"/>
  <c r="V44" i="15"/>
  <c r="V26" i="15"/>
  <c r="V27" i="15"/>
  <c r="V28" i="15"/>
  <c r="V29" i="15"/>
  <c r="V30" i="15"/>
  <c r="V31" i="15"/>
  <c r="V25" i="15"/>
  <c r="V7" i="15"/>
  <c r="V8" i="15"/>
  <c r="V9" i="15"/>
  <c r="V10" i="15"/>
  <c r="V11" i="15"/>
  <c r="V12" i="15"/>
  <c r="V13" i="15"/>
  <c r="V14" i="15"/>
  <c r="V15" i="15"/>
  <c r="V16" i="15"/>
  <c r="V17" i="15"/>
  <c r="V18" i="15"/>
  <c r="V6" i="15"/>
  <c r="R37" i="13"/>
  <c r="S37" i="13"/>
  <c r="T37" i="13"/>
  <c r="U37" i="13"/>
  <c r="V37" i="13"/>
  <c r="AD59" i="13"/>
  <c r="AC54" i="13"/>
  <c r="AB54" i="13"/>
  <c r="AA54" i="13"/>
  <c r="Z54" i="13"/>
  <c r="Y54" i="13"/>
  <c r="X54" i="13"/>
  <c r="W54" i="13"/>
  <c r="V54" i="13"/>
  <c r="U54" i="13"/>
  <c r="T54" i="13"/>
  <c r="S54" i="13"/>
  <c r="R54" i="13"/>
  <c r="AC53" i="13"/>
  <c r="AB53" i="13"/>
  <c r="AA53" i="13"/>
  <c r="AA51" i="13"/>
  <c r="AA35" i="13"/>
  <c r="Z53" i="13"/>
  <c r="Z51" i="13"/>
  <c r="Z35" i="13"/>
  <c r="Y53" i="13"/>
  <c r="Y51" i="13"/>
  <c r="Y35" i="13"/>
  <c r="X53" i="13"/>
  <c r="W53" i="13"/>
  <c r="V53" i="13"/>
  <c r="U53" i="13"/>
  <c r="T53" i="13"/>
  <c r="S53" i="13"/>
  <c r="R53" i="13"/>
  <c r="AC52" i="13"/>
  <c r="AB52" i="13"/>
  <c r="AA52" i="13"/>
  <c r="Z52" i="13"/>
  <c r="Y52" i="13"/>
  <c r="X52" i="13"/>
  <c r="W52" i="13"/>
  <c r="AE51" i="13"/>
  <c r="AC48" i="13"/>
  <c r="AB48" i="13"/>
  <c r="AA48" i="13"/>
  <c r="Z48" i="13"/>
  <c r="Y48" i="13"/>
  <c r="X48" i="13"/>
  <c r="W48" i="13"/>
  <c r="V48" i="13"/>
  <c r="U48" i="13"/>
  <c r="T48" i="13"/>
  <c r="S48" i="13"/>
  <c r="AE47" i="13"/>
  <c r="AD47" i="13"/>
  <c r="AB46" i="13"/>
  <c r="AA46" i="13"/>
  <c r="Z46" i="13"/>
  <c r="X46" i="13"/>
  <c r="V46" i="13"/>
  <c r="U46" i="13"/>
  <c r="T46" i="13"/>
  <c r="S46" i="13"/>
  <c r="R46" i="13"/>
  <c r="AE45" i="13"/>
  <c r="AD45" i="13"/>
  <c r="AC44" i="13"/>
  <c r="AB44" i="13"/>
  <c r="AA44" i="13"/>
  <c r="Z44" i="13"/>
  <c r="Y44" i="13"/>
  <c r="X44" i="13"/>
  <c r="W44" i="13"/>
  <c r="V44" i="13"/>
  <c r="U44" i="13"/>
  <c r="T44" i="13"/>
  <c r="S44" i="13"/>
  <c r="R44" i="13"/>
  <c r="AE43" i="13"/>
  <c r="AD43" i="13"/>
  <c r="AD52" i="13"/>
  <c r="AE42" i="13"/>
  <c r="AE48" i="13"/>
  <c r="AD42" i="13"/>
  <c r="AD48" i="13"/>
  <c r="AB41" i="13"/>
  <c r="V41" i="13"/>
  <c r="U41" i="13"/>
  <c r="T41" i="13"/>
  <c r="S41" i="13"/>
  <c r="R41" i="13"/>
  <c r="AE40" i="13"/>
  <c r="AD40" i="13"/>
  <c r="AD41" i="13"/>
  <c r="V39" i="13"/>
  <c r="U39" i="13"/>
  <c r="T39" i="13"/>
  <c r="S39" i="13"/>
  <c r="R39" i="13"/>
  <c r="AE38" i="13"/>
  <c r="AD60" i="13"/>
  <c r="AE36" i="13"/>
  <c r="AC35" i="13"/>
  <c r="AC60" i="13"/>
  <c r="AB35" i="13"/>
  <c r="AB59" i="13"/>
  <c r="X35" i="13"/>
  <c r="X41" i="13"/>
  <c r="S25" i="2"/>
  <c r="W33" i="11"/>
  <c r="V33" i="11"/>
  <c r="U33" i="11"/>
  <c r="T33" i="11"/>
  <c r="S33" i="11"/>
  <c r="R33" i="11"/>
  <c r="V32" i="11"/>
  <c r="U32" i="11"/>
  <c r="T32" i="11"/>
  <c r="S32" i="11"/>
  <c r="R32" i="11"/>
  <c r="AC50" i="10"/>
  <c r="AB50" i="10"/>
  <c r="AA50" i="10"/>
  <c r="Z50" i="10"/>
  <c r="Y50" i="10"/>
  <c r="AE50" i="10"/>
  <c r="X50" i="10"/>
  <c r="W50" i="10"/>
  <c r="V50" i="10"/>
  <c r="U50" i="10"/>
  <c r="T50" i="10"/>
  <c r="S50" i="10"/>
  <c r="R50" i="10"/>
  <c r="AC49" i="10"/>
  <c r="AB49" i="10"/>
  <c r="AA49" i="10"/>
  <c r="Z49" i="10"/>
  <c r="Y49" i="10"/>
  <c r="AE49" i="10"/>
  <c r="X49" i="10"/>
  <c r="W49" i="10"/>
  <c r="V49" i="10"/>
  <c r="U49" i="10"/>
  <c r="T49" i="10"/>
  <c r="S49" i="10"/>
  <c r="R49" i="10"/>
  <c r="AE48" i="10"/>
  <c r="AC47" i="10"/>
  <c r="Y47" i="10"/>
  <c r="X47" i="10"/>
  <c r="W47" i="10"/>
  <c r="V47" i="10"/>
  <c r="U47" i="10"/>
  <c r="T47" i="10"/>
  <c r="S47" i="10"/>
  <c r="R47" i="10"/>
  <c r="AE46" i="10"/>
  <c r="AD46" i="10"/>
  <c r="AC45" i="10"/>
  <c r="Z45" i="10"/>
  <c r="Y45" i="10"/>
  <c r="X45" i="10"/>
  <c r="W45" i="10"/>
  <c r="V45" i="10"/>
  <c r="U45" i="10"/>
  <c r="T45" i="10"/>
  <c r="S45" i="10"/>
  <c r="R45" i="10"/>
  <c r="AE44" i="10"/>
  <c r="AD44" i="10"/>
  <c r="AB43" i="10"/>
  <c r="AB45" i="10"/>
  <c r="AA43" i="10"/>
  <c r="AA45" i="10"/>
  <c r="Z43" i="10"/>
  <c r="Z47" i="10"/>
  <c r="AC42" i="10"/>
  <c r="Y42" i="10"/>
  <c r="X42" i="10"/>
  <c r="W42" i="10"/>
  <c r="V42" i="10"/>
  <c r="U42" i="10"/>
  <c r="T42" i="10"/>
  <c r="S42" i="10"/>
  <c r="R42" i="10"/>
  <c r="AE41" i="10"/>
  <c r="AD41" i="10"/>
  <c r="AC40" i="10"/>
  <c r="Y40" i="10"/>
  <c r="X40" i="10"/>
  <c r="W40" i="10"/>
  <c r="V40" i="10"/>
  <c r="U40" i="10"/>
  <c r="T40" i="10"/>
  <c r="S40" i="10"/>
  <c r="R40" i="10"/>
  <c r="AE39" i="10"/>
  <c r="AD39" i="10"/>
  <c r="AD54" i="10"/>
  <c r="AE38" i="10"/>
  <c r="AB37" i="10"/>
  <c r="AB42" i="10"/>
  <c r="AA37" i="10"/>
  <c r="AA42" i="10"/>
  <c r="Z37" i="10"/>
  <c r="Z40" i="10"/>
  <c r="AC33" i="10"/>
  <c r="AB33" i="10"/>
  <c r="AA33" i="10"/>
  <c r="Z33" i="10"/>
  <c r="W33" i="10"/>
  <c r="V33" i="10"/>
  <c r="U33" i="10"/>
  <c r="T33" i="10"/>
  <c r="S33" i="10"/>
  <c r="R33" i="10"/>
  <c r="AC32" i="10"/>
  <c r="AB32" i="10"/>
  <c r="AA32" i="10"/>
  <c r="Z32" i="10"/>
  <c r="W32" i="10"/>
  <c r="V32" i="10"/>
  <c r="U32" i="10"/>
  <c r="T32" i="10"/>
  <c r="S32" i="10"/>
  <c r="R32" i="10"/>
  <c r="AC31" i="10"/>
  <c r="AB31" i="10"/>
  <c r="AA31" i="10"/>
  <c r="Z31" i="10"/>
  <c r="W31" i="10"/>
  <c r="V31" i="10"/>
  <c r="U31" i="10"/>
  <c r="T31" i="10"/>
  <c r="S31" i="10"/>
  <c r="R31" i="10"/>
  <c r="AC30" i="10"/>
  <c r="AB30" i="10"/>
  <c r="AA30" i="10"/>
  <c r="Z30" i="10"/>
  <c r="W30" i="10"/>
  <c r="V30" i="10"/>
  <c r="U30" i="10"/>
  <c r="T30" i="10"/>
  <c r="S30" i="10"/>
  <c r="R30" i="10"/>
  <c r="AC29" i="10"/>
  <c r="AB29" i="10"/>
  <c r="AA29" i="10"/>
  <c r="Z29" i="10"/>
  <c r="W29" i="10"/>
  <c r="V29" i="10"/>
  <c r="U29" i="10"/>
  <c r="T29" i="10"/>
  <c r="S29" i="10"/>
  <c r="R29" i="10"/>
  <c r="AC28" i="10"/>
  <c r="AB28" i="10"/>
  <c r="AA28" i="10"/>
  <c r="Z28" i="10"/>
  <c r="W28" i="10"/>
  <c r="V28" i="10"/>
  <c r="U28" i="10"/>
  <c r="T28" i="10"/>
  <c r="S28" i="10"/>
  <c r="R28" i="10"/>
  <c r="AC27" i="10"/>
  <c r="AB27" i="10"/>
  <c r="AA27" i="10"/>
  <c r="Z27" i="10"/>
  <c r="W27" i="10"/>
  <c r="V27" i="10"/>
  <c r="U27" i="10"/>
  <c r="T27" i="10"/>
  <c r="S27" i="10"/>
  <c r="R27" i="10"/>
  <c r="AC26" i="10"/>
  <c r="AB26" i="10"/>
  <c r="AA26" i="10"/>
  <c r="Z26" i="10"/>
  <c r="W26" i="10"/>
  <c r="V26" i="10"/>
  <c r="U26" i="10"/>
  <c r="T26" i="10"/>
  <c r="S26" i="10"/>
  <c r="R26" i="10"/>
  <c r="AC25" i="10"/>
  <c r="AB25" i="10"/>
  <c r="AA25" i="10"/>
  <c r="Z25" i="10"/>
  <c r="W25" i="10"/>
  <c r="V25" i="10"/>
  <c r="U25" i="10"/>
  <c r="T25" i="10"/>
  <c r="S25" i="10"/>
  <c r="R25" i="10"/>
  <c r="AC24" i="10"/>
  <c r="AB24" i="10"/>
  <c r="AA24" i="10"/>
  <c r="Z24" i="10"/>
  <c r="W24" i="10"/>
  <c r="V24" i="10"/>
  <c r="U24" i="10"/>
  <c r="T24" i="10"/>
  <c r="S24" i="10"/>
  <c r="R24" i="10"/>
  <c r="AC23" i="10"/>
  <c r="AB23" i="10"/>
  <c r="AA23" i="10"/>
  <c r="Z23" i="10"/>
  <c r="W23" i="10"/>
  <c r="V23" i="10"/>
  <c r="U23" i="10"/>
  <c r="T23" i="10"/>
  <c r="S23" i="10"/>
  <c r="R23" i="10"/>
  <c r="AC22" i="10"/>
  <c r="AB22" i="10"/>
  <c r="AA22" i="10"/>
  <c r="Z22" i="10"/>
  <c r="W22" i="10"/>
  <c r="V22" i="10"/>
  <c r="U22" i="10"/>
  <c r="T22" i="10"/>
  <c r="S22" i="10"/>
  <c r="R22" i="10"/>
  <c r="AC21" i="10"/>
  <c r="AB21" i="10"/>
  <c r="AA21" i="10"/>
  <c r="Z21" i="10"/>
  <c r="W21" i="10"/>
  <c r="V21" i="10"/>
  <c r="U21" i="10"/>
  <c r="T21" i="10"/>
  <c r="S21" i="10"/>
  <c r="R21" i="10"/>
  <c r="AC20" i="10"/>
  <c r="AB20" i="10"/>
  <c r="AA20" i="10"/>
  <c r="Z20" i="10"/>
  <c r="W20" i="10"/>
  <c r="V20" i="10"/>
  <c r="U20" i="10"/>
  <c r="T20" i="10"/>
  <c r="S20" i="10"/>
  <c r="R20" i="10"/>
  <c r="AC19" i="10"/>
  <c r="AB19" i="10"/>
  <c r="AA19" i="10"/>
  <c r="Z19" i="10"/>
  <c r="W19" i="10"/>
  <c r="V19" i="10"/>
  <c r="U19" i="10"/>
  <c r="T19" i="10"/>
  <c r="S19" i="10"/>
  <c r="R19" i="10"/>
  <c r="AC18" i="10"/>
  <c r="AB18" i="10"/>
  <c r="AA18" i="10"/>
  <c r="Z18" i="10"/>
  <c r="W18" i="10"/>
  <c r="V18" i="10"/>
  <c r="U18" i="10"/>
  <c r="T18" i="10"/>
  <c r="S18" i="10"/>
  <c r="R18" i="10"/>
  <c r="AC17" i="10"/>
  <c r="AB17" i="10"/>
  <c r="AA17" i="10"/>
  <c r="Z17" i="10"/>
  <c r="W17" i="10"/>
  <c r="V17" i="10"/>
  <c r="U17" i="10"/>
  <c r="T17" i="10"/>
  <c r="S17" i="10"/>
  <c r="R17" i="10"/>
  <c r="AC16" i="10"/>
  <c r="AB16" i="10"/>
  <c r="AA16" i="10"/>
  <c r="Z16" i="10"/>
  <c r="W16" i="10"/>
  <c r="V16" i="10"/>
  <c r="U16" i="10"/>
  <c r="T16" i="10"/>
  <c r="S16" i="10"/>
  <c r="R16" i="10"/>
  <c r="AC15" i="10"/>
  <c r="AB15" i="10"/>
  <c r="AA15" i="10"/>
  <c r="Z15" i="10"/>
  <c r="W15" i="10"/>
  <c r="V15" i="10"/>
  <c r="U15" i="10"/>
  <c r="T15" i="10"/>
  <c r="S15" i="10"/>
  <c r="R15" i="10"/>
  <c r="AC14" i="10"/>
  <c r="AB14" i="10"/>
  <c r="AA14" i="10"/>
  <c r="Z14" i="10"/>
  <c r="W14" i="10"/>
  <c r="V14" i="10"/>
  <c r="U14" i="10"/>
  <c r="T14" i="10"/>
  <c r="S14" i="10"/>
  <c r="R14" i="10"/>
  <c r="AC13" i="10"/>
  <c r="AB13" i="10"/>
  <c r="AA13" i="10"/>
  <c r="Z13" i="10"/>
  <c r="W13" i="10"/>
  <c r="V13" i="10"/>
  <c r="U13" i="10"/>
  <c r="T13" i="10"/>
  <c r="S13" i="10"/>
  <c r="R13" i="10"/>
  <c r="AC12" i="10"/>
  <c r="AB12" i="10"/>
  <c r="AA12" i="10"/>
  <c r="Z12" i="10"/>
  <c r="W12" i="10"/>
  <c r="V12" i="10"/>
  <c r="U12" i="10"/>
  <c r="T12" i="10"/>
  <c r="S12" i="10"/>
  <c r="R12" i="10"/>
  <c r="AC11" i="10"/>
  <c r="AB11" i="10"/>
  <c r="AA11" i="10"/>
  <c r="Z11" i="10"/>
  <c r="W11" i="10"/>
  <c r="V11" i="10"/>
  <c r="U11" i="10"/>
  <c r="T11" i="10"/>
  <c r="S11" i="10"/>
  <c r="R11" i="10"/>
  <c r="AC10" i="10"/>
  <c r="AB10" i="10"/>
  <c r="AA10" i="10"/>
  <c r="Z10" i="10"/>
  <c r="W10" i="10"/>
  <c r="V10" i="10"/>
  <c r="U10" i="10"/>
  <c r="T10" i="10"/>
  <c r="S10" i="10"/>
  <c r="R10" i="10"/>
  <c r="AC9" i="10"/>
  <c r="AB9" i="10"/>
  <c r="AA9" i="10"/>
  <c r="Z9" i="10"/>
  <c r="W9" i="10"/>
  <c r="V9" i="10"/>
  <c r="U9" i="10"/>
  <c r="T9" i="10"/>
  <c r="S9" i="10"/>
  <c r="R9" i="10"/>
  <c r="AC8" i="10"/>
  <c r="AB8" i="10"/>
  <c r="AA8" i="10"/>
  <c r="Z8" i="10"/>
  <c r="W8" i="10"/>
  <c r="V8" i="10"/>
  <c r="U8" i="10"/>
  <c r="T8" i="10"/>
  <c r="S8" i="10"/>
  <c r="R8" i="10"/>
  <c r="AC7" i="10"/>
  <c r="AB7" i="10"/>
  <c r="AA7" i="10"/>
  <c r="Z7" i="10"/>
  <c r="W7" i="10"/>
  <c r="V7" i="10"/>
  <c r="U7" i="10"/>
  <c r="T7" i="10"/>
  <c r="S7" i="10"/>
  <c r="R7" i="10"/>
  <c r="AC6" i="10"/>
  <c r="AB6" i="10"/>
  <c r="AA6" i="10"/>
  <c r="Z6" i="10"/>
  <c r="W6" i="10"/>
  <c r="V6" i="10"/>
  <c r="U6" i="10"/>
  <c r="T6" i="10"/>
  <c r="S6" i="10"/>
  <c r="R6" i="10"/>
  <c r="AC5" i="10"/>
  <c r="AB5" i="10"/>
  <c r="AA5" i="10"/>
  <c r="Z5" i="10"/>
  <c r="W5" i="10"/>
  <c r="V5" i="10"/>
  <c r="U5" i="10"/>
  <c r="T5" i="10"/>
  <c r="S5" i="10"/>
  <c r="R5" i="10"/>
  <c r="W37" i="2"/>
  <c r="R39" i="2"/>
  <c r="AD39" i="13"/>
  <c r="AD44" i="13"/>
  <c r="AE44" i="13"/>
  <c r="AE52" i="13"/>
  <c r="AC41" i="13"/>
  <c r="AD53" i="13"/>
  <c r="AE53" i="13"/>
  <c r="Z39" i="13"/>
  <c r="Z41" i="13"/>
  <c r="Z37" i="13"/>
  <c r="Z60" i="13"/>
  <c r="Z59" i="13"/>
  <c r="AA57" i="13"/>
  <c r="AA41" i="13"/>
  <c r="AA37" i="13"/>
  <c r="AB57" i="13"/>
  <c r="AA60" i="13"/>
  <c r="AA59" i="13"/>
  <c r="AA39" i="13"/>
  <c r="Y37" i="13"/>
  <c r="Y41" i="13"/>
  <c r="Z57" i="13"/>
  <c r="Y39" i="13"/>
  <c r="X39" i="13"/>
  <c r="AD54" i="13"/>
  <c r="AC39" i="13"/>
  <c r="Y57" i="13"/>
  <c r="X37" i="13"/>
  <c r="AB37" i="13"/>
  <c r="AC37" i="13"/>
  <c r="AC59" i="13"/>
  <c r="AH42" i="13"/>
  <c r="AE46" i="13"/>
  <c r="AD46" i="13"/>
  <c r="W51" i="13"/>
  <c r="AB60" i="13"/>
  <c r="AG42" i="13"/>
  <c r="AB39" i="13"/>
  <c r="AC57" i="13"/>
  <c r="AG22" i="11"/>
  <c r="AF22" i="11"/>
  <c r="AD50" i="10"/>
  <c r="AB40" i="10"/>
  <c r="AA40" i="10"/>
  <c r="AE43" i="10"/>
  <c r="AD49" i="10"/>
  <c r="AD37" i="10"/>
  <c r="AE37" i="10"/>
  <c r="AA47" i="10"/>
  <c r="AB47" i="10"/>
  <c r="AD43" i="10"/>
  <c r="Z42" i="10"/>
  <c r="W35" i="13"/>
  <c r="AE50" i="13"/>
  <c r="AE42" i="10"/>
  <c r="AE40" i="10"/>
  <c r="AD45" i="10"/>
  <c r="AD47" i="10"/>
  <c r="AD42" i="10"/>
  <c r="AD40" i="10"/>
  <c r="AE45" i="10"/>
  <c r="AE47" i="10"/>
  <c r="AD40" i="2"/>
  <c r="AD38" i="2"/>
  <c r="AD36" i="2"/>
  <c r="AD35" i="2"/>
  <c r="AD39" i="2"/>
  <c r="X37" i="2"/>
  <c r="Y37" i="2"/>
  <c r="Z37" i="2"/>
  <c r="AA37" i="2"/>
  <c r="AB37" i="2"/>
  <c r="AC37" i="2"/>
  <c r="W39" i="2"/>
  <c r="AD37" i="2"/>
  <c r="AE46" i="3"/>
  <c r="AE36" i="3"/>
  <c r="AB41" i="3"/>
  <c r="AD41" i="3"/>
  <c r="AB45" i="3"/>
  <c r="AA41" i="3"/>
  <c r="AA43" i="3"/>
  <c r="Z41" i="3"/>
  <c r="Z45" i="3"/>
  <c r="AB35" i="3"/>
  <c r="AB40" i="3"/>
  <c r="AA35" i="3"/>
  <c r="AA38" i="3"/>
  <c r="Z35" i="3"/>
  <c r="AD37" i="3"/>
  <c r="AD52" i="3"/>
  <c r="Y48" i="3"/>
  <c r="AE48" i="3"/>
  <c r="Z48" i="3"/>
  <c r="AA48" i="3"/>
  <c r="AB48" i="3"/>
  <c r="R48" i="3"/>
  <c r="AD48" i="3"/>
  <c r="S48" i="3"/>
  <c r="T48" i="3"/>
  <c r="U48" i="3"/>
  <c r="V48" i="3"/>
  <c r="W48" i="3"/>
  <c r="X48" i="3"/>
  <c r="AC48" i="3"/>
  <c r="Y47" i="3"/>
  <c r="Z47" i="3"/>
  <c r="AA47" i="3"/>
  <c r="AB47" i="3"/>
  <c r="R47" i="3"/>
  <c r="AD47" i="3"/>
  <c r="S47" i="3"/>
  <c r="T47" i="3"/>
  <c r="U47" i="3"/>
  <c r="V47" i="3"/>
  <c r="W47" i="3"/>
  <c r="X47" i="3"/>
  <c r="AC47" i="3"/>
  <c r="AE44" i="3"/>
  <c r="AD44" i="3"/>
  <c r="AC45" i="3"/>
  <c r="AA45" i="3"/>
  <c r="Y45" i="3"/>
  <c r="X45" i="3"/>
  <c r="W45" i="3"/>
  <c r="V45" i="3"/>
  <c r="U45" i="3"/>
  <c r="T45" i="3"/>
  <c r="S45" i="3"/>
  <c r="R45" i="3"/>
  <c r="AE42" i="3"/>
  <c r="AD42" i="3"/>
  <c r="AC43" i="3"/>
  <c r="Y43" i="3"/>
  <c r="X43" i="3"/>
  <c r="W43" i="3"/>
  <c r="V43" i="3"/>
  <c r="U43" i="3"/>
  <c r="T43" i="3"/>
  <c r="S43" i="3"/>
  <c r="R43" i="3"/>
  <c r="AE35" i="3"/>
  <c r="AE39" i="3"/>
  <c r="AD39" i="3"/>
  <c r="AC40" i="3"/>
  <c r="Z40" i="3"/>
  <c r="Y40" i="3"/>
  <c r="X40" i="3"/>
  <c r="W40" i="3"/>
  <c r="V40" i="3"/>
  <c r="U40" i="3"/>
  <c r="T40" i="3"/>
  <c r="S40" i="3"/>
  <c r="R40" i="3"/>
  <c r="AE37" i="3"/>
  <c r="AC38" i="3"/>
  <c r="AB38" i="3"/>
  <c r="Z38" i="3"/>
  <c r="Y38" i="3"/>
  <c r="X38" i="3"/>
  <c r="W38" i="3"/>
  <c r="V38" i="3"/>
  <c r="U38" i="3"/>
  <c r="T38" i="3"/>
  <c r="S38" i="3"/>
  <c r="R38" i="3"/>
  <c r="AC33" i="3"/>
  <c r="AB33" i="3"/>
  <c r="AA33" i="3"/>
  <c r="Z33" i="3"/>
  <c r="W33" i="3"/>
  <c r="V33" i="3"/>
  <c r="U33" i="3"/>
  <c r="T33" i="3"/>
  <c r="S33" i="3"/>
  <c r="R33" i="3"/>
  <c r="AC32" i="3"/>
  <c r="AB32" i="3"/>
  <c r="AA32" i="3"/>
  <c r="Z32" i="3"/>
  <c r="W32" i="3"/>
  <c r="V32" i="3"/>
  <c r="U32" i="3"/>
  <c r="T32" i="3"/>
  <c r="S32" i="3"/>
  <c r="R32" i="3"/>
  <c r="AC31" i="3"/>
  <c r="AB31" i="3"/>
  <c r="AA31" i="3"/>
  <c r="Z31" i="3"/>
  <c r="W31" i="3"/>
  <c r="V31" i="3"/>
  <c r="U31" i="3"/>
  <c r="T31" i="3"/>
  <c r="S31" i="3"/>
  <c r="R31" i="3"/>
  <c r="AC30" i="3"/>
  <c r="AB30" i="3"/>
  <c r="AA30" i="3"/>
  <c r="Z30" i="3"/>
  <c r="W30" i="3"/>
  <c r="V30" i="3"/>
  <c r="U30" i="3"/>
  <c r="T30" i="3"/>
  <c r="S30" i="3"/>
  <c r="R30" i="3"/>
  <c r="AC29" i="3"/>
  <c r="AB29" i="3"/>
  <c r="AA29" i="3"/>
  <c r="Z29" i="3"/>
  <c r="W29" i="3"/>
  <c r="V29" i="3"/>
  <c r="U29" i="3"/>
  <c r="T29" i="3"/>
  <c r="S29" i="3"/>
  <c r="R29" i="3"/>
  <c r="AC28" i="3"/>
  <c r="AB28" i="3"/>
  <c r="AA28" i="3"/>
  <c r="Z28" i="3"/>
  <c r="W28" i="3"/>
  <c r="V28" i="3"/>
  <c r="U28" i="3"/>
  <c r="T28" i="3"/>
  <c r="S28" i="3"/>
  <c r="R28" i="3"/>
  <c r="AC27" i="3"/>
  <c r="AB27" i="3"/>
  <c r="AA27" i="3"/>
  <c r="Z27" i="3"/>
  <c r="W27" i="3"/>
  <c r="V27" i="3"/>
  <c r="U27" i="3"/>
  <c r="T27" i="3"/>
  <c r="S27" i="3"/>
  <c r="R27" i="3"/>
  <c r="AC26" i="3"/>
  <c r="AB26" i="3"/>
  <c r="AA26" i="3"/>
  <c r="Z26" i="3"/>
  <c r="W26" i="3"/>
  <c r="V26" i="3"/>
  <c r="U26" i="3"/>
  <c r="T26" i="3"/>
  <c r="S26" i="3"/>
  <c r="R26" i="3"/>
  <c r="AC25" i="3"/>
  <c r="AB25" i="3"/>
  <c r="AA25" i="3"/>
  <c r="Z25" i="3"/>
  <c r="W25" i="3"/>
  <c r="V25" i="3"/>
  <c r="U25" i="3"/>
  <c r="T25" i="3"/>
  <c r="S25" i="3"/>
  <c r="R25" i="3"/>
  <c r="AC24" i="3"/>
  <c r="AB24" i="3"/>
  <c r="AA24" i="3"/>
  <c r="Z24" i="3"/>
  <c r="W24" i="3"/>
  <c r="V24" i="3"/>
  <c r="U24" i="3"/>
  <c r="T24" i="3"/>
  <c r="S24" i="3"/>
  <c r="R24" i="3"/>
  <c r="AC23" i="3"/>
  <c r="AB23" i="3"/>
  <c r="AA23" i="3"/>
  <c r="Z23" i="3"/>
  <c r="W23" i="3"/>
  <c r="V23" i="3"/>
  <c r="U23" i="3"/>
  <c r="T23" i="3"/>
  <c r="S23" i="3"/>
  <c r="R23" i="3"/>
  <c r="AC22" i="3"/>
  <c r="AB22" i="3"/>
  <c r="AA22" i="3"/>
  <c r="Z22" i="3"/>
  <c r="W22" i="3"/>
  <c r="V22" i="3"/>
  <c r="U22" i="3"/>
  <c r="T22" i="3"/>
  <c r="S22" i="3"/>
  <c r="R22" i="3"/>
  <c r="AC21" i="3"/>
  <c r="AB21" i="3"/>
  <c r="AA21" i="3"/>
  <c r="Z21" i="3"/>
  <c r="W21" i="3"/>
  <c r="V21" i="3"/>
  <c r="U21" i="3"/>
  <c r="T21" i="3"/>
  <c r="S21" i="3"/>
  <c r="R21" i="3"/>
  <c r="AC20" i="3"/>
  <c r="AB20" i="3"/>
  <c r="AA20" i="3"/>
  <c r="Z20" i="3"/>
  <c r="W20" i="3"/>
  <c r="V20" i="3"/>
  <c r="U20" i="3"/>
  <c r="T20" i="3"/>
  <c r="S20" i="3"/>
  <c r="R20" i="3"/>
  <c r="AC19" i="3"/>
  <c r="AB19" i="3"/>
  <c r="AA19" i="3"/>
  <c r="Z19" i="3"/>
  <c r="W19" i="3"/>
  <c r="V19" i="3"/>
  <c r="U19" i="3"/>
  <c r="T19" i="3"/>
  <c r="S19" i="3"/>
  <c r="R19" i="3"/>
  <c r="AC18" i="3"/>
  <c r="AB18" i="3"/>
  <c r="AA18" i="3"/>
  <c r="Z18" i="3"/>
  <c r="W18" i="3"/>
  <c r="V18" i="3"/>
  <c r="U18" i="3"/>
  <c r="T18" i="3"/>
  <c r="S18" i="3"/>
  <c r="R18" i="3"/>
  <c r="AC17" i="3"/>
  <c r="AB17" i="3"/>
  <c r="AA17" i="3"/>
  <c r="Z17" i="3"/>
  <c r="W17" i="3"/>
  <c r="V17" i="3"/>
  <c r="U17" i="3"/>
  <c r="T17" i="3"/>
  <c r="S17" i="3"/>
  <c r="R17" i="3"/>
  <c r="AC16" i="3"/>
  <c r="AB16" i="3"/>
  <c r="AA16" i="3"/>
  <c r="Z16" i="3"/>
  <c r="W16" i="3"/>
  <c r="V16" i="3"/>
  <c r="U16" i="3"/>
  <c r="T16" i="3"/>
  <c r="S16" i="3"/>
  <c r="R16" i="3"/>
  <c r="AC15" i="3"/>
  <c r="AB15" i="3"/>
  <c r="AA15" i="3"/>
  <c r="Z15" i="3"/>
  <c r="W15" i="3"/>
  <c r="V15" i="3"/>
  <c r="U15" i="3"/>
  <c r="T15" i="3"/>
  <c r="S15" i="3"/>
  <c r="R15" i="3"/>
  <c r="AC14" i="3"/>
  <c r="AB14" i="3"/>
  <c r="AA14" i="3"/>
  <c r="Z14" i="3"/>
  <c r="W14" i="3"/>
  <c r="V14" i="3"/>
  <c r="U14" i="3"/>
  <c r="T14" i="3"/>
  <c r="S14" i="3"/>
  <c r="R14" i="3"/>
  <c r="AC13" i="3"/>
  <c r="AB13" i="3"/>
  <c r="AA13" i="3"/>
  <c r="Z13" i="3"/>
  <c r="W13" i="3"/>
  <c r="V13" i="3"/>
  <c r="U13" i="3"/>
  <c r="T13" i="3"/>
  <c r="S13" i="3"/>
  <c r="R13" i="3"/>
  <c r="AC12" i="3"/>
  <c r="AB12" i="3"/>
  <c r="AA12" i="3"/>
  <c r="Z12" i="3"/>
  <c r="W12" i="3"/>
  <c r="V12" i="3"/>
  <c r="U12" i="3"/>
  <c r="T12" i="3"/>
  <c r="S12" i="3"/>
  <c r="R12" i="3"/>
  <c r="AC11" i="3"/>
  <c r="AB11" i="3"/>
  <c r="AA11" i="3"/>
  <c r="Z11" i="3"/>
  <c r="W11" i="3"/>
  <c r="V11" i="3"/>
  <c r="U11" i="3"/>
  <c r="T11" i="3"/>
  <c r="S11" i="3"/>
  <c r="R11" i="3"/>
  <c r="AC10" i="3"/>
  <c r="AB10" i="3"/>
  <c r="AA10" i="3"/>
  <c r="Z10" i="3"/>
  <c r="W10" i="3"/>
  <c r="V10" i="3"/>
  <c r="U10" i="3"/>
  <c r="T10" i="3"/>
  <c r="S10" i="3"/>
  <c r="R10" i="3"/>
  <c r="AC9" i="3"/>
  <c r="AB9" i="3"/>
  <c r="AA9" i="3"/>
  <c r="Z9" i="3"/>
  <c r="W9" i="3"/>
  <c r="V9" i="3"/>
  <c r="U9" i="3"/>
  <c r="T9" i="3"/>
  <c r="S9" i="3"/>
  <c r="R9" i="3"/>
  <c r="AC8" i="3"/>
  <c r="AB8" i="3"/>
  <c r="AA8" i="3"/>
  <c r="Z8" i="3"/>
  <c r="W8" i="3"/>
  <c r="V8" i="3"/>
  <c r="U8" i="3"/>
  <c r="T8" i="3"/>
  <c r="S8" i="3"/>
  <c r="R8" i="3"/>
  <c r="AC7" i="3"/>
  <c r="AB7" i="3"/>
  <c r="AA7" i="3"/>
  <c r="Z7" i="3"/>
  <c r="W7" i="3"/>
  <c r="V7" i="3"/>
  <c r="U7" i="3"/>
  <c r="T7" i="3"/>
  <c r="S7" i="3"/>
  <c r="R7" i="3"/>
  <c r="AC6" i="3"/>
  <c r="AB6" i="3"/>
  <c r="AA6" i="3"/>
  <c r="Z6" i="3"/>
  <c r="W6" i="3"/>
  <c r="V6" i="3"/>
  <c r="U6" i="3"/>
  <c r="T6" i="3"/>
  <c r="S6" i="3"/>
  <c r="R6" i="3"/>
  <c r="AC5" i="3"/>
  <c r="AB5" i="3"/>
  <c r="AA5" i="3"/>
  <c r="Z5" i="3"/>
  <c r="W5" i="3"/>
  <c r="V5" i="3"/>
  <c r="U5" i="3"/>
  <c r="T5" i="3"/>
  <c r="S5" i="3"/>
  <c r="R5" i="3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AC39" i="2"/>
  <c r="AB39" i="2"/>
  <c r="AA39" i="2"/>
  <c r="Z39" i="2"/>
  <c r="Y39" i="2"/>
  <c r="X39" i="2"/>
  <c r="V39" i="2"/>
  <c r="U39" i="2"/>
  <c r="T39" i="2"/>
  <c r="S39" i="2"/>
  <c r="AC33" i="2"/>
  <c r="AB33" i="2"/>
  <c r="AA33" i="2"/>
  <c r="Z33" i="2"/>
  <c r="W33" i="2"/>
  <c r="V33" i="2"/>
  <c r="U33" i="2"/>
  <c r="T33" i="2"/>
  <c r="S33" i="2"/>
  <c r="R33" i="2"/>
  <c r="AC32" i="2"/>
  <c r="AB32" i="2"/>
  <c r="AA32" i="2"/>
  <c r="Z32" i="2"/>
  <c r="W32" i="2"/>
  <c r="V32" i="2"/>
  <c r="U32" i="2"/>
  <c r="T32" i="2"/>
  <c r="S32" i="2"/>
  <c r="R32" i="2"/>
  <c r="AC31" i="2"/>
  <c r="AB31" i="2"/>
  <c r="AA31" i="2"/>
  <c r="Z31" i="2"/>
  <c r="W31" i="2"/>
  <c r="V31" i="2"/>
  <c r="U31" i="2"/>
  <c r="T31" i="2"/>
  <c r="S31" i="2"/>
  <c r="R31" i="2"/>
  <c r="AC30" i="2"/>
  <c r="AB30" i="2"/>
  <c r="AA30" i="2"/>
  <c r="Z30" i="2"/>
  <c r="W30" i="2"/>
  <c r="V30" i="2"/>
  <c r="U30" i="2"/>
  <c r="T30" i="2"/>
  <c r="S30" i="2"/>
  <c r="R30" i="2"/>
  <c r="AC29" i="2"/>
  <c r="AB29" i="2"/>
  <c r="AA29" i="2"/>
  <c r="Z29" i="2"/>
  <c r="W29" i="2"/>
  <c r="V29" i="2"/>
  <c r="U29" i="2"/>
  <c r="T29" i="2"/>
  <c r="S29" i="2"/>
  <c r="R29" i="2"/>
  <c r="AC28" i="2"/>
  <c r="AB28" i="2"/>
  <c r="AA28" i="2"/>
  <c r="Z28" i="2"/>
  <c r="W28" i="2"/>
  <c r="V28" i="2"/>
  <c r="U28" i="2"/>
  <c r="T28" i="2"/>
  <c r="S28" i="2"/>
  <c r="R28" i="2"/>
  <c r="AC27" i="2"/>
  <c r="AB27" i="2"/>
  <c r="AA27" i="2"/>
  <c r="Z27" i="2"/>
  <c r="W27" i="2"/>
  <c r="V27" i="2"/>
  <c r="U27" i="2"/>
  <c r="T27" i="2"/>
  <c r="S27" i="2"/>
  <c r="R27" i="2"/>
  <c r="AC26" i="2"/>
  <c r="AB26" i="2"/>
  <c r="AA26" i="2"/>
  <c r="Z26" i="2"/>
  <c r="W26" i="2"/>
  <c r="V26" i="2"/>
  <c r="U26" i="2"/>
  <c r="T26" i="2"/>
  <c r="S26" i="2"/>
  <c r="R26" i="2"/>
  <c r="AC25" i="2"/>
  <c r="AB25" i="2"/>
  <c r="AA25" i="2"/>
  <c r="Z25" i="2"/>
  <c r="W25" i="2"/>
  <c r="V25" i="2"/>
  <c r="U25" i="2"/>
  <c r="T25" i="2"/>
  <c r="R25" i="2"/>
  <c r="AC24" i="2"/>
  <c r="AB24" i="2"/>
  <c r="AA24" i="2"/>
  <c r="Z24" i="2"/>
  <c r="W24" i="2"/>
  <c r="V24" i="2"/>
  <c r="U24" i="2"/>
  <c r="T24" i="2"/>
  <c r="S24" i="2"/>
  <c r="R24" i="2"/>
  <c r="AC23" i="2"/>
  <c r="AB23" i="2"/>
  <c r="AA23" i="2"/>
  <c r="Z23" i="2"/>
  <c r="W23" i="2"/>
  <c r="V23" i="2"/>
  <c r="U23" i="2"/>
  <c r="T23" i="2"/>
  <c r="S23" i="2"/>
  <c r="R23" i="2"/>
  <c r="AC22" i="2"/>
  <c r="AB22" i="2"/>
  <c r="AA22" i="2"/>
  <c r="Z22" i="2"/>
  <c r="W22" i="2"/>
  <c r="V22" i="2"/>
  <c r="U22" i="2"/>
  <c r="T22" i="2"/>
  <c r="S22" i="2"/>
  <c r="R22" i="2"/>
  <c r="AC21" i="2"/>
  <c r="AB21" i="2"/>
  <c r="AA21" i="2"/>
  <c r="Z21" i="2"/>
  <c r="W21" i="2"/>
  <c r="V21" i="2"/>
  <c r="U21" i="2"/>
  <c r="T21" i="2"/>
  <c r="S21" i="2"/>
  <c r="R21" i="2"/>
  <c r="AC20" i="2"/>
  <c r="AB20" i="2"/>
  <c r="AA20" i="2"/>
  <c r="Z20" i="2"/>
  <c r="W20" i="2"/>
  <c r="V20" i="2"/>
  <c r="U20" i="2"/>
  <c r="T20" i="2"/>
  <c r="S20" i="2"/>
  <c r="R20" i="2"/>
  <c r="AC19" i="2"/>
  <c r="AB19" i="2"/>
  <c r="AA19" i="2"/>
  <c r="Z19" i="2"/>
  <c r="W19" i="2"/>
  <c r="V19" i="2"/>
  <c r="U19" i="2"/>
  <c r="T19" i="2"/>
  <c r="S19" i="2"/>
  <c r="R19" i="2"/>
  <c r="AC18" i="2"/>
  <c r="AB18" i="2"/>
  <c r="AA18" i="2"/>
  <c r="Z18" i="2"/>
  <c r="W18" i="2"/>
  <c r="V18" i="2"/>
  <c r="U18" i="2"/>
  <c r="T18" i="2"/>
  <c r="S18" i="2"/>
  <c r="R18" i="2"/>
  <c r="AC17" i="2"/>
  <c r="AB17" i="2"/>
  <c r="AA17" i="2"/>
  <c r="Z17" i="2"/>
  <c r="W17" i="2"/>
  <c r="V17" i="2"/>
  <c r="U17" i="2"/>
  <c r="T17" i="2"/>
  <c r="S17" i="2"/>
  <c r="R17" i="2"/>
  <c r="AC16" i="2"/>
  <c r="AB16" i="2"/>
  <c r="AA16" i="2"/>
  <c r="Z16" i="2"/>
  <c r="W16" i="2"/>
  <c r="V16" i="2"/>
  <c r="U16" i="2"/>
  <c r="T16" i="2"/>
  <c r="S16" i="2"/>
  <c r="R16" i="2"/>
  <c r="AC15" i="2"/>
  <c r="AB15" i="2"/>
  <c r="AA15" i="2"/>
  <c r="Z15" i="2"/>
  <c r="W15" i="2"/>
  <c r="V15" i="2"/>
  <c r="U15" i="2"/>
  <c r="T15" i="2"/>
  <c r="S15" i="2"/>
  <c r="R15" i="2"/>
  <c r="AC14" i="2"/>
  <c r="AB14" i="2"/>
  <c r="AA14" i="2"/>
  <c r="Z14" i="2"/>
  <c r="W14" i="2"/>
  <c r="V14" i="2"/>
  <c r="U14" i="2"/>
  <c r="T14" i="2"/>
  <c r="S14" i="2"/>
  <c r="R14" i="2"/>
  <c r="AC13" i="2"/>
  <c r="AB13" i="2"/>
  <c r="AA13" i="2"/>
  <c r="Z13" i="2"/>
  <c r="W13" i="2"/>
  <c r="V13" i="2"/>
  <c r="U13" i="2"/>
  <c r="T13" i="2"/>
  <c r="S13" i="2"/>
  <c r="R13" i="2"/>
  <c r="AC12" i="2"/>
  <c r="AB12" i="2"/>
  <c r="AA12" i="2"/>
  <c r="Z12" i="2"/>
  <c r="W12" i="2"/>
  <c r="V12" i="2"/>
  <c r="U12" i="2"/>
  <c r="T12" i="2"/>
  <c r="S12" i="2"/>
  <c r="R12" i="2"/>
  <c r="AC11" i="2"/>
  <c r="AB11" i="2"/>
  <c r="AA11" i="2"/>
  <c r="Z11" i="2"/>
  <c r="W11" i="2"/>
  <c r="V11" i="2"/>
  <c r="U11" i="2"/>
  <c r="T11" i="2"/>
  <c r="S11" i="2"/>
  <c r="R11" i="2"/>
  <c r="AC10" i="2"/>
  <c r="AB10" i="2"/>
  <c r="AA10" i="2"/>
  <c r="Z10" i="2"/>
  <c r="W10" i="2"/>
  <c r="V10" i="2"/>
  <c r="U10" i="2"/>
  <c r="T10" i="2"/>
  <c r="S10" i="2"/>
  <c r="R10" i="2"/>
  <c r="AC9" i="2"/>
  <c r="AB9" i="2"/>
  <c r="AA9" i="2"/>
  <c r="Z9" i="2"/>
  <c r="W9" i="2"/>
  <c r="V9" i="2"/>
  <c r="U9" i="2"/>
  <c r="T9" i="2"/>
  <c r="S9" i="2"/>
  <c r="R9" i="2"/>
  <c r="AC8" i="2"/>
  <c r="AB8" i="2"/>
  <c r="AA8" i="2"/>
  <c r="Z8" i="2"/>
  <c r="W8" i="2"/>
  <c r="V8" i="2"/>
  <c r="U8" i="2"/>
  <c r="T8" i="2"/>
  <c r="S8" i="2"/>
  <c r="R8" i="2"/>
  <c r="AC7" i="2"/>
  <c r="AB7" i="2"/>
  <c r="AA7" i="2"/>
  <c r="Z7" i="2"/>
  <c r="W7" i="2"/>
  <c r="V7" i="2"/>
  <c r="U7" i="2"/>
  <c r="T7" i="2"/>
  <c r="S7" i="2"/>
  <c r="R7" i="2"/>
  <c r="AC6" i="2"/>
  <c r="AB6" i="2"/>
  <c r="AA6" i="2"/>
  <c r="Z6" i="2"/>
  <c r="W6" i="2"/>
  <c r="V6" i="2"/>
  <c r="U6" i="2"/>
  <c r="T6" i="2"/>
  <c r="S6" i="2"/>
  <c r="R6" i="2"/>
  <c r="AC5" i="2"/>
  <c r="AB5" i="2"/>
  <c r="AA5" i="2"/>
  <c r="Z5" i="2"/>
  <c r="W5" i="2"/>
  <c r="V5" i="2"/>
  <c r="U5" i="2"/>
  <c r="T5" i="2"/>
  <c r="S5" i="2"/>
  <c r="R5" i="2"/>
  <c r="AE47" i="3"/>
  <c r="AE38" i="3"/>
  <c r="Z43" i="3"/>
  <c r="AA40" i="3"/>
  <c r="AD35" i="3"/>
  <c r="AD38" i="3"/>
  <c r="AE40" i="3"/>
  <c r="AD43" i="3"/>
  <c r="AD45" i="3"/>
  <c r="AB43" i="3"/>
  <c r="AE41" i="3"/>
  <c r="AD40" i="3"/>
  <c r="AE45" i="3"/>
  <c r="AE43" i="3"/>
  <c r="W41" i="13"/>
  <c r="W37" i="13"/>
  <c r="AE35" i="13"/>
  <c r="W39" i="13"/>
  <c r="AE37" i="13"/>
  <c r="AE39" i="13"/>
  <c r="AE41" i="13"/>
  <c r="AA50" i="20"/>
  <c r="T35" i="20"/>
  <c r="T37" i="20" s="1"/>
  <c r="Z35" i="20"/>
  <c r="Z91" i="20" s="1"/>
  <c r="Z44" i="20"/>
  <c r="T41" i="20"/>
  <c r="T91" i="20"/>
  <c r="T93" i="20"/>
  <c r="Y53" i="20"/>
  <c r="Y54" i="20"/>
  <c r="AP35" i="20"/>
  <c r="R37" i="20" l="1"/>
  <c r="R61" i="20"/>
  <c r="R72" i="19"/>
  <c r="P72" i="19"/>
  <c r="T39" i="20"/>
  <c r="R37" i="19"/>
  <c r="N37" i="19"/>
  <c r="Y37" i="20"/>
  <c r="Y39" i="20"/>
  <c r="Y91" i="20"/>
  <c r="Y41" i="20"/>
  <c r="U41" i="20"/>
  <c r="U37" i="20"/>
  <c r="U39" i="20"/>
  <c r="U91" i="20"/>
  <c r="V91" i="20"/>
  <c r="V37" i="20"/>
  <c r="V39" i="20"/>
  <c r="V41" i="20"/>
  <c r="S45" i="19"/>
  <c r="W49" i="19"/>
  <c r="T93" i="19"/>
  <c r="T47" i="19"/>
  <c r="AB54" i="19"/>
  <c r="Y36" i="19"/>
  <c r="Y49" i="19"/>
  <c r="Y47" i="19"/>
  <c r="Y45" i="19"/>
  <c r="AB51" i="19"/>
  <c r="AA44" i="19"/>
  <c r="Z53" i="19"/>
  <c r="Y97" i="19"/>
  <c r="U97" i="19"/>
  <c r="O33" i="19"/>
  <c r="T97" i="19"/>
  <c r="R97" i="19"/>
  <c r="S93" i="19"/>
  <c r="R95" i="19"/>
  <c r="R39" i="20"/>
  <c r="R41" i="20"/>
  <c r="Q41" i="20"/>
  <c r="AB28" i="11"/>
  <c r="R75" i="11"/>
  <c r="AD31" i="11"/>
  <c r="AD34" i="11" s="1"/>
  <c r="AD35" i="11" s="1"/>
  <c r="AD30" i="11" s="1"/>
  <c r="AD15" i="11" s="1"/>
  <c r="AD19" i="11" s="1"/>
  <c r="T24" i="11"/>
  <c r="R24" i="11"/>
  <c r="W34" i="11"/>
  <c r="U34" i="11"/>
  <c r="U35" i="11" s="1"/>
  <c r="AB34" i="11"/>
  <c r="S34" i="11"/>
  <c r="S35" i="11" s="1"/>
  <c r="T34" i="11"/>
  <c r="T35" i="11" s="1"/>
  <c r="X34" i="11"/>
  <c r="X35" i="11" s="1"/>
  <c r="X30" i="11" s="1"/>
  <c r="X15" i="11" s="1"/>
  <c r="AD24" i="11"/>
  <c r="R34" i="11"/>
  <c r="AA34" i="11"/>
  <c r="AA35" i="11" s="1"/>
  <c r="AA30" i="11" s="1"/>
  <c r="AA15" i="11" s="1"/>
  <c r="Z34" i="11"/>
  <c r="Z35" i="11" s="1"/>
  <c r="Z30" i="11" s="1"/>
  <c r="Z15" i="11" s="1"/>
  <c r="Y34" i="11"/>
  <c r="Y35" i="11" s="1"/>
  <c r="Y30" i="11" s="1"/>
  <c r="Y15" i="11" s="1"/>
  <c r="Y48" i="11" s="1"/>
  <c r="R71" i="11"/>
  <c r="AD26" i="11"/>
  <c r="T28" i="11"/>
  <c r="AD28" i="11"/>
  <c r="X75" i="11"/>
  <c r="AB48" i="20"/>
  <c r="AD42" i="20"/>
  <c r="AB44" i="20"/>
  <c r="W41" i="20"/>
  <c r="Q37" i="20"/>
  <c r="AA48" i="20"/>
  <c r="N37" i="20"/>
  <c r="AB35" i="20"/>
  <c r="AB39" i="20" s="1"/>
  <c r="AA44" i="20"/>
  <c r="N41" i="20"/>
  <c r="Z48" i="20"/>
  <c r="AA46" i="20"/>
  <c r="W37" i="20"/>
  <c r="W39" i="20"/>
  <c r="P37" i="20"/>
  <c r="P39" i="20"/>
  <c r="AA35" i="20"/>
  <c r="S97" i="19"/>
  <c r="X49" i="19"/>
  <c r="X45" i="19"/>
  <c r="S47" i="19"/>
  <c r="S49" i="19"/>
  <c r="S36" i="19"/>
  <c r="P93" i="19"/>
  <c r="O45" i="19"/>
  <c r="O47" i="19"/>
  <c r="V36" i="19"/>
  <c r="V45" i="19"/>
  <c r="V49" i="19"/>
  <c r="Q95" i="19"/>
  <c r="P95" i="19"/>
  <c r="O95" i="19"/>
  <c r="P51" i="19"/>
  <c r="P37" i="19"/>
  <c r="P33" i="19" s="1"/>
  <c r="R818" i="17"/>
  <c r="AA26" i="11"/>
  <c r="AA24" i="11"/>
  <c r="U73" i="11"/>
  <c r="Z24" i="11"/>
  <c r="Z28" i="11"/>
  <c r="X26" i="11"/>
  <c r="Y24" i="11"/>
  <c r="Y28" i="11"/>
  <c r="Y26" i="11"/>
  <c r="S71" i="11"/>
  <c r="W26" i="11"/>
  <c r="R28" i="11"/>
  <c r="V71" i="11"/>
  <c r="X71" i="11"/>
  <c r="T75" i="11"/>
  <c r="T73" i="11"/>
  <c r="W75" i="11"/>
  <c r="V24" i="11"/>
  <c r="V28" i="11"/>
  <c r="V26" i="11"/>
  <c r="AC28" i="11"/>
  <c r="AC24" i="11"/>
  <c r="AC26" i="11"/>
  <c r="S26" i="11"/>
  <c r="S24" i="11"/>
  <c r="S28" i="11"/>
  <c r="U26" i="11"/>
  <c r="U24" i="11"/>
  <c r="U28" i="11"/>
  <c r="S73" i="11"/>
  <c r="R26" i="11"/>
  <c r="X73" i="11"/>
  <c r="W24" i="11"/>
  <c r="W28" i="11"/>
  <c r="U71" i="11"/>
  <c r="AB26" i="11"/>
  <c r="X28" i="11"/>
  <c r="AB24" i="11"/>
  <c r="T26" i="11"/>
  <c r="X24" i="11"/>
  <c r="V73" i="11"/>
  <c r="W73" i="11"/>
  <c r="AA28" i="11"/>
  <c r="Z26" i="11"/>
  <c r="R45" i="19"/>
  <c r="R47" i="19"/>
  <c r="R49" i="19"/>
  <c r="Q45" i="19"/>
  <c r="Q47" i="19"/>
  <c r="Q49" i="19"/>
  <c r="P45" i="19"/>
  <c r="P47" i="19"/>
  <c r="P49" i="19"/>
  <c r="AB43" i="19"/>
  <c r="U49" i="19"/>
  <c r="U36" i="19"/>
  <c r="U72" i="19" s="1"/>
  <c r="U47" i="19"/>
  <c r="U45" i="19"/>
  <c r="N45" i="19"/>
  <c r="AA43" i="19"/>
  <c r="Z43" i="19"/>
  <c r="N49" i="19"/>
  <c r="N47" i="19"/>
  <c r="O93" i="19"/>
  <c r="W45" i="19"/>
  <c r="W36" i="19"/>
  <c r="X36" i="19"/>
  <c r="CO825" i="17"/>
  <c r="N93" i="19"/>
  <c r="V47" i="19"/>
  <c r="W47" i="19"/>
  <c r="X47" i="19"/>
  <c r="N95" i="19"/>
  <c r="X97" i="19"/>
  <c r="T36" i="19"/>
  <c r="W97" i="19"/>
  <c r="T49" i="19"/>
  <c r="V97" i="19"/>
  <c r="T45" i="19"/>
  <c r="O49" i="19"/>
  <c r="Q97" i="19"/>
  <c r="CO842" i="17"/>
  <c r="CO847" i="17" s="1"/>
  <c r="CP827" i="17"/>
  <c r="AB35" i="11" l="1"/>
  <c r="AB30" i="11" s="1"/>
  <c r="AB15" i="11" s="1"/>
  <c r="W35" i="11"/>
  <c r="W30" i="11" s="1"/>
  <c r="W15" i="11" s="1"/>
  <c r="R21" i="11"/>
  <c r="R35" i="11"/>
  <c r="U34" i="19"/>
  <c r="U76" i="19" s="1"/>
  <c r="T72" i="19"/>
  <c r="S33" i="19"/>
  <c r="S34" i="19"/>
  <c r="T34" i="19"/>
  <c r="T76" i="19" s="1"/>
  <c r="S72" i="19"/>
  <c r="X72" i="19"/>
  <c r="Y34" i="19"/>
  <c r="X34" i="19"/>
  <c r="W72" i="19"/>
  <c r="V72" i="19"/>
  <c r="V34" i="19"/>
  <c r="W34" i="19"/>
  <c r="R34" i="19"/>
  <c r="Z48" i="11"/>
  <c r="AA13" i="11"/>
  <c r="Z13" i="11"/>
  <c r="X21" i="11"/>
  <c r="Y13" i="11"/>
  <c r="X48" i="11"/>
  <c r="V48" i="11"/>
  <c r="AA17" i="11"/>
  <c r="AA48" i="11"/>
  <c r="U48" i="11"/>
  <c r="V13" i="11"/>
  <c r="U13" i="11"/>
  <c r="S42" i="19"/>
  <c r="V42" i="19"/>
  <c r="S38" i="19"/>
  <c r="AD35" i="20"/>
  <c r="AA39" i="20"/>
  <c r="AA41" i="20"/>
  <c r="AC30" i="11"/>
  <c r="AC15" i="11" s="1"/>
  <c r="AC48" i="11" s="1"/>
  <c r="O40" i="19"/>
  <c r="O42" i="19"/>
  <c r="O60" i="19"/>
  <c r="Y38" i="19"/>
  <c r="Y40" i="19"/>
  <c r="Y42" i="19"/>
  <c r="Y33" i="19"/>
  <c r="O38" i="19"/>
  <c r="AA37" i="20"/>
  <c r="AB41" i="20"/>
  <c r="AB37" i="20"/>
  <c r="AD17" i="11"/>
  <c r="AD21" i="11"/>
  <c r="R19" i="11"/>
  <c r="R17" i="11"/>
  <c r="AA21" i="11"/>
  <c r="AA19" i="11"/>
  <c r="R33" i="19"/>
  <c r="T33" i="19"/>
  <c r="W33" i="19"/>
  <c r="V40" i="19"/>
  <c r="U33" i="19"/>
  <c r="V38" i="19"/>
  <c r="V33" i="19"/>
  <c r="S40" i="19"/>
  <c r="X33" i="19"/>
  <c r="S60" i="19"/>
  <c r="AA45" i="19"/>
  <c r="AC37" i="19"/>
  <c r="AA37" i="19"/>
  <c r="P54" i="19"/>
  <c r="AA51" i="19"/>
  <c r="X17" i="11"/>
  <c r="X19" i="11"/>
  <c r="Y17" i="11"/>
  <c r="Y19" i="11"/>
  <c r="Y21" i="11"/>
  <c r="T19" i="11"/>
  <c r="T17" i="11"/>
  <c r="T21" i="11"/>
  <c r="S19" i="11"/>
  <c r="S17" i="11"/>
  <c r="S21" i="11"/>
  <c r="U17" i="11"/>
  <c r="U21" i="11"/>
  <c r="U19" i="11"/>
  <c r="V21" i="11"/>
  <c r="V17" i="11"/>
  <c r="V19" i="11"/>
  <c r="Z21" i="11"/>
  <c r="Z17" i="11"/>
  <c r="Z19" i="11"/>
  <c r="AD43" i="19"/>
  <c r="AB49" i="19"/>
  <c r="AB45" i="19"/>
  <c r="AB47" i="19"/>
  <c r="X42" i="19"/>
  <c r="X38" i="19"/>
  <c r="X40" i="19"/>
  <c r="W42" i="19"/>
  <c r="W40" i="19"/>
  <c r="W38" i="19"/>
  <c r="Q60" i="19"/>
  <c r="Q42" i="19"/>
  <c r="Q40" i="19"/>
  <c r="Q38" i="19"/>
  <c r="AA47" i="19"/>
  <c r="AA49" i="19"/>
  <c r="Z49" i="19"/>
  <c r="Z47" i="19"/>
  <c r="Z36" i="19"/>
  <c r="Z45" i="19"/>
  <c r="T42" i="19"/>
  <c r="T40" i="19"/>
  <c r="T38" i="19"/>
  <c r="N40" i="19"/>
  <c r="N38" i="19"/>
  <c r="N60" i="19"/>
  <c r="N42" i="19"/>
  <c r="U40" i="19"/>
  <c r="U42" i="19"/>
  <c r="U38" i="19"/>
  <c r="AB36" i="19"/>
  <c r="R42" i="19"/>
  <c r="R40" i="19"/>
  <c r="R60" i="19"/>
  <c r="R38" i="19"/>
  <c r="CQ827" i="17"/>
  <c r="CP842" i="17"/>
  <c r="CP847" i="17" s="1"/>
  <c r="X54" i="11" l="1"/>
  <c r="W48" i="11"/>
  <c r="W13" i="11"/>
  <c r="W21" i="11"/>
  <c r="W19" i="11"/>
  <c r="W17" i="11"/>
  <c r="X13" i="11"/>
  <c r="AB17" i="11"/>
  <c r="AB19" i="11"/>
  <c r="AC13" i="11"/>
  <c r="AB13" i="11"/>
  <c r="AB21" i="11"/>
  <c r="AB48" i="11"/>
  <c r="V76" i="19"/>
  <c r="AC17" i="11"/>
  <c r="AC21" i="11"/>
  <c r="AC19" i="11"/>
  <c r="Z54" i="19"/>
  <c r="AB38" i="19"/>
  <c r="AB40" i="19"/>
  <c r="AB42" i="19"/>
  <c r="CQ842" i="17"/>
  <c r="CQ847" i="17" s="1"/>
  <c r="CR827" i="17"/>
  <c r="CS827" i="17" l="1"/>
  <c r="CR842" i="17"/>
  <c r="CR847" i="17" s="1"/>
  <c r="AC36" i="19" l="1"/>
  <c r="AD36" i="19" s="1"/>
  <c r="P42" i="19"/>
  <c r="AA42" i="19" s="1"/>
  <c r="P38" i="19"/>
  <c r="AA38" i="19" s="1"/>
  <c r="AA36" i="19"/>
  <c r="P40" i="19"/>
  <c r="AA40" i="19" s="1"/>
  <c r="P60" i="19"/>
  <c r="CS842" i="17"/>
  <c r="CS847" i="17" s="1"/>
  <c r="CT827" i="17"/>
  <c r="CU827" i="17" l="1"/>
  <c r="CT842" i="17"/>
  <c r="CT847" i="17" s="1"/>
  <c r="CU842" i="17" l="1"/>
  <c r="CU847" i="17" s="1"/>
  <c r="CV827" i="17"/>
  <c r="CV842" i="17" l="1"/>
  <c r="CV847" i="17" s="1"/>
  <c r="CW827" i="17"/>
  <c r="CW842" i="17" l="1"/>
  <c r="CW847" i="17" s="1"/>
  <c r="CX827" i="17"/>
  <c r="CX832" i="17" l="1"/>
  <c r="CY827" i="17"/>
  <c r="CX842" i="17"/>
  <c r="CX847" i="17" s="1"/>
  <c r="CY832" i="17" l="1"/>
  <c r="CZ827" i="17"/>
  <c r="CY842" i="17"/>
  <c r="CY847" i="17" s="1"/>
  <c r="CZ832" i="17" l="1"/>
  <c r="CZ842" i="17"/>
  <c r="CZ847" i="17" s="1"/>
  <c r="DA827" i="17"/>
  <c r="DA832" i="17" l="1"/>
  <c r="DB827" i="17"/>
  <c r="DA842" i="17"/>
  <c r="DA847" i="17" s="1"/>
  <c r="DB832" i="17" l="1"/>
  <c r="DB842" i="17"/>
  <c r="DB847" i="17" s="1"/>
  <c r="DC827" i="17"/>
  <c r="DC842" i="17" l="1"/>
  <c r="DC847" i="17" s="1"/>
  <c r="DD827" i="17"/>
  <c r="DC832" i="17"/>
  <c r="DD832" i="17" l="1"/>
  <c r="DD842" i="17"/>
  <c r="DD847" i="17" s="1"/>
  <c r="DE827" i="17"/>
  <c r="DE832" i="17" l="1"/>
  <c r="DE842" i="17"/>
  <c r="DE847" i="17" s="1"/>
  <c r="DF827" i="17"/>
  <c r="DG827" i="17" l="1"/>
  <c r="DF832" i="17"/>
  <c r="DF842" i="17"/>
  <c r="DF847" i="17" s="1"/>
  <c r="DH827" i="17" l="1"/>
  <c r="DG832" i="17"/>
  <c r="DG842" i="17"/>
  <c r="DG847" i="17" s="1"/>
  <c r="DH832" i="17" l="1"/>
  <c r="DH842" i="17"/>
  <c r="DH847" i="17" s="1"/>
  <c r="DI827" i="17"/>
  <c r="DJ827" i="17" s="1"/>
  <c r="DK827" i="17" s="1"/>
  <c r="DL827" i="17" s="1"/>
  <c r="DM827" i="17" s="1"/>
  <c r="DN827" i="17" s="1"/>
  <c r="DO827" i="17" s="1"/>
  <c r="DP827" i="17" s="1"/>
  <c r="DQ827" i="17" s="1"/>
  <c r="DR827" i="17" s="1"/>
  <c r="DS827" i="17" s="1"/>
  <c r="DT827" i="17" s="1"/>
  <c r="DU827" i="17" s="1"/>
  <c r="DV827" i="17" s="1"/>
  <c r="DW827" i="17" s="1"/>
  <c r="DX827" i="17" s="1"/>
  <c r="DY827" i="17" s="1"/>
  <c r="DZ827" i="17" s="1"/>
  <c r="EA827" i="17" s="1"/>
  <c r="EB827" i="17" s="1"/>
  <c r="EC827" i="17" s="1"/>
  <c r="ED827" i="17" s="1"/>
  <c r="EE827" i="17" s="1"/>
  <c r="EF827" i="17" s="1"/>
  <c r="EG827" i="17" s="1"/>
  <c r="EH827" i="17" s="1"/>
  <c r="EI827" i="17" s="1"/>
  <c r="Z36" i="20" l="1"/>
  <c r="Z51" i="20" s="1"/>
  <c r="AB50" i="20"/>
  <c r="X53" i="20"/>
  <c r="Z53" i="20" s="1"/>
  <c r="X54" i="20" l="1"/>
  <c r="X35" i="20" s="1"/>
  <c r="AB53" i="20"/>
  <c r="Y32" i="20"/>
  <c r="X91" i="20"/>
  <c r="X41" i="20"/>
  <c r="Z41" i="20" s="1"/>
  <c r="X39" i="20" l="1"/>
  <c r="Z39" i="20" s="1"/>
  <c r="X37" i="20"/>
  <c r="Z37" i="20" s="1"/>
  <c r="AP38" i="20"/>
  <c r="Y32" i="19" l="1"/>
  <c r="AC8" i="11"/>
  <c r="U8" i="11"/>
  <c r="W10" i="11"/>
  <c r="W11" i="11" s="1"/>
  <c r="W12" i="11" s="1"/>
  <c r="J3" i="22"/>
  <c r="J7" i="22" s="1"/>
  <c r="I3" i="22"/>
  <c r="I7" i="22" s="1"/>
  <c r="H3" i="22"/>
  <c r="H7" i="22" s="1"/>
  <c r="L3" i="22"/>
  <c r="G3" i="22"/>
  <c r="G7" i="22" s="1"/>
  <c r="B3" i="22"/>
  <c r="M3" i="22"/>
  <c r="M7" i="22" s="1"/>
  <c r="N31" i="20"/>
  <c r="Y31" i="20"/>
  <c r="U31" i="20"/>
  <c r="Y29" i="20"/>
  <c r="Y30" i="20" s="1"/>
  <c r="U29" i="20"/>
  <c r="U30" i="20" s="1"/>
  <c r="I3" i="21"/>
  <c r="M3" i="21"/>
  <c r="M7" i="21" s="1"/>
  <c r="H3" i="21"/>
  <c r="J3" i="21"/>
  <c r="Y8" i="11"/>
  <c r="R31" i="20"/>
  <c r="N32" i="19"/>
  <c r="V8" i="11"/>
  <c r="Z8" i="11"/>
  <c r="S8" i="11"/>
  <c r="W8" i="11"/>
  <c r="R32" i="19"/>
  <c r="O32" i="19"/>
  <c r="T32" i="19"/>
  <c r="X32" i="19"/>
  <c r="S32" i="19"/>
  <c r="W32" i="19"/>
  <c r="P32" i="19"/>
  <c r="V32" i="19"/>
  <c r="Q32" i="19"/>
  <c r="U32" i="19"/>
  <c r="AA8" i="11"/>
  <c r="T8" i="11"/>
  <c r="R8" i="11"/>
  <c r="X8" i="11"/>
  <c r="AB8" i="11"/>
  <c r="V31" i="20"/>
  <c r="X31" i="20"/>
  <c r="AP34" i="20" s="1"/>
  <c r="W31" i="20"/>
  <c r="P31" i="20"/>
  <c r="Q31" i="20"/>
  <c r="O31" i="20"/>
  <c r="S31" i="20"/>
  <c r="T31" i="20"/>
  <c r="AA10" i="11"/>
  <c r="AA11" i="11" s="1"/>
  <c r="AA12" i="11" s="1"/>
  <c r="R10" i="11"/>
  <c r="R11" i="11" s="1"/>
  <c r="R12" i="11" s="1"/>
  <c r="D3" i="22"/>
  <c r="AB10" i="11"/>
  <c r="AB11" i="11" s="1"/>
  <c r="AB12" i="11" s="1"/>
  <c r="S10" i="11"/>
  <c r="S11" i="11" s="1"/>
  <c r="S12" i="11" s="1"/>
  <c r="AC10" i="11"/>
  <c r="AC11" i="11" s="1"/>
  <c r="AC12" i="11" s="1"/>
  <c r="T10" i="11"/>
  <c r="T11" i="11" s="1"/>
  <c r="T12" i="11" s="1"/>
  <c r="V10" i="11"/>
  <c r="V11" i="11" s="1"/>
  <c r="V12" i="11" s="1"/>
  <c r="Z10" i="11"/>
  <c r="Z11" i="11" s="1"/>
  <c r="Z12" i="11" s="1"/>
  <c r="U10" i="11"/>
  <c r="X10" i="11"/>
  <c r="X11" i="11" s="1"/>
  <c r="X12" i="11" s="1"/>
  <c r="Y10" i="11"/>
  <c r="Y11" i="11" s="1"/>
  <c r="Y12" i="11" s="1"/>
  <c r="C3" i="22"/>
  <c r="K3" i="22"/>
  <c r="F3" i="22"/>
  <c r="E3" i="22"/>
  <c r="E7" i="22" s="1"/>
  <c r="C3" i="21"/>
  <c r="T29" i="20"/>
  <c r="T30" i="20" s="1"/>
  <c r="S29" i="20"/>
  <c r="S30" i="20" s="1"/>
  <c r="N29" i="20"/>
  <c r="N30" i="20" s="1"/>
  <c r="R30" i="20"/>
  <c r="W29" i="20"/>
  <c r="W30" i="20" s="1"/>
  <c r="Q29" i="20"/>
  <c r="Q30" i="20" s="1"/>
  <c r="O29" i="20"/>
  <c r="X29" i="20"/>
  <c r="X30" i="20" s="1"/>
  <c r="AP33" i="20" s="1"/>
  <c r="V29" i="20"/>
  <c r="V30" i="20" s="1"/>
  <c r="P29" i="20"/>
  <c r="B3" i="21"/>
  <c r="G3" i="21"/>
  <c r="F3" i="21"/>
  <c r="K3" i="21"/>
  <c r="E3" i="21"/>
  <c r="D3" i="21"/>
  <c r="D8" i="22" l="1"/>
  <c r="F8" i="22"/>
  <c r="U11" i="11"/>
  <c r="U12" i="11" s="1"/>
  <c r="C7" i="22"/>
  <c r="C6" i="22"/>
  <c r="D7" i="22"/>
  <c r="D6" i="22"/>
  <c r="E8" i="22"/>
  <c r="F6" i="22"/>
  <c r="F7" i="22"/>
  <c r="E6" i="22"/>
  <c r="K7" i="22"/>
  <c r="K6" i="22"/>
  <c r="L7" i="22"/>
  <c r="L6" i="22"/>
  <c r="O30" i="20"/>
  <c r="O32" i="20"/>
  <c r="N32" i="20"/>
  <c r="P30" i="20"/>
  <c r="P32" i="20"/>
  <c r="E7" i="21"/>
  <c r="F6" i="21"/>
  <c r="C6" i="21"/>
  <c r="B7" i="21"/>
  <c r="L6" i="21"/>
  <c r="K7" i="21"/>
  <c r="F7" i="21"/>
  <c r="G6" i="21"/>
  <c r="G7" i="21"/>
  <c r="H6" i="21"/>
  <c r="D7" i="21"/>
  <c r="E6" i="21"/>
  <c r="C7" i="21"/>
  <c r="D6" i="21"/>
  <c r="J7" i="21"/>
  <c r="K6" i="21"/>
  <c r="H7" i="21"/>
  <c r="I6" i="21"/>
  <c r="I7" i="21"/>
  <c r="J6" i="21"/>
  <c r="Y29" i="19" l="1"/>
  <c r="Y30" i="19" s="1"/>
  <c r="Y31" i="19" s="1"/>
  <c r="T29" i="19"/>
  <c r="T30" i="19" s="1"/>
  <c r="T31" i="19" s="1"/>
  <c r="W29" i="19"/>
  <c r="W30" i="19" s="1"/>
  <c r="W31" i="19" s="1"/>
  <c r="X29" i="19"/>
  <c r="X30" i="19" s="1"/>
  <c r="X31" i="19" s="1"/>
  <c r="O29" i="19"/>
  <c r="O30" i="19" s="1"/>
  <c r="O31" i="19" s="1"/>
  <c r="S29" i="19"/>
  <c r="S30" i="19" s="1"/>
  <c r="S31" i="19" s="1"/>
  <c r="N29" i="19"/>
  <c r="N30" i="19" s="1"/>
  <c r="N31" i="19" s="1"/>
  <c r="R29" i="19"/>
  <c r="R30" i="19" s="1"/>
  <c r="R31" i="19" s="1"/>
  <c r="V29" i="19"/>
  <c r="V30" i="19" s="1"/>
  <c r="V31" i="19" s="1"/>
  <c r="Q29" i="19"/>
  <c r="U29" i="19"/>
  <c r="U30" i="19" s="1"/>
  <c r="U31" i="19" s="1"/>
  <c r="P29" i="19"/>
  <c r="P30" i="19" s="1"/>
  <c r="P31" i="19" s="1"/>
  <c r="Q30" i="19" l="1"/>
  <c r="Q31" i="1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tc={09828FAF-A882-43DA-B119-40CE23CE393D}</author>
  </authors>
  <commentList>
    <comment ref="R55" authorId="0" shapeId="0" xr:uid="{09828FAF-A882-43DA-B119-40CE23CE393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Decreased unplanned layer by 30-35kbd due to preventative maintenance getting pushed due to strong margins 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tc={049A9DBA-A92D-4A86-9BEE-B63F60CC694C}</author>
    <author>tc={F8C182C3-907B-4A22-8150-DBCB0F3F651A}</author>
  </authors>
  <commentList>
    <comment ref="R30" authorId="0" shapeId="0" xr:uid="{049A9DBA-A92D-4A86-9BEE-B63F60CC694C}">
      <text>
        <t>[Threaded comment]
Your version of Excel allows you to read this threaded comment; however, any edits to it will get removed if the file is opened in a newer version of Excel. Learn more: https://go.microsoft.com/fwlink/?linkid=870924
Comment:
    Added in 61 kbd from PBF Martinez FCC issue extended through Jan
Reply:
    3Q25 earning call said SU by end of year ‘25
Reply:
    IIR updated that Martinez is now starting up through the first 3 weeks in Mar</t>
      </text>
    </comment>
    <comment ref="U30" authorId="1" shapeId="0" xr:uid="{F8C182C3-907B-4A22-8150-DBCB0F3F651A}">
      <text>
        <t>[Threaded comment]
Your version of Excel allows you to read this threaded comment; however, any edits to it will get removed if the file is opened in a newer version of Excel. Learn more: https://go.microsoft.com/fwlink/?linkid=870924
Comment:
    Added 20kbd due to Martinez extending into 4/16 SU
Reply:
    Add 24 more duet o Martinez now on 4/24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Metcalf, Patrick</author>
    <author>Arango Castaneda, Erika L</author>
    <author>James E Hathorn, III</author>
    <author>tc={D83A9B79-1FA8-41A4-8C51-1AA549F801EB}</author>
    <author>tc={99E72D09-6A18-4F8B-891E-D6A79ADA7846}</author>
    <author>tc={BC34F9A5-1553-46C4-B353-6222751FB06A}</author>
    <author>tc={34B68089-5E55-460D-B3EF-29A96A651583}</author>
    <author>tc={5373BCFC-6D7C-49F5-B814-492112E74A6D}</author>
    <author>tc={7BE63010-B532-44DE-A711-B6277527CDDF}</author>
    <author>tc={EAD7288E-43EF-42DD-AD1A-DF87BCF1EF27}</author>
    <author>tc={EBE524EA-F512-4FAA-ACF2-F6EA1317B4D3}</author>
    <author>tc={728DEBB0-E553-4F30-A9CF-AA606829016B}</author>
    <author>tc={A2606ECB-A780-4560-A5FA-B87D68419EF0}</author>
    <author>tc={BBE22B51-4AE5-449C-BE28-FAC56B1F10BD}</author>
  </authors>
  <commentList>
    <comment ref="AQ81" authorId="0" shapeId="0" xr:uid="{48A6B4A9-2673-4B7C-9935-37614608A38D}">
      <text>
        <r>
          <rPr>
            <b/>
            <sz val="9"/>
            <color indexed="81"/>
            <rFont val="Tahoma"/>
            <family val="2"/>
          </rPr>
          <t>Metcalf, Patrick:</t>
        </r>
        <r>
          <rPr>
            <sz val="9"/>
            <color indexed="81"/>
            <rFont val="Tahoma"/>
            <family val="2"/>
          </rPr>
          <t xml:space="preserve">
This is for Secondary units being back up</t>
        </r>
      </text>
    </comment>
    <comment ref="AR81" authorId="0" shapeId="0" xr:uid="{DD6083E9-73F2-4917-88EC-F0B357DBFEEC}">
      <text>
        <r>
          <rPr>
            <b/>
            <sz val="9"/>
            <color indexed="81"/>
            <rFont val="Tahoma"/>
            <family val="2"/>
          </rPr>
          <t>Metcalf, Patrick:</t>
        </r>
        <r>
          <rPr>
            <sz val="9"/>
            <color indexed="81"/>
            <rFont val="Tahoma"/>
            <family val="2"/>
          </rPr>
          <t xml:space="preserve">
This is for the CDU (250 kbd) coming back up</t>
        </r>
      </text>
    </comment>
    <comment ref="AS81" authorId="0" shapeId="0" xr:uid="{089F65A0-A7D8-4E43-8FFA-A5E8264E86C4}">
      <text>
        <r>
          <rPr>
            <b/>
            <sz val="9"/>
            <color indexed="81"/>
            <rFont val="Tahoma"/>
            <family val="2"/>
          </rPr>
          <t>Metcalf, Patrick:</t>
        </r>
        <r>
          <rPr>
            <sz val="9"/>
            <color indexed="81"/>
            <rFont val="Tahoma"/>
            <family val="2"/>
          </rPr>
          <t xml:space="preserve">
This is for Secondary units being back up</t>
        </r>
      </text>
    </comment>
    <comment ref="AT81" authorId="0" shapeId="0" xr:uid="{2F939E77-001E-4F89-BA4C-F92588C14D89}">
      <text>
        <r>
          <rPr>
            <b/>
            <sz val="9"/>
            <color indexed="81"/>
            <rFont val="Tahoma"/>
            <family val="2"/>
          </rPr>
          <t>Metcalf, Patrick:</t>
        </r>
        <r>
          <rPr>
            <sz val="9"/>
            <color indexed="81"/>
            <rFont val="Tahoma"/>
            <family val="2"/>
          </rPr>
          <t xml:space="preserve">
This is for the CDU (250 kbd) coming back up</t>
        </r>
      </text>
    </comment>
    <comment ref="BC177" authorId="1" shapeId="0" xr:uid="{F8C15FF6-403D-46CD-A533-F655CF8BC2BE}">
      <text>
        <r>
          <rPr>
            <b/>
            <sz val="9"/>
            <color indexed="81"/>
            <rFont val="Tahoma"/>
            <family val="2"/>
          </rPr>
          <t>Arango Castaneda, Erika L:</t>
        </r>
        <r>
          <rPr>
            <sz val="9"/>
            <color indexed="81"/>
            <rFont val="Tahoma"/>
            <family val="2"/>
          </rPr>
          <t xml:space="preserve">
seeing half of the production offline this week</t>
        </r>
      </text>
    </comment>
    <comment ref="I819" authorId="2" shapeId="0" xr:uid="{51478AB6-0C04-47FA-AAF5-037FF495222A}">
      <text>
        <r>
          <rPr>
            <b/>
            <sz val="9"/>
            <color indexed="81"/>
            <rFont val="Tahoma"/>
            <family val="2"/>
          </rPr>
          <t>James E Hathorn, III:</t>
        </r>
        <r>
          <rPr>
            <sz val="9"/>
            <color indexed="81"/>
            <rFont val="Tahoma"/>
            <family val="2"/>
          </rPr>
          <t xml:space="preserve">
whats this?</t>
        </r>
      </text>
    </comment>
    <comment ref="CS821" authorId="2" shapeId="0" xr:uid="{1EBF610D-15D1-42A5-ACF9-CAA86242DCFD}">
      <text>
        <r>
          <rPr>
            <b/>
            <sz val="9"/>
            <color indexed="81"/>
            <rFont val="Tahoma"/>
            <family val="2"/>
          </rPr>
          <t>James E Hathorn, III:</t>
        </r>
        <r>
          <rPr>
            <sz val="9"/>
            <color indexed="81"/>
            <rFont val="Tahoma"/>
            <family val="2"/>
          </rPr>
          <t xml:space="preserve">
Confirm Cenovus Toledo assumption for early TA start
</t>
        </r>
      </text>
    </comment>
    <comment ref="I826" authorId="1" shapeId="0" xr:uid="{E1ABC782-B344-4B4C-B785-86B0B0D8697C}">
      <text>
        <r>
          <rPr>
            <b/>
            <sz val="9"/>
            <color indexed="81"/>
            <rFont val="Tahoma"/>
            <family val="2"/>
          </rPr>
          <t>Arango Castaneda, Erika L:</t>
        </r>
        <r>
          <rPr>
            <sz val="9"/>
            <color indexed="81"/>
            <rFont val="Tahoma"/>
            <family val="2"/>
          </rPr>
          <t xml:space="preserve">
Need to update references so that it pull in latest week's EIA. Use CtrlF
</t>
        </r>
      </text>
    </comment>
    <comment ref="Y826" authorId="1" shapeId="0" xr:uid="{6BD4612F-9B65-4B42-9585-B7BE18448EDE}">
      <text>
        <r>
          <rPr>
            <b/>
            <sz val="9"/>
            <color indexed="81"/>
            <rFont val="Tahoma"/>
            <family val="2"/>
          </rPr>
          <t>Arango Castaneda, Erika L:</t>
        </r>
        <r>
          <rPr>
            <sz val="9"/>
            <color indexed="81"/>
            <rFont val="Tahoma"/>
            <family val="2"/>
          </rPr>
          <t xml:space="preserve">
Goal Seek these numbers in gasoline balances</t>
        </r>
      </text>
    </comment>
    <comment ref="AG827" authorId="1" shapeId="0" xr:uid="{F57476BE-8065-44E2-9409-6D603AE2CDEC}">
      <text>
        <r>
          <rPr>
            <b/>
            <sz val="9"/>
            <color indexed="81"/>
            <rFont val="Tahoma"/>
            <family val="2"/>
          </rPr>
          <t>Arango Castaneda, Erika L:</t>
        </r>
        <r>
          <rPr>
            <sz val="9"/>
            <color indexed="81"/>
            <rFont val="Tahoma"/>
            <family val="2"/>
          </rPr>
          <t xml:space="preserve">
from 455</t>
        </r>
      </text>
    </comment>
    <comment ref="AI827" authorId="1" shapeId="0" xr:uid="{B8D75EF5-A859-47B4-98C7-D4C22C59CE6F}">
      <text>
        <r>
          <rPr>
            <b/>
            <sz val="9"/>
            <color indexed="81"/>
            <rFont val="Tahoma"/>
            <family val="2"/>
          </rPr>
          <t>Arango Castaneda, Erika L:</t>
        </r>
        <r>
          <rPr>
            <sz val="9"/>
            <color indexed="81"/>
            <rFont val="Tahoma"/>
            <family val="2"/>
          </rPr>
          <t xml:space="preserve">
EIA reported 371. Anchoring to our number and taking the w/w changes</t>
        </r>
      </text>
    </comment>
    <comment ref="BA827" authorId="0" shapeId="0" xr:uid="{36B3DF8E-BD72-46A0-8EC2-C1A90666667E}">
      <text>
        <r>
          <rPr>
            <b/>
            <sz val="9"/>
            <color indexed="81"/>
            <rFont val="Tahoma"/>
            <family val="2"/>
          </rPr>
          <t>Metcalf, Patrick:</t>
        </r>
        <r>
          <rPr>
            <sz val="9"/>
            <color indexed="81"/>
            <rFont val="Tahoma"/>
            <family val="2"/>
          </rPr>
          <t xml:space="preserve">
Originally had 413 as our number. 406 was EIA reported. Going with reported</t>
        </r>
      </text>
    </comment>
    <comment ref="I828" authorId="0" shapeId="0" xr:uid="{ADE1E163-E813-400C-8223-C103E96A65FF}">
      <text>
        <r>
          <rPr>
            <b/>
            <sz val="9"/>
            <color indexed="81"/>
            <rFont val="Tahoma"/>
            <family val="2"/>
          </rPr>
          <t>Metcalf, Patrick:</t>
        </r>
        <r>
          <rPr>
            <sz val="9"/>
            <color indexed="81"/>
            <rFont val="Tahoma"/>
            <family val="2"/>
          </rPr>
          <t xml:space="preserve">
4 wk avg from wk ending 12/1 through wk ending 12/22. Past 2 weeks production have been record setting </t>
        </r>
      </text>
    </comment>
    <comment ref="AG828" authorId="1" shapeId="0" xr:uid="{CB893D50-438C-41CD-8E9A-D05F3439D5AB}">
      <text>
        <r>
          <rPr>
            <b/>
            <sz val="9"/>
            <color indexed="81"/>
            <rFont val="Tahoma"/>
            <family val="2"/>
          </rPr>
          <t>Arango Castaneda, Erika L:</t>
        </r>
        <r>
          <rPr>
            <sz val="9"/>
            <color indexed="81"/>
            <rFont val="Tahoma"/>
            <family val="2"/>
          </rPr>
          <t xml:space="preserve">
from 2276</t>
        </r>
      </text>
    </comment>
    <comment ref="BA828" authorId="0" shapeId="0" xr:uid="{C2742B98-E42E-4A21-8669-06A854D064FB}">
      <text>
        <r>
          <rPr>
            <b/>
            <sz val="9"/>
            <color indexed="81"/>
            <rFont val="Tahoma"/>
            <family val="2"/>
          </rPr>
          <t>Metcalf, Patrick:</t>
        </r>
        <r>
          <rPr>
            <sz val="9"/>
            <color indexed="81"/>
            <rFont val="Tahoma"/>
            <family val="2"/>
          </rPr>
          <t xml:space="preserve">
Previously had 33 kbd of Ardmore coming up w/e 5/17 and 13 coming up w/e 5/24. Now have 13 kbd coming up w/e 5/17 and 33 kbd w/e 5/24</t>
        </r>
      </text>
    </comment>
    <comment ref="BR828" authorId="1" shapeId="0" xr:uid="{E4E6BCB6-58EE-43E2-965A-D71EE198A554}">
      <text>
        <r>
          <rPr>
            <b/>
            <sz val="9"/>
            <color indexed="81"/>
            <rFont val="Tahoma"/>
            <family val="2"/>
          </rPr>
          <t>Arango Castaneda, Erika L:</t>
        </r>
        <r>
          <rPr>
            <sz val="9"/>
            <color indexed="81"/>
            <rFont val="Tahoma"/>
            <family val="2"/>
          </rPr>
          <t xml:space="preserve">
butane blending</t>
        </r>
      </text>
    </comment>
    <comment ref="BA829" authorId="0" shapeId="0" xr:uid="{5B0EABDE-AEAE-4B62-A190-6D1BC9CEDC2A}">
      <text>
        <r>
          <rPr>
            <b/>
            <sz val="9"/>
            <color indexed="81"/>
            <rFont val="Tahoma"/>
            <family val="2"/>
          </rPr>
          <t>Metcalf, Patrick:</t>
        </r>
        <r>
          <rPr>
            <sz val="9"/>
            <color indexed="81"/>
            <rFont val="Tahoma"/>
            <family val="2"/>
          </rPr>
          <t xml:space="preserve">
Originally had 4404. Moved BMT Reformer to back up to full rates w/e3 5/17 vs. spread over the 2 weeks . EIA reported was 4454</t>
        </r>
      </text>
    </comment>
    <comment ref="I830" authorId="0" shapeId="0" xr:uid="{EA4C987A-3232-47FC-A356-B5DCD7C988C2}">
      <text>
        <r>
          <rPr>
            <b/>
            <sz val="9"/>
            <color indexed="81"/>
            <rFont val="Tahoma"/>
            <family val="2"/>
          </rPr>
          <t>Metcalf, Patrick:</t>
        </r>
        <r>
          <rPr>
            <sz val="9"/>
            <color indexed="81"/>
            <rFont val="Tahoma"/>
            <family val="2"/>
          </rPr>
          <t xml:space="preserve">
267 was the actual for week ending 12/22. Using as anchor</t>
        </r>
      </text>
    </comment>
    <comment ref="BA830" authorId="0" shapeId="0" xr:uid="{6FFB2AC1-63D2-4F98-AE6D-ABF8E9AFEBAF}">
      <text>
        <r>
          <rPr>
            <b/>
            <sz val="9"/>
            <color indexed="81"/>
            <rFont val="Tahoma"/>
            <family val="2"/>
          </rPr>
          <t>Metcalf, Patrick:</t>
        </r>
        <r>
          <rPr>
            <sz val="9"/>
            <color indexed="81"/>
            <rFont val="Tahoma"/>
            <family val="2"/>
          </rPr>
          <t xml:space="preserve">
Keeping 295 kbd as anchor. EIA reported 245 kbd which does not feel real</t>
        </r>
      </text>
    </comment>
    <comment ref="I831" authorId="0" shapeId="0" xr:uid="{5A3CA713-54D2-4F37-9F5B-11298B9CC293}">
      <text>
        <r>
          <rPr>
            <b/>
            <sz val="9"/>
            <color indexed="81"/>
            <rFont val="Tahoma"/>
            <family val="2"/>
          </rPr>
          <t>Metcalf, Patrick:</t>
        </r>
        <r>
          <rPr>
            <sz val="9"/>
            <color indexed="81"/>
            <rFont val="Tahoma"/>
            <family val="2"/>
          </rPr>
          <t xml:space="preserve">
3 wk avg production (wks ending 12/8 through 12/22)</t>
        </r>
      </text>
    </comment>
    <comment ref="CA834" authorId="3" shapeId="0" xr:uid="{D83A9B79-1FA8-41A4-8C51-1AA549F801EB}">
      <text>
        <t>[Threaded comment]
Your version of Excel allows you to read this threaded comment; however, any edits to it will get removed if the file is opened in a newer version of Excel. Learn more: https://go.microsoft.com/fwlink/?linkid=870924
Comment:
    Undoing last week’s adjustment</t>
      </text>
    </comment>
    <comment ref="CD834" authorId="4" shapeId="0" xr:uid="{99E72D09-6A18-4F8B-891E-D6A79ADA7846}">
      <text>
        <t>[Threaded comment]
Your version of Excel allows you to read this threaded comment; however, any edits to it will get removed if the file is opened in a newer version of Excel. Learn more: https://go.microsoft.com/fwlink/?linkid=870924
Comment:
    Added 10 based on expected increase in production</t>
      </text>
    </comment>
    <comment ref="CQ834" authorId="2" shapeId="0" xr:uid="{6699ED9E-345E-497E-80E8-A9BE3C12B6DA}">
      <text>
        <r>
          <rPr>
            <b/>
            <sz val="9"/>
            <color indexed="81"/>
            <rFont val="Tahoma"/>
            <family val="2"/>
          </rPr>
          <t xml:space="preserve">James E Hathorn, III:
higher yeild assumption
</t>
        </r>
      </text>
    </comment>
    <comment ref="CC835" authorId="5" shapeId="0" xr:uid="{BC34F9A5-1553-46C4-B353-6222751FB06A}">
      <text>
        <t>[Threaded comment]
Your version of Excel allows you to read this threaded comment; however, any edits to it will get removed if the file is opened in a newer version of Excel. Learn more: https://go.microsoft.com/fwlink/?linkid=870924
Comment:
    Matching EIA data- folks may be marginally sparing due to margins being under pressure</t>
      </text>
    </comment>
    <comment ref="CD836" authorId="6" shapeId="0" xr:uid="{34B68089-5E55-460D-B3EF-29A96A65158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Softening ramp based on several outages and uncertainty of startup 
</t>
      </text>
    </comment>
    <comment ref="CE836" authorId="7" shapeId="0" xr:uid="{5373BCFC-6D7C-49F5-B814-492112E74A6D}">
      <text>
        <t>[Threaded comment]
Your version of Excel allows you to read this threaded comment; however, any edits to it will get removed if the file is opened in a newer version of Excel. Learn more: https://go.microsoft.com/fwlink/?linkid=870924
Comment:
    Reliability factor since no outages currently planned
Reply:
    Pulled forward one week
Reply:
    Added 40 kbd reliability factor to keep yields below 50% (historical)</t>
      </text>
    </comment>
    <comment ref="CH836" authorId="0" shapeId="0" xr:uid="{02452824-4470-4EE1-A652-C86A1408CF42}">
      <text>
        <r>
          <rPr>
            <b/>
            <sz val="9"/>
            <color indexed="81"/>
            <rFont val="Tahoma"/>
            <family val="2"/>
          </rPr>
          <t>Metcalf, Patrick:</t>
        </r>
        <r>
          <rPr>
            <sz val="9"/>
            <color indexed="81"/>
            <rFont val="Tahoma"/>
            <family val="2"/>
          </rPr>
          <t xml:space="preserve">
For Lyondell</t>
        </r>
      </text>
    </comment>
    <comment ref="BZ838" authorId="8" shapeId="0" xr:uid="{7BE63010-B532-44DE-A711-B6277527CDDF}">
      <text>
        <t>[Threaded comment]
Your version of Excel allows you to read this threaded comment; however, any edits to it will get removed if the file is opened in a newer version of Excel. Learn more: https://go.microsoft.com/fwlink/?linkid=870924
Comment:
    Added 30 because missed low by 60 but don’t want to come all the way up</t>
      </text>
    </comment>
    <comment ref="CA838" authorId="9" shapeId="0" xr:uid="{EAD7288E-43EF-42DD-AD1A-DF87BCF1EF27}">
      <text>
        <t>[Threaded comment]
Your version of Excel allows you to read this threaded comment; however, any edits to it will get removed if the file is opened in a newer version of Excel. Learn more: https://go.microsoft.com/fwlink/?linkid=870924
Comment:
    Suspected production issues/come off from last week’s addition</t>
      </text>
    </comment>
    <comment ref="CB838" authorId="10" shapeId="0" xr:uid="{EBE524EA-F512-4FAA-ACF2-F6EA1317B4D3}">
      <text>
        <t>[Threaded comment]
Your version of Excel allows you to read this threaded comment; however, any edits to it will get removed if the file is opened in a newer version of Excel. Learn more: https://go.microsoft.com/fwlink/?linkid=870924
Comment:
    5 year band solver</t>
      </text>
    </comment>
    <comment ref="CC838" authorId="11" shapeId="0" xr:uid="{728DEBB0-E553-4F30-A9CF-AA606829016B}">
      <text>
        <t>[Threaded comment]
Your version of Excel allows you to read this threaded comment; however, any edits to it will get removed if the file is opened in a newer version of Excel. Learn more: https://go.microsoft.com/fwlink/?linkid=870924
Comment:
    5 year band</t>
      </text>
    </comment>
    <comment ref="CD838" authorId="12" shapeId="0" xr:uid="{A2606ECB-A780-4560-A5FA-B87D68419EF0}">
      <text>
        <t>[Threaded comment]
Your version of Excel allows you to read this threaded comment; however, any edits to it will get removed if the file is opened in a newer version of Excel. Learn more: https://go.microsoft.com/fwlink/?linkid=870924
Comment:
    Reliability adder</t>
      </text>
    </comment>
    <comment ref="CP838" authorId="13" shapeId="0" xr:uid="{BBE22B51-4AE5-449C-BE28-FAC56B1F10B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Possibly missing some offline capacity
</t>
      </text>
    </comment>
  </commentList>
</comments>
</file>

<file path=xl/sharedStrings.xml><?xml version="1.0" encoding="utf-8"?>
<sst xmlns="http://schemas.openxmlformats.org/spreadsheetml/2006/main" count="3914" uniqueCount="1477">
  <si>
    <t>Sum of Capacity Offline for Area Chart (KBD)</t>
  </si>
  <si>
    <t>Column Labels</t>
  </si>
  <si>
    <t>Row Labels</t>
  </si>
  <si>
    <t>Jan</t>
  </si>
  <si>
    <t>Feb</t>
  </si>
  <si>
    <t>Mar</t>
  </si>
  <si>
    <t>Apr</t>
  </si>
  <si>
    <t>May</t>
  </si>
  <si>
    <t>Jun</t>
  </si>
  <si>
    <t>Sep</t>
  </si>
  <si>
    <t>Oct</t>
  </si>
  <si>
    <t>Nov</t>
  </si>
  <si>
    <t>Dec</t>
  </si>
  <si>
    <t>Grand Total</t>
  </si>
  <si>
    <t>Chalmette Refining LLC</t>
  </si>
  <si>
    <t>Chalmette Refinery</t>
  </si>
  <si>
    <t>Chevron Corporation</t>
  </si>
  <si>
    <t>Pasadena Refinery</t>
  </si>
  <si>
    <t>CITGO Petroleum Corporation</t>
  </si>
  <si>
    <t>Corpus Christi Refinery - West (CITGO)</t>
  </si>
  <si>
    <t>Corpus Christi Refinery-East</t>
  </si>
  <si>
    <t>Lake Charles Refinery (CITGO)</t>
  </si>
  <si>
    <t>Deer Park Refining LP</t>
  </si>
  <si>
    <t>Deer Park Refinery</t>
  </si>
  <si>
    <t>Delek US Holdings</t>
  </si>
  <si>
    <t>Krotz Springs Refinery</t>
  </si>
  <si>
    <t>ExxonMobil Corporation</t>
  </si>
  <si>
    <t>Baton Rouge Refinery</t>
  </si>
  <si>
    <t>Baytown Refinery</t>
  </si>
  <si>
    <t>Beaumont Refinery</t>
  </si>
  <si>
    <t>Flint Hills Resources LLC</t>
  </si>
  <si>
    <t>Corpus Christi Refinery - East</t>
  </si>
  <si>
    <t>Corpus Christi Refinery - West (Flint Hills)</t>
  </si>
  <si>
    <t>Marathon Petroleum Corporation</t>
  </si>
  <si>
    <t>Texas City Refinery (Bay Plant)</t>
  </si>
  <si>
    <t>Phillips 66</t>
  </si>
  <si>
    <t>Lake Charles Refinery (Phillips 66)</t>
  </si>
  <si>
    <t>Sweeny Refinery</t>
  </si>
  <si>
    <t>Valero Refining Company</t>
  </si>
  <si>
    <t>McKee Refinery</t>
  </si>
  <si>
    <t>Port Arthur Refinery (Valero)</t>
  </si>
  <si>
    <t>Texas City Refinery</t>
  </si>
  <si>
    <t>Vertex Energy</t>
  </si>
  <si>
    <t>Mobile Refinery (Vertex)</t>
  </si>
  <si>
    <t>2023 Outages</t>
  </si>
  <si>
    <t>Jul</t>
  </si>
  <si>
    <t>Aug</t>
  </si>
  <si>
    <t>2022 Outages</t>
  </si>
  <si>
    <t>vs 2024</t>
  </si>
  <si>
    <t>2024 Planned Offline Mogas Production</t>
  </si>
  <si>
    <t>Total</t>
  </si>
  <si>
    <t>Mogas Offline [kbd]</t>
  </si>
  <si>
    <t>2023 Unplanned Outages</t>
  </si>
  <si>
    <t>2022 Unplanned Outages</t>
  </si>
  <si>
    <t xml:space="preserve"> ‘24 Planned vs '22 &amp; '23 Planned &amp; Unplanned</t>
  </si>
  <si>
    <t xml:space="preserve">‘24 Planned vs '22 &amp; '23 Planned ONLY
</t>
  </si>
  <si>
    <t>2024 Planned Offline Mogas Production (KBD)</t>
  </si>
  <si>
    <t>2024 Plan</t>
  </si>
  <si>
    <t>Aug-Nov Avg</t>
  </si>
  <si>
    <t>2024 Plan + Unplanned</t>
  </si>
  <si>
    <t>2024 Unplanned Outages</t>
  </si>
  <si>
    <t>Sandersville Refinery</t>
  </si>
  <si>
    <t>Galveston Bay Refinery (GBR)</t>
  </si>
  <si>
    <t>Norco Refinery</t>
  </si>
  <si>
    <t>2025 Plan</t>
  </si>
  <si>
    <t>2024 Outages</t>
  </si>
  <si>
    <t>vs 2025</t>
  </si>
  <si>
    <t xml:space="preserve">‘25 Planned vs'24, '23 &amp; '22 Planned ONLY
</t>
  </si>
  <si>
    <t>1Q25 Total</t>
  </si>
  <si>
    <t>P2 2025 Planned Offline Mogas Production (KBD)</t>
  </si>
  <si>
    <t>2025 Planned Outages</t>
  </si>
  <si>
    <t>2024 planned &amp; unplanned Outages</t>
  </si>
  <si>
    <t>2H25 Avg</t>
  </si>
  <si>
    <t>2025 Unplanned Outages Estimate</t>
  </si>
  <si>
    <t>2025 Offline Mogas Production (KBD)</t>
  </si>
  <si>
    <t xml:space="preserve">‘25, 24, '22 &amp; '23 Planned &amp; Unplanned
</t>
  </si>
  <si>
    <t>P5 2025 Planned Offline Mogas Production (KBD)</t>
  </si>
  <si>
    <t>VALERO - MEMPHIS</t>
  </si>
  <si>
    <t>Sum of Gasoline Production Offline (KBD)</t>
  </si>
  <si>
    <t>Whiting Refinery</t>
  </si>
  <si>
    <t>Lemont Refinery</t>
  </si>
  <si>
    <t>El Dorado Refinery (HF Sinclair)</t>
  </si>
  <si>
    <t>Woods Cross Refinery (HF Sinclair)</t>
  </si>
  <si>
    <t>Robinson Refinery</t>
  </si>
  <si>
    <t>Trainer Refinery</t>
  </si>
  <si>
    <t>Par Pacific Tacoma</t>
  </si>
  <si>
    <t>Toledo Refinery (PBF)</t>
  </si>
  <si>
    <t>2026 Plan</t>
  </si>
  <si>
    <t>2025 Outages</t>
  </si>
  <si>
    <t>vs 2026</t>
  </si>
  <si>
    <t>2026 Plan + Unplanned</t>
  </si>
  <si>
    <t>Years (Date*)</t>
  </si>
  <si>
    <t>2026</t>
  </si>
  <si>
    <t>Month</t>
  </si>
  <si>
    <t>Padd 3</t>
  </si>
  <si>
    <t>Padd 2</t>
  </si>
  <si>
    <t>Padd 5</t>
  </si>
  <si>
    <t>Power BI Dump</t>
  </si>
  <si>
    <t>Sum of [Selected_Measure_Yield]</t>
  </si>
  <si>
    <t>2023</t>
  </si>
  <si>
    <t>2024</t>
  </si>
  <si>
    <t>2025</t>
  </si>
  <si>
    <t>Manual vs Power BI</t>
  </si>
  <si>
    <t xml:space="preserve">Puwer </t>
  </si>
  <si>
    <t>planned</t>
  </si>
  <si>
    <t>2025 Planned+Unplanned</t>
  </si>
  <si>
    <r>
      <t xml:space="preserve">P3 </t>
    </r>
    <r>
      <rPr>
        <b/>
        <sz val="10"/>
        <color rgb="FF000000"/>
        <rFont val="EMprint"/>
        <family val="2"/>
      </rPr>
      <t>/ Other</t>
    </r>
  </si>
  <si>
    <t>PADD</t>
  </si>
  <si>
    <t>Gas Production Offline (kbd)</t>
  </si>
  <si>
    <t>% Gas Prod offline vs PADD Gas Prod</t>
  </si>
  <si>
    <t>Planned Start</t>
  </si>
  <si>
    <t>Planned End</t>
  </si>
  <si>
    <t>Units</t>
  </si>
  <si>
    <t>Notes</t>
  </si>
  <si>
    <t>Missing data check</t>
  </si>
  <si>
    <t>CVR Coffeyville</t>
  </si>
  <si>
    <t>Coker (26)</t>
  </si>
  <si>
    <t>Pemex Deer Park</t>
  </si>
  <si>
    <t>HCC (67)</t>
  </si>
  <si>
    <t xml:space="preserve">El Segundo </t>
  </si>
  <si>
    <t>HCC (45), FCC (73), Alky (33), hydrogen plant</t>
  </si>
  <si>
    <t>Houston</t>
  </si>
  <si>
    <t>DC 736 (42)</t>
  </si>
  <si>
    <t>Monroe Trainer</t>
  </si>
  <si>
    <t xml:space="preserve">CDU(x2)/FCC/Alky/Reformer/HDC </t>
  </si>
  <si>
    <t>Unplanned - Up
Updated gas offline from 30kbd to 100</t>
  </si>
  <si>
    <t>Whole refinery down due to power outage, then slow restart on 1/11 until 1/17</t>
  </si>
  <si>
    <t>Total Port Arthur</t>
  </si>
  <si>
    <t>FCC (80), CDU (60)</t>
  </si>
  <si>
    <t>Unplanned - Up, cut back until 1/16 when it SD for freeze</t>
  </si>
  <si>
    <t>was Assuming full rate 1/18 then SD for freeze</t>
  </si>
  <si>
    <t>Cenex McPherson</t>
  </si>
  <si>
    <t>CR (24)</t>
  </si>
  <si>
    <t>removed</t>
  </si>
  <si>
    <t>Coker (57)</t>
  </si>
  <si>
    <t>Valero Houston</t>
  </si>
  <si>
    <t>Reduced rate. Assuming crude shed 45kbd</t>
  </si>
  <si>
    <t xml:space="preserve"> vs original </t>
  </si>
  <si>
    <t xml:space="preserve">Corpus Christi (West) </t>
  </si>
  <si>
    <t>HCC (49)</t>
  </si>
  <si>
    <t>Marathon Garyville</t>
  </si>
  <si>
    <t>CDU/VDU</t>
  </si>
  <si>
    <t>Freeze. Same Crude unit that has planned TA on 1/19, Updating outage to 9/17 based on flaring on 9/16</t>
  </si>
  <si>
    <t>HF Sinclair Anacortes</t>
  </si>
  <si>
    <t>SD Coker and reduce crude 45kbd</t>
  </si>
  <si>
    <t>Freeze. Up</t>
  </si>
  <si>
    <t>FH Corpus West</t>
  </si>
  <si>
    <t>CDU SD / Reduced rate at the FCC</t>
  </si>
  <si>
    <t>Freeze.  Up. Updated from 1/16-1/23</t>
  </si>
  <si>
    <t>XOM Baytown</t>
  </si>
  <si>
    <t>Crude shed of 70kbd</t>
  </si>
  <si>
    <t xml:space="preserve">Freeze.  </t>
  </si>
  <si>
    <t>XOM Baton Rouge</t>
  </si>
  <si>
    <t>Crude shed of  45kbd</t>
  </si>
  <si>
    <t>Valero Texas City</t>
  </si>
  <si>
    <t>Complex 4 reduced rate. Assuming crde shed 50kbd</t>
  </si>
  <si>
    <t>P66 Wood River</t>
  </si>
  <si>
    <t>Upset assuming reduced crude ~115kbd</t>
  </si>
  <si>
    <t xml:space="preserve">Marathon Galveston Bay </t>
  </si>
  <si>
    <t>CDU (50)</t>
  </si>
  <si>
    <t>El Paso</t>
  </si>
  <si>
    <t>FCCU (29.5)</t>
  </si>
  <si>
    <t>Citgo Lake Charles</t>
  </si>
  <si>
    <t>Ref</t>
  </si>
  <si>
    <t>Down - Unplanned. Assuming SU by 1/26</t>
  </si>
  <si>
    <t>Only from Genscape</t>
  </si>
  <si>
    <t>Lake Charles</t>
  </si>
  <si>
    <t>HCC (50)</t>
  </si>
  <si>
    <t>Cenovus Lima</t>
  </si>
  <si>
    <t>Coker SD due to instrument issue due to cold</t>
  </si>
  <si>
    <t>Freeze. Assuming up 1/29</t>
  </si>
  <si>
    <t xml:space="preserve">Port Allen </t>
  </si>
  <si>
    <t>lone crude, CCR (11), Rose unit</t>
  </si>
  <si>
    <t>Delek Big Spring</t>
  </si>
  <si>
    <t>Reduced rate at the 73kbd Ref</t>
  </si>
  <si>
    <t>Denver</t>
  </si>
  <si>
    <t>CDU 1 (32)</t>
  </si>
  <si>
    <t>Benicia</t>
  </si>
  <si>
    <t>CR (40)</t>
  </si>
  <si>
    <t xml:space="preserve">Salt Lake City </t>
  </si>
  <si>
    <t>CDU (57.6), VDU (27.5)</t>
  </si>
  <si>
    <t xml:space="preserve">Denver </t>
  </si>
  <si>
    <t>Chevron Pascagoula</t>
  </si>
  <si>
    <t>Reformer (55)</t>
  </si>
  <si>
    <t>Up per genscape - Unplanned outage.</t>
  </si>
  <si>
    <t>CDU (75), VDU (23)</t>
  </si>
  <si>
    <t>Suncor Commerce City</t>
  </si>
  <si>
    <t>SD CDU</t>
  </si>
  <si>
    <t>PBF Paulsboro</t>
  </si>
  <si>
    <t>CR (32)</t>
  </si>
  <si>
    <t xml:space="preserve">Lake Charles </t>
  </si>
  <si>
    <t>CR (53.2)</t>
  </si>
  <si>
    <t>CDU/Coker/FCC/Reformer (all)</t>
  </si>
  <si>
    <t xml:space="preserve">Up 7/17 &amp; FCC up 2/15. Unplanned Freeze. </t>
  </si>
  <si>
    <t>PBF Chalmette</t>
  </si>
  <si>
    <t>VDU</t>
  </si>
  <si>
    <t>Up. Delayed SU vs 2/4</t>
  </si>
  <si>
    <t>Reformer</t>
  </si>
  <si>
    <t xml:space="preserve">Up 2/18. Planned SD added to reapair leak. </t>
  </si>
  <si>
    <t>Billings</t>
  </si>
  <si>
    <t>Coker (16), Crude (35)</t>
  </si>
  <si>
    <t>Richmond</t>
  </si>
  <si>
    <t>FCCU (80)</t>
  </si>
  <si>
    <t>FCC/HDC</t>
  </si>
  <si>
    <t>HDC up 2/24 and FCC up 2/29</t>
  </si>
  <si>
    <t>CDU/Coker/HDC</t>
  </si>
  <si>
    <t>Up on 2/25 vs 3/1</t>
  </si>
  <si>
    <t>Marathon Carson</t>
  </si>
  <si>
    <t>CDU/HDC/Reformer/FCC</t>
  </si>
  <si>
    <t xml:space="preserve">Up per genscape  </t>
  </si>
  <si>
    <t>P66 Sweeny</t>
  </si>
  <si>
    <t>Heavy Oil Cracker 27.1 (78)</t>
  </si>
  <si>
    <t>PBF Torrance</t>
  </si>
  <si>
    <t>CDU (155), FCC (100), HF Alky (25.5)FCCU (105), HCC (24), Vac (98)</t>
  </si>
  <si>
    <t xml:space="preserve">Carson </t>
  </si>
  <si>
    <t>HCC (55)</t>
  </si>
  <si>
    <t>Up</t>
  </si>
  <si>
    <t>Houston Refinery</t>
  </si>
  <si>
    <t>Coker</t>
  </si>
  <si>
    <t>Up 2/28 vs 3/1</t>
  </si>
  <si>
    <t>Heavy crude (147), DC (42)</t>
  </si>
  <si>
    <t>FCC</t>
  </si>
  <si>
    <t>Up. Unplanned SD</t>
  </si>
  <si>
    <t>Valero Ardmore</t>
  </si>
  <si>
    <t>Gas oil HT (32), HCC (12)</t>
  </si>
  <si>
    <t>Motiva Port Arthur</t>
  </si>
  <si>
    <t>CDU/coker/HDS</t>
  </si>
  <si>
    <t>CDU up on 2/16
Coker Up on 2/29</t>
  </si>
  <si>
    <t>PCLA 2 FCCU (110)</t>
  </si>
  <si>
    <t>HF Tulsa East</t>
  </si>
  <si>
    <t>CDU,FCC, alky, Reformer &amp; coker from West</t>
  </si>
  <si>
    <t>XOM Joliet</t>
  </si>
  <si>
    <t>FCC/alky</t>
  </si>
  <si>
    <t>Unplanned SD. SU 3/1</t>
  </si>
  <si>
    <t>HC (14), ULSD HT (32)</t>
  </si>
  <si>
    <t xml:space="preserve">Tulsa West </t>
  </si>
  <si>
    <t>CDU (91), VDU</t>
  </si>
  <si>
    <t>BP Whiting</t>
  </si>
  <si>
    <t>CR (70)</t>
  </si>
  <si>
    <t>P66 Ponca City</t>
  </si>
  <si>
    <t>updated Sd from 2/1 to 2/5</t>
  </si>
  <si>
    <t xml:space="preserve">Tulsa (East) </t>
  </si>
  <si>
    <t>CDU (75.5), Naphtha HT (15.5)</t>
  </si>
  <si>
    <t>P66 Borger</t>
  </si>
  <si>
    <t>FCC 29</t>
  </si>
  <si>
    <t>Reformer A then B</t>
  </si>
  <si>
    <t>Up. Genscape reported SU 2/18. delayaed from 2/24 Sd</t>
  </si>
  <si>
    <t>cat feed HT (100)</t>
  </si>
  <si>
    <t>Valero McKee</t>
  </si>
  <si>
    <t>CR (28.9), HC (29.5)</t>
  </si>
  <si>
    <t>Refinery Wide Outage</t>
  </si>
  <si>
    <t>PBF Martinez</t>
  </si>
  <si>
    <t>Flexicoker (22.5)</t>
  </si>
  <si>
    <t>Marathon Galv Bay</t>
  </si>
  <si>
    <t>Ref 3/Ref 4</t>
  </si>
  <si>
    <t>Came up on Mar 7</t>
  </si>
  <si>
    <t>P66 Bayway</t>
  </si>
  <si>
    <t>VDU down/FCC cut 35-45%</t>
  </si>
  <si>
    <t xml:space="preserve">North Salt Lake </t>
  </si>
  <si>
    <t>CCR Reformer (10), CDU (31), HF Alky (2.8), MSCC (11.5)</t>
  </si>
  <si>
    <t>Big West North Salt Lake</t>
  </si>
  <si>
    <t>CDU/Ref/FCC/alky</t>
  </si>
  <si>
    <t>Down.</t>
  </si>
  <si>
    <t>FCCU 29 (30)</t>
  </si>
  <si>
    <t>Whiting</t>
  </si>
  <si>
    <t>CDU 12 (250), Pipestill 11A (90), Pipestill 11C</t>
  </si>
  <si>
    <t>Valero St Charles</t>
  </si>
  <si>
    <t>Up now . Delayed Su vs early Feb</t>
  </si>
  <si>
    <t>Valero Corpus Christi</t>
  </si>
  <si>
    <t>CDU (40)/HDC</t>
  </si>
  <si>
    <t>Marathon El Paso</t>
  </si>
  <si>
    <t xml:space="preserve">CDU/FCC/alky </t>
  </si>
  <si>
    <t>Up now</t>
  </si>
  <si>
    <t>Placid Port Allen</t>
  </si>
  <si>
    <t xml:space="preserve">Coker (31) </t>
  </si>
  <si>
    <t>TBD on return…assuming one week outage</t>
  </si>
  <si>
    <t>Warren</t>
  </si>
  <si>
    <t>FCC (25)</t>
  </si>
  <si>
    <t>Alkylation Unit (38 kbd)</t>
  </si>
  <si>
    <t>Genscape is only publication with this down</t>
  </si>
  <si>
    <t>Valero Port Arthur</t>
  </si>
  <si>
    <t>CDU/Coker/Reformer/HDC</t>
  </si>
  <si>
    <t>Genscape has full site up</t>
  </si>
  <si>
    <t>HCC (65)</t>
  </si>
  <si>
    <t>Assum Mar 16.</t>
  </si>
  <si>
    <t>Chevron Richmond</t>
  </si>
  <si>
    <t>CR (28)</t>
  </si>
  <si>
    <t>FH Corpus East</t>
  </si>
  <si>
    <t>CDU, FCC</t>
  </si>
  <si>
    <t>Marathon Texas City</t>
  </si>
  <si>
    <t>CDU/Reformer/FCC/alky</t>
  </si>
  <si>
    <t>FCC/Alky</t>
  </si>
  <si>
    <t>VDU (210)</t>
  </si>
  <si>
    <t>IIR confirmed this is a two week outage</t>
  </si>
  <si>
    <t xml:space="preserve">XOM Beaumont </t>
  </si>
  <si>
    <t>Reformer/HDC</t>
  </si>
  <si>
    <t>Hydrocracker (85 kbd)</t>
  </si>
  <si>
    <t>Assuming 1 week outage. Not confirmed yet</t>
  </si>
  <si>
    <t>Woods Cross Refinery</t>
  </si>
  <si>
    <t>CDU (26) - HDC, FCC</t>
  </si>
  <si>
    <t>Down</t>
  </si>
  <si>
    <t>CDU (67)</t>
  </si>
  <si>
    <t>Mobile</t>
  </si>
  <si>
    <t>CDU 1 (40)</t>
  </si>
  <si>
    <t>P66 Lake Charles</t>
  </si>
  <si>
    <t>CDU (65), VDU (53.1)</t>
  </si>
  <si>
    <t>Ref 1 (13.5), HDS Ref (25)</t>
  </si>
  <si>
    <t>IIR confirmed coming up on 3/25</t>
  </si>
  <si>
    <t>CDU (39), VDU (8.375)</t>
  </si>
  <si>
    <t>CR (19)</t>
  </si>
  <si>
    <t>Marathon Salt Lake</t>
  </si>
  <si>
    <t>there was an update of 2/29, pulled up on 2/16</t>
  </si>
  <si>
    <t>Marathon Salt Lake City</t>
  </si>
  <si>
    <t>FCC(26.4) / CDU (66.5)</t>
  </si>
  <si>
    <t>CVR Wynnewood</t>
  </si>
  <si>
    <t>CDU/FCC/Alky/Reformer</t>
  </si>
  <si>
    <t>Pulled up from strating 3/1 to 2/21</t>
  </si>
  <si>
    <t>United Warren</t>
  </si>
  <si>
    <t xml:space="preserve">Corpus Christi (East) </t>
  </si>
  <si>
    <t>CR (10), HDA (7)</t>
  </si>
  <si>
    <t>Smackover</t>
  </si>
  <si>
    <t>Crude (7), VDU (3), Lube oil HT (4.5), Asphalt (1.5), Lube oil HT (5), Sulfur recovery unit</t>
  </si>
  <si>
    <t>Citgo Corpus Christi</t>
  </si>
  <si>
    <t>Coker (44)</t>
  </si>
  <si>
    <t>P66 LA/Wilmington</t>
  </si>
  <si>
    <t>FCC/Alky/Ref</t>
  </si>
  <si>
    <t>Down. Had it down Mid-Apr</t>
  </si>
  <si>
    <t>HC (52.2)</t>
  </si>
  <si>
    <t>Alkylation Unit (30 kbd)</t>
  </si>
  <si>
    <t>Reformer (18)</t>
  </si>
  <si>
    <t>Valero Meraux</t>
  </si>
  <si>
    <t>FH Corpus (West)</t>
  </si>
  <si>
    <t>FCC (55)</t>
  </si>
  <si>
    <t>SU</t>
  </si>
  <si>
    <t>Calcasieu - Lake Charles</t>
  </si>
  <si>
    <t>Genscape has half the site up. IIR has report saying full plant up 4/2</t>
  </si>
  <si>
    <t>Shell Norco</t>
  </si>
  <si>
    <t>Coker (21)</t>
  </si>
  <si>
    <t>Assuming 4/3</t>
  </si>
  <si>
    <t>GCC Galveston Bunkers</t>
  </si>
  <si>
    <t>P66 Wilmington</t>
  </si>
  <si>
    <t>CR (20)</t>
  </si>
  <si>
    <t>Added SD 4/22</t>
  </si>
  <si>
    <t>Assume SU 4/19</t>
  </si>
  <si>
    <t>Went down 3/17</t>
  </si>
  <si>
    <t>Chevron Pasadena</t>
  </si>
  <si>
    <t>CDU down (115 kbd feed)</t>
  </si>
  <si>
    <t>Up from unplanned outage</t>
  </si>
  <si>
    <t xml:space="preserve">Toledo </t>
  </si>
  <si>
    <t>CR (30)</t>
  </si>
  <si>
    <t>Vdu plugging - 60kbd of Crude</t>
  </si>
  <si>
    <t>CDU</t>
  </si>
  <si>
    <t>Marathon Wilmington</t>
  </si>
  <si>
    <t>HDC (33)</t>
  </si>
  <si>
    <t>Assume SU 4/12</t>
  </si>
  <si>
    <t>FCCU (77)</t>
  </si>
  <si>
    <t>Su moved backa week</t>
  </si>
  <si>
    <t xml:space="preserve">Puget Sound </t>
  </si>
  <si>
    <t xml:space="preserve">SF alky 1 (4), FCCU (50),Poly, SF alky 2 (7), SRU 4, </t>
  </si>
  <si>
    <t>HF Sinclair Puget/Anacortes</t>
  </si>
  <si>
    <t xml:space="preserve">Valero Meraux </t>
  </si>
  <si>
    <t>Entire site (130 kbd)</t>
  </si>
  <si>
    <t>Appeared to come back up on 4/14</t>
  </si>
  <si>
    <t>FCC SD due to Storm</t>
  </si>
  <si>
    <t>Up after unplanned SD</t>
  </si>
  <si>
    <t>PBF Toledo</t>
  </si>
  <si>
    <t>CDU/Alky/Reformer/HDC</t>
  </si>
  <si>
    <t>CDU Up 4/16, Ref up 5/11</t>
  </si>
  <si>
    <t>FCC (90) &amp; Cr (28)</t>
  </si>
  <si>
    <t>P66 Carson</t>
  </si>
  <si>
    <t>Reformer 2 (Ultraformer)</t>
  </si>
  <si>
    <t>Marathon Catlettsburg</t>
  </si>
  <si>
    <t>FCCU (24.5), CDU 3 (40), VDU (23.75) Amine 2 MDEA, HF Alky (4.75)</t>
  </si>
  <si>
    <t>increase in rate predicted for 4/19 vs 4/14</t>
  </si>
  <si>
    <t xml:space="preserve">Citgo Lake Charles </t>
  </si>
  <si>
    <t>CDU (120)</t>
  </si>
  <si>
    <t>Reformer (40)</t>
  </si>
  <si>
    <t>BP Cherry Point</t>
  </si>
  <si>
    <t>CDU/Coker</t>
  </si>
  <si>
    <t>Planned TA</t>
  </si>
  <si>
    <t>Need to confirm the timing</t>
  </si>
  <si>
    <t>Reduced rates for 4 days</t>
  </si>
  <si>
    <t>Assuming SU 4/25</t>
  </si>
  <si>
    <t>Up after SD unplanned</t>
  </si>
  <si>
    <t>Marathon Robinson</t>
  </si>
  <si>
    <t>CDU/Coker/ Ref/HDC</t>
  </si>
  <si>
    <t>Chevron Salt Lake</t>
  </si>
  <si>
    <t>Citgo Lemont</t>
  </si>
  <si>
    <t>CDU @ 120kbd/FCC @ 40kbd</t>
  </si>
  <si>
    <t>Up as of 4/30 vs 5/21</t>
  </si>
  <si>
    <t>4/11: ENT reported no FCC reduction in rate</t>
  </si>
  <si>
    <t>FCC (46.4)</t>
  </si>
  <si>
    <t>Planned Decoke - CDU 120kbd cut</t>
  </si>
  <si>
    <t>Up after planned decoke</t>
  </si>
  <si>
    <t>Cat A FCC (50)</t>
  </si>
  <si>
    <t>Up after Sd unplanned</t>
  </si>
  <si>
    <t>CDU/HDC /Ref</t>
  </si>
  <si>
    <t>Up. Ref up 4/21. CDU/HDC Up 5/5</t>
  </si>
  <si>
    <t>Up. Delayed from 4/20 SU</t>
  </si>
  <si>
    <t>KM Galena</t>
  </si>
  <si>
    <t>CDU (158 kbd)</t>
  </si>
  <si>
    <t>Alky (12.5)</t>
  </si>
  <si>
    <t>Valero Memphis</t>
  </si>
  <si>
    <t>CDU/Ref</t>
  </si>
  <si>
    <t xml:space="preserve">CR (20) </t>
  </si>
  <si>
    <t>PBF Delaware City</t>
  </si>
  <si>
    <t xml:space="preserve">Genscape still has some units cold </t>
  </si>
  <si>
    <t>Ref (80kbd)</t>
  </si>
  <si>
    <t>Up after unplanned SD. Delayed from 5/3 SU</t>
  </si>
  <si>
    <t>Irving St John</t>
  </si>
  <si>
    <t>Canada</t>
  </si>
  <si>
    <t>CDU (150), FCC (74)</t>
  </si>
  <si>
    <t>Gas offline from 40 to 80kbd</t>
  </si>
  <si>
    <t>Par Billings</t>
  </si>
  <si>
    <t>Weather caused the FCC to trip</t>
  </si>
  <si>
    <t>CDU (78), FCC (21), Ref (19)</t>
  </si>
  <si>
    <t>All fully up now (6/16)</t>
  </si>
  <si>
    <t>Up after planned maintenance</t>
  </si>
  <si>
    <t>Crude 4 (170)</t>
  </si>
  <si>
    <t>Ref/Coker/HDC</t>
  </si>
  <si>
    <t>PS9 Decoke</t>
  </si>
  <si>
    <t>Cut 70 kbd to CDU-C due to the weather/power issues</t>
  </si>
  <si>
    <t>Down for 36 hours</t>
  </si>
  <si>
    <t>CR (27), Coker (23.1)</t>
  </si>
  <si>
    <t>Up after planned maintenace</t>
  </si>
  <si>
    <t>Lazarus Nixon</t>
  </si>
  <si>
    <t>CDU (15 kbd)</t>
  </si>
  <si>
    <t>IIR/Genscape saying they moved this 10 day outage from Aug to May</t>
  </si>
  <si>
    <t>CDU/Coker/ Ref/FCC/Alky</t>
  </si>
  <si>
    <t>All units up except FCC. FCC ontest 5/22.
Market: know we are Su and expect all units up 5/21</t>
  </si>
  <si>
    <t>CDU (50) - TBD on actual date coming back up</t>
  </si>
  <si>
    <t>Reformer repair from Feb outage</t>
  </si>
  <si>
    <t>SU after repairs</t>
  </si>
  <si>
    <t>Up after unplanned Sd</t>
  </si>
  <si>
    <t>Up after SD that was reported by Genscape</t>
  </si>
  <si>
    <t>Reformer (Cutback only)</t>
  </si>
  <si>
    <t>Assuming Reformer at reduced rates through end of May</t>
  </si>
  <si>
    <t>FCC (29.5)</t>
  </si>
  <si>
    <t>Up after leak repair</t>
  </si>
  <si>
    <t>Petro Star Valdez</t>
  </si>
  <si>
    <t>CDU (60 kbd)</t>
  </si>
  <si>
    <t>CDU / Reformer / Coker / FCC / Alky</t>
  </si>
  <si>
    <t>TBD on return. Assuming a week</t>
  </si>
  <si>
    <t>Can see the CDU stack go out around 0400</t>
  </si>
  <si>
    <t>Genscape has the stack on the CDU cold. Estimating will be down for 1 wk</t>
  </si>
  <si>
    <t>Marathon Anacortes</t>
  </si>
  <si>
    <t>FCC (52)</t>
  </si>
  <si>
    <t xml:space="preserve">Up after Unplanned SD. </t>
  </si>
  <si>
    <t>FCC(partly - only 20 kbd of FCC Feed/West Coker (25 kbd feed)</t>
  </si>
  <si>
    <t>Steam Cracker Issue - anticipating 3 week outage</t>
  </si>
  <si>
    <t>Upafter planned maintenance</t>
  </si>
  <si>
    <t>Lyondell Houston</t>
  </si>
  <si>
    <t>CDU/VDU/Coker</t>
  </si>
  <si>
    <t>UP after unplanned outage</t>
  </si>
  <si>
    <t>HDC</t>
  </si>
  <si>
    <t>Ref cut back to min</t>
  </si>
  <si>
    <t>Ref (70)</t>
  </si>
  <si>
    <t>FCC (90 kbd) and crude cut rates for CO boiler</t>
  </si>
  <si>
    <t>Up after unplalned SD</t>
  </si>
  <si>
    <t>Reformer (28 kbd feed)</t>
  </si>
  <si>
    <t>Up- after unplanned SD</t>
  </si>
  <si>
    <t>Up afetr Sd due to leak</t>
  </si>
  <si>
    <t>Citgo Corpus West</t>
  </si>
  <si>
    <t>Reformer (30), Diesel HDT, Coker (44)</t>
  </si>
  <si>
    <t>Up- after planned TA</t>
  </si>
  <si>
    <t>Ref (32)</t>
  </si>
  <si>
    <t xml:space="preserve">up after leak </t>
  </si>
  <si>
    <t>HF Sinclair El Dorado</t>
  </si>
  <si>
    <t>Su aftre unplanned SD</t>
  </si>
  <si>
    <t>Marathon GalvBay</t>
  </si>
  <si>
    <t>Ref (80)</t>
  </si>
  <si>
    <t>Sd unplanned</t>
  </si>
  <si>
    <t xml:space="preserve">HDC   </t>
  </si>
  <si>
    <t>Back up</t>
  </si>
  <si>
    <t>FCC (80)/ alk</t>
  </si>
  <si>
    <t>Up after planned TA. S</t>
  </si>
  <si>
    <t>Up after planned TA. SU delayed from 6/16</t>
  </si>
  <si>
    <t>SU after SD unplanned</t>
  </si>
  <si>
    <t>Sd unplanned for 2 days</t>
  </si>
  <si>
    <t>HF Sinclair Tulsa</t>
  </si>
  <si>
    <t xml:space="preserve">Coker </t>
  </si>
  <si>
    <t>Up afetr unplanned Sd</t>
  </si>
  <si>
    <t>up after unplaned SD</t>
  </si>
  <si>
    <t>Marathon Canton</t>
  </si>
  <si>
    <t>Cdu &amp; FCC</t>
  </si>
  <si>
    <t>up after unplanned SD</t>
  </si>
  <si>
    <t>Cut to min as prep for hurricane Beryl</t>
  </si>
  <si>
    <t>recovered</t>
  </si>
  <si>
    <t>up after unaplanned outage</t>
  </si>
  <si>
    <t>Beryl Other Refineries cut back</t>
  </si>
  <si>
    <t>Refineries in the region cut back as prep for Hurricane Beryl</t>
  </si>
  <si>
    <t>Reduced crude rate as prep for hurricane Beryl</t>
  </si>
  <si>
    <t>recovred</t>
  </si>
  <si>
    <t>FCC, CDU and Ref</t>
  </si>
  <si>
    <t xml:space="preserve">up after SD unplanned due to power blib </t>
  </si>
  <si>
    <t>All units down except for runnign 170kbd of crude</t>
  </si>
  <si>
    <t>CDU/Ref/Coker SU 7/16. FCC SU 8/6</t>
  </si>
  <si>
    <t>CDU1 (80) / CR (40) / Coker (60)</t>
  </si>
  <si>
    <t>Lost steam on 7/13. SU on 7/16</t>
  </si>
  <si>
    <t>Per Genscape - came up in 1.5 days</t>
  </si>
  <si>
    <t>FCC (53 kbd)</t>
  </si>
  <si>
    <t>Up after unaplanned SD</t>
  </si>
  <si>
    <t>HF Artesia</t>
  </si>
  <si>
    <t>Up after unaplanned outage</t>
  </si>
  <si>
    <t>CDU to min, Coker/FCC/HDC cut back and Ref down</t>
  </si>
  <si>
    <t>Up after unplanned outage</t>
  </si>
  <si>
    <t>Big flaring. Genscape has site as down.</t>
  </si>
  <si>
    <t>FCC (30)</t>
  </si>
  <si>
    <t>Genscape reporting down starting 7/23</t>
  </si>
  <si>
    <t>CDU/Ref/alky</t>
  </si>
  <si>
    <t>SU after unplaneed. CDU SU 8/6</t>
  </si>
  <si>
    <t>Could potentially pull up SU</t>
  </si>
  <si>
    <t>CDU B (top off) /coker</t>
  </si>
  <si>
    <t>up aftre planned decoke</t>
  </si>
  <si>
    <t>site down again</t>
  </si>
  <si>
    <t>SU aftrer another unaplanned SD</t>
  </si>
  <si>
    <t>Del City FCC had been down (which explains the P1 production numbers in Jul). On its way back up</t>
  </si>
  <si>
    <t>Delek El Dorado</t>
  </si>
  <si>
    <t>Su after SD unplanned</t>
  </si>
  <si>
    <t>Flint Hills Pine Bend</t>
  </si>
  <si>
    <t>up after unplanned SD. Added 8/7</t>
  </si>
  <si>
    <t>Marathon Mandan</t>
  </si>
  <si>
    <t>CDU/Ref/FCC/Alky</t>
  </si>
  <si>
    <t>Up after planned TA</t>
  </si>
  <si>
    <t>formula was incorrect</t>
  </si>
  <si>
    <t>SU after Sd unplanned</t>
  </si>
  <si>
    <t>HDC Issue (65 kbd)/ Reformer issues (10 kbd cut on reformer feed)</t>
  </si>
  <si>
    <t>All units down due to Power Outage caused by storm</t>
  </si>
  <si>
    <t>Internal only. Only ENT reporting on it</t>
  </si>
  <si>
    <t>Upafter unplanned outage</t>
  </si>
  <si>
    <t>Valero Bill Greenhey</t>
  </si>
  <si>
    <t>Su after planned TA</t>
  </si>
  <si>
    <t>CDU/VDU/Ref</t>
  </si>
  <si>
    <t>SU after unplanned outage. CDU up 8/9, ref SU 8/11</t>
  </si>
  <si>
    <t>Cenovus Toledo</t>
  </si>
  <si>
    <t>FCC/coker/cdu</t>
  </si>
  <si>
    <t>Su after unplanned outage. FCC SU 8/5</t>
  </si>
  <si>
    <t>CDU/ISO</t>
  </si>
  <si>
    <t>Su after unplanned SD</t>
  </si>
  <si>
    <t>Su after unplanned outage</t>
  </si>
  <si>
    <t>S/U on 8/14 after unplanned S/D</t>
  </si>
  <si>
    <t>CDU/FCC/Ref/Coker</t>
  </si>
  <si>
    <t xml:space="preserve">SU after unplanned SD </t>
  </si>
  <si>
    <t>SU after unplanned SD</t>
  </si>
  <si>
    <t>FCC (72.5)</t>
  </si>
  <si>
    <t>Appears to be up in Genscape</t>
  </si>
  <si>
    <t>HDT</t>
  </si>
  <si>
    <t>No mogas impact</t>
  </si>
  <si>
    <t>SD unplanned assuming 1 wk</t>
  </si>
  <si>
    <t>CDU, FCC, Ref, HDT</t>
  </si>
  <si>
    <t>Restarted 8/23 after unplanned sd</t>
  </si>
  <si>
    <t>Marathon robinson</t>
  </si>
  <si>
    <t>SU after unplanned sd</t>
  </si>
  <si>
    <t>Diesle HDT</t>
  </si>
  <si>
    <t>SD unplanned. Irving planning on permanently SD FCC in Sep, so questions on whether this is it. Genscape has this up</t>
  </si>
  <si>
    <t>CDU (82.5) at 50% capacity</t>
  </si>
  <si>
    <t>outage was cancelled</t>
  </si>
  <si>
    <t>Su after SD</t>
  </si>
  <si>
    <t>SD unplanned- Assuming down until 9/11 (delayed). Only coming back at 200 kbd (vs 250 kbd max). IIR confirmed coming back up 9/9</t>
  </si>
  <si>
    <t>FCCs (60)</t>
  </si>
  <si>
    <t>SU after SD unplanned / Not accounting for any downtime as it was only 1-2 days and underprojected production w/e 9/6</t>
  </si>
  <si>
    <t>Down for 2 days</t>
  </si>
  <si>
    <t>CDU restarted 9/5 (20 days early) per IIR, Genscape showing 9/8 S/U</t>
  </si>
  <si>
    <t>Marathon St. Paul Park</t>
  </si>
  <si>
    <t>CDU (55 kbd)</t>
  </si>
  <si>
    <t>Up after unplanned SD/power outage</t>
  </si>
  <si>
    <t>Flint Hills Corpus Christi</t>
  </si>
  <si>
    <t>One day blip - only Genscape reported. Not considering.</t>
  </si>
  <si>
    <t>CDU (35), 6kbd Ref, 25 Coker, and 54 KBD FCC rate cut</t>
  </si>
  <si>
    <t>Hurricane Francine impact</t>
  </si>
  <si>
    <t xml:space="preserve">2 CDUs (65 kbd ea) </t>
  </si>
  <si>
    <t>IIR has both CDUs (65 kbd ea) down for Hurricane Francine; Started up 9/13 after hurricane SD</t>
  </si>
  <si>
    <t>CDU (290)</t>
  </si>
  <si>
    <t>Hurricane Francine impact; SU on 9/13 according to Genscape</t>
  </si>
  <si>
    <t>Francine Other Refineries cut back</t>
  </si>
  <si>
    <t>Refineries in the region cut back 5% crude as prep for Hurricane Francine</t>
  </si>
  <si>
    <t>CDU1 (172)</t>
  </si>
  <si>
    <t>Pulled forward by 10 days</t>
  </si>
  <si>
    <t>CDU/VDU (50 kbd)</t>
  </si>
  <si>
    <t>Unplanned outage due to Francine</t>
  </si>
  <si>
    <t>CDU (165), VDU (55), CDU2 (80), VDU2 (52)</t>
  </si>
  <si>
    <t>FCCU (55)</t>
  </si>
  <si>
    <t>SU after unplanned shutdown</t>
  </si>
  <si>
    <t>HDC (40)</t>
  </si>
  <si>
    <t>S/D unplanned due to power issue and rolling into outage</t>
  </si>
  <si>
    <t>Planned maintenance (did not move up with CDU change in dates)</t>
  </si>
  <si>
    <t>No gasoline impact</t>
  </si>
  <si>
    <t>FCC (80)</t>
  </si>
  <si>
    <t>FCC SU 9/18 after unplanned Sd</t>
  </si>
  <si>
    <t>SU after unplanned Sd</t>
  </si>
  <si>
    <t>CDU2 (80)</t>
  </si>
  <si>
    <t>CDU SU after unplanned Sd</t>
  </si>
  <si>
    <t>CDU (255), FCC(98), and Ref (31)</t>
  </si>
  <si>
    <t>SU after unplanned outages</t>
  </si>
  <si>
    <t>up after unplanned sd</t>
  </si>
  <si>
    <t>SU after fire. Genscape cameras you can see stack, even though Genscape not officially calling it up yet</t>
  </si>
  <si>
    <t>HDC and Alky</t>
  </si>
  <si>
    <t xml:space="preserve">Citgo Lemont </t>
  </si>
  <si>
    <t>SD unplanned, genscape has them up, but we have info they are just getting back up</t>
  </si>
  <si>
    <t>FCC (26 kbd)</t>
  </si>
  <si>
    <t>Up per IIR</t>
  </si>
  <si>
    <t>CR (11.2)</t>
  </si>
  <si>
    <t>CDU2 (165)</t>
  </si>
  <si>
    <t>SU after unplanned SD. Was assuming SU of 10/1</t>
  </si>
  <si>
    <t>Fluid Bed Coker</t>
  </si>
  <si>
    <t>Planned maint 8/1-9/29</t>
  </si>
  <si>
    <t>Confirmed SU 9/29</t>
  </si>
  <si>
    <t>Reformer/Alky</t>
  </si>
  <si>
    <t>CDU1 (95 kbd)</t>
  </si>
  <si>
    <t>IIR updated</t>
  </si>
  <si>
    <t>Reformer (HF4) cut back by 20kbd</t>
  </si>
  <si>
    <t>Planned catalyst C/O</t>
  </si>
  <si>
    <t>Cut: CDU 30kbd, FCC 25kbd, Ref 15kbd</t>
  </si>
  <si>
    <t>issues should be resolved 9/30</t>
  </si>
  <si>
    <t>Sd unplanned assuming 1 wk</t>
  </si>
  <si>
    <t>SU after unaplnned Sd</t>
  </si>
  <si>
    <t xml:space="preserve">1 CDU (65 kbd ea) </t>
  </si>
  <si>
    <t xml:space="preserve"> Ref 10kbd</t>
  </si>
  <si>
    <t>CDU (75), Ref (18)</t>
  </si>
  <si>
    <t>FCC SD unplanned</t>
  </si>
  <si>
    <t>Up on 10/2, expect to be back to full rates on 10/5</t>
  </si>
  <si>
    <t>CDU (40 kbd)</t>
  </si>
  <si>
    <t xml:space="preserve">FCC </t>
  </si>
  <si>
    <t>CDU (40 kbd cut)</t>
  </si>
  <si>
    <t>FCC (20) and 10 KBD CDU derate</t>
  </si>
  <si>
    <t>Planned outage</t>
  </si>
  <si>
    <t>CDU 10A (145)</t>
  </si>
  <si>
    <t>SU after T/A</t>
  </si>
  <si>
    <t>CDU 10B (145)</t>
  </si>
  <si>
    <t>CDU (65kbd)</t>
  </si>
  <si>
    <t>Valero Wilmington</t>
  </si>
  <si>
    <t>Coker (23)</t>
  </si>
  <si>
    <t>Assuming this is unplanned, 1 wk</t>
  </si>
  <si>
    <t>HF Sinclair Wyoming</t>
  </si>
  <si>
    <t>CDU (62), Coker (16)</t>
  </si>
  <si>
    <t>SD for planned maintenance</t>
  </si>
  <si>
    <t>FCC (72.5), Crude cut (87)</t>
  </si>
  <si>
    <t>SD unplanned, assuming down to 10/10 per IIR</t>
  </si>
  <si>
    <t>IIR updated, SU delayed</t>
  </si>
  <si>
    <t>Reformer (77.5)</t>
  </si>
  <si>
    <t>SD unplanned, assuming 1 wk</t>
  </si>
  <si>
    <t>FCCU (81), Alky (9), DC (55), FCCU FHDT (25)</t>
  </si>
  <si>
    <t>CDU (210)</t>
  </si>
  <si>
    <t>Coker (25)</t>
  </si>
  <si>
    <t>Cenovus Superior</t>
  </si>
  <si>
    <t>Alky (FCC 6.5 KBD cut), CDU (15 KBD cut)</t>
  </si>
  <si>
    <t>Unplanned S/D - Per IIR</t>
  </si>
  <si>
    <t>Alky</t>
  </si>
  <si>
    <t>Ref (24)</t>
  </si>
  <si>
    <t>Removed from scope per IIR</t>
  </si>
  <si>
    <t>Marathon Detroit</t>
  </si>
  <si>
    <t>CDU (147), FCC (35), Reformer (22), Coker (28), Alky (10)</t>
  </si>
  <si>
    <t>Detroit Fall maintenance Moved to 9/12 - 10/23 vs starting 8/30. Full plant (FCC 50kbd on IIR and 37 on Genscape- assuming 45kbd). Genscape still showing up on 9/16</t>
  </si>
  <si>
    <t>Extended to 10/29 per ENT</t>
  </si>
  <si>
    <t>CDU2 (52)</t>
  </si>
  <si>
    <t>Crude unit removed from T/A scope. Crude analyst think we are 60kbd cut back</t>
  </si>
  <si>
    <t>Reformer (20 kbd)</t>
  </si>
  <si>
    <t>Extended from 10/20 SU to 10/27 SU per IIR</t>
  </si>
  <si>
    <t>VDU (20), DHDT (25), CDU (70)</t>
  </si>
  <si>
    <t>Valero Three Rivers</t>
  </si>
  <si>
    <t>SD unplanned, assuming 2 wks</t>
  </si>
  <si>
    <t>Shutdown per plan</t>
  </si>
  <si>
    <t>Sd unlanned, assuming SU 10/31 (delayed)</t>
  </si>
  <si>
    <t>Coker (20.5)</t>
  </si>
  <si>
    <t>changed the Sd from 9/27 to 9/21</t>
  </si>
  <si>
    <t>Coker (92)</t>
  </si>
  <si>
    <t>Updated timing per IIR</t>
  </si>
  <si>
    <t>CDU (100kbd cut)</t>
  </si>
  <si>
    <t>FCC (15 kbd cut)</t>
  </si>
  <si>
    <t>CDU (64kbd)</t>
  </si>
  <si>
    <t>SD unplanned, assuming 2 day outage</t>
  </si>
  <si>
    <t>DCU (75)/Coker</t>
  </si>
  <si>
    <t>Moved from 8/30-11/2 to Sep-Oct '25</t>
  </si>
  <si>
    <t>FCC (8.5)</t>
  </si>
  <si>
    <t>FCC (46.2)</t>
  </si>
  <si>
    <t>Down for planned maintenance</t>
  </si>
  <si>
    <t>Ref (52)</t>
  </si>
  <si>
    <t>Planned outage, original timing was 9/13-1027 (pulled up to 9/3 unknown end date- assuming 10/17) - now going back to orig timing (9/13-10/27), Genscape showing down as of 9/3. Pushed 1 wk haven't seen confirmation of SD</t>
  </si>
  <si>
    <t>HC (51.2)</t>
  </si>
  <si>
    <t>FCC (9.3)</t>
  </si>
  <si>
    <t>FCC(25)</t>
  </si>
  <si>
    <t>Reformer (65.5)</t>
  </si>
  <si>
    <t>Genscape only source reporting. Assuming it did not come down based on naptha being short and gasoline production coming in high w/e 9/13</t>
  </si>
  <si>
    <t>FCC(9.3)</t>
  </si>
  <si>
    <t>FCC(40)</t>
  </si>
  <si>
    <t>SU extended to 11/8 (originally planned for 10/17)</t>
  </si>
  <si>
    <t>CDU (250), Coker (102)</t>
  </si>
  <si>
    <t>Coker SD 9/20. CDU SD 9/24</t>
  </si>
  <si>
    <t>CR (70) Ref</t>
  </si>
  <si>
    <t>Down for planned maintenance. SD 9/24 vs 9/20</t>
  </si>
  <si>
    <t>CDU (40 kbd) / Reformer (13.5 kbd)</t>
  </si>
  <si>
    <t>Planned maintenance (10/4-11/12)</t>
  </si>
  <si>
    <t>Ref (30)</t>
  </si>
  <si>
    <t>Ref (45)</t>
  </si>
  <si>
    <t>Genscape first reported s/d unplanned(assuming 1 wk)</t>
  </si>
  <si>
    <t>Coker (31)</t>
  </si>
  <si>
    <t>FCC (51.6)</t>
  </si>
  <si>
    <t>55 kbd CDU cut due to FCC/Coker outage</t>
  </si>
  <si>
    <t>Added on 9/3 due to ENT reporting</t>
  </si>
  <si>
    <t>Reformer (60)</t>
  </si>
  <si>
    <t>Down 9/9 per IIR for planned maintenance; pushed out to 11/17 from 11/11</t>
  </si>
  <si>
    <t>Hydrocracker (60 kbd)</t>
  </si>
  <si>
    <t>assuming down for planned mainteance</t>
  </si>
  <si>
    <t>FCC (60)</t>
  </si>
  <si>
    <t>short unplanned SD no real impact</t>
  </si>
  <si>
    <t>CDU (73kbd)</t>
  </si>
  <si>
    <t>HC (34)</t>
  </si>
  <si>
    <t>FCC (40), Alky (14)</t>
  </si>
  <si>
    <t>SD for planned maintenance. Confirmed back up on 11/15</t>
  </si>
  <si>
    <t>Restart 11/13 per IIR</t>
  </si>
  <si>
    <t>CDU derate (87.5 KBD)</t>
  </si>
  <si>
    <t>VDU(26)</t>
  </si>
  <si>
    <t>SD unplanned, assuming 25 kbd crude cut and 2 week duration</t>
  </si>
  <si>
    <t>Previously had FCC outage 9/15-10/28, outage has not started yet</t>
  </si>
  <si>
    <t>Ref (16)</t>
  </si>
  <si>
    <t>SD unplanned, assuming 1 wk downtime</t>
  </si>
  <si>
    <t>HC(50)</t>
  </si>
  <si>
    <t>Added on 11/8 used 5% as MoGas impact from HC 50KBD capacity. Came back up on 11/16</t>
  </si>
  <si>
    <t>Coker rate cut</t>
  </si>
  <si>
    <t>HDC (55)</t>
  </si>
  <si>
    <t>Down 9/9 per IIR for planned maintenance</t>
  </si>
  <si>
    <t>Restarted</t>
  </si>
  <si>
    <t>CDU staying down until 11/18</t>
  </si>
  <si>
    <t>265 kbd CDU went down unplanned the morning of 11/8, according to Genscape . Updated outage date to 11/19 vs 11/22 per Genscape</t>
  </si>
  <si>
    <t>Coker (7.5)</t>
  </si>
  <si>
    <t>FCC (123)</t>
  </si>
  <si>
    <t>Hot Stanby due to SV101 leak CLEU Sour Gas limit / no fueling Assuming 5 day outage</t>
  </si>
  <si>
    <t>Reformer (20)</t>
  </si>
  <si>
    <t>Planned SD; extended a week center still looks S/D</t>
  </si>
  <si>
    <t>late 2020</t>
  </si>
  <si>
    <t>Coker (27)</t>
  </si>
  <si>
    <t>SU Coker in 4Q24 after being SD since '20</t>
  </si>
  <si>
    <t>FCC(98)</t>
  </si>
  <si>
    <t>SD unplanned, assuing 1 wk</t>
  </si>
  <si>
    <t xml:space="preserve">CDU assuming 50 kbd cut due to VGO containment </t>
  </si>
  <si>
    <t>FCC (70)</t>
  </si>
  <si>
    <t>Ref (12)</t>
  </si>
  <si>
    <t>Down for planned maint per Chem team</t>
  </si>
  <si>
    <t xml:space="preserve">Ref(43), </t>
  </si>
  <si>
    <t>Sd unplanned assuming 1 wk; removed FCC (82) 11/21</t>
  </si>
  <si>
    <t>CDU1 (96)/CDU2 (96), DCU (42) and Ref(17.5) are cut back and FCC(68) 100% offline</t>
  </si>
  <si>
    <t>Confirmed SD for planned TA 9/27. CDUs/Cokers/Ref are now cut back vs 100% offline</t>
  </si>
  <si>
    <t>updated SU to 11/17 from 11/22</t>
  </si>
  <si>
    <t>Reformer (26)</t>
  </si>
  <si>
    <t>CDU (95 kbd)</t>
  </si>
  <si>
    <t>Delek Krotz Springs</t>
  </si>
  <si>
    <t>CDU (74 kbd) / FCC (32.5 kbd) / Ref (13 kbd) / Alky (5 kbd)</t>
  </si>
  <si>
    <t>IIR updated timing from 10/12-11/22 to 10/12-12/1</t>
  </si>
  <si>
    <t>CDU (39), VDU (27), CDU2 (39)</t>
  </si>
  <si>
    <t>SD still. Pushed out another week to 11/22' Pushed out another week; s/u 12.2</t>
  </si>
  <si>
    <t>CDU (100 kbd) / Reformer (24 kbd)/ VDU</t>
  </si>
  <si>
    <t>Planned maintenance (10/4-11/12). Entire plant SD for project tie-ins' Extended from 11/18 to 11/27</t>
  </si>
  <si>
    <t>Planned DCU outage (25 kbd)</t>
  </si>
  <si>
    <t>Per IIR 10/14-11/22</t>
  </si>
  <si>
    <t>SD unplanned, pushed out another week (2 weeks); pushed out to 12/13; up on 12/6 per Genscape</t>
  </si>
  <si>
    <t>Coker (25.3)</t>
  </si>
  <si>
    <t>Reformer (HF3) cut back by 25kbd</t>
  </si>
  <si>
    <t>Coker (42)</t>
  </si>
  <si>
    <t>Came back up on 12/12</t>
  </si>
  <si>
    <t>CDU (65), VDU (62), HC (55)</t>
  </si>
  <si>
    <t>ENT has it back up on 12/12</t>
  </si>
  <si>
    <t>HDC (18)</t>
  </si>
  <si>
    <t>Assuming 1 week outages; pushed out one more week on 12/6; Extended to 12/20</t>
  </si>
  <si>
    <t>CDU (20 kbd cut), 20 kbd FCC cut</t>
  </si>
  <si>
    <t>Ref(15)</t>
  </si>
  <si>
    <t>Down per genscape</t>
  </si>
  <si>
    <t>CDU5 (240), VDU (91.3), DC (25)</t>
  </si>
  <si>
    <t>FCC (32 kbd)</t>
  </si>
  <si>
    <t>FCC (32.5 kbd)</t>
  </si>
  <si>
    <t>IIR reported FCC is coming up later now (prev. 12/1); IIR pushed startup back to 12/20</t>
  </si>
  <si>
    <t>Planned maintenance of 17  kbd Reformer</t>
  </si>
  <si>
    <t>Down unplanned on 12/17 - assuming 1 wk downtime. (Per IIR &amp; Genscape)</t>
  </si>
  <si>
    <t>FCC(26.4)</t>
  </si>
  <si>
    <t>Uplanned shutdown on 12/7 per Genscape</t>
  </si>
  <si>
    <t>Coker (55)</t>
  </si>
  <si>
    <t>Reported as an upset on 12/27. Assuming 1 wk downtime</t>
  </si>
  <si>
    <t>Chevron Salt Lake City</t>
  </si>
  <si>
    <t>Coker (10 kbd)</t>
  </si>
  <si>
    <t>Unplanned outage on 11/22. Assuming 1 wk outage; revised to 2day outage</t>
  </si>
  <si>
    <t>HC (55)</t>
  </si>
  <si>
    <t xml:space="preserve">HF Sinclair - Tulsa West </t>
  </si>
  <si>
    <t>Coker (8.5)</t>
  </si>
  <si>
    <t>Coker (100)</t>
  </si>
  <si>
    <t>CDU (95),Alky (6.5), CCR (34), FCCU (24), HDC (10)</t>
  </si>
  <si>
    <t>Up after unplanned sd</t>
  </si>
  <si>
    <t>CR (28), HC (30)</t>
  </si>
  <si>
    <t>SD unplanned, assuming 3 days per IIR</t>
  </si>
  <si>
    <t>Coker/CDU cuts</t>
  </si>
  <si>
    <t>Coker issue driving CDU cut</t>
  </si>
  <si>
    <t>CDU (115)</t>
  </si>
  <si>
    <t>CDU had fire on 12/27. Assuming 1 wk of downtime</t>
  </si>
  <si>
    <t>CDU (65)</t>
  </si>
  <si>
    <t>Up after planned T/A</t>
  </si>
  <si>
    <r>
      <t>CDU (265),</t>
    </r>
    <r>
      <rPr>
        <strike/>
        <sz val="10"/>
        <rFont val="EMprint"/>
        <family val="2"/>
      </rPr>
      <t>FCC (140)</t>
    </r>
  </si>
  <si>
    <t>FCC removed from scope (assuming it is at min during TA)</t>
  </si>
  <si>
    <t>Coker (53)</t>
  </si>
  <si>
    <t xml:space="preserve">Assuming the 2nd CDU will SD after the first CDU </t>
  </si>
  <si>
    <t>2nd CDU up early on will monitor for future SD</t>
  </si>
  <si>
    <t>Hydrocracker  (14)</t>
  </si>
  <si>
    <t xml:space="preserve"> Coker(25.3)</t>
  </si>
  <si>
    <t>CDU (39)</t>
  </si>
  <si>
    <t>Unplanned SD</t>
  </si>
  <si>
    <t>CDU cut (40)</t>
  </si>
  <si>
    <t>CDU (70), HDC (30), Ref (47)</t>
  </si>
  <si>
    <t>PS7 (100)</t>
  </si>
  <si>
    <t>Unplanned SD due to leak on nozzle</t>
  </si>
  <si>
    <t>FCC (76)</t>
  </si>
  <si>
    <t>Alky(33)</t>
  </si>
  <si>
    <t>Added on 1/20</t>
  </si>
  <si>
    <t>Coker cuts (40)</t>
  </si>
  <si>
    <t>SD, assuming unplanned and 1 wk duration</t>
  </si>
  <si>
    <t>CDU (265),FCC (140)</t>
  </si>
  <si>
    <t>Adjusting production offline due to reformer outage</t>
  </si>
  <si>
    <t>CDU derate (25 KBD)</t>
  </si>
  <si>
    <t>CDU derate per IIR; pushed back half a week</t>
  </si>
  <si>
    <t>CDU (104)</t>
  </si>
  <si>
    <t>One day blip per IIR</t>
  </si>
  <si>
    <t>CDU cut due to freeze (60)</t>
  </si>
  <si>
    <t>Ref (25)</t>
  </si>
  <si>
    <t>SD due to fire</t>
  </si>
  <si>
    <t>FCC (81), Ref (49), Coker (54)</t>
  </si>
  <si>
    <t>Assume it is down until T/Aon</t>
  </si>
  <si>
    <t xml:space="preserve">SD unplanned, assuming 25 kbd crude cut and </t>
  </si>
  <si>
    <t>Excluding for now 1/24</t>
  </si>
  <si>
    <t>past</t>
  </si>
  <si>
    <t>Ref (23)</t>
  </si>
  <si>
    <t>Other Refinery Cuts due to Freeze</t>
  </si>
  <si>
    <t>3% CDU cut at refineries in affected region</t>
  </si>
  <si>
    <t>Freeze</t>
  </si>
  <si>
    <t>Crude cut due to freeze</t>
  </si>
  <si>
    <t>CDU cut due to freeze (73)</t>
  </si>
  <si>
    <t>CDU (103), Ref (28), HDC (32), Coker (42)</t>
  </si>
  <si>
    <t>3 day SD per IIR; extending still looks cold + Crane onsite</t>
  </si>
  <si>
    <t>CDU cut (155), FCC (10), Ref (10)</t>
  </si>
  <si>
    <t>HF Sinclair Tulsa East</t>
  </si>
  <si>
    <t>CDU (75.5)</t>
  </si>
  <si>
    <t>SD due to freeze</t>
  </si>
  <si>
    <t>CDU (275)</t>
  </si>
  <si>
    <t>Assumed a 30% cut due to elevated flaring</t>
  </si>
  <si>
    <t>CDU(94)</t>
  </si>
  <si>
    <t>Alky (19)</t>
  </si>
  <si>
    <t>CDU (165)</t>
  </si>
  <si>
    <t>Planned TA 1/15-26 (delayed by 9 days), pushed out by 3 days due to not being up on 1/27</t>
  </si>
  <si>
    <t>World Oil South Gate Asphalt</t>
  </si>
  <si>
    <t>CDU (8.5), VDU (7), Asphalt (5.8)</t>
  </si>
  <si>
    <t>Alky (22)</t>
  </si>
  <si>
    <t>Planned T/A 1/2-1/31</t>
  </si>
  <si>
    <t>FCC (25), CR (21.5), CDU cut (22)</t>
  </si>
  <si>
    <t>SD unplanned, assume 1 wk outage</t>
  </si>
  <si>
    <t>CDU and Coker running at reduced rates</t>
  </si>
  <si>
    <t>Running at reduced rates until repairs can be made; removing 1/8 due to high December crude runs</t>
  </si>
  <si>
    <t>Coker(45)</t>
  </si>
  <si>
    <t>SD unplanned due to freeze,assuming 1wk; extended to 1/29 from 1.21</t>
  </si>
  <si>
    <t>SD after freeze issues, extended to 2/1</t>
  </si>
  <si>
    <t>FCC(80)</t>
  </si>
  <si>
    <t>Ended T/A early on 2/6 vs. 2/26</t>
  </si>
  <si>
    <t>Coker derate 33%</t>
  </si>
  <si>
    <t>HDC(44), HDC (60)</t>
  </si>
  <si>
    <t>Valero Corpus Christi East</t>
  </si>
  <si>
    <t>Assuming permanently down as it has been down for 7 months</t>
  </si>
  <si>
    <t>CDU (44), Coker (15)</t>
  </si>
  <si>
    <t>Ended T/A early</t>
  </si>
  <si>
    <t>FCC(30)</t>
  </si>
  <si>
    <t>HDC (15)</t>
  </si>
  <si>
    <t>Added 2/7 per IIR</t>
  </si>
  <si>
    <t>15 kbd Ref down 1/10-2/8</t>
  </si>
  <si>
    <r>
      <t xml:space="preserve">SD unplanned; still down on 2/7 pushed out S/U 1 wk; </t>
    </r>
    <r>
      <rPr>
        <sz val="10"/>
        <color rgb="FFFF0000"/>
        <rFont val="EMprint"/>
        <family val="2"/>
      </rPr>
      <t>UP on evening of 2/10 per Genscape updated ramp</t>
    </r>
  </si>
  <si>
    <t>updated 2/11</t>
  </si>
  <si>
    <t>Ref (13)</t>
  </si>
  <si>
    <t>CDU (110)</t>
  </si>
  <si>
    <t>HDC (32)</t>
  </si>
  <si>
    <t>Coker (12)</t>
  </si>
  <si>
    <t>added 2/11</t>
  </si>
  <si>
    <t>HDC (60)</t>
  </si>
  <si>
    <t>Planned TA, 50% derate per IIR</t>
  </si>
  <si>
    <t>Unplanned S/D post T/A</t>
  </si>
  <si>
    <t>Flexicoker (42)</t>
  </si>
  <si>
    <t>Planned T/A - 1/3- 2/15</t>
  </si>
  <si>
    <t>CDU (40); Coker (15)</t>
  </si>
  <si>
    <r>
      <t>Pulled up T/A end to 2/19 from (1/10-3/1). cdu (40), fcc (54);</t>
    </r>
    <r>
      <rPr>
        <sz val="10"/>
        <color rgb="FFFF0000"/>
        <rFont val="EMprint"/>
        <family val="2"/>
      </rPr>
      <t xml:space="preserve">  CDU/Coker SU on 2/7 (captured in other line)</t>
    </r>
  </si>
  <si>
    <t>added reformer and coker to outage per Genscape</t>
  </si>
  <si>
    <t>Ref (18)</t>
  </si>
  <si>
    <t>Split out Reformer</t>
  </si>
  <si>
    <t>CDU cut (120), FCC cut (38), Coker cut (30), Ref (9)</t>
  </si>
  <si>
    <t>Reformer pre-treater issue</t>
  </si>
  <si>
    <t>CR (21.5), assuming min rates for CDU/FCC</t>
  </si>
  <si>
    <t>Up after unplanned SD; 2/19 revised SU date to 2/19</t>
  </si>
  <si>
    <t>CDU (255), FCC (55), HDC (30), Coker (17), Ref (58)</t>
  </si>
  <si>
    <t>Planned T/A 1/13-2/11 (whole TA delayed by 3 days), extended SU due to FH rack pricing being elevated on 2/19</t>
  </si>
  <si>
    <t>Monitor;  IIR expects TA to end on time</t>
  </si>
  <si>
    <t>Ref (29), HDC (30), CDU (40), FCC (15)</t>
  </si>
  <si>
    <t>Up per ENT</t>
  </si>
  <si>
    <t>HDC (27)</t>
  </si>
  <si>
    <t>Up per DV</t>
  </si>
  <si>
    <t>Ref (20)</t>
  </si>
  <si>
    <t>HDC (24); Iso Cracker (24)</t>
  </si>
  <si>
    <t>CDU (73), Ref (21)</t>
  </si>
  <si>
    <t>ENT only source (planned maintenance)- removed as still looks hot in Genscape</t>
  </si>
  <si>
    <t>FCC (53)</t>
  </si>
  <si>
    <t>CDU (185), Coker (84), 20% FCC cut (15 kbd)</t>
  </si>
  <si>
    <t>Planned T/A 1/17-2/29(pushed back from 1/10-2/22); pulled back up to 1/10 per IIR</t>
  </si>
  <si>
    <t>CDU (75)</t>
  </si>
  <si>
    <t>PS8 (190)</t>
  </si>
  <si>
    <t>Up post T/A</t>
  </si>
  <si>
    <t>FCC (27), Crude Cut (36)</t>
  </si>
  <si>
    <t>up 2/26 per genscape</t>
  </si>
  <si>
    <t>Assuming they pulled forward coker T/A</t>
  </si>
  <si>
    <t>Unplanned S/D 2/25</t>
  </si>
  <si>
    <t>added 2/28</t>
  </si>
  <si>
    <t>Alky(12)- inclusive of FCC cut; Added Isom unit impact</t>
  </si>
  <si>
    <t>no new assuming up</t>
  </si>
  <si>
    <t>FCC Up on 2/23 reducting alky/isom duration
on 2/28  "increased" HC activity on 2/28 Gescape still showing down</t>
  </si>
  <si>
    <t>FCC(110), CDU cut (50)</t>
  </si>
  <si>
    <t>Major intial cut</t>
  </si>
  <si>
    <t>San Joaquin Bakersfield</t>
  </si>
  <si>
    <t>CDU(24)</t>
  </si>
  <si>
    <t>Updated timing per IIR; pushed back to 3/10 IIR; up 3/11 per IIR</t>
  </si>
  <si>
    <t>CDU 91.2</t>
  </si>
  <si>
    <t>unplanned 1day outage</t>
  </si>
  <si>
    <t>added 3/3</t>
  </si>
  <si>
    <t>SU pulled forward from 3/20 to 3/3</t>
  </si>
  <si>
    <t xml:space="preserve">IIR reporting 2/19 ENT 2/9
</t>
  </si>
  <si>
    <t>HDC (45)</t>
  </si>
  <si>
    <t>Down unplanned on 2/28 - assuming 1 wk downtime. (Per IIR &amp; Genscape); up on 3/2; full capacity 3/5</t>
  </si>
  <si>
    <t>Alky (12.5) - Mid-Jan-early Mar</t>
  </si>
  <si>
    <t>CDU (116)</t>
  </si>
  <si>
    <t>FCC (54)</t>
  </si>
  <si>
    <t>Up on 3/7 per genscape</t>
  </si>
  <si>
    <t>PS7 (88)</t>
  </si>
  <si>
    <t>Delayed due to overhead exchanger issues</t>
  </si>
  <si>
    <t>restarted 3/7</t>
  </si>
  <si>
    <t>CDU (94)</t>
  </si>
  <si>
    <t>FCC cut (30)</t>
  </si>
  <si>
    <t>OK</t>
  </si>
  <si>
    <t>CDU(64)</t>
  </si>
  <si>
    <t>assuming 1 wk</t>
  </si>
  <si>
    <t>Up 3/13</t>
  </si>
  <si>
    <t>Ref (18.5)</t>
  </si>
  <si>
    <t>FCC(115), HDC (75)</t>
  </si>
  <si>
    <t>Completed 3/14</t>
  </si>
  <si>
    <t xml:space="preserve">iir revised end date 3/14
</t>
  </si>
  <si>
    <t>Unplanned SD up on 3/14</t>
  </si>
  <si>
    <t>FCC (24), HDC (30), Ref(11), Crude Cut (10)</t>
  </si>
  <si>
    <t>Planned T/A; CDU no longer in scope</t>
  </si>
  <si>
    <t>increased FCC activity 3/17 delaying SU to 3/19; softned ramp</t>
  </si>
  <si>
    <t>Ref (29), HDC (30)</t>
  </si>
  <si>
    <t xml:space="preserve">Splitting out reformer from T/A since it started up early </t>
  </si>
  <si>
    <t>FCC(30), Crude cut (46)</t>
  </si>
  <si>
    <t xml:space="preserve">IIR updated timing 3/1-3/30 and added Ref (PrevTA 3/7-4/11) </t>
  </si>
  <si>
    <t>Increased reformer activity 3/18; extended FCC still down</t>
  </si>
  <si>
    <t>Up 3/23 after unplanned SD</t>
  </si>
  <si>
    <t>FCC (45); Assuming 30% crude cut due to VGO logistics and 10% Coker cut</t>
  </si>
  <si>
    <t>Updated timing per ENT</t>
  </si>
  <si>
    <t>up after 16 days vs 28</t>
  </si>
  <si>
    <t>REF(11)</t>
  </si>
  <si>
    <t>CDU cut (70), Coker (35), FCC (28)</t>
  </si>
  <si>
    <t>CDU derate (64), FCC derate(15)</t>
  </si>
  <si>
    <t>Derate with other units pre-CDU outage</t>
  </si>
  <si>
    <t>Added CDU outage</t>
  </si>
  <si>
    <t>FCC(50)</t>
  </si>
  <si>
    <t>Uplanned shutdown on 3/21-3/24</t>
  </si>
  <si>
    <t>CDU (110), Coker (17)</t>
  </si>
  <si>
    <t xml:space="preserve">Unplanned outaged due to fire </t>
  </si>
  <si>
    <t xml:space="preserve">CDU(80) </t>
  </si>
  <si>
    <t>Unplanned CDU VDU outage; assuming 1 wk</t>
  </si>
  <si>
    <t>added 3/25 per GS</t>
  </si>
  <si>
    <t>SD for 2 days, not in T/A scope</t>
  </si>
  <si>
    <t>Ref (11)</t>
  </si>
  <si>
    <t>Unplanned SD 3/24-3/26</t>
  </si>
  <si>
    <t>FCC(25) 25% cut</t>
  </si>
  <si>
    <t>Reduced rates for 6 days; per emmisions filing via IPIS</t>
  </si>
  <si>
    <t>Coker (10)</t>
  </si>
  <si>
    <t xml:space="preserve">SD unplanned, assuming will stay down into T/A </t>
  </si>
  <si>
    <t>CDU (166)</t>
  </si>
  <si>
    <t>CDU restarted 3/28 per Genscape</t>
  </si>
  <si>
    <t>Crude cut per crude team (20)</t>
  </si>
  <si>
    <t>HDC (44)</t>
  </si>
  <si>
    <t>up on 3/31</t>
  </si>
  <si>
    <t>genscape showin increased activity 3/16</t>
  </si>
  <si>
    <t>Petromax Houston Fractionation Refinery</t>
  </si>
  <si>
    <t>CDU (25)</t>
  </si>
  <si>
    <t>IIR updated timing to 2/28-3/31</t>
  </si>
  <si>
    <t>Confirmed timing on 3/11</t>
  </si>
  <si>
    <t>CDU (266)</t>
  </si>
  <si>
    <t>Up 3/31 per Genscape;IIR confirmed</t>
  </si>
  <si>
    <t>Extended outage to 4/26 per IIR</t>
  </si>
  <si>
    <t>Ref(20), CDU cut (30)</t>
  </si>
  <si>
    <t>Adding crude cut based on hydrogen constraints and reduced Pipeline flows</t>
  </si>
  <si>
    <t>FCC(110)</t>
  </si>
  <si>
    <t>Sustained cuts; PCLA2 up to 75kbd 4/2</t>
  </si>
  <si>
    <t>Coker (45)</t>
  </si>
  <si>
    <t>Unplanned SD 4/1; assuming 1wk</t>
  </si>
  <si>
    <t>CDU(15)</t>
  </si>
  <si>
    <t xml:space="preserve">Unplanned outage 4/1; Topping site </t>
  </si>
  <si>
    <t>Unplanned CDU VDU outage</t>
  </si>
  <si>
    <t>Added 4/2 per GS</t>
  </si>
  <si>
    <t>CDU cut (70), Coker (35), FCC (24)</t>
  </si>
  <si>
    <t>HDC (28), Ref (17)</t>
  </si>
  <si>
    <t>HDC Split out; su 4/5</t>
  </si>
  <si>
    <t>Coker(28), Crude cut (30)</t>
  </si>
  <si>
    <t>Assuming derate due to decreased activity/crane next to FCC</t>
  </si>
  <si>
    <t>up 4/5 per GS</t>
  </si>
  <si>
    <t>CDU derate (75), Ref (6)</t>
  </si>
  <si>
    <t>Full CDU SD on 4/7</t>
  </si>
  <si>
    <t>still up on 3/10 in genscape; delaying to 3/27 on 3/24</t>
  </si>
  <si>
    <t>CDU cut (20), Coker (35), FCC (24)</t>
  </si>
  <si>
    <t>CDU (272), FCC derate (40 kbd)</t>
  </si>
  <si>
    <t>T/A scope now covers both CDUs</t>
  </si>
  <si>
    <t xml:space="preserve">Powerformer 2 (26), DSU 1 (54), DSU 2 (29), VDU (75), CDU 7 (130) ; </t>
  </si>
  <si>
    <t xml:space="preserve">FCC(13) % derate </t>
  </si>
  <si>
    <t>DC (16.5)</t>
  </si>
  <si>
    <t xml:space="preserve">Planned T/A 3/28-4/9; </t>
  </si>
  <si>
    <t>https://energyrt.woodmac.com/oil/alerts/images/37c18c5b-d6fe-4dbf-b487-c00bb97e9e03</t>
  </si>
  <si>
    <t>CDU (190), Reformer derate (14)</t>
  </si>
  <si>
    <t>Only down for 2 days, assuming derate for remainder of T/A</t>
  </si>
  <si>
    <t>short unplanned derate 25% cut</t>
  </si>
  <si>
    <t>CDU (56 kbd)</t>
  </si>
  <si>
    <t>Argus reporting SU mid APR '25</t>
  </si>
  <si>
    <t>Starting Ramp earlier than initial assumption of 4/15; increased activity 4/10</t>
  </si>
  <si>
    <t>PS7 (80)</t>
  </si>
  <si>
    <t>FCC(80) derate</t>
  </si>
  <si>
    <t>total FCC 140 vs 223 until mid week</t>
  </si>
  <si>
    <t>Restarted 4/14; previously assumed permanently shut</t>
  </si>
  <si>
    <t>CDU (60), FCC (37)</t>
  </si>
  <si>
    <t>Split out since SU was ahead of other secondary units</t>
  </si>
  <si>
    <t xml:space="preserve"> Extended to apr 18; increased activity may need to split our Reformer start up; 4/3 increase coker activity</t>
  </si>
  <si>
    <t>CDU cut (10)</t>
  </si>
  <si>
    <t>FCC (81)</t>
  </si>
  <si>
    <t>Up 4/15 per IIR</t>
  </si>
  <si>
    <t>missed 4/12 IIR date; attempted 4/14 SU</t>
  </si>
  <si>
    <t>FCC(30) derate</t>
  </si>
  <si>
    <t>total FCC 190 vs 223 until mid week</t>
  </si>
  <si>
    <t>HDC (14) derate, CDU derate (7) , FCC derate (25)</t>
  </si>
  <si>
    <t>Fire on pump</t>
  </si>
  <si>
    <t>FCC (90), Coker (60)</t>
  </si>
  <si>
    <t>CDU Split out</t>
  </si>
  <si>
    <t>coker never went down in GS</t>
  </si>
  <si>
    <t>Revise to 4/17 per IIR; increased activity 4/14 https://energyrt.woodmac.com/oil/alerts/images/ead06639-47dc-40ef-b392-fcf4959b2cb8</t>
  </si>
  <si>
    <t xml:space="preserve">CDU(166) </t>
  </si>
  <si>
    <t>Assuming CDU running at Min until secondary units come up</t>
  </si>
  <si>
    <t>pushed to 4/11 per IIR</t>
  </si>
  <si>
    <t>Coker (14), FCC (20), Ref (13), CDU(10)</t>
  </si>
  <si>
    <t>SD 4/8</t>
  </si>
  <si>
    <t>Ref (40)</t>
  </si>
  <si>
    <t>HDC outage, secondary unit derates during T/A duration</t>
  </si>
  <si>
    <t>Ref (53)</t>
  </si>
  <si>
    <t>SU on 4/19</t>
  </si>
  <si>
    <t>still down pushing out</t>
  </si>
  <si>
    <t>CDU derate (64)</t>
  </si>
  <si>
    <t>SD unplanned, increased activity 4.10</t>
  </si>
  <si>
    <t>pushed back to 4/18; IIR not reporting</t>
  </si>
  <si>
    <t>Alky (5.6)</t>
  </si>
  <si>
    <t>Sd unplanned, assuming 1 wk</t>
  </si>
  <si>
    <t>Added 3/20- Genscape email added late</t>
  </si>
  <si>
    <t>CDU(92),Ref(19),FCC(26)</t>
  </si>
  <si>
    <t>Full Site unplanned SD; assuming 1wk. possibly starting TA early</t>
  </si>
  <si>
    <t>Coker (19.5)</t>
  </si>
  <si>
    <t>Split out Coker</t>
  </si>
  <si>
    <t xml:space="preserve"> Ref (25), CDU (76)</t>
  </si>
  <si>
    <t>Split out FCC/CDU; extended to 4/30 per IIR</t>
  </si>
  <si>
    <t>HDC (28)</t>
  </si>
  <si>
    <t>Separated HDC and Ref</t>
  </si>
  <si>
    <t>Big West-Salt Lake City</t>
  </si>
  <si>
    <t>FCC(12.5)</t>
  </si>
  <si>
    <t>Unplanned SD 4/13</t>
  </si>
  <si>
    <t>DC2 (16.5)</t>
  </si>
  <si>
    <t>Up per Genscape</t>
  </si>
  <si>
    <t>Assuming it is up- unmonitored in Genscape</t>
  </si>
  <si>
    <t>Added 3/11 per IIR</t>
  </si>
  <si>
    <t>CDU (40)</t>
  </si>
  <si>
    <t>Coker (60)</t>
  </si>
  <si>
    <t>Coker (26), CDU derate (30)</t>
  </si>
  <si>
    <t>CDU (155),Coker (21), Coker (25), HDC (42), Ref (29.5), FCC (70)</t>
  </si>
  <si>
    <t>Unplanned SD due to fire on hydrotreater, assuming 45 day downtime; increased to 4 months</t>
  </si>
  <si>
    <t>CDU (76)</t>
  </si>
  <si>
    <t>Up after T/A</t>
  </si>
  <si>
    <t>CDU (40), FCC cut (9), Ref cut (6)</t>
  </si>
  <si>
    <t>Still looks cold despite IIR notification it started up</t>
  </si>
  <si>
    <t>iir 3/1-4/16; still cold on 4/14 pushing SU</t>
  </si>
  <si>
    <t>HC(18)</t>
  </si>
  <si>
    <t xml:space="preserve">Planned TA 3/3/-4/11; unplanned SD 2/26 assuming TA will start early; </t>
  </si>
  <si>
    <t>IIR planned dates 4/1-5/11; increased activity 4/5</t>
  </si>
  <si>
    <t>Coker (8) cut</t>
  </si>
  <si>
    <t>CR (19), CDU (197)</t>
  </si>
  <si>
    <t>CDUs up, ref remains down</t>
  </si>
  <si>
    <t>Wyoming Refing Company (Newcastle)</t>
  </si>
  <si>
    <t>CDU(20),FCC(5.5),Ref(3.2)</t>
  </si>
  <si>
    <t>Will return to 50% rates in mid-April per Par Pacific webcast</t>
  </si>
  <si>
    <t>Furnace explosion</t>
  </si>
  <si>
    <t>CDU(120), FCC (52), Ref (26)</t>
  </si>
  <si>
    <t>CDU (120) outage 3/13-5/30; IIR pushed back 3/17-5/30</t>
  </si>
  <si>
    <t>Reduced duration per IIR</t>
  </si>
  <si>
    <t>CDU (70) cut due to VDU issue</t>
  </si>
  <si>
    <t>Assuming issue based on purchasing</t>
  </si>
  <si>
    <t>Coker (55), CDU cut (20)</t>
  </si>
  <si>
    <t>DC3 (16.5)</t>
  </si>
  <si>
    <t>SD, assuming down until TA end</t>
  </si>
  <si>
    <t>CDU (26.4)</t>
  </si>
  <si>
    <t>SD unplanned, assuming 2 wk</t>
  </si>
  <si>
    <t>FCC (20)</t>
  </si>
  <si>
    <t>Cut back due to BOP SD</t>
  </si>
  <si>
    <t>CDU(120)</t>
  </si>
  <si>
    <t>CDU down longer than other units</t>
  </si>
  <si>
    <t>Valero Benicia</t>
  </si>
  <si>
    <t>Full site outage</t>
  </si>
  <si>
    <t>SD due to fire at FCC</t>
  </si>
  <si>
    <t>CDU (109), HDC (30), Coker (25), FCC (22.7), Ref (32)</t>
  </si>
  <si>
    <t>Extended to 5/6 despite IIR saying it was up since it looks cold in Genscape</t>
  </si>
  <si>
    <t>CDU derate (44), FCC (42)</t>
  </si>
  <si>
    <t>Pushed back 2 weeks per IIR</t>
  </si>
  <si>
    <t>Moved back to 3/19</t>
  </si>
  <si>
    <t>CDU (50), Hydrocracker (24), Assuming Coker/FCC/Ref derates</t>
  </si>
  <si>
    <t>Planned TA 3/27-4/30, made it 50 kbd rather than full CDU outage per crude purchasing patterns; coker added to scope per ENT;</t>
  </si>
  <si>
    <t>CDU 2 not monitored</t>
  </si>
  <si>
    <t>Rate cut due to issues</t>
  </si>
  <si>
    <t>CDU(100)</t>
  </si>
  <si>
    <t>Hunt Tuscaloosa</t>
  </si>
  <si>
    <t>DC (32), HDC (18.5), Ref (22), CDU(63)</t>
  </si>
  <si>
    <t>SU after fire</t>
  </si>
  <si>
    <t>CDU (60)</t>
  </si>
  <si>
    <t>60 kbd CDU down 5/2-5/16</t>
  </si>
  <si>
    <t>FCC (22.7)</t>
  </si>
  <si>
    <t>FCC still down, expecting start up shortly after the other units</t>
  </si>
  <si>
    <t>FCC (77), Crude cut (45)</t>
  </si>
  <si>
    <t>DC 9)</t>
  </si>
  <si>
    <t>Reduced rates due to fire</t>
  </si>
  <si>
    <t>Countrymark Mt Vernon</t>
  </si>
  <si>
    <t>CDU (35)</t>
  </si>
  <si>
    <t>SD unplanned, looks hot 5/14</t>
  </si>
  <si>
    <t>CDU (128)</t>
  </si>
  <si>
    <t>Split out bc ref SD</t>
  </si>
  <si>
    <t>Ref (15)</t>
  </si>
  <si>
    <t>Su after issues</t>
  </si>
  <si>
    <t>Su after Sd unplanned</t>
  </si>
  <si>
    <t>Still down, assuming it will come up a few days after the other units</t>
  </si>
  <si>
    <t>Ref (14)</t>
  </si>
  <si>
    <t>assuming SU 5/16, no official confirmation yet</t>
  </si>
  <si>
    <t>up 5/19 per IIR vs 5/17</t>
  </si>
  <si>
    <t>Coker (34)</t>
  </si>
  <si>
    <t>FCC (85)</t>
  </si>
  <si>
    <t>Revised dates to 3/31 start 39 day duration. Increased activity on 5/18; SU 5/20</t>
  </si>
  <si>
    <t>changed SU from 5/27 to 5/20</t>
  </si>
  <si>
    <t>CDU (57)</t>
  </si>
  <si>
    <t>CDU restarted 4/9, assuming derated until FCC starts up</t>
  </si>
  <si>
    <t>Valero Corpus Christi West</t>
  </si>
  <si>
    <t>FCC (96)</t>
  </si>
  <si>
    <t>SD unplanned, FCC SU 5/20, assuming HDC still down given that Ref just SD</t>
  </si>
  <si>
    <t>Sinclair Refinery (HF Sinclair) Wyoming</t>
  </si>
  <si>
    <t>Ref (12.5), FCC (22), Coker cut (4), and CDU cut (26)</t>
  </si>
  <si>
    <t>Planned T/A 4/12-5/21</t>
  </si>
  <si>
    <t>down for 2 days per IIR</t>
  </si>
  <si>
    <t>CDU (128), Ref (32)</t>
  </si>
  <si>
    <t>CDU Up after unplanned SD</t>
  </si>
  <si>
    <t>increased activity 5/22</t>
  </si>
  <si>
    <t>Coker (15)</t>
  </si>
  <si>
    <t>Ref (6.5), FCC derate (2)</t>
  </si>
  <si>
    <t>Su after unplanned Sd</t>
  </si>
  <si>
    <t xml:space="preserve">IIR reporting SU on 5/22, still cold so extending to 5/25
</t>
  </si>
  <si>
    <t>CDU derate (10)</t>
  </si>
  <si>
    <t>Ref (35)</t>
  </si>
  <si>
    <t>Ref (40), HDC (35),CDU (50), Coker (10), FCC derate (20)</t>
  </si>
  <si>
    <t>Genscape still showing up but IIR said it started 3/31</t>
  </si>
  <si>
    <t>possibly starting early due to coker on 3/15; was 4/1 -6/15</t>
  </si>
  <si>
    <t>Silver Eagle Evanston</t>
  </si>
  <si>
    <t>CDU(3.4),ref(3)</t>
  </si>
  <si>
    <t>planned outage, expected start-up 5/25</t>
  </si>
  <si>
    <t>FCC (21) CDU (4 kbd derate)</t>
  </si>
  <si>
    <t>SU after Planned maint 4/1/25 - 5/10/25</t>
  </si>
  <si>
    <t>Extending due to cranes still on site 5/22</t>
  </si>
  <si>
    <t>Petro Star North Pole</t>
  </si>
  <si>
    <t>CDU (22)</t>
  </si>
  <si>
    <t>22 kbd CDU unit down 5/17-26, previously 5/9-5/18</t>
  </si>
  <si>
    <t>HDC (49)</t>
  </si>
  <si>
    <t>Su afetr SD unplanned, FCC SU 5/20, assuming HDC still down given that Ref just SD</t>
  </si>
  <si>
    <t>SD unplanned, extending b/c still down on 5/26</t>
  </si>
  <si>
    <t>Assuming 50kbd crude cut &amp; 40kbd FCC</t>
  </si>
  <si>
    <t xml:space="preserve">Updating SU timing based on them coming out to sell </t>
  </si>
  <si>
    <t>FCC (95), CDU cut (100), Ref (15), Coker (12)</t>
  </si>
  <si>
    <t xml:space="preserve">SU after Boiler leak </t>
  </si>
  <si>
    <t>HDC (38.5)</t>
  </si>
  <si>
    <t>50% rates until memorial day per Par Pacific webcast</t>
  </si>
  <si>
    <t>FCC (88), Gasoline HDT</t>
  </si>
  <si>
    <t>up 5/29 per GS</t>
  </si>
  <si>
    <t>FCC (20), CDU cut (70)</t>
  </si>
  <si>
    <t>Expect to come back at reduced rates</t>
  </si>
  <si>
    <t>CDU (37), HF Alky (22), VDU (30), CDU (102), CCR (35), RHDT (76), FCCU GHDT (58), DHC (36)</t>
  </si>
  <si>
    <t>Brief blip due to power outage, back up</t>
  </si>
  <si>
    <t>Up 5/29 per GS</t>
  </si>
  <si>
    <t>SD unplanned</t>
  </si>
  <si>
    <t xml:space="preserve"> Ref (32)</t>
  </si>
  <si>
    <t>Ref SU for 1 day and then SD on 5/25</t>
  </si>
  <si>
    <t>CDU (128), HDC (55)</t>
  </si>
  <si>
    <t>SD unplanned on 5/25</t>
  </si>
  <si>
    <t>Assuming 2 day SD based on it looking hot in Genscape</t>
  </si>
  <si>
    <t>CDU (250), Ref cut (21)</t>
  </si>
  <si>
    <t>Extending due to TMX activity</t>
  </si>
  <si>
    <t>Up 5/14 per IIR looks cold in GS</t>
  </si>
  <si>
    <t>CDU cut (20)</t>
  </si>
  <si>
    <t>FCC (82), CDU cut (55)</t>
  </si>
  <si>
    <t>FCC up 6/2 after unplanned SD</t>
  </si>
  <si>
    <t>Ref (40), HDC (35), Coker (7)</t>
  </si>
  <si>
    <t>Splitting out CDU since it started up 5/25</t>
  </si>
  <si>
    <t>Alky (33)</t>
  </si>
  <si>
    <t>CDU cut (55), Ref (30)</t>
  </si>
  <si>
    <t>FCC (26 kbd), Crude cut (70)</t>
  </si>
  <si>
    <t>FCC (23), Crude cut (15)</t>
  </si>
  <si>
    <t xml:space="preserve"> Assuming min rates for 2 months. SD permanent in Apr 26. Intalled heater from AP, no rate cuts going forward</t>
  </si>
  <si>
    <t>Ref (30), 91.5 (CDU)</t>
  </si>
  <si>
    <t>Splitting out since CDU and Ref SU 6/10 after planned maintenace</t>
  </si>
  <si>
    <t>CDU(110), Ref (20)</t>
  </si>
  <si>
    <t>Su after CDU SD for planned maintenance, pulled from 6/20</t>
  </si>
  <si>
    <t>Start date pulled fwd to 5/30 per IIR; updated duration</t>
  </si>
  <si>
    <t>FCC cut (30), HDC cut (7), Crude Cut (50)</t>
  </si>
  <si>
    <t>Reduced rates per ENT</t>
  </si>
  <si>
    <t>Don't now duration, but don't expect to get a notification of increased rate, so leaving assumption for 1 wk only</t>
  </si>
  <si>
    <t>Cdu (39)</t>
  </si>
  <si>
    <t>HDC ( 29.5)</t>
  </si>
  <si>
    <t>SD unapplanned assuming 1 wk</t>
  </si>
  <si>
    <t>Coker(55)</t>
  </si>
  <si>
    <t>Unwinding due to crude purchases</t>
  </si>
  <si>
    <t>Split coker out; Up 5/14 per IIR looks cold in GS</t>
  </si>
  <si>
    <t>CDU (40)/Ref (20)</t>
  </si>
  <si>
    <t>CDU (45), FCC (30)</t>
  </si>
  <si>
    <t>SD due to alky trip</t>
  </si>
  <si>
    <t>Ref (39.6)</t>
  </si>
  <si>
    <t>FCC (30), HDC (12)</t>
  </si>
  <si>
    <t>Splitting out since CDU and Ref SU 6/10, but FCC and HDC still down after planned maintenace</t>
  </si>
  <si>
    <t>Coker (50)</t>
  </si>
  <si>
    <t>SD unplanned assuming su</t>
  </si>
  <si>
    <t>HDC (35), Coker (7)</t>
  </si>
  <si>
    <t>Splitting out HDC/Coker since Ref SU 6/3. ENT reporting SU later this week</t>
  </si>
  <si>
    <t>CDU (67)/FCC (58.5)</t>
  </si>
  <si>
    <t>SD  unplanned assuming 1 wk</t>
  </si>
  <si>
    <t>FCC (88)</t>
  </si>
  <si>
    <t>SD unplanned, assuming 4 days per IIR</t>
  </si>
  <si>
    <t>CDU (150)</t>
  </si>
  <si>
    <t>1 day blip</t>
  </si>
  <si>
    <t>Coker derate (16.5)</t>
  </si>
  <si>
    <t>Updated following Genscape SU notification</t>
  </si>
  <si>
    <t>Alky (2.7)</t>
  </si>
  <si>
    <t>CDU (80), Ref (36.9)</t>
  </si>
  <si>
    <t>CDU (280)</t>
  </si>
  <si>
    <t>CDU (15)</t>
  </si>
  <si>
    <t>Texas International Galveston Crude</t>
  </si>
  <si>
    <t>SU after planned SD, stilld own extending 1 wk</t>
  </si>
  <si>
    <t>HDC (12)</t>
  </si>
  <si>
    <t>Splitting since FCC SU 6/15</t>
  </si>
  <si>
    <t>CDU (80)</t>
  </si>
  <si>
    <t>Splitting out CDU since ref SU</t>
  </si>
  <si>
    <t xml:space="preserve">Ergon West Virginia Congo </t>
  </si>
  <si>
    <t>CDU (23), Ref (3.6), HDC (4.3)</t>
  </si>
  <si>
    <t>Planned T/A 3/31-5/9</t>
  </si>
  <si>
    <t>Ref (23) reduced rates</t>
  </si>
  <si>
    <t>reduced rates due to leak</t>
  </si>
  <si>
    <t>Ref (60)</t>
  </si>
  <si>
    <t>Sdunplanned assuming 1 wk</t>
  </si>
  <si>
    <t>CDU (104), FCC (53), Ref (50), HC (23)</t>
  </si>
  <si>
    <t>FCC (103.5)</t>
  </si>
  <si>
    <t>SD unplanned for 1 day</t>
  </si>
  <si>
    <t>FCC slow down (5), HDC slowdown (20), CDU (20)</t>
  </si>
  <si>
    <t>CDU cutback due to crude contamination in region</t>
  </si>
  <si>
    <t>Sd unplanned, assuming 1wk</t>
  </si>
  <si>
    <t>FCC3 cut back/CDU(120) slowdown/Coker (30) slowdown</t>
  </si>
  <si>
    <t xml:space="preserve">FCC and CDU cutback due to LE losing DCS console </t>
  </si>
  <si>
    <t>FCC2 down</t>
  </si>
  <si>
    <t xml:space="preserve">FCC down due to LE losing DCS console </t>
  </si>
  <si>
    <t>Changing to planned T/A per IIR. Extending from 6/19</t>
  </si>
  <si>
    <t>SD unplanned. Extended SD</t>
  </si>
  <si>
    <t>FCC (9)</t>
  </si>
  <si>
    <t>CDU (246)- BLADE</t>
  </si>
  <si>
    <t>BLADE trip due to furnace issue</t>
  </si>
  <si>
    <t>Coker (24)</t>
  </si>
  <si>
    <t>FCC (21)</t>
  </si>
  <si>
    <t>FCC cutback 25kbd/CDU cutback 84 kbd, Coker cut back 30 kbd</t>
  </si>
  <si>
    <t>FCC (16.2)</t>
  </si>
  <si>
    <t>Sd unplanned, SU assumption updated to SU with CDU</t>
  </si>
  <si>
    <t>Per crude team just cut back</t>
  </si>
  <si>
    <t>Ref(20)</t>
  </si>
  <si>
    <t>20 kbd Reformer down 7/6 to 8/3</t>
  </si>
  <si>
    <t>HDC (24)</t>
  </si>
  <si>
    <t>Added per IIR 7/11-8/24</t>
  </si>
  <si>
    <t>HDC (10), Ref (10)</t>
  </si>
  <si>
    <t>HDC compressor major outage. Limit HDC &amp; Ref</t>
  </si>
  <si>
    <t>FCC (145)</t>
  </si>
  <si>
    <t>Extending cut while hydrocracker is down due to FCC pre-treater being down</t>
  </si>
  <si>
    <t>Hydrocracker (64 kbd), CDU cut (100)</t>
  </si>
  <si>
    <t>SD unplanned due to fire</t>
  </si>
  <si>
    <t>Planned outage 7/9-9/6, changed from 7/11-9/8/25</t>
  </si>
  <si>
    <t>CDU 2 Planned T/A</t>
  </si>
  <si>
    <t>added 4/10</t>
  </si>
  <si>
    <t>Reporting they are upgrading this FCC</t>
  </si>
  <si>
    <t>Planned T/A 9/1-10/5</t>
  </si>
  <si>
    <t>CDU (110), FCC (65)</t>
  </si>
  <si>
    <t>CDU and FCC planned TA - new, added 6/3</t>
  </si>
  <si>
    <t>Ergon Vicksburg MS</t>
  </si>
  <si>
    <t>Planned T/A</t>
  </si>
  <si>
    <t>Foreland Eagle Springs</t>
  </si>
  <si>
    <t>CDU (5)</t>
  </si>
  <si>
    <t>5 kbd CDU down 9/12-10/11</t>
  </si>
  <si>
    <t>CDU (75), FCC (48), Coker (65)</t>
  </si>
  <si>
    <t>Planned 2025 outage</t>
  </si>
  <si>
    <t>Bradford Refinery</t>
  </si>
  <si>
    <t>CDU(12), Ref (2.2)</t>
  </si>
  <si>
    <t>Planned T/A 9/12-10/16</t>
  </si>
  <si>
    <t>FCC (104)</t>
  </si>
  <si>
    <t>104 kbd FCC down 9/20-10/20 (previous timing 10/5-11/2)</t>
  </si>
  <si>
    <t>End date pulled up to 10/24 from 11/2</t>
  </si>
  <si>
    <t>CDU (95), Ref (20)</t>
  </si>
  <si>
    <t>Planned outage 9/12 - 10/26</t>
  </si>
  <si>
    <t>Allegiance Refining San Antonio</t>
  </si>
  <si>
    <t>CDU (20), Ref (3.7)</t>
  </si>
  <si>
    <t>Pushed to Sept from March per IIR</t>
  </si>
  <si>
    <t>pushed from oct to sept</t>
  </si>
  <si>
    <t>FCC (112), Alky</t>
  </si>
  <si>
    <t>FCC/HDT/Alky/SRU TA 9/20-10/28</t>
  </si>
  <si>
    <t>event ID 771893</t>
  </si>
  <si>
    <t>Citgo Corpus Christi (East)</t>
  </si>
  <si>
    <t>Coker (45), Ref (20), CDU (165)</t>
  </si>
  <si>
    <t>T/A 9/29-10/29</t>
  </si>
  <si>
    <t xml:space="preserve">Planned 2025 maint </t>
  </si>
  <si>
    <t>FCC (70), CDU (60) derate</t>
  </si>
  <si>
    <t>Assuming down until 4Q per company statements; Added 60kbd crude cut</t>
  </si>
  <si>
    <t>Crude cut/ Alky down</t>
  </si>
  <si>
    <t>CDU (150), ref (35)</t>
  </si>
  <si>
    <t>FCC(40); assuming rate cuts CDU/Ref/Coker/HDC</t>
  </si>
  <si>
    <t>planned outage per IIR 9/19/25-11/2/25. Removed Coker, HDC and Ref from TA (39kbd change)</t>
  </si>
  <si>
    <t>Coker (34.5)</t>
  </si>
  <si>
    <t>CDU (150), Ref (35), Alky (5)</t>
  </si>
  <si>
    <t>Planned TA. ENT reporting start end of Aug</t>
  </si>
  <si>
    <t>CDU (270), Ref (75), Coker (92), FCC derate (21)</t>
  </si>
  <si>
    <t>Planned T/A per IIR 10/3-11/6</t>
  </si>
  <si>
    <t>CDU (144), Coker(24), Ref (17)</t>
  </si>
  <si>
    <t>DC (32)</t>
  </si>
  <si>
    <t>Planned T/A; expedited per IIR on 5/21. Extend to Nov per crude intel that they blew up their furnace</t>
  </si>
  <si>
    <t>CDU (42), Ref (8.4)</t>
  </si>
  <si>
    <t>42 kbd CDU down 10/31-12/18</t>
  </si>
  <si>
    <t>data source</t>
  </si>
  <si>
    <t>Coker (8)</t>
  </si>
  <si>
    <t>IIR T/A 11/27-1/10/26</t>
  </si>
  <si>
    <t>CDU(103)</t>
  </si>
  <si>
    <t>Pushed to 2026 per IIR</t>
  </si>
  <si>
    <t>FCC(11.5)</t>
  </si>
  <si>
    <t>Planned 2025 11.5 kbd FCC down 9/1-9/30. Moved to Feb/Mar '26</t>
  </si>
  <si>
    <t>Delayed Coker (60)</t>
  </si>
  <si>
    <t>Moved TA from Sep 2025 to Jan-Mar 2026</t>
  </si>
  <si>
    <t>CDU (73), Ref (21), FCC(25)</t>
  </si>
  <si>
    <t>Full Site T/A per IIR; QC date 7/24. Moved from Oct/Nov to Feb/Mar '26</t>
  </si>
  <si>
    <t xml:space="preserve">Excluding for now </t>
  </si>
  <si>
    <t>Coker(24)</t>
  </si>
  <si>
    <t>Planned T/A per ENT</t>
  </si>
  <si>
    <t>FCC (58), Crude/Coker Derate</t>
  </si>
  <si>
    <t>Pushed to Mar 20-May 9 2026 Per IIR vs Sep-Oct 2025</t>
  </si>
  <si>
    <t>CDU (90), FCC (65)</t>
  </si>
  <si>
    <t>Planned pushed to 2026 vs Sep-Oct 2025 per IIR</t>
  </si>
  <si>
    <t>FCC(13),Ref(8)</t>
  </si>
  <si>
    <t>8 kbd and 13kbd FCC reformer down 10/17-12/6. Moved to Oct/Nov '26</t>
  </si>
  <si>
    <t>Permanent SD 2/24/25</t>
  </si>
  <si>
    <t>CDU (290), FCC (97), Coker (99), Ref (42)</t>
  </si>
  <si>
    <t>Starting SD in January</t>
  </si>
  <si>
    <t>CDU(155)</t>
  </si>
  <si>
    <t xml:space="preserve">155 kbd CDU down 5/2-6/10; removing per earnings call </t>
  </si>
  <si>
    <t>X</t>
  </si>
  <si>
    <t>Coker(25)</t>
  </si>
  <si>
    <t>Planned T/A 2/14-3/30- removing per earnings call</t>
  </si>
  <si>
    <t xml:space="preserve">SD permanently </t>
  </si>
  <si>
    <t>FCC/Ref/HDC</t>
  </si>
  <si>
    <t>Permanent decomissioning in October</t>
  </si>
  <si>
    <t>Moved to oct 2025 vs 24</t>
  </si>
  <si>
    <t/>
  </si>
  <si>
    <t>x</t>
  </si>
  <si>
    <t>CPL Origin Start HTN</t>
  </si>
  <si>
    <t>72-1</t>
  </si>
  <si>
    <t>4-5</t>
  </si>
  <si>
    <t>7-8</t>
  </si>
  <si>
    <t>11-12</t>
  </si>
  <si>
    <t>14-15</t>
  </si>
  <si>
    <t>13-20</t>
  </si>
  <si>
    <t>21-22</t>
  </si>
  <si>
    <t>Padd 1 production change</t>
  </si>
  <si>
    <t>Padd 2 produciton change</t>
  </si>
  <si>
    <t>Padd 3 produciton change</t>
  </si>
  <si>
    <t>Padd 4 produciton change</t>
  </si>
  <si>
    <t>Padd 5 produciton change</t>
  </si>
  <si>
    <t>Overall Production change</t>
  </si>
  <si>
    <r>
      <t xml:space="preserve">Dec 12.25.2024 (achor)
</t>
    </r>
    <r>
      <rPr>
        <b/>
        <sz val="10"/>
        <color theme="1"/>
        <rFont val="EMprint"/>
        <family val="2"/>
      </rPr>
      <t>Production Projection</t>
    </r>
  </si>
  <si>
    <t>Production by PADD</t>
  </si>
  <si>
    <t>Production Adjustments</t>
  </si>
  <si>
    <t>Overall</t>
  </si>
  <si>
    <t xml:space="preserve">Overall </t>
  </si>
  <si>
    <t>w/w change with adjustments</t>
  </si>
  <si>
    <t>forecasting P3 runs to be 8.91 MBD for week of 5/4 - 5/10</t>
  </si>
  <si>
    <t>- P3 last two weeks, decreases w/w have only been 60-75% of expectations</t>
  </si>
  <si>
    <t xml:space="preserve">2024 Planned </t>
  </si>
  <si>
    <t>2026 plan</t>
  </si>
  <si>
    <t xml:space="preserve">26 ‘25, 24, &amp; '23 Planned &amp; Unplanned
</t>
  </si>
  <si>
    <t xml:space="preserve">26 ‘25, 24, &amp; '23 Planned ONLY
</t>
  </si>
  <si>
    <t>&lt;1/1/2024</t>
  </si>
  <si>
    <t>&lt;1/1/2024 Total</t>
  </si>
  <si>
    <t>2024 Total</t>
  </si>
  <si>
    <t>2025 Total</t>
  </si>
  <si>
    <t>2026 Total</t>
  </si>
  <si>
    <t>(blank)</t>
  </si>
  <si>
    <t>US</t>
  </si>
  <si>
    <t>1Q AVG</t>
  </si>
  <si>
    <t>Winter</t>
  </si>
  <si>
    <t>Summer</t>
  </si>
  <si>
    <t xml:space="preserve">april 2025 note: </t>
  </si>
  <si>
    <t>2026 Plan + Unplanned Estimate</t>
  </si>
  <si>
    <t>2026 Plan as of Jul'26</t>
  </si>
  <si>
    <t>2023 Unplanned</t>
  </si>
  <si>
    <t>2024 Unplanned</t>
  </si>
  <si>
    <t>2025 Unplanned</t>
  </si>
  <si>
    <t>2023 planned and unplaned</t>
  </si>
  <si>
    <t>avg</t>
  </si>
  <si>
    <t>2026  Unplanned estimate 3yr avg</t>
  </si>
  <si>
    <t>80% avg</t>
  </si>
  <si>
    <t>3yr avg</t>
  </si>
  <si>
    <t>2026 Unplanned Outages Estimate</t>
  </si>
  <si>
    <t>2025 Unplanned Outages</t>
  </si>
  <si>
    <t>jan</t>
  </si>
  <si>
    <t>feb</t>
  </si>
  <si>
    <t>mar</t>
  </si>
  <si>
    <t>apr</t>
  </si>
  <si>
    <t>may</t>
  </si>
  <si>
    <t>jun</t>
  </si>
  <si>
    <t>22-23 avg</t>
  </si>
  <si>
    <t>1H26 Avg</t>
  </si>
  <si>
    <t>jul</t>
  </si>
  <si>
    <t>Padd 2 2026 Offline Mogas Production (KBD)</t>
  </si>
  <si>
    <t>Ponca City Refinery</t>
  </si>
  <si>
    <t>Wood River Refinery</t>
  </si>
  <si>
    <t>bi</t>
  </si>
  <si>
    <t>p66 wilimington</t>
  </si>
  <si>
    <t>adding Lyondell</t>
  </si>
  <si>
    <t>without</t>
  </si>
  <si>
    <t>plan</t>
  </si>
  <si>
    <t>plan+unplan</t>
  </si>
  <si>
    <t>CCU</t>
  </si>
  <si>
    <t>HDS</t>
  </si>
  <si>
    <t>BIG SPRINGS - ALON</t>
  </si>
  <si>
    <t>EL DORADO REFINERY (DELEK)</t>
  </si>
  <si>
    <t>HOUSTON REFINERY (VALERO)</t>
  </si>
  <si>
    <t>MARATHON PETROLEUM - TEXAS CITY (GALVESTON BAY)</t>
  </si>
  <si>
    <t>PORT ALLEN REFINERY</t>
  </si>
  <si>
    <t>EXXON - BATON ROUGE</t>
  </si>
  <si>
    <t>EXXONMOBIL - BAYTOWN</t>
  </si>
  <si>
    <t>EXXONMOBIL - BEAUMONT</t>
  </si>
  <si>
    <t>Lake Charles Refinery (Calcasieu)</t>
  </si>
  <si>
    <t>MARATHON - GARYVILLE</t>
  </si>
  <si>
    <t>Princeton Refinery</t>
  </si>
  <si>
    <t>Smackover Refinery</t>
  </si>
  <si>
    <t>VALERO - THREE RIVERS</t>
  </si>
  <si>
    <t>Valero Corpus Christi West - Bill Greehey Refinery - West</t>
  </si>
  <si>
    <t>Meraux Refinery</t>
  </si>
  <si>
    <t>REF</t>
  </si>
  <si>
    <t>carson</t>
  </si>
  <si>
    <t>Add lyondell and p66 wilmington and carson</t>
  </si>
  <si>
    <t>1.7741935483871=</t>
  </si>
  <si>
    <t>2026 Enhanced Golden Record</t>
  </si>
  <si>
    <t>2026 Enhanced Golden Record (w. Lyondell)</t>
  </si>
  <si>
    <t>2026 Offline Outage file</t>
  </si>
  <si>
    <t xml:space="preserve">12.375
</t>
  </si>
  <si>
    <t>delta between outage dashboard and manual process</t>
  </si>
  <si>
    <t>*find the 40&amp;20kbd more offline I have in our offline tool vs outages</t>
  </si>
  <si>
    <t>Planned</t>
  </si>
  <si>
    <t>confirm ho wmuch need to change in apr</t>
  </si>
  <si>
    <t>delta between outage dashboard and previous dashboard</t>
  </si>
  <si>
    <t>2026 planned</t>
  </si>
  <si>
    <t>m/m</t>
  </si>
  <si>
    <t>changes vs previous</t>
  </si>
  <si>
    <t>2027 plan</t>
  </si>
  <si>
    <t>2027 Planned Outages withLyondell</t>
  </si>
  <si>
    <t>2027 planned and unplanned outages</t>
  </si>
  <si>
    <t>2027 Planned outages</t>
  </si>
  <si>
    <t>2027 Planned</t>
  </si>
  <si>
    <t xml:space="preserve">2026 Planned </t>
  </si>
  <si>
    <t>2027 Planned with rationalizations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</si>
</sst>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0.0"/>
    <numFmt numFmtId="165" formatCode="[$-409]mmmm\-yy;@"/>
    <numFmt numFmtId="166" formatCode="_(* #,##0_);_(* \(#,##0\);_(* &quot;-&quot;??_);_(@_)"/>
    <numFmt numFmtId="167" formatCode="m/d/yy;@"/>
    <numFmt numFmtId="168" formatCode="0.0%"/>
    <numFmt numFmtId="169" formatCode="[$-409]d\-mmm;@"/>
    <numFmt numFmtId="170" formatCode="[$-409]d\-mmm\-yy;@"/>
    <numFmt numFmtId="171" formatCode="[$-409]dd\-mmm\-yy;@"/>
    <numFmt numFmtId="172" formatCode="_(* #,##0.0_);_(* \(#,##0.0\);_(* &quot;-&quot;??_);_(@_)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rgb="FFFF0000"/>
      <name val="EMprint"/>
      <family val="2"/>
    </font>
    <font>
      <b/>
      <sz val="10"/>
      <color rgb="FF000000"/>
      <name val="EMprint"/>
      <family val="2"/>
    </font>
    <font>
      <b/>
      <sz val="10"/>
      <color theme="1"/>
      <name val="EMprint"/>
      <family val="2"/>
    </font>
    <font>
      <sz val="10"/>
      <color rgb="FF000000"/>
      <name val="EMprint"/>
      <family val="2"/>
    </font>
    <font>
      <sz val="10"/>
      <color theme="1"/>
      <name val="EMprint"/>
      <family val="2"/>
    </font>
    <font>
      <sz val="10"/>
      <name val="EMprint"/>
      <family val="2"/>
    </font>
    <font>
      <b/>
      <sz val="10"/>
      <name val="EMprint"/>
      <family val="2"/>
    </font>
    <font>
      <sz val="10"/>
      <color rgb="FFFF0000"/>
      <name val="EMprint"/>
      <family val="2"/>
    </font>
    <font>
      <strike/>
      <sz val="10"/>
      <name val="EMprint"/>
      <family val="2"/>
    </font>
    <font>
      <sz val="24"/>
      <color theme="1"/>
      <name val="Calibri"/>
      <family val="2"/>
      <scheme val="minor"/>
    </font>
    <font>
      <b/>
      <u/>
      <sz val="11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name val="Calibri"/>
      <family val="2"/>
      <scheme val="minor"/>
    </font>
    <font>
      <u val="singleAccounting"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FF00"/>
        <bgColor theme="4" tint="0.79998168889431442"/>
      </patternFill>
    </fill>
  </fills>
  <borders count="3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510">
    <xf numFmtId="0" fontId="0" fillId="0" borderId="0" xfId="0"/>
    <xf numFmtId="0" fontId="3" fillId="2" borderId="0" xfId="0" applyFont="1" applyFill="1"/>
    <xf numFmtId="0" fontId="3" fillId="2" borderId="1" xfId="0" applyFont="1" applyFill="1" applyBorder="1"/>
    <xf numFmtId="14" fontId="3" fillId="2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/>
    </xf>
    <xf numFmtId="1" fontId="3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left" indent="1"/>
    </xf>
    <xf numFmtId="1" fontId="0" fillId="0" borderId="0" xfId="0" applyNumberFormat="1" applyAlignment="1">
      <alignment horizontal="center" vertical="center"/>
    </xf>
    <xf numFmtId="0" fontId="3" fillId="2" borderId="2" xfId="0" applyFont="1" applyFill="1" applyBorder="1" applyAlignment="1">
      <alignment horizontal="left"/>
    </xf>
    <xf numFmtId="1" fontId="3" fillId="2" borderId="2" xfId="0" applyNumberFormat="1" applyFont="1" applyFill="1" applyBorder="1" applyAlignment="1">
      <alignment horizontal="center" vertical="center"/>
    </xf>
    <xf numFmtId="1" fontId="0" fillId="0" borderId="0" xfId="0" applyNumberFormat="1"/>
    <xf numFmtId="1" fontId="0" fillId="0" borderId="0" xfId="0" applyNumberFormat="1" applyAlignment="1">
      <alignment horizontal="center"/>
    </xf>
    <xf numFmtId="9" fontId="0" fillId="0" borderId="0" xfId="1" applyFont="1"/>
    <xf numFmtId="14" fontId="3" fillId="2" borderId="0" xfId="0" applyNumberFormat="1" applyFont="1" applyFill="1" applyAlignment="1">
      <alignment horizontal="center" vertical="center"/>
    </xf>
    <xf numFmtId="9" fontId="0" fillId="0" borderId="0" xfId="1" applyFont="1" applyAlignment="1">
      <alignment horizontal="center"/>
    </xf>
    <xf numFmtId="0" fontId="0" fillId="4" borderId="0" xfId="0" applyFill="1"/>
    <xf numFmtId="0" fontId="3" fillId="2" borderId="0" xfId="0" applyFont="1" applyFill="1" applyAlignment="1">
      <alignment horizontal="left"/>
    </xf>
    <xf numFmtId="1" fontId="3" fillId="2" borderId="0" xfId="0" applyNumberFormat="1" applyFont="1" applyFill="1" applyAlignment="1">
      <alignment horizontal="center" vertical="center"/>
    </xf>
    <xf numFmtId="0" fontId="0" fillId="0" borderId="10" xfId="0" applyBorder="1" applyAlignment="1">
      <alignment horizontal="left" indent="1"/>
    </xf>
    <xf numFmtId="9" fontId="0" fillId="0" borderId="12" xfId="1" applyFont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6" fillId="0" borderId="0" xfId="2"/>
    <xf numFmtId="1" fontId="7" fillId="2" borderId="2" xfId="0" applyNumberFormat="1" applyFont="1" applyFill="1" applyBorder="1" applyAlignment="1">
      <alignment horizontal="center" vertical="center"/>
    </xf>
    <xf numFmtId="1" fontId="7" fillId="2" borderId="0" xfId="0" applyNumberFormat="1" applyFont="1" applyFill="1" applyAlignment="1">
      <alignment horizontal="center" vertical="center"/>
    </xf>
    <xf numFmtId="1" fontId="8" fillId="0" borderId="0" xfId="0" applyNumberFormat="1" applyFont="1" applyAlignment="1">
      <alignment horizontal="center"/>
    </xf>
    <xf numFmtId="1" fontId="9" fillId="2" borderId="2" xfId="0" applyNumberFormat="1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left"/>
    </xf>
    <xf numFmtId="1" fontId="8" fillId="0" borderId="0" xfId="0" applyNumberFormat="1" applyFont="1"/>
    <xf numFmtId="9" fontId="8" fillId="0" borderId="0" xfId="1" applyFont="1" applyAlignment="1">
      <alignment horizontal="center"/>
    </xf>
    <xf numFmtId="1" fontId="5" fillId="0" borderId="0" xfId="0" applyNumberFormat="1" applyFont="1"/>
    <xf numFmtId="165" fontId="3" fillId="2" borderId="1" xfId="0" applyNumberFormat="1" applyFont="1" applyFill="1" applyBorder="1"/>
    <xf numFmtId="1" fontId="3" fillId="0" borderId="1" xfId="0" applyNumberFormat="1" applyFont="1" applyBorder="1"/>
    <xf numFmtId="1" fontId="3" fillId="2" borderId="2" xfId="0" applyNumberFormat="1" applyFont="1" applyFill="1" applyBorder="1"/>
    <xf numFmtId="1" fontId="0" fillId="4" borderId="0" xfId="0" applyNumberFormat="1" applyFill="1" applyAlignment="1">
      <alignment horizontal="center"/>
    </xf>
    <xf numFmtId="9" fontId="0" fillId="4" borderId="0" xfId="1" applyFont="1" applyFill="1" applyAlignment="1">
      <alignment horizontal="center"/>
    </xf>
    <xf numFmtId="14" fontId="3" fillId="2" borderId="13" xfId="0" applyNumberFormat="1" applyFont="1" applyFill="1" applyBorder="1" applyAlignment="1">
      <alignment horizontal="center" vertical="center"/>
    </xf>
    <xf numFmtId="0" fontId="0" fillId="0" borderId="14" xfId="0" applyBorder="1"/>
    <xf numFmtId="1" fontId="0" fillId="0" borderId="14" xfId="0" applyNumberFormat="1" applyBorder="1" applyAlignment="1">
      <alignment horizontal="center"/>
    </xf>
    <xf numFmtId="9" fontId="0" fillId="0" borderId="14" xfId="1" applyFont="1" applyBorder="1" applyAlignment="1">
      <alignment horizontal="center"/>
    </xf>
    <xf numFmtId="1" fontId="3" fillId="2" borderId="15" xfId="0" applyNumberFormat="1" applyFont="1" applyFill="1" applyBorder="1" applyAlignment="1">
      <alignment horizontal="center" vertical="center"/>
    </xf>
    <xf numFmtId="1" fontId="0" fillId="4" borderId="14" xfId="0" applyNumberFormat="1" applyFill="1" applyBorder="1" applyAlignment="1">
      <alignment horizontal="center"/>
    </xf>
    <xf numFmtId="9" fontId="0" fillId="4" borderId="14" xfId="1" applyFont="1" applyFill="1" applyBorder="1" applyAlignment="1">
      <alignment horizontal="center"/>
    </xf>
    <xf numFmtId="9" fontId="0" fillId="4" borderId="16" xfId="1" applyFont="1" applyFill="1" applyBorder="1" applyAlignment="1">
      <alignment horizontal="center"/>
    </xf>
    <xf numFmtId="0" fontId="8" fillId="4" borderId="0" xfId="0" applyFont="1" applyFill="1" applyAlignment="1">
      <alignment horizontal="left" indent="1"/>
    </xf>
    <xf numFmtId="1" fontId="8" fillId="4" borderId="0" xfId="0" applyNumberFormat="1" applyFont="1" applyFill="1" applyAlignment="1">
      <alignment horizontal="center"/>
    </xf>
    <xf numFmtId="9" fontId="8" fillId="4" borderId="0" xfId="1" applyFont="1" applyFill="1" applyAlignment="1">
      <alignment horizontal="center"/>
    </xf>
    <xf numFmtId="1" fontId="12" fillId="0" borderId="0" xfId="0" applyNumberFormat="1" applyFont="1" applyAlignment="1">
      <alignment horizontal="center" vertical="center"/>
    </xf>
    <xf numFmtId="166" fontId="3" fillId="0" borderId="1" xfId="3" applyNumberFormat="1" applyFont="1" applyBorder="1"/>
    <xf numFmtId="166" fontId="0" fillId="0" borderId="0" xfId="3" applyNumberFormat="1" applyFont="1"/>
    <xf numFmtId="166" fontId="3" fillId="0" borderId="1" xfId="0" applyNumberFormat="1" applyFont="1" applyBorder="1"/>
    <xf numFmtId="166" fontId="0" fillId="0" borderId="0" xfId="0" applyNumberFormat="1"/>
    <xf numFmtId="166" fontId="3" fillId="2" borderId="2" xfId="0" applyNumberFormat="1" applyFont="1" applyFill="1" applyBorder="1"/>
    <xf numFmtId="1" fontId="3" fillId="0" borderId="0" xfId="0" applyNumberFormat="1" applyFont="1" applyAlignment="1">
      <alignment horizontal="center" vertical="center"/>
    </xf>
    <xf numFmtId="0" fontId="2" fillId="3" borderId="6" xfId="0" applyFont="1" applyFill="1" applyBorder="1" applyAlignment="1">
      <alignment vertical="center" wrapText="1"/>
    </xf>
    <xf numFmtId="0" fontId="2" fillId="3" borderId="7" xfId="0" applyFont="1" applyFill="1" applyBorder="1" applyAlignment="1">
      <alignment vertical="center"/>
    </xf>
    <xf numFmtId="0" fontId="2" fillId="3" borderId="8" xfId="0" applyFont="1" applyFill="1" applyBorder="1" applyAlignment="1">
      <alignment vertical="center" wrapText="1"/>
    </xf>
    <xf numFmtId="0" fontId="2" fillId="3" borderId="9" xfId="0" applyFont="1" applyFill="1" applyBorder="1" applyAlignment="1">
      <alignment vertical="center"/>
    </xf>
    <xf numFmtId="0" fontId="2" fillId="3" borderId="8" xfId="0" applyFont="1" applyFill="1" applyBorder="1" applyAlignment="1">
      <alignment vertical="center"/>
    </xf>
    <xf numFmtId="0" fontId="2" fillId="3" borderId="10" xfId="0" applyFont="1" applyFill="1" applyBorder="1" applyAlignment="1">
      <alignment vertical="center"/>
    </xf>
    <xf numFmtId="0" fontId="2" fillId="3" borderId="11" xfId="0" applyFont="1" applyFill="1" applyBorder="1" applyAlignment="1">
      <alignment vertical="center"/>
    </xf>
    <xf numFmtId="0" fontId="0" fillId="0" borderId="1" xfId="0" applyBorder="1"/>
    <xf numFmtId="0" fontId="3" fillId="0" borderId="0" xfId="0" applyFont="1"/>
    <xf numFmtId="1" fontId="14" fillId="0" borderId="0" xfId="0" applyNumberFormat="1" applyFont="1"/>
    <xf numFmtId="0" fontId="0" fillId="5" borderId="0" xfId="0" applyFill="1"/>
    <xf numFmtId="0" fontId="15" fillId="0" borderId="17" xfId="0" applyFont="1" applyBorder="1" applyAlignment="1">
      <alignment horizontal="center" vertical="center" wrapText="1" readingOrder="1"/>
    </xf>
    <xf numFmtId="0" fontId="16" fillId="0" borderId="17" xfId="0" applyFont="1" applyBorder="1" applyAlignment="1">
      <alignment horizontal="center" vertical="center" wrapText="1" readingOrder="1"/>
    </xf>
    <xf numFmtId="167" fontId="16" fillId="0" borderId="17" xfId="0" applyNumberFormat="1" applyFont="1" applyBorder="1" applyAlignment="1">
      <alignment horizontal="center" vertical="center" wrapText="1" readingOrder="1"/>
    </xf>
    <xf numFmtId="0" fontId="16" fillId="0" borderId="17" xfId="0" applyFont="1" applyBorder="1" applyAlignment="1">
      <alignment vertical="center" wrapText="1" readingOrder="1"/>
    </xf>
    <xf numFmtId="0" fontId="16" fillId="0" borderId="18" xfId="0" applyFont="1" applyBorder="1" applyAlignment="1">
      <alignment horizontal="center" wrapText="1" readingOrder="1"/>
    </xf>
    <xf numFmtId="14" fontId="16" fillId="0" borderId="0" xfId="0" applyNumberFormat="1" applyFont="1" applyAlignment="1">
      <alignment horizontal="center" wrapText="1" readingOrder="1"/>
    </xf>
    <xf numFmtId="17" fontId="16" fillId="0" borderId="0" xfId="0" applyNumberFormat="1" applyFont="1" applyAlignment="1">
      <alignment horizontal="center" wrapText="1" readingOrder="1"/>
    </xf>
    <xf numFmtId="0" fontId="16" fillId="0" borderId="0" xfId="0" applyFont="1" applyAlignment="1">
      <alignment horizontal="center" wrapText="1" readingOrder="1"/>
    </xf>
    <xf numFmtId="16" fontId="17" fillId="0" borderId="0" xfId="0" applyNumberFormat="1" applyFont="1"/>
    <xf numFmtId="16" fontId="17" fillId="0" borderId="0" xfId="0" applyNumberFormat="1" applyFont="1" applyAlignment="1">
      <alignment horizontal="left"/>
    </xf>
    <xf numFmtId="0" fontId="16" fillId="0" borderId="19" xfId="0" applyFont="1" applyBorder="1" applyAlignment="1">
      <alignment horizontal="left" wrapText="1" readingOrder="1"/>
    </xf>
    <xf numFmtId="1" fontId="18" fillId="0" borderId="19" xfId="0" applyNumberFormat="1" applyFont="1" applyBorder="1" applyAlignment="1">
      <alignment horizontal="center" vertical="center"/>
    </xf>
    <xf numFmtId="1" fontId="19" fillId="0" borderId="19" xfId="3" applyNumberFormat="1" applyFont="1" applyBorder="1" applyAlignment="1">
      <alignment horizontal="center" vertical="center"/>
    </xf>
    <xf numFmtId="168" fontId="18" fillId="0" borderId="19" xfId="1" applyNumberFormat="1" applyFont="1" applyBorder="1" applyAlignment="1">
      <alignment horizontal="center" vertical="center" wrapText="1" readingOrder="1"/>
    </xf>
    <xf numFmtId="169" fontId="18" fillId="0" borderId="19" xfId="0" applyNumberFormat="1" applyFont="1" applyBorder="1" applyAlignment="1">
      <alignment horizontal="center" vertical="center"/>
    </xf>
    <xf numFmtId="167" fontId="18" fillId="0" borderId="19" xfId="0" applyNumberFormat="1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0" fontId="19" fillId="0" borderId="19" xfId="0" applyFont="1" applyBorder="1" applyAlignment="1">
      <alignment vertical="center"/>
    </xf>
    <xf numFmtId="0" fontId="19" fillId="0" borderId="0" xfId="0" applyFont="1" applyAlignment="1">
      <alignment wrapText="1" readingOrder="1"/>
    </xf>
    <xf numFmtId="43" fontId="19" fillId="0" borderId="0" xfId="3" applyFont="1" applyAlignment="1">
      <alignment wrapText="1" readingOrder="1"/>
    </xf>
    <xf numFmtId="164" fontId="19" fillId="0" borderId="0" xfId="0" applyNumberFormat="1" applyFont="1"/>
    <xf numFmtId="0" fontId="19" fillId="0" borderId="0" xfId="0" applyFont="1"/>
    <xf numFmtId="0" fontId="15" fillId="0" borderId="20" xfId="0" applyFont="1" applyBorder="1" applyAlignment="1">
      <alignment vertical="center"/>
    </xf>
    <xf numFmtId="1" fontId="18" fillId="0" borderId="21" xfId="0" applyNumberFormat="1" applyFont="1" applyBorder="1" applyAlignment="1">
      <alignment horizontal="center" vertical="center"/>
    </xf>
    <xf numFmtId="1" fontId="19" fillId="0" borderId="21" xfId="3" applyNumberFormat="1" applyFont="1" applyBorder="1" applyAlignment="1">
      <alignment horizontal="center" vertical="center"/>
    </xf>
    <xf numFmtId="168" fontId="18" fillId="0" borderId="21" xfId="1" applyNumberFormat="1" applyFont="1" applyBorder="1" applyAlignment="1">
      <alignment horizontal="center" vertical="center" wrapText="1" readingOrder="1"/>
    </xf>
    <xf numFmtId="169" fontId="18" fillId="0" borderId="21" xfId="0" applyNumberFormat="1" applyFont="1" applyBorder="1" applyAlignment="1">
      <alignment horizontal="center" vertical="center"/>
    </xf>
    <xf numFmtId="167" fontId="18" fillId="0" borderId="21" xfId="0" applyNumberFormat="1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19" fillId="0" borderId="21" xfId="0" applyFont="1" applyBorder="1" applyAlignment="1">
      <alignment vertical="center"/>
    </xf>
    <xf numFmtId="0" fontId="18" fillId="0" borderId="21" xfId="0" applyFont="1" applyBorder="1" applyAlignment="1">
      <alignment vertical="center"/>
    </xf>
    <xf numFmtId="1" fontId="19" fillId="0" borderId="0" xfId="3" applyNumberFormat="1" applyFont="1" applyBorder="1" applyAlignment="1">
      <alignment horizontal="center" vertical="center"/>
    </xf>
    <xf numFmtId="0" fontId="16" fillId="0" borderId="21" xfId="0" applyFont="1" applyBorder="1" applyAlignment="1">
      <alignment horizontal="left" wrapText="1" readingOrder="1"/>
    </xf>
    <xf numFmtId="0" fontId="18" fillId="0" borderId="21" xfId="0" applyFont="1" applyBorder="1" applyAlignment="1">
      <alignment horizontal="center" wrapText="1" readingOrder="1"/>
    </xf>
    <xf numFmtId="1" fontId="18" fillId="0" borderId="21" xfId="3" applyNumberFormat="1" applyFont="1" applyBorder="1" applyAlignment="1">
      <alignment horizontal="center" vertical="center" wrapText="1" readingOrder="1"/>
    </xf>
    <xf numFmtId="169" fontId="18" fillId="0" borderId="21" xfId="0" applyNumberFormat="1" applyFont="1" applyBorder="1" applyAlignment="1">
      <alignment horizontal="center" vertical="center" wrapText="1" readingOrder="1"/>
    </xf>
    <xf numFmtId="167" fontId="18" fillId="0" borderId="21" xfId="0" applyNumberFormat="1" applyFont="1" applyBorder="1" applyAlignment="1">
      <alignment horizontal="center" vertical="center" wrapText="1" readingOrder="1"/>
    </xf>
    <xf numFmtId="0" fontId="20" fillId="0" borderId="21" xfId="0" applyFont="1" applyBorder="1" applyAlignment="1">
      <alignment horizontal="center" vertical="center" wrapText="1" readingOrder="1"/>
    </xf>
    <xf numFmtId="0" fontId="18" fillId="0" borderId="21" xfId="0" applyFont="1" applyBorder="1" applyAlignment="1">
      <alignment vertical="center" wrapText="1" readingOrder="1"/>
    </xf>
    <xf numFmtId="1" fontId="19" fillId="0" borderId="0" xfId="0" applyNumberFormat="1" applyFont="1"/>
    <xf numFmtId="0" fontId="15" fillId="0" borderId="21" xfId="0" applyFont="1" applyBorder="1" applyAlignment="1">
      <alignment horizontal="left" vertical="center" wrapText="1" readingOrder="1"/>
    </xf>
    <xf numFmtId="0" fontId="18" fillId="0" borderId="22" xfId="0" applyFont="1" applyBorder="1" applyAlignment="1">
      <alignment horizontal="center" wrapText="1" readingOrder="1"/>
    </xf>
    <xf numFmtId="1" fontId="18" fillId="0" borderId="22" xfId="3" applyNumberFormat="1" applyFont="1" applyBorder="1" applyAlignment="1">
      <alignment horizontal="center" vertical="center" wrapText="1" readingOrder="1"/>
    </xf>
    <xf numFmtId="169" fontId="18" fillId="0" borderId="22" xfId="0" applyNumberFormat="1" applyFont="1" applyBorder="1" applyAlignment="1">
      <alignment horizontal="center" vertical="center" wrapText="1" readingOrder="1"/>
    </xf>
    <xf numFmtId="167" fontId="18" fillId="0" borderId="22" xfId="0" applyNumberFormat="1" applyFont="1" applyBorder="1" applyAlignment="1">
      <alignment horizontal="center" vertical="center" wrapText="1" readingOrder="1"/>
    </xf>
    <xf numFmtId="0" fontId="20" fillId="0" borderId="22" xfId="0" applyFont="1" applyBorder="1" applyAlignment="1">
      <alignment horizontal="center" vertical="center" wrapText="1" readingOrder="1"/>
    </xf>
    <xf numFmtId="0" fontId="18" fillId="0" borderId="22" xfId="0" applyFont="1" applyBorder="1" applyAlignment="1">
      <alignment vertical="center" wrapText="1" readingOrder="1"/>
    </xf>
    <xf numFmtId="0" fontId="18" fillId="0" borderId="20" xfId="0" applyFont="1" applyBorder="1" applyAlignment="1">
      <alignment vertical="center"/>
    </xf>
    <xf numFmtId="1" fontId="18" fillId="0" borderId="22" xfId="0" applyNumberFormat="1" applyFont="1" applyBorder="1" applyAlignment="1">
      <alignment horizontal="center" vertical="center"/>
    </xf>
    <xf numFmtId="1" fontId="19" fillId="0" borderId="22" xfId="3" applyNumberFormat="1" applyFont="1" applyBorder="1" applyAlignment="1">
      <alignment horizontal="center" vertical="center"/>
    </xf>
    <xf numFmtId="169" fontId="18" fillId="0" borderId="22" xfId="0" applyNumberFormat="1" applyFont="1" applyBorder="1" applyAlignment="1">
      <alignment horizontal="center" vertical="center"/>
    </xf>
    <xf numFmtId="167" fontId="18" fillId="0" borderId="22" xfId="0" applyNumberFormat="1" applyFont="1" applyBorder="1" applyAlignment="1">
      <alignment horizontal="center" vertical="center"/>
    </xf>
    <xf numFmtId="0" fontId="18" fillId="0" borderId="22" xfId="0" applyFont="1" applyBorder="1" applyAlignment="1">
      <alignment horizontal="center" vertical="center"/>
    </xf>
    <xf numFmtId="0" fontId="19" fillId="0" borderId="22" xfId="0" applyFont="1" applyBorder="1" applyAlignment="1">
      <alignment vertical="center"/>
    </xf>
    <xf numFmtId="0" fontId="15" fillId="6" borderId="21" xfId="0" applyFont="1" applyFill="1" applyBorder="1" applyAlignment="1">
      <alignment horizontal="left" vertical="center" wrapText="1" readingOrder="1"/>
    </xf>
    <xf numFmtId="0" fontId="18" fillId="6" borderId="22" xfId="0" applyFont="1" applyFill="1" applyBorder="1" applyAlignment="1">
      <alignment horizontal="center" wrapText="1" readingOrder="1"/>
    </xf>
    <xf numFmtId="1" fontId="18" fillId="6" borderId="22" xfId="3" applyNumberFormat="1" applyFont="1" applyFill="1" applyBorder="1" applyAlignment="1">
      <alignment horizontal="center" vertical="center" wrapText="1" readingOrder="1"/>
    </xf>
    <xf numFmtId="0" fontId="20" fillId="6" borderId="22" xfId="0" applyFont="1" applyFill="1" applyBorder="1" applyAlignment="1">
      <alignment horizontal="center" vertical="center" wrapText="1" readingOrder="1"/>
    </xf>
    <xf numFmtId="0" fontId="18" fillId="6" borderId="22" xfId="0" applyFont="1" applyFill="1" applyBorder="1" applyAlignment="1">
      <alignment vertical="center" wrapText="1" readingOrder="1"/>
    </xf>
    <xf numFmtId="0" fontId="21" fillId="6" borderId="21" xfId="0" applyFont="1" applyFill="1" applyBorder="1" applyAlignment="1">
      <alignment horizontal="left" vertical="center" wrapText="1" readingOrder="1"/>
    </xf>
    <xf numFmtId="169" fontId="18" fillId="7" borderId="22" xfId="0" applyNumberFormat="1" applyFont="1" applyFill="1" applyBorder="1" applyAlignment="1">
      <alignment horizontal="center" vertical="center"/>
    </xf>
    <xf numFmtId="167" fontId="18" fillId="7" borderId="22" xfId="0" applyNumberFormat="1" applyFont="1" applyFill="1" applyBorder="1" applyAlignment="1">
      <alignment horizontal="center" vertical="center"/>
    </xf>
    <xf numFmtId="0" fontId="15" fillId="6" borderId="22" xfId="0" applyFont="1" applyFill="1" applyBorder="1" applyAlignment="1">
      <alignment horizontal="left" vertical="center" wrapText="1" readingOrder="1"/>
    </xf>
    <xf numFmtId="0" fontId="21" fillId="6" borderId="22" xfId="0" applyFont="1" applyFill="1" applyBorder="1" applyAlignment="1">
      <alignment horizontal="left" vertical="center" wrapText="1" readingOrder="1"/>
    </xf>
    <xf numFmtId="0" fontId="18" fillId="0" borderId="22" xfId="0" applyFont="1" applyBorder="1" applyAlignment="1">
      <alignment vertical="center"/>
    </xf>
    <xf numFmtId="0" fontId="21" fillId="0" borderId="21" xfId="0" applyFont="1" applyBorder="1" applyAlignment="1">
      <alignment vertical="center" wrapText="1"/>
    </xf>
    <xf numFmtId="167" fontId="18" fillId="0" borderId="11" xfId="0" applyNumberFormat="1" applyFont="1" applyBorder="1" applyAlignment="1">
      <alignment horizontal="center" vertical="center"/>
    </xf>
    <xf numFmtId="0" fontId="19" fillId="0" borderId="23" xfId="0" applyFont="1" applyBorder="1" applyAlignment="1">
      <alignment vertical="center"/>
    </xf>
    <xf numFmtId="0" fontId="15" fillId="0" borderId="11" xfId="0" applyFont="1" applyBorder="1" applyAlignment="1">
      <alignment horizontal="left" wrapText="1" readingOrder="1"/>
    </xf>
    <xf numFmtId="0" fontId="18" fillId="0" borderId="11" xfId="0" applyFont="1" applyBorder="1" applyAlignment="1">
      <alignment horizontal="center" wrapText="1" readingOrder="1"/>
    </xf>
    <xf numFmtId="1" fontId="18" fillId="0" borderId="0" xfId="3" applyNumberFormat="1" applyFont="1" applyBorder="1" applyAlignment="1">
      <alignment horizontal="center" vertical="center" wrapText="1" readingOrder="1"/>
    </xf>
    <xf numFmtId="167" fontId="20" fillId="0" borderId="11" xfId="0" applyNumberFormat="1" applyFont="1" applyBorder="1" applyAlignment="1">
      <alignment horizontal="center" vertical="center" wrapText="1" readingOrder="1"/>
    </xf>
    <xf numFmtId="0" fontId="20" fillId="0" borderId="11" xfId="0" applyFont="1" applyBorder="1" applyAlignment="1">
      <alignment horizontal="center" vertical="center" wrapText="1" readingOrder="1"/>
    </xf>
    <xf numFmtId="0" fontId="18" fillId="0" borderId="23" xfId="0" applyFont="1" applyBorder="1" applyAlignment="1">
      <alignment vertical="center" wrapText="1" readingOrder="1"/>
    </xf>
    <xf numFmtId="0" fontId="21" fillId="0" borderId="22" xfId="0" applyFont="1" applyBorder="1" applyAlignment="1">
      <alignment vertical="center" wrapText="1"/>
    </xf>
    <xf numFmtId="0" fontId="21" fillId="6" borderId="17" xfId="0" applyFont="1" applyFill="1" applyBorder="1" applyAlignment="1">
      <alignment horizontal="left" vertical="center" wrapText="1" readingOrder="1"/>
    </xf>
    <xf numFmtId="0" fontId="18" fillId="6" borderId="17" xfId="0" applyFont="1" applyFill="1" applyBorder="1" applyAlignment="1">
      <alignment horizontal="center" wrapText="1" readingOrder="1"/>
    </xf>
    <xf numFmtId="1" fontId="18" fillId="6" borderId="17" xfId="3" applyNumberFormat="1" applyFont="1" applyFill="1" applyBorder="1" applyAlignment="1">
      <alignment horizontal="center" vertical="center" wrapText="1" readingOrder="1"/>
    </xf>
    <xf numFmtId="169" fontId="18" fillId="0" borderId="17" xfId="0" applyNumberFormat="1" applyFont="1" applyBorder="1" applyAlignment="1">
      <alignment horizontal="center" vertical="center"/>
    </xf>
    <xf numFmtId="167" fontId="18" fillId="0" borderId="17" xfId="0" applyNumberFormat="1" applyFont="1" applyBorder="1" applyAlignment="1">
      <alignment horizontal="center" vertical="center"/>
    </xf>
    <xf numFmtId="0" fontId="20" fillId="6" borderId="17" xfId="0" applyFont="1" applyFill="1" applyBorder="1" applyAlignment="1">
      <alignment horizontal="center" vertical="center" wrapText="1" readingOrder="1"/>
    </xf>
    <xf numFmtId="0" fontId="18" fillId="6" borderId="17" xfId="0" applyFont="1" applyFill="1" applyBorder="1" applyAlignment="1">
      <alignment vertical="center" wrapText="1" readingOrder="1"/>
    </xf>
    <xf numFmtId="0" fontId="21" fillId="0" borderId="19" xfId="0" applyFont="1" applyBorder="1" applyAlignment="1">
      <alignment vertical="center" wrapText="1"/>
    </xf>
    <xf numFmtId="0" fontId="18" fillId="0" borderId="23" xfId="0" applyFont="1" applyBorder="1" applyAlignment="1">
      <alignment horizontal="center" vertical="center"/>
    </xf>
    <xf numFmtId="1" fontId="19" fillId="0" borderId="23" xfId="3" applyNumberFormat="1" applyFont="1" applyBorder="1" applyAlignment="1">
      <alignment horizontal="center" vertical="center"/>
    </xf>
    <xf numFmtId="169" fontId="18" fillId="0" borderId="23" xfId="0" applyNumberFormat="1" applyFont="1" applyBorder="1" applyAlignment="1">
      <alignment horizontal="center" vertical="center"/>
    </xf>
    <xf numFmtId="167" fontId="18" fillId="0" borderId="23" xfId="0" applyNumberFormat="1" applyFont="1" applyBorder="1" applyAlignment="1">
      <alignment horizontal="center" vertical="center"/>
    </xf>
    <xf numFmtId="0" fontId="15" fillId="6" borderId="20" xfId="0" applyFont="1" applyFill="1" applyBorder="1" applyAlignment="1">
      <alignment horizontal="left" vertical="center" wrapText="1" readingOrder="1"/>
    </xf>
    <xf numFmtId="0" fontId="15" fillId="0" borderId="22" xfId="0" applyFont="1" applyBorder="1" applyAlignment="1">
      <alignment horizontal="left" vertical="center" wrapText="1" readingOrder="1"/>
    </xf>
    <xf numFmtId="0" fontId="21" fillId="0" borderId="11" xfId="0" applyFont="1" applyBorder="1" applyAlignment="1">
      <alignment vertical="center" wrapText="1"/>
    </xf>
    <xf numFmtId="169" fontId="20" fillId="0" borderId="22" xfId="0" applyNumberFormat="1" applyFont="1" applyBorder="1" applyAlignment="1">
      <alignment horizontal="center" vertical="center" wrapText="1" readingOrder="1"/>
    </xf>
    <xf numFmtId="167" fontId="20" fillId="0" borderId="22" xfId="0" applyNumberFormat="1" applyFont="1" applyBorder="1" applyAlignment="1">
      <alignment horizontal="center" vertical="center" wrapText="1" readingOrder="1"/>
    </xf>
    <xf numFmtId="0" fontId="20" fillId="0" borderId="22" xfId="0" applyFont="1" applyBorder="1" applyAlignment="1">
      <alignment vertical="center" wrapText="1" readingOrder="1"/>
    </xf>
    <xf numFmtId="0" fontId="16" fillId="0" borderId="22" xfId="0" applyFont="1" applyBorder="1" applyAlignment="1">
      <alignment horizontal="left" wrapText="1" readingOrder="1"/>
    </xf>
    <xf numFmtId="170" fontId="18" fillId="0" borderId="22" xfId="0" applyNumberFormat="1" applyFont="1" applyBorder="1" applyAlignment="1">
      <alignment horizontal="center" vertical="center" wrapText="1" readingOrder="1"/>
    </xf>
    <xf numFmtId="0" fontId="21" fillId="0" borderId="20" xfId="0" applyFont="1" applyBorder="1" applyAlignment="1">
      <alignment horizontal="left" vertical="center" wrapText="1" readingOrder="1"/>
    </xf>
    <xf numFmtId="0" fontId="18" fillId="0" borderId="22" xfId="0" applyFont="1" applyBorder="1" applyAlignment="1">
      <alignment horizontal="center"/>
    </xf>
    <xf numFmtId="168" fontId="18" fillId="0" borderId="22" xfId="1" applyNumberFormat="1" applyFont="1" applyBorder="1" applyAlignment="1">
      <alignment horizontal="center" vertical="center" wrapText="1" readingOrder="1"/>
    </xf>
    <xf numFmtId="0" fontId="21" fillId="0" borderId="17" xfId="0" applyFont="1" applyBorder="1" applyAlignment="1">
      <alignment horizontal="left" wrapText="1" readingOrder="1"/>
    </xf>
    <xf numFmtId="0" fontId="18" fillId="0" borderId="17" xfId="0" applyFont="1" applyBorder="1" applyAlignment="1">
      <alignment horizontal="center" vertical="center"/>
    </xf>
    <xf numFmtId="1" fontId="19" fillId="0" borderId="17" xfId="3" applyNumberFormat="1" applyFont="1" applyBorder="1" applyAlignment="1">
      <alignment horizontal="center" vertical="center"/>
    </xf>
    <xf numFmtId="168" fontId="18" fillId="0" borderId="17" xfId="1" applyNumberFormat="1" applyFont="1" applyBorder="1" applyAlignment="1">
      <alignment horizontal="center" vertical="center" wrapText="1" readingOrder="1"/>
    </xf>
    <xf numFmtId="0" fontId="19" fillId="0" borderId="17" xfId="0" applyFont="1" applyBorder="1" applyAlignment="1">
      <alignment vertical="center"/>
    </xf>
    <xf numFmtId="0" fontId="15" fillId="0" borderId="0" xfId="0" applyFont="1" applyAlignment="1">
      <alignment horizontal="left" vertical="center" wrapText="1" readingOrder="1"/>
    </xf>
    <xf numFmtId="0" fontId="18" fillId="0" borderId="0" xfId="0" applyFont="1" applyAlignment="1">
      <alignment horizontal="center" wrapText="1" readingOrder="1"/>
    </xf>
    <xf numFmtId="169" fontId="18" fillId="0" borderId="0" xfId="0" applyNumberFormat="1" applyFont="1" applyAlignment="1">
      <alignment horizontal="center" vertical="center" wrapText="1" readingOrder="1"/>
    </xf>
    <xf numFmtId="167" fontId="18" fillId="0" borderId="0" xfId="0" applyNumberFormat="1" applyFont="1" applyAlignment="1">
      <alignment horizontal="center" vertical="center" wrapText="1" readingOrder="1"/>
    </xf>
    <xf numFmtId="0" fontId="18" fillId="0" borderId="0" xfId="0" applyFont="1" applyAlignment="1">
      <alignment vertical="center" wrapText="1" readingOrder="1"/>
    </xf>
    <xf numFmtId="0" fontId="15" fillId="0" borderId="23" xfId="0" applyFont="1" applyBorder="1" applyAlignment="1">
      <alignment horizontal="left" wrapText="1" readingOrder="1"/>
    </xf>
    <xf numFmtId="0" fontId="16" fillId="0" borderId="20" xfId="0" applyFont="1" applyBorder="1" applyAlignment="1">
      <alignment horizontal="left" wrapText="1" readingOrder="1"/>
    </xf>
    <xf numFmtId="0" fontId="18" fillId="0" borderId="20" xfId="0" applyFont="1" applyBorder="1" applyAlignment="1">
      <alignment horizontal="center" wrapText="1" readingOrder="1"/>
    </xf>
    <xf numFmtId="1" fontId="18" fillId="0" borderId="20" xfId="3" applyNumberFormat="1" applyFont="1" applyBorder="1" applyAlignment="1">
      <alignment horizontal="center" vertical="center" wrapText="1" readingOrder="1"/>
    </xf>
    <xf numFmtId="169" fontId="18" fillId="0" borderId="20" xfId="0" applyNumberFormat="1" applyFont="1" applyBorder="1" applyAlignment="1">
      <alignment horizontal="center" vertical="center" wrapText="1" readingOrder="1"/>
    </xf>
    <xf numFmtId="167" fontId="18" fillId="0" borderId="20" xfId="0" applyNumberFormat="1" applyFont="1" applyBorder="1" applyAlignment="1">
      <alignment horizontal="center" vertical="center" wrapText="1" readingOrder="1"/>
    </xf>
    <xf numFmtId="0" fontId="20" fillId="0" borderId="20" xfId="0" applyFont="1" applyBorder="1" applyAlignment="1">
      <alignment horizontal="center" vertical="center" wrapText="1" readingOrder="1"/>
    </xf>
    <xf numFmtId="0" fontId="18" fillId="0" borderId="20" xfId="0" applyFont="1" applyBorder="1" applyAlignment="1">
      <alignment vertical="center" wrapText="1" readingOrder="1"/>
    </xf>
    <xf numFmtId="0" fontId="18" fillId="0" borderId="23" xfId="0" applyFont="1" applyBorder="1" applyAlignment="1">
      <alignment horizontal="center" wrapText="1" readingOrder="1"/>
    </xf>
    <xf numFmtId="1" fontId="18" fillId="0" borderId="23" xfId="3" applyNumberFormat="1" applyFont="1" applyBorder="1" applyAlignment="1">
      <alignment horizontal="center" vertical="center" wrapText="1" readingOrder="1"/>
    </xf>
    <xf numFmtId="169" fontId="18" fillId="0" borderId="23" xfId="0" applyNumberFormat="1" applyFont="1" applyBorder="1" applyAlignment="1">
      <alignment horizontal="center" vertical="center" wrapText="1" readingOrder="1"/>
    </xf>
    <xf numFmtId="167" fontId="18" fillId="0" borderId="23" xfId="0" applyNumberFormat="1" applyFont="1" applyBorder="1" applyAlignment="1">
      <alignment horizontal="center" vertical="center" wrapText="1" readingOrder="1"/>
    </xf>
    <xf numFmtId="0" fontId="20" fillId="0" borderId="23" xfId="0" applyFont="1" applyBorder="1" applyAlignment="1">
      <alignment horizontal="center" vertical="center" wrapText="1" readingOrder="1"/>
    </xf>
    <xf numFmtId="0" fontId="21" fillId="0" borderId="22" xfId="0" applyFont="1" applyBorder="1" applyAlignment="1">
      <alignment horizontal="left" wrapText="1" readingOrder="1"/>
    </xf>
    <xf numFmtId="0" fontId="19" fillId="0" borderId="0" xfId="0" applyFont="1" applyAlignment="1">
      <alignment vertical="center"/>
    </xf>
    <xf numFmtId="0" fontId="16" fillId="0" borderId="22" xfId="0" applyFont="1" applyBorder="1" applyAlignment="1">
      <alignment horizontal="left" vertical="center" wrapText="1" readingOrder="1"/>
    </xf>
    <xf numFmtId="0" fontId="15" fillId="0" borderId="20" xfId="0" applyFont="1" applyBorder="1" applyAlignment="1">
      <alignment horizontal="left" vertical="center" wrapText="1" readingOrder="1"/>
    </xf>
    <xf numFmtId="0" fontId="18" fillId="0" borderId="20" xfId="0" applyFont="1" applyBorder="1" applyAlignment="1">
      <alignment horizontal="center" vertical="center" wrapText="1" readingOrder="1"/>
    </xf>
    <xf numFmtId="0" fontId="15" fillId="0" borderId="23" xfId="0" applyFont="1" applyBorder="1" applyAlignment="1">
      <alignment horizontal="left" vertical="center" wrapText="1" readingOrder="1"/>
    </xf>
    <xf numFmtId="0" fontId="16" fillId="0" borderId="20" xfId="0" applyFont="1" applyBorder="1" applyAlignment="1">
      <alignment horizontal="left" vertical="center" wrapText="1" readingOrder="1"/>
    </xf>
    <xf numFmtId="0" fontId="18" fillId="0" borderId="20" xfId="0" applyFont="1" applyBorder="1" applyAlignment="1">
      <alignment horizontal="center" vertical="center"/>
    </xf>
    <xf numFmtId="1" fontId="19" fillId="0" borderId="20" xfId="3" applyNumberFormat="1" applyFont="1" applyBorder="1" applyAlignment="1">
      <alignment horizontal="center" vertical="center"/>
    </xf>
    <xf numFmtId="169" fontId="18" fillId="0" borderId="20" xfId="0" applyNumberFormat="1" applyFont="1" applyBorder="1" applyAlignment="1">
      <alignment horizontal="center" vertical="center"/>
    </xf>
    <xf numFmtId="167" fontId="18" fillId="0" borderId="20" xfId="0" applyNumberFormat="1" applyFont="1" applyBorder="1" applyAlignment="1">
      <alignment horizontal="center" vertical="center"/>
    </xf>
    <xf numFmtId="0" fontId="19" fillId="0" borderId="20" xfId="0" applyFont="1" applyBorder="1" applyAlignment="1">
      <alignment vertical="center"/>
    </xf>
    <xf numFmtId="1" fontId="18" fillId="0" borderId="20" xfId="0" applyNumberFormat="1" applyFont="1" applyBorder="1" applyAlignment="1">
      <alignment horizontal="center" vertical="center"/>
    </xf>
    <xf numFmtId="0" fontId="21" fillId="0" borderId="20" xfId="0" applyFont="1" applyBorder="1" applyAlignment="1">
      <alignment horizontal="left" wrapText="1" readingOrder="1"/>
    </xf>
    <xf numFmtId="0" fontId="19" fillId="0" borderId="22" xfId="0" applyFont="1" applyBorder="1" applyAlignment="1">
      <alignment horizontal="center" vertical="center"/>
    </xf>
    <xf numFmtId="0" fontId="15" fillId="0" borderId="19" xfId="0" applyFont="1" applyBorder="1" applyAlignment="1">
      <alignment horizontal="left" vertical="center" wrapText="1" readingOrder="1"/>
    </xf>
    <xf numFmtId="0" fontId="18" fillId="0" borderId="19" xfId="0" applyFont="1" applyBorder="1" applyAlignment="1">
      <alignment vertical="center"/>
    </xf>
    <xf numFmtId="0" fontId="20" fillId="0" borderId="23" xfId="0" applyFont="1" applyBorder="1" applyAlignment="1">
      <alignment vertical="center" wrapText="1" readingOrder="1"/>
    </xf>
    <xf numFmtId="1" fontId="18" fillId="0" borderId="19" xfId="3" applyNumberFormat="1" applyFont="1" applyBorder="1" applyAlignment="1">
      <alignment horizontal="center" vertical="center" wrapText="1" readingOrder="1"/>
    </xf>
    <xf numFmtId="0" fontId="18" fillId="0" borderId="23" xfId="0" applyFont="1" applyBorder="1" applyAlignment="1">
      <alignment horizontal="center"/>
    </xf>
    <xf numFmtId="0" fontId="15" fillId="0" borderId="17" xfId="0" applyFont="1" applyBorder="1" applyAlignment="1">
      <alignment horizontal="left" vertical="center" wrapText="1" readingOrder="1"/>
    </xf>
    <xf numFmtId="0" fontId="18" fillId="0" borderId="17" xfId="0" applyFont="1" applyBorder="1" applyAlignment="1">
      <alignment horizontal="center" wrapText="1" readingOrder="1"/>
    </xf>
    <xf numFmtId="1" fontId="18" fillId="0" borderId="17" xfId="3" applyNumberFormat="1" applyFont="1" applyBorder="1" applyAlignment="1">
      <alignment horizontal="center" vertical="center" wrapText="1" readingOrder="1"/>
    </xf>
    <xf numFmtId="169" fontId="18" fillId="0" borderId="17" xfId="0" applyNumberFormat="1" applyFont="1" applyBorder="1" applyAlignment="1">
      <alignment horizontal="center" vertical="center" wrapText="1" readingOrder="1"/>
    </xf>
    <xf numFmtId="167" fontId="18" fillId="0" borderId="17" xfId="0" applyNumberFormat="1" applyFont="1" applyBorder="1" applyAlignment="1">
      <alignment horizontal="center" vertical="center" wrapText="1" readingOrder="1"/>
    </xf>
    <xf numFmtId="0" fontId="20" fillId="0" borderId="17" xfId="0" applyFont="1" applyBorder="1" applyAlignment="1">
      <alignment horizontal="center" vertical="center" wrapText="1" readingOrder="1"/>
    </xf>
    <xf numFmtId="0" fontId="18" fillId="0" borderId="17" xfId="0" applyFont="1" applyBorder="1" applyAlignment="1">
      <alignment vertical="center" wrapText="1" readingOrder="1"/>
    </xf>
    <xf numFmtId="1" fontId="18" fillId="0" borderId="23" xfId="0" applyNumberFormat="1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16" fontId="19" fillId="0" borderId="0" xfId="0" applyNumberFormat="1" applyFont="1" applyAlignment="1">
      <alignment wrapText="1" readingOrder="1"/>
    </xf>
    <xf numFmtId="168" fontId="18" fillId="0" borderId="20" xfId="1" applyNumberFormat="1" applyFont="1" applyBorder="1" applyAlignment="1">
      <alignment horizontal="center" vertical="center" wrapText="1" readingOrder="1"/>
    </xf>
    <xf numFmtId="0" fontId="21" fillId="0" borderId="20" xfId="0" applyFont="1" applyBorder="1" applyAlignment="1">
      <alignment vertical="center" wrapText="1"/>
    </xf>
    <xf numFmtId="0" fontId="15" fillId="0" borderId="20" xfId="0" applyFont="1" applyBorder="1" applyAlignment="1">
      <alignment vertical="center" wrapText="1"/>
    </xf>
    <xf numFmtId="170" fontId="18" fillId="0" borderId="20" xfId="0" applyNumberFormat="1" applyFont="1" applyBorder="1" applyAlignment="1">
      <alignment horizontal="center" vertical="center" wrapText="1" readingOrder="1"/>
    </xf>
    <xf numFmtId="0" fontId="20" fillId="0" borderId="20" xfId="0" applyFont="1" applyBorder="1" applyAlignment="1">
      <alignment vertical="center" wrapText="1" readingOrder="1"/>
    </xf>
    <xf numFmtId="0" fontId="15" fillId="0" borderId="20" xfId="0" applyFont="1" applyBorder="1" applyAlignment="1">
      <alignment horizontal="left" wrapText="1" readingOrder="1"/>
    </xf>
    <xf numFmtId="0" fontId="20" fillId="0" borderId="20" xfId="0" applyFont="1" applyBorder="1" applyAlignment="1">
      <alignment horizontal="center" wrapText="1" readingOrder="1"/>
    </xf>
    <xf numFmtId="1" fontId="20" fillId="0" borderId="20" xfId="3" applyNumberFormat="1" applyFont="1" applyBorder="1" applyAlignment="1">
      <alignment horizontal="center" vertical="center" wrapText="1" readingOrder="1"/>
    </xf>
    <xf numFmtId="169" fontId="20" fillId="0" borderId="20" xfId="0" applyNumberFormat="1" applyFont="1" applyBorder="1" applyAlignment="1">
      <alignment horizontal="center" vertical="center" wrapText="1" readingOrder="1"/>
    </xf>
    <xf numFmtId="167" fontId="20" fillId="0" borderId="20" xfId="0" applyNumberFormat="1" applyFont="1" applyBorder="1" applyAlignment="1">
      <alignment horizontal="center" vertical="center" wrapText="1" readingOrder="1"/>
    </xf>
    <xf numFmtId="0" fontId="18" fillId="0" borderId="20" xfId="0" applyFont="1" applyBorder="1" applyAlignment="1">
      <alignment horizontal="center"/>
    </xf>
    <xf numFmtId="170" fontId="20" fillId="0" borderId="20" xfId="0" applyNumberFormat="1" applyFont="1" applyBorder="1" applyAlignment="1">
      <alignment horizontal="center" vertical="center" wrapText="1" readingOrder="1"/>
    </xf>
    <xf numFmtId="43" fontId="16" fillId="0" borderId="0" xfId="3" applyFont="1" applyAlignment="1">
      <alignment horizontal="center" wrapText="1" readingOrder="1"/>
    </xf>
    <xf numFmtId="0" fontId="19" fillId="0" borderId="20" xfId="0" applyFont="1" applyBorder="1" applyAlignment="1">
      <alignment vertical="center" wrapText="1"/>
    </xf>
    <xf numFmtId="170" fontId="18" fillId="0" borderId="20" xfId="0" applyNumberFormat="1" applyFont="1" applyBorder="1" applyAlignment="1">
      <alignment horizontal="center" vertical="center"/>
    </xf>
    <xf numFmtId="167" fontId="18" fillId="4" borderId="20" xfId="0" applyNumberFormat="1" applyFont="1" applyFill="1" applyBorder="1" applyAlignment="1">
      <alignment horizontal="center" vertical="center" wrapText="1" readingOrder="1"/>
    </xf>
    <xf numFmtId="0" fontId="18" fillId="4" borderId="20" xfId="0" applyFont="1" applyFill="1" applyBorder="1" applyAlignment="1">
      <alignment vertical="center" wrapText="1" readingOrder="1"/>
    </xf>
    <xf numFmtId="168" fontId="18" fillId="0" borderId="20" xfId="1" applyNumberFormat="1" applyFont="1" applyFill="1" applyBorder="1" applyAlignment="1">
      <alignment horizontal="center" vertical="center" wrapText="1" readingOrder="1"/>
    </xf>
    <xf numFmtId="167" fontId="18" fillId="4" borderId="20" xfId="0" applyNumberFormat="1" applyFont="1" applyFill="1" applyBorder="1" applyAlignment="1">
      <alignment horizontal="center" vertical="center"/>
    </xf>
    <xf numFmtId="0" fontId="20" fillId="4" borderId="20" xfId="0" applyFont="1" applyFill="1" applyBorder="1" applyAlignment="1">
      <alignment horizontal="center" vertical="center" wrapText="1" readingOrder="1"/>
    </xf>
    <xf numFmtId="0" fontId="17" fillId="0" borderId="20" xfId="0" applyFont="1" applyBorder="1" applyAlignment="1">
      <alignment vertical="center" wrapText="1"/>
    </xf>
    <xf numFmtId="0" fontId="15" fillId="8" borderId="20" xfId="0" applyFont="1" applyFill="1" applyBorder="1" applyAlignment="1">
      <alignment horizontal="left" vertical="center" wrapText="1" readingOrder="1"/>
    </xf>
    <xf numFmtId="0" fontId="18" fillId="8" borderId="20" xfId="0" applyFont="1" applyFill="1" applyBorder="1" applyAlignment="1">
      <alignment horizontal="center" vertical="center"/>
    </xf>
    <xf numFmtId="1" fontId="19" fillId="8" borderId="20" xfId="3" applyNumberFormat="1" applyFont="1" applyFill="1" applyBorder="1" applyAlignment="1">
      <alignment horizontal="center" vertical="center"/>
    </xf>
    <xf numFmtId="0" fontId="19" fillId="8" borderId="20" xfId="0" applyFont="1" applyFill="1" applyBorder="1" applyAlignment="1">
      <alignment vertical="center"/>
    </xf>
    <xf numFmtId="0" fontId="16" fillId="0" borderId="20" xfId="0" applyFont="1" applyBorder="1" applyAlignment="1">
      <alignment vertical="center"/>
    </xf>
    <xf numFmtId="0" fontId="18" fillId="8" borderId="20" xfId="0" applyFont="1" applyFill="1" applyBorder="1" applyAlignment="1">
      <alignment horizontal="center" vertical="center" wrapText="1" readingOrder="1"/>
    </xf>
    <xf numFmtId="1" fontId="18" fillId="8" borderId="20" xfId="3" applyNumberFormat="1" applyFont="1" applyFill="1" applyBorder="1" applyAlignment="1">
      <alignment horizontal="center" vertical="center" wrapText="1" readingOrder="1"/>
    </xf>
    <xf numFmtId="0" fontId="15" fillId="8" borderId="20" xfId="0" applyFont="1" applyFill="1" applyBorder="1" applyAlignment="1">
      <alignment vertical="center" wrapText="1"/>
    </xf>
    <xf numFmtId="0" fontId="19" fillId="4" borderId="20" xfId="0" applyFont="1" applyFill="1" applyBorder="1" applyAlignment="1">
      <alignment vertical="center" wrapText="1"/>
    </xf>
    <xf numFmtId="164" fontId="17" fillId="0" borderId="0" xfId="0" applyNumberFormat="1" applyFont="1"/>
    <xf numFmtId="0" fontId="19" fillId="0" borderId="5" xfId="0" applyFont="1" applyBorder="1" applyAlignment="1">
      <alignment wrapText="1" readingOrder="1"/>
    </xf>
    <xf numFmtId="0" fontId="18" fillId="6" borderId="20" xfId="0" applyFont="1" applyFill="1" applyBorder="1" applyAlignment="1">
      <alignment vertical="center" wrapText="1" readingOrder="1"/>
    </xf>
    <xf numFmtId="0" fontId="22" fillId="0" borderId="20" xfId="0" applyFont="1" applyBorder="1" applyAlignment="1">
      <alignment vertical="center"/>
    </xf>
    <xf numFmtId="169" fontId="18" fillId="9" borderId="20" xfId="0" applyNumberFormat="1" applyFont="1" applyFill="1" applyBorder="1" applyAlignment="1">
      <alignment horizontal="center" vertical="center" wrapText="1" readingOrder="1"/>
    </xf>
    <xf numFmtId="167" fontId="18" fillId="9" borderId="20" xfId="0" applyNumberFormat="1" applyFont="1" applyFill="1" applyBorder="1" applyAlignment="1">
      <alignment horizontal="center" vertical="center" wrapText="1" readingOrder="1"/>
    </xf>
    <xf numFmtId="169" fontId="18" fillId="5" borderId="20" xfId="0" applyNumberFormat="1" applyFont="1" applyFill="1" applyBorder="1" applyAlignment="1">
      <alignment horizontal="center" vertical="center" wrapText="1" readingOrder="1"/>
    </xf>
    <xf numFmtId="0" fontId="15" fillId="10" borderId="20" xfId="0" applyFont="1" applyFill="1" applyBorder="1" applyAlignment="1">
      <alignment horizontal="left" vertical="center" wrapText="1" readingOrder="1"/>
    </xf>
    <xf numFmtId="0" fontId="18" fillId="10" borderId="20" xfId="0" applyFont="1" applyFill="1" applyBorder="1" applyAlignment="1">
      <alignment horizontal="center" wrapText="1" readingOrder="1"/>
    </xf>
    <xf numFmtId="1" fontId="18" fillId="10" borderId="20" xfId="3" applyNumberFormat="1" applyFont="1" applyFill="1" applyBorder="1" applyAlignment="1">
      <alignment horizontal="center" vertical="center" wrapText="1" readingOrder="1"/>
    </xf>
    <xf numFmtId="169" fontId="18" fillId="10" borderId="20" xfId="0" applyNumberFormat="1" applyFont="1" applyFill="1" applyBorder="1" applyAlignment="1">
      <alignment horizontal="center" vertical="center" wrapText="1" readingOrder="1"/>
    </xf>
    <xf numFmtId="167" fontId="18" fillId="10" borderId="20" xfId="0" applyNumberFormat="1" applyFont="1" applyFill="1" applyBorder="1" applyAlignment="1">
      <alignment horizontal="center" vertical="center" wrapText="1" readingOrder="1"/>
    </xf>
    <xf numFmtId="0" fontId="20" fillId="10" borderId="20" xfId="0" applyFont="1" applyFill="1" applyBorder="1" applyAlignment="1">
      <alignment horizontal="center" vertical="center" wrapText="1" readingOrder="1"/>
    </xf>
    <xf numFmtId="0" fontId="18" fillId="10" borderId="20" xfId="0" applyFont="1" applyFill="1" applyBorder="1" applyAlignment="1">
      <alignment vertical="center" wrapText="1" readingOrder="1"/>
    </xf>
    <xf numFmtId="0" fontId="20" fillId="10" borderId="20" xfId="0" applyFont="1" applyFill="1" applyBorder="1" applyAlignment="1">
      <alignment vertical="center" wrapText="1" readingOrder="1"/>
    </xf>
    <xf numFmtId="0" fontId="15" fillId="11" borderId="20" xfId="0" applyFont="1" applyFill="1" applyBorder="1" applyAlignment="1">
      <alignment horizontal="left" vertical="center" wrapText="1" readingOrder="1"/>
    </xf>
    <xf numFmtId="0" fontId="18" fillId="11" borderId="20" xfId="0" applyFont="1" applyFill="1" applyBorder="1" applyAlignment="1">
      <alignment horizontal="center" vertical="center" wrapText="1" readingOrder="1"/>
    </xf>
    <xf numFmtId="1" fontId="18" fillId="11" borderId="20" xfId="3" applyNumberFormat="1" applyFont="1" applyFill="1" applyBorder="1" applyAlignment="1">
      <alignment horizontal="center" vertical="center" wrapText="1" readingOrder="1"/>
    </xf>
    <xf numFmtId="0" fontId="20" fillId="11" borderId="20" xfId="0" applyFont="1" applyFill="1" applyBorder="1" applyAlignment="1">
      <alignment horizontal="center" vertical="center" wrapText="1" readingOrder="1"/>
    </xf>
    <xf numFmtId="0" fontId="20" fillId="11" borderId="20" xfId="0" applyFont="1" applyFill="1" applyBorder="1" applyAlignment="1">
      <alignment vertical="center" wrapText="1" readingOrder="1"/>
    </xf>
    <xf numFmtId="0" fontId="18" fillId="11" borderId="20" xfId="0" applyFont="1" applyFill="1" applyBorder="1" applyAlignment="1">
      <alignment horizontal="center" wrapText="1" readingOrder="1"/>
    </xf>
    <xf numFmtId="0" fontId="15" fillId="11" borderId="20" xfId="0" applyFont="1" applyFill="1" applyBorder="1" applyAlignment="1">
      <alignment horizontal="left" wrapText="1" readingOrder="1"/>
    </xf>
    <xf numFmtId="1" fontId="20" fillId="11" borderId="20" xfId="3" applyNumberFormat="1" applyFont="1" applyFill="1" applyBorder="1" applyAlignment="1">
      <alignment horizontal="center" vertical="center" wrapText="1" readingOrder="1"/>
    </xf>
    <xf numFmtId="169" fontId="20" fillId="11" borderId="20" xfId="0" applyNumberFormat="1" applyFont="1" applyFill="1" applyBorder="1" applyAlignment="1">
      <alignment horizontal="center" vertical="center" wrapText="1" readingOrder="1"/>
    </xf>
    <xf numFmtId="167" fontId="20" fillId="11" borderId="20" xfId="0" applyNumberFormat="1" applyFont="1" applyFill="1" applyBorder="1" applyAlignment="1">
      <alignment horizontal="center" vertical="center" wrapText="1" readingOrder="1"/>
    </xf>
    <xf numFmtId="169" fontId="20" fillId="0" borderId="20" xfId="0" applyNumberFormat="1" applyFont="1" applyBorder="1" applyAlignment="1">
      <alignment horizontal="center" vertical="center"/>
    </xf>
    <xf numFmtId="167" fontId="20" fillId="0" borderId="20" xfId="0" applyNumberFormat="1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0" fontId="20" fillId="0" borderId="20" xfId="0" applyFont="1" applyBorder="1" applyAlignment="1">
      <alignment vertical="center"/>
    </xf>
    <xf numFmtId="167" fontId="20" fillId="9" borderId="20" xfId="0" applyNumberFormat="1" applyFont="1" applyFill="1" applyBorder="1" applyAlignment="1">
      <alignment horizontal="center" vertical="center" wrapText="1" readingOrder="1"/>
    </xf>
    <xf numFmtId="0" fontId="18" fillId="5" borderId="20" xfId="0" applyFont="1" applyFill="1" applyBorder="1" applyAlignment="1">
      <alignment vertical="center" wrapText="1" readingOrder="1"/>
    </xf>
    <xf numFmtId="2" fontId="19" fillId="0" borderId="0" xfId="0" applyNumberFormat="1" applyFont="1"/>
    <xf numFmtId="1" fontId="20" fillId="0" borderId="20" xfId="0" applyNumberFormat="1" applyFont="1" applyBorder="1" applyAlignment="1">
      <alignment horizontal="center" vertical="center" wrapText="1" readingOrder="1"/>
    </xf>
    <xf numFmtId="164" fontId="19" fillId="0" borderId="20" xfId="3" applyNumberFormat="1" applyFont="1" applyBorder="1" applyAlignment="1">
      <alignment horizontal="center" vertical="center"/>
    </xf>
    <xf numFmtId="167" fontId="18" fillId="9" borderId="20" xfId="0" applyNumberFormat="1" applyFont="1" applyFill="1" applyBorder="1" applyAlignment="1">
      <alignment horizontal="center" vertical="center"/>
    </xf>
    <xf numFmtId="1" fontId="18" fillId="0" borderId="20" xfId="0" applyNumberFormat="1" applyFont="1" applyBorder="1" applyAlignment="1">
      <alignment horizontal="center" vertical="center" wrapText="1" readingOrder="1"/>
    </xf>
    <xf numFmtId="169" fontId="20" fillId="5" borderId="20" xfId="0" applyNumberFormat="1" applyFont="1" applyFill="1" applyBorder="1" applyAlignment="1">
      <alignment horizontal="center" vertical="center" wrapText="1" readingOrder="1"/>
    </xf>
    <xf numFmtId="0" fontId="19" fillId="0" borderId="20" xfId="0" applyFont="1" applyBorder="1" applyAlignment="1">
      <alignment horizontal="center" vertical="center"/>
    </xf>
    <xf numFmtId="1" fontId="20" fillId="0" borderId="20" xfId="0" applyNumberFormat="1" applyFont="1" applyBorder="1" applyAlignment="1">
      <alignment horizontal="center" vertical="center"/>
    </xf>
    <xf numFmtId="1" fontId="20" fillId="0" borderId="20" xfId="3" applyNumberFormat="1" applyFont="1" applyBorder="1" applyAlignment="1">
      <alignment horizontal="center" vertical="center"/>
    </xf>
    <xf numFmtId="169" fontId="18" fillId="9" borderId="20" xfId="0" applyNumberFormat="1" applyFont="1" applyFill="1" applyBorder="1" applyAlignment="1">
      <alignment horizontal="center" vertical="center"/>
    </xf>
    <xf numFmtId="16" fontId="18" fillId="0" borderId="20" xfId="0" applyNumberFormat="1" applyFont="1" applyBorder="1" applyAlignment="1">
      <alignment horizontal="center" vertical="center"/>
    </xf>
    <xf numFmtId="169" fontId="20" fillId="9" borderId="20" xfId="0" applyNumberFormat="1" applyFont="1" applyFill="1" applyBorder="1" applyAlignment="1">
      <alignment horizontal="center" vertical="center" wrapText="1" readingOrder="1"/>
    </xf>
    <xf numFmtId="167" fontId="18" fillId="5" borderId="20" xfId="0" applyNumberFormat="1" applyFont="1" applyFill="1" applyBorder="1" applyAlignment="1">
      <alignment horizontal="center" vertical="center"/>
    </xf>
    <xf numFmtId="43" fontId="18" fillId="0" borderId="0" xfId="3" applyFont="1" applyAlignment="1">
      <alignment horizontal="center" wrapText="1" readingOrder="1"/>
    </xf>
    <xf numFmtId="167" fontId="18" fillId="5" borderId="20" xfId="0" applyNumberFormat="1" applyFont="1" applyFill="1" applyBorder="1" applyAlignment="1">
      <alignment horizontal="center" vertical="center" wrapText="1" readingOrder="1"/>
    </xf>
    <xf numFmtId="0" fontId="20" fillId="5" borderId="20" xfId="0" applyFont="1" applyFill="1" applyBorder="1" applyAlignment="1">
      <alignment vertical="center" wrapText="1" readingOrder="1"/>
    </xf>
    <xf numFmtId="167" fontId="20" fillId="5" borderId="20" xfId="0" applyNumberFormat="1" applyFont="1" applyFill="1" applyBorder="1" applyAlignment="1">
      <alignment horizontal="center" vertical="center" wrapText="1" readingOrder="1"/>
    </xf>
    <xf numFmtId="43" fontId="19" fillId="0" borderId="0" xfId="3" applyFont="1"/>
    <xf numFmtId="169" fontId="18" fillId="5" borderId="20" xfId="0" applyNumberFormat="1" applyFont="1" applyFill="1" applyBorder="1" applyAlignment="1">
      <alignment horizontal="center" vertical="center"/>
    </xf>
    <xf numFmtId="0" fontId="21" fillId="0" borderId="16" xfId="0" applyFont="1" applyBorder="1" applyAlignment="1">
      <alignment horizontal="left" wrapText="1" readingOrder="1"/>
    </xf>
    <xf numFmtId="164" fontId="19" fillId="0" borderId="0" xfId="0" applyNumberFormat="1" applyFont="1" applyAlignment="1">
      <alignment wrapText="1" readingOrder="1"/>
    </xf>
    <xf numFmtId="170" fontId="18" fillId="5" borderId="20" xfId="0" applyNumberFormat="1" applyFont="1" applyFill="1" applyBorder="1" applyAlignment="1">
      <alignment horizontal="center" vertical="center" wrapText="1" readingOrder="1"/>
    </xf>
    <xf numFmtId="1" fontId="18" fillId="0" borderId="19" xfId="0" applyNumberFormat="1" applyFont="1" applyBorder="1" applyAlignment="1">
      <alignment horizontal="center" vertical="center" wrapText="1" readingOrder="1"/>
    </xf>
    <xf numFmtId="169" fontId="18" fillId="0" borderId="19" xfId="0" applyNumberFormat="1" applyFont="1" applyBorder="1" applyAlignment="1">
      <alignment horizontal="center" vertical="center" wrapText="1" readingOrder="1"/>
    </xf>
    <xf numFmtId="167" fontId="18" fillId="9" borderId="19" xfId="0" applyNumberFormat="1" applyFont="1" applyFill="1" applyBorder="1" applyAlignment="1">
      <alignment horizontal="center" vertical="center" wrapText="1" readingOrder="1"/>
    </xf>
    <xf numFmtId="0" fontId="20" fillId="0" borderId="19" xfId="0" applyFont="1" applyBorder="1" applyAlignment="1">
      <alignment horizontal="center" vertical="center" wrapText="1" readingOrder="1"/>
    </xf>
    <xf numFmtId="0" fontId="18" fillId="0" borderId="19" xfId="0" applyFont="1" applyBorder="1" applyAlignment="1">
      <alignment vertical="center" wrapText="1" readingOrder="1"/>
    </xf>
    <xf numFmtId="0" fontId="16" fillId="0" borderId="0" xfId="0" applyFont="1" applyAlignment="1">
      <alignment horizontal="left" wrapText="1" readingOrder="1"/>
    </xf>
    <xf numFmtId="43" fontId="16" fillId="0" borderId="0" xfId="3" applyFont="1" applyAlignment="1">
      <alignment horizontal="left" wrapText="1" readingOrder="1"/>
    </xf>
    <xf numFmtId="0" fontId="15" fillId="12" borderId="20" xfId="0" applyFont="1" applyFill="1" applyBorder="1" applyAlignment="1">
      <alignment horizontal="left" wrapText="1" readingOrder="1"/>
    </xf>
    <xf numFmtId="0" fontId="18" fillId="12" borderId="20" xfId="0" applyFont="1" applyFill="1" applyBorder="1" applyAlignment="1">
      <alignment horizontal="center" vertical="center" wrapText="1" readingOrder="1"/>
    </xf>
    <xf numFmtId="1" fontId="18" fillId="12" borderId="20" xfId="3" applyNumberFormat="1" applyFont="1" applyFill="1" applyBorder="1" applyAlignment="1">
      <alignment horizontal="center" vertical="center" wrapText="1" readingOrder="1"/>
    </xf>
    <xf numFmtId="168" fontId="18" fillId="12" borderId="20" xfId="1" applyNumberFormat="1" applyFont="1" applyFill="1" applyBorder="1" applyAlignment="1">
      <alignment horizontal="center" vertical="center" wrapText="1" readingOrder="1"/>
    </xf>
    <xf numFmtId="169" fontId="18" fillId="12" borderId="20" xfId="0" applyNumberFormat="1" applyFont="1" applyFill="1" applyBorder="1" applyAlignment="1">
      <alignment horizontal="center" vertical="center" wrapText="1" readingOrder="1"/>
    </xf>
    <xf numFmtId="167" fontId="18" fillId="12" borderId="20" xfId="0" applyNumberFormat="1" applyFont="1" applyFill="1" applyBorder="1" applyAlignment="1">
      <alignment horizontal="center" vertical="center" wrapText="1" readingOrder="1"/>
    </xf>
    <xf numFmtId="0" fontId="20" fillId="12" borderId="20" xfId="0" applyFont="1" applyFill="1" applyBorder="1" applyAlignment="1">
      <alignment horizontal="center" vertical="center" wrapText="1" readingOrder="1"/>
    </xf>
    <xf numFmtId="0" fontId="18" fillId="12" borderId="20" xfId="0" applyFont="1" applyFill="1" applyBorder="1" applyAlignment="1">
      <alignment vertical="center" wrapText="1" readingOrder="1"/>
    </xf>
    <xf numFmtId="0" fontId="15" fillId="12" borderId="20" xfId="0" applyFont="1" applyFill="1" applyBorder="1" applyAlignment="1">
      <alignment horizontal="left" vertical="center" wrapText="1" readingOrder="1"/>
    </xf>
    <xf numFmtId="1" fontId="18" fillId="12" borderId="20" xfId="0" applyNumberFormat="1" applyFont="1" applyFill="1" applyBorder="1" applyAlignment="1">
      <alignment horizontal="center" vertical="center" wrapText="1" readingOrder="1"/>
    </xf>
    <xf numFmtId="0" fontId="16" fillId="12" borderId="20" xfId="0" applyFont="1" applyFill="1" applyBorder="1" applyAlignment="1">
      <alignment vertical="center"/>
    </xf>
    <xf numFmtId="1" fontId="19" fillId="12" borderId="20" xfId="3" applyNumberFormat="1" applyFont="1" applyFill="1" applyBorder="1" applyAlignment="1">
      <alignment horizontal="center" vertical="center"/>
    </xf>
    <xf numFmtId="169" fontId="18" fillId="12" borderId="20" xfId="0" applyNumberFormat="1" applyFont="1" applyFill="1" applyBorder="1" applyAlignment="1">
      <alignment horizontal="center" vertical="center"/>
    </xf>
    <xf numFmtId="167" fontId="18" fillId="12" borderId="20" xfId="0" applyNumberFormat="1" applyFont="1" applyFill="1" applyBorder="1" applyAlignment="1">
      <alignment horizontal="center" vertical="center"/>
    </xf>
    <xf numFmtId="0" fontId="18" fillId="12" borderId="20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vertical="center"/>
    </xf>
    <xf numFmtId="0" fontId="15" fillId="12" borderId="20" xfId="0" applyFont="1" applyFill="1" applyBorder="1" applyAlignment="1">
      <alignment vertical="center"/>
    </xf>
    <xf numFmtId="0" fontId="19" fillId="0" borderId="12" xfId="0" applyFont="1" applyBorder="1"/>
    <xf numFmtId="0" fontId="18" fillId="12" borderId="20" xfId="0" applyFont="1" applyFill="1" applyBorder="1" applyAlignment="1">
      <alignment horizontal="center" wrapText="1" readingOrder="1"/>
    </xf>
    <xf numFmtId="0" fontId="19" fillId="5" borderId="20" xfId="0" applyFont="1" applyFill="1" applyBorder="1" applyAlignment="1">
      <alignment vertical="center"/>
    </xf>
    <xf numFmtId="1" fontId="20" fillId="12" borderId="20" xfId="0" applyNumberFormat="1" applyFont="1" applyFill="1" applyBorder="1" applyAlignment="1">
      <alignment horizontal="center" vertical="center" wrapText="1" readingOrder="1"/>
    </xf>
    <xf numFmtId="1" fontId="20" fillId="12" borderId="20" xfId="3" applyNumberFormat="1" applyFont="1" applyFill="1" applyBorder="1" applyAlignment="1">
      <alignment horizontal="center" vertical="center" wrapText="1" readingOrder="1"/>
    </xf>
    <xf numFmtId="169" fontId="20" fillId="12" borderId="20" xfId="0" applyNumberFormat="1" applyFont="1" applyFill="1" applyBorder="1" applyAlignment="1">
      <alignment horizontal="center" vertical="center" wrapText="1" readingOrder="1"/>
    </xf>
    <xf numFmtId="167" fontId="20" fillId="12" borderId="20" xfId="0" applyNumberFormat="1" applyFont="1" applyFill="1" applyBorder="1" applyAlignment="1">
      <alignment horizontal="center" vertical="center" wrapText="1" readingOrder="1"/>
    </xf>
    <xf numFmtId="0" fontId="18" fillId="0" borderId="20" xfId="0" applyFont="1" applyBorder="1" applyAlignment="1">
      <alignment horizontal="center" vertical="center" wrapText="1"/>
    </xf>
    <xf numFmtId="0" fontId="20" fillId="12" borderId="20" xfId="0" applyFont="1" applyFill="1" applyBorder="1" applyAlignment="1">
      <alignment vertical="center" wrapText="1" readingOrder="1"/>
    </xf>
    <xf numFmtId="167" fontId="22" fillId="0" borderId="20" xfId="0" applyNumberFormat="1" applyFont="1" applyBorder="1" applyAlignment="1">
      <alignment horizontal="center" vertical="center" wrapText="1" readingOrder="1"/>
    </xf>
    <xf numFmtId="170" fontId="18" fillId="9" borderId="20" xfId="0" applyNumberFormat="1" applyFont="1" applyFill="1" applyBorder="1" applyAlignment="1">
      <alignment horizontal="center" vertical="center" wrapText="1" readingOrder="1"/>
    </xf>
    <xf numFmtId="167" fontId="22" fillId="5" borderId="20" xfId="0" applyNumberFormat="1" applyFont="1" applyFill="1" applyBorder="1" applyAlignment="1">
      <alignment horizontal="center" vertical="center"/>
    </xf>
    <xf numFmtId="0" fontId="19" fillId="5" borderId="20" xfId="0" applyFont="1" applyFill="1" applyBorder="1" applyAlignment="1">
      <alignment vertical="center" wrapText="1"/>
    </xf>
    <xf numFmtId="170" fontId="18" fillId="9" borderId="20" xfId="0" applyNumberFormat="1" applyFont="1" applyFill="1" applyBorder="1" applyAlignment="1">
      <alignment horizontal="center" vertical="center"/>
    </xf>
    <xf numFmtId="1" fontId="20" fillId="0" borderId="20" xfId="3" applyNumberFormat="1" applyFont="1" applyFill="1" applyBorder="1" applyAlignment="1">
      <alignment horizontal="center" vertical="center" wrapText="1" readingOrder="1"/>
    </xf>
    <xf numFmtId="0" fontId="17" fillId="0" borderId="0" xfId="0" applyFont="1"/>
    <xf numFmtId="168" fontId="18" fillId="0" borderId="21" xfId="1" applyNumberFormat="1" applyFont="1" applyFill="1" applyBorder="1" applyAlignment="1">
      <alignment horizontal="center" vertical="center" wrapText="1" readingOrder="1"/>
    </xf>
    <xf numFmtId="0" fontId="19" fillId="5" borderId="0" xfId="0" applyFont="1" applyFill="1" applyAlignment="1">
      <alignment wrapText="1" readingOrder="1"/>
    </xf>
    <xf numFmtId="43" fontId="19" fillId="5" borderId="0" xfId="3" applyFont="1" applyFill="1" applyAlignment="1">
      <alignment wrapText="1" readingOrder="1"/>
    </xf>
    <xf numFmtId="1" fontId="17" fillId="0" borderId="0" xfId="0" applyNumberFormat="1" applyFont="1"/>
    <xf numFmtId="167" fontId="19" fillId="9" borderId="20" xfId="0" applyNumberFormat="1" applyFont="1" applyFill="1" applyBorder="1" applyAlignment="1">
      <alignment horizontal="center" vertical="center"/>
    </xf>
    <xf numFmtId="0" fontId="19" fillId="0" borderId="20" xfId="0" applyFont="1" applyBorder="1" applyAlignment="1">
      <alignment vertical="center" wrapText="1" readingOrder="1"/>
    </xf>
    <xf numFmtId="169" fontId="18" fillId="4" borderId="20" xfId="0" applyNumberFormat="1" applyFont="1" applyFill="1" applyBorder="1" applyAlignment="1">
      <alignment horizontal="center" vertical="center"/>
    </xf>
    <xf numFmtId="0" fontId="18" fillId="4" borderId="0" xfId="0" applyFont="1" applyFill="1" applyAlignment="1">
      <alignment horizontal="left" wrapText="1" readingOrder="1"/>
    </xf>
    <xf numFmtId="43" fontId="18" fillId="4" borderId="0" xfId="3" applyFont="1" applyFill="1" applyAlignment="1">
      <alignment horizontal="left" wrapText="1" readingOrder="1"/>
    </xf>
    <xf numFmtId="0" fontId="19" fillId="0" borderId="0" xfId="0" applyFont="1" applyAlignment="1">
      <alignment horizontal="left" wrapText="1" readingOrder="1"/>
    </xf>
    <xf numFmtId="43" fontId="19" fillId="0" borderId="0" xfId="3" applyFont="1" applyAlignment="1">
      <alignment horizontal="left" wrapText="1" readingOrder="1"/>
    </xf>
    <xf numFmtId="0" fontId="18" fillId="0" borderId="20" xfId="0" applyFont="1" applyBorder="1" applyAlignment="1">
      <alignment horizontal="left" vertical="center" wrapText="1" readingOrder="1"/>
    </xf>
    <xf numFmtId="0" fontId="20" fillId="0" borderId="20" xfId="0" applyFont="1" applyBorder="1" applyAlignment="1">
      <alignment horizontal="left" wrapText="1" readingOrder="1"/>
    </xf>
    <xf numFmtId="0" fontId="18" fillId="0" borderId="20" xfId="0" applyFont="1" applyBorder="1" applyAlignment="1">
      <alignment horizontal="left" wrapText="1" readingOrder="1"/>
    </xf>
    <xf numFmtId="0" fontId="18" fillId="0" borderId="0" xfId="0" applyFont="1" applyAlignment="1">
      <alignment horizontal="left" wrapText="1" readingOrder="1"/>
    </xf>
    <xf numFmtId="43" fontId="18" fillId="0" borderId="0" xfId="3" applyFont="1" applyAlignment="1">
      <alignment horizontal="left" wrapText="1" readingOrder="1"/>
    </xf>
    <xf numFmtId="167" fontId="20" fillId="4" borderId="20" xfId="0" applyNumberFormat="1" applyFont="1" applyFill="1" applyBorder="1" applyAlignment="1">
      <alignment horizontal="center" vertical="center" wrapText="1" readingOrder="1"/>
    </xf>
    <xf numFmtId="169" fontId="18" fillId="4" borderId="20" xfId="0" applyNumberFormat="1" applyFont="1" applyFill="1" applyBorder="1" applyAlignment="1">
      <alignment horizontal="center" vertical="center" wrapText="1" readingOrder="1"/>
    </xf>
    <xf numFmtId="0" fontId="20" fillId="0" borderId="20" xfId="0" applyFont="1" applyBorder="1" applyAlignment="1">
      <alignment vertical="center" wrapText="1"/>
    </xf>
    <xf numFmtId="167" fontId="20" fillId="9" borderId="20" xfId="0" applyNumberFormat="1" applyFont="1" applyFill="1" applyBorder="1" applyAlignment="1">
      <alignment horizontal="center" vertical="center"/>
    </xf>
    <xf numFmtId="169" fontId="19" fillId="0" borderId="20" xfId="0" applyNumberFormat="1" applyFont="1" applyBorder="1" applyAlignment="1">
      <alignment horizontal="center" vertical="center"/>
    </xf>
    <xf numFmtId="167" fontId="19" fillId="0" borderId="20" xfId="0" applyNumberFormat="1" applyFont="1" applyBorder="1" applyAlignment="1">
      <alignment horizontal="center" vertical="center"/>
    </xf>
    <xf numFmtId="43" fontId="19" fillId="0" borderId="0" xfId="3" applyFont="1" applyAlignment="1">
      <alignment vertical="center"/>
    </xf>
    <xf numFmtId="169" fontId="20" fillId="4" borderId="20" xfId="0" applyNumberFormat="1" applyFont="1" applyFill="1" applyBorder="1" applyAlignment="1">
      <alignment horizontal="center" vertical="center" wrapText="1" readingOrder="1"/>
    </xf>
    <xf numFmtId="170" fontId="19" fillId="0" borderId="20" xfId="0" applyNumberFormat="1" applyFont="1" applyBorder="1" applyAlignment="1">
      <alignment horizontal="center" vertical="center" wrapText="1" readingOrder="1"/>
    </xf>
    <xf numFmtId="0" fontId="6" fillId="0" borderId="0" xfId="2" applyAlignment="1">
      <alignment wrapText="1" readingOrder="1"/>
    </xf>
    <xf numFmtId="43" fontId="6" fillId="0" borderId="0" xfId="3" applyFont="1" applyAlignment="1">
      <alignment wrapText="1" readingOrder="1"/>
    </xf>
    <xf numFmtId="169" fontId="19" fillId="9" borderId="20" xfId="0" applyNumberFormat="1" applyFont="1" applyFill="1" applyBorder="1" applyAlignment="1">
      <alignment horizontal="center" vertical="center" wrapText="1" readingOrder="1"/>
    </xf>
    <xf numFmtId="167" fontId="19" fillId="9" borderId="20" xfId="0" applyNumberFormat="1" applyFont="1" applyFill="1" applyBorder="1" applyAlignment="1">
      <alignment horizontal="center" vertical="center" wrapText="1" readingOrder="1"/>
    </xf>
    <xf numFmtId="0" fontId="22" fillId="5" borderId="0" xfId="0" applyFont="1" applyFill="1" applyAlignment="1">
      <alignment wrapText="1" readingOrder="1"/>
    </xf>
    <xf numFmtId="43" fontId="22" fillId="5" borderId="0" xfId="3" applyFont="1" applyFill="1" applyAlignment="1">
      <alignment wrapText="1" readingOrder="1"/>
    </xf>
    <xf numFmtId="0" fontId="16" fillId="4" borderId="0" xfId="0" applyFont="1" applyFill="1" applyAlignment="1">
      <alignment horizontal="left" wrapText="1" readingOrder="1"/>
    </xf>
    <xf numFmtId="43" fontId="16" fillId="4" borderId="0" xfId="3" applyFont="1" applyFill="1" applyAlignment="1">
      <alignment horizontal="left" wrapText="1" readingOrder="1"/>
    </xf>
    <xf numFmtId="0" fontId="16" fillId="5" borderId="0" xfId="0" applyFont="1" applyFill="1" applyAlignment="1">
      <alignment horizontal="left" wrapText="1" readingOrder="1"/>
    </xf>
    <xf numFmtId="43" fontId="16" fillId="5" borderId="0" xfId="3" applyFont="1" applyFill="1" applyAlignment="1">
      <alignment horizontal="left" wrapText="1" readingOrder="1"/>
    </xf>
    <xf numFmtId="170" fontId="16" fillId="0" borderId="0" xfId="0" applyNumberFormat="1" applyFont="1" applyAlignment="1">
      <alignment horizontal="left" wrapText="1" readingOrder="1"/>
    </xf>
    <xf numFmtId="0" fontId="16" fillId="4" borderId="20" xfId="0" applyFont="1" applyFill="1" applyBorder="1" applyAlignment="1">
      <alignment horizontal="left" wrapText="1" readingOrder="1"/>
    </xf>
    <xf numFmtId="0" fontId="16" fillId="0" borderId="20" xfId="0" applyFont="1" applyBorder="1" applyAlignment="1">
      <alignment vertical="center" wrapText="1" readingOrder="1"/>
    </xf>
    <xf numFmtId="0" fontId="16" fillId="5" borderId="0" xfId="0" applyFont="1" applyFill="1" applyAlignment="1">
      <alignment horizontal="center" wrapText="1" readingOrder="1"/>
    </xf>
    <xf numFmtId="43" fontId="16" fillId="5" borderId="0" xfId="3" applyFont="1" applyFill="1" applyAlignment="1">
      <alignment horizontal="center" wrapText="1" readingOrder="1"/>
    </xf>
    <xf numFmtId="0" fontId="20" fillId="5" borderId="0" xfId="0" applyFont="1" applyFill="1" applyAlignment="1">
      <alignment wrapText="1" readingOrder="1"/>
    </xf>
    <xf numFmtId="43" fontId="20" fillId="5" borderId="0" xfId="3" applyFont="1" applyFill="1" applyAlignment="1">
      <alignment wrapText="1" readingOrder="1"/>
    </xf>
    <xf numFmtId="0" fontId="20" fillId="0" borderId="20" xfId="0" applyFont="1" applyBorder="1" applyAlignment="1">
      <alignment horizontal="left" vertical="center" wrapText="1" readingOrder="1"/>
    </xf>
    <xf numFmtId="170" fontId="16" fillId="0" borderId="20" xfId="0" applyNumberFormat="1" applyFont="1" applyBorder="1" applyAlignment="1">
      <alignment horizontal="left" wrapText="1" readingOrder="1"/>
    </xf>
    <xf numFmtId="0" fontId="19" fillId="0" borderId="20" xfId="0" applyFont="1" applyBorder="1" applyAlignment="1">
      <alignment wrapText="1" readingOrder="1"/>
    </xf>
    <xf numFmtId="0" fontId="18" fillId="0" borderId="20" xfId="0" applyFont="1" applyBorder="1" applyAlignment="1">
      <alignment vertical="center" wrapText="1"/>
    </xf>
    <xf numFmtId="169" fontId="19" fillId="0" borderId="20" xfId="0" applyNumberFormat="1" applyFont="1" applyBorder="1" applyAlignment="1">
      <alignment horizontal="center" vertical="center" wrapText="1" readingOrder="1"/>
    </xf>
    <xf numFmtId="0" fontId="18" fillId="0" borderId="11" xfId="0" applyFont="1" applyBorder="1" applyAlignment="1">
      <alignment horizontal="center" vertical="center"/>
    </xf>
    <xf numFmtId="1" fontId="19" fillId="0" borderId="20" xfId="3" applyNumberFormat="1" applyFont="1" applyFill="1" applyBorder="1" applyAlignment="1">
      <alignment horizontal="center" vertical="center"/>
    </xf>
    <xf numFmtId="0" fontId="21" fillId="0" borderId="16" xfId="0" applyFont="1" applyBorder="1" applyAlignment="1">
      <alignment vertical="center" wrapText="1"/>
    </xf>
    <xf numFmtId="0" fontId="15" fillId="0" borderId="16" xfId="0" applyFont="1" applyBorder="1" applyAlignment="1">
      <alignment horizontal="left" vertical="center" wrapText="1" readingOrder="1"/>
    </xf>
    <xf numFmtId="0" fontId="16" fillId="0" borderId="16" xfId="0" applyFont="1" applyBorder="1" applyAlignment="1">
      <alignment horizontal="left" wrapText="1" readingOrder="1"/>
    </xf>
    <xf numFmtId="0" fontId="15" fillId="0" borderId="20" xfId="0" applyFont="1" applyBorder="1" applyAlignment="1">
      <alignment horizontal="left" vertical="top" wrapText="1" readingOrder="1"/>
    </xf>
    <xf numFmtId="167" fontId="19" fillId="0" borderId="20" xfId="0" applyNumberFormat="1" applyFont="1" applyBorder="1" applyAlignment="1">
      <alignment horizontal="center" vertical="center" wrapText="1" readingOrder="1"/>
    </xf>
    <xf numFmtId="170" fontId="18" fillId="4" borderId="20" xfId="0" applyNumberFormat="1" applyFont="1" applyFill="1" applyBorder="1" applyAlignment="1">
      <alignment horizontal="center" vertical="center"/>
    </xf>
    <xf numFmtId="0" fontId="18" fillId="0" borderId="16" xfId="0" applyFont="1" applyBorder="1" applyAlignment="1">
      <alignment horizontal="left" wrapText="1" readingOrder="1"/>
    </xf>
    <xf numFmtId="1" fontId="18" fillId="0" borderId="20" xfId="3" applyNumberFormat="1" applyFont="1" applyFill="1" applyBorder="1" applyAlignment="1">
      <alignment horizontal="center" vertical="center" wrapText="1" readingOrder="1"/>
    </xf>
    <xf numFmtId="171" fontId="18" fillId="0" borderId="20" xfId="0" applyNumberFormat="1" applyFont="1" applyBorder="1" applyAlignment="1">
      <alignment horizontal="center" vertical="center" wrapText="1" readingOrder="1"/>
    </xf>
    <xf numFmtId="170" fontId="18" fillId="5" borderId="20" xfId="0" applyNumberFormat="1" applyFont="1" applyFill="1" applyBorder="1" applyAlignment="1">
      <alignment horizontal="center" vertical="center"/>
    </xf>
    <xf numFmtId="170" fontId="19" fillId="0" borderId="0" xfId="0" applyNumberFormat="1" applyFont="1"/>
    <xf numFmtId="0" fontId="19" fillId="0" borderId="0" xfId="0" quotePrefix="1" applyFont="1"/>
    <xf numFmtId="0" fontId="19" fillId="0" borderId="20" xfId="0" applyFont="1" applyBorder="1"/>
    <xf numFmtId="0" fontId="19" fillId="0" borderId="20" xfId="0" applyFont="1" applyBorder="1" applyAlignment="1">
      <alignment horizontal="center"/>
    </xf>
    <xf numFmtId="14" fontId="19" fillId="0" borderId="20" xfId="0" applyNumberFormat="1" applyFont="1" applyBorder="1" applyAlignment="1">
      <alignment horizontal="center" vertical="center"/>
    </xf>
    <xf numFmtId="0" fontId="15" fillId="5" borderId="20" xfId="0" applyFont="1" applyFill="1" applyBorder="1" applyAlignment="1">
      <alignment wrapText="1" readingOrder="1"/>
    </xf>
    <xf numFmtId="43" fontId="15" fillId="5" borderId="20" xfId="0" applyNumberFormat="1" applyFont="1" applyFill="1" applyBorder="1" applyAlignment="1">
      <alignment wrapText="1" readingOrder="1"/>
    </xf>
    <xf numFmtId="0" fontId="19" fillId="0" borderId="0" xfId="0" applyFont="1" applyAlignment="1">
      <alignment horizontal="center"/>
    </xf>
    <xf numFmtId="16" fontId="19" fillId="0" borderId="0" xfId="0" quotePrefix="1" applyNumberFormat="1" applyFont="1" applyAlignment="1">
      <alignment horizontal="center"/>
    </xf>
    <xf numFmtId="0" fontId="19" fillId="0" borderId="0" xfId="0" quotePrefix="1" applyFont="1" applyAlignment="1">
      <alignment horizontal="center"/>
    </xf>
    <xf numFmtId="0" fontId="19" fillId="0" borderId="0" xfId="0" applyFont="1" applyAlignment="1">
      <alignment horizontal="center" vertical="center"/>
    </xf>
    <xf numFmtId="167" fontId="19" fillId="0" borderId="0" xfId="0" applyNumberFormat="1" applyFont="1" applyAlignment="1">
      <alignment horizontal="center" vertical="center"/>
    </xf>
    <xf numFmtId="14" fontId="19" fillId="0" borderId="0" xfId="0" applyNumberFormat="1" applyFont="1" applyAlignment="1">
      <alignment horizontal="center" vertical="center"/>
    </xf>
    <xf numFmtId="0" fontId="15" fillId="5" borderId="0" xfId="0" applyFont="1" applyFill="1" applyAlignment="1">
      <alignment wrapText="1" readingOrder="1"/>
    </xf>
    <xf numFmtId="16" fontId="19" fillId="0" borderId="0" xfId="0" applyNumberFormat="1" applyFont="1" applyAlignment="1">
      <alignment horizontal="center"/>
    </xf>
    <xf numFmtId="14" fontId="19" fillId="0" borderId="0" xfId="0" applyNumberFormat="1" applyFont="1" applyAlignment="1">
      <alignment wrapText="1" readingOrder="1"/>
    </xf>
    <xf numFmtId="38" fontId="19" fillId="0" borderId="0" xfId="0" applyNumberFormat="1" applyFont="1"/>
    <xf numFmtId="166" fontId="19" fillId="0" borderId="0" xfId="3" applyNumberFormat="1" applyFont="1"/>
    <xf numFmtId="38" fontId="19" fillId="0" borderId="0" xfId="0" applyNumberFormat="1" applyFont="1" applyAlignment="1">
      <alignment wrapText="1" readingOrder="1"/>
    </xf>
    <xf numFmtId="38" fontId="19" fillId="5" borderId="0" xfId="0" applyNumberFormat="1" applyFont="1" applyFill="1"/>
    <xf numFmtId="38" fontId="17" fillId="0" borderId="0" xfId="0" applyNumberFormat="1" applyFont="1"/>
    <xf numFmtId="38" fontId="22" fillId="0" borderId="0" xfId="0" applyNumberFormat="1" applyFont="1"/>
    <xf numFmtId="38" fontId="22" fillId="5" borderId="0" xfId="0" applyNumberFormat="1" applyFont="1" applyFill="1"/>
    <xf numFmtId="0" fontId="19" fillId="0" borderId="14" xfId="0" applyFont="1" applyBorder="1" applyAlignment="1">
      <alignment wrapText="1" readingOrder="1"/>
    </xf>
    <xf numFmtId="0" fontId="19" fillId="0" borderId="24" xfId="0" applyFont="1" applyBorder="1"/>
    <xf numFmtId="38" fontId="19" fillId="0" borderId="24" xfId="0" applyNumberFormat="1" applyFont="1" applyBorder="1"/>
    <xf numFmtId="0" fontId="19" fillId="5" borderId="0" xfId="0" applyFont="1" applyFill="1"/>
    <xf numFmtId="0" fontId="19" fillId="0" borderId="25" xfId="0" applyFont="1" applyBorder="1" applyAlignment="1">
      <alignment wrapText="1" readingOrder="1"/>
    </xf>
    <xf numFmtId="38" fontId="19" fillId="0" borderId="26" xfId="0" applyNumberFormat="1" applyFont="1" applyBorder="1"/>
    <xf numFmtId="0" fontId="19" fillId="0" borderId="26" xfId="0" applyFont="1" applyBorder="1"/>
    <xf numFmtId="0" fontId="19" fillId="0" borderId="13" xfId="0" applyFont="1" applyBorder="1"/>
    <xf numFmtId="0" fontId="19" fillId="0" borderId="14" xfId="0" applyFont="1" applyBorder="1"/>
    <xf numFmtId="0" fontId="19" fillId="0" borderId="14" xfId="0" applyFont="1" applyBorder="1" applyAlignment="1">
      <alignment horizontal="right"/>
    </xf>
    <xf numFmtId="0" fontId="19" fillId="0" borderId="0" xfId="0" applyFont="1" applyAlignment="1">
      <alignment horizontal="right"/>
    </xf>
    <xf numFmtId="0" fontId="0" fillId="0" borderId="0" xfId="0" applyAlignment="1">
      <alignment wrapText="1" readingOrder="1"/>
    </xf>
    <xf numFmtId="0" fontId="19" fillId="0" borderId="16" xfId="0" applyFont="1" applyBorder="1" applyAlignment="1">
      <alignment wrapText="1" readingOrder="1"/>
    </xf>
    <xf numFmtId="0" fontId="15" fillId="0" borderId="0" xfId="0" applyFont="1" applyAlignment="1">
      <alignment vertical="center" wrapText="1"/>
    </xf>
    <xf numFmtId="0" fontId="18" fillId="0" borderId="0" xfId="0" applyFont="1" applyAlignment="1">
      <alignment horizontal="center" vertical="center"/>
    </xf>
    <xf numFmtId="1" fontId="19" fillId="0" borderId="0" xfId="3" applyNumberFormat="1" applyFont="1" applyFill="1" applyBorder="1" applyAlignment="1">
      <alignment horizontal="center" vertical="center"/>
    </xf>
    <xf numFmtId="168" fontId="18" fillId="0" borderId="0" xfId="1" applyNumberFormat="1" applyFont="1" applyFill="1" applyBorder="1" applyAlignment="1">
      <alignment horizontal="center" vertical="center" wrapText="1" readingOrder="1"/>
    </xf>
    <xf numFmtId="0" fontId="20" fillId="0" borderId="0" xfId="0" applyFont="1" applyAlignment="1">
      <alignment horizontal="center" vertical="center" wrapText="1" readingOrder="1"/>
    </xf>
    <xf numFmtId="0" fontId="19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43" fontId="0" fillId="0" borderId="0" xfId="3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167" fontId="0" fillId="0" borderId="0" xfId="0" applyNumberFormat="1" applyAlignment="1">
      <alignment horizontal="center" vertical="center"/>
    </xf>
    <xf numFmtId="167" fontId="18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quotePrefix="1"/>
    <xf numFmtId="38" fontId="0" fillId="0" borderId="0" xfId="0" applyNumberFormat="1"/>
    <xf numFmtId="172" fontId="0" fillId="0" borderId="0" xfId="3" applyNumberFormat="1" applyFont="1"/>
    <xf numFmtId="1" fontId="19" fillId="0" borderId="0" xfId="0" applyNumberFormat="1" applyFont="1" applyAlignment="1">
      <alignment wrapText="1" readingOrder="1"/>
    </xf>
    <xf numFmtId="0" fontId="3" fillId="13" borderId="0" xfId="0" applyFont="1" applyFill="1"/>
    <xf numFmtId="0" fontId="3" fillId="13" borderId="1" xfId="0" applyFont="1" applyFill="1" applyBorder="1"/>
    <xf numFmtId="166" fontId="3" fillId="13" borderId="1" xfId="0" applyNumberFormat="1" applyFont="1" applyFill="1" applyBorder="1"/>
    <xf numFmtId="0" fontId="0" fillId="0" borderId="0" xfId="0" applyAlignment="1">
      <alignment horizontal="left"/>
    </xf>
    <xf numFmtId="0" fontId="0" fillId="0" borderId="0" xfId="0" pivotButton="1"/>
    <xf numFmtId="43" fontId="0" fillId="0" borderId="0" xfId="0" applyNumberFormat="1"/>
    <xf numFmtId="166" fontId="0" fillId="0" borderId="0" xfId="0" applyNumberFormat="1" applyAlignment="1">
      <alignment horizontal="left" indent="1"/>
    </xf>
    <xf numFmtId="0" fontId="24" fillId="0" borderId="27" xfId="0" applyFont="1" applyBorder="1"/>
    <xf numFmtId="0" fontId="0" fillId="0" borderId="24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12" fillId="0" borderId="0" xfId="0" applyFont="1"/>
    <xf numFmtId="0" fontId="0" fillId="0" borderId="31" xfId="0" applyBorder="1"/>
    <xf numFmtId="0" fontId="0" fillId="0" borderId="26" xfId="0" applyBorder="1"/>
    <xf numFmtId="0" fontId="0" fillId="0" borderId="32" xfId="0" applyBorder="1"/>
    <xf numFmtId="14" fontId="15" fillId="0" borderId="0" xfId="0" applyNumberFormat="1" applyFont="1" applyAlignment="1">
      <alignment horizontal="center" wrapText="1" readingOrder="1"/>
    </xf>
    <xf numFmtId="1" fontId="26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/>
    </xf>
    <xf numFmtId="0" fontId="2" fillId="3" borderId="0" xfId="0" applyFont="1" applyFill="1" applyAlignment="1">
      <alignment horizontal="center"/>
    </xf>
    <xf numFmtId="1" fontId="3" fillId="4" borderId="0" xfId="0" applyNumberFormat="1" applyFont="1" applyFill="1" applyAlignment="1">
      <alignment horizontal="center"/>
    </xf>
    <xf numFmtId="1" fontId="3" fillId="0" borderId="0" xfId="0" applyNumberFormat="1" applyFont="1" applyAlignment="1">
      <alignment horizontal="center"/>
    </xf>
    <xf numFmtId="1" fontId="25" fillId="14" borderId="2" xfId="0" applyNumberFormat="1" applyFont="1" applyFill="1" applyBorder="1" applyAlignment="1">
      <alignment horizontal="center" vertical="center"/>
    </xf>
    <xf numFmtId="0" fontId="5" fillId="0" borderId="0" xfId="0" applyFont="1"/>
    <xf numFmtId="166" fontId="28" fillId="5" borderId="0" xfId="3" applyNumberFormat="1" applyFont="1" applyFill="1"/>
    <xf numFmtId="2" fontId="0" fillId="0" borderId="6" xfId="1" applyNumberFormat="1" applyFont="1" applyBorder="1" applyAlignment="1">
      <alignment horizontal="center"/>
    </xf>
    <xf numFmtId="1" fontId="8" fillId="4" borderId="0" xfId="0" applyNumberFormat="1" applyFont="1" applyFill="1" applyAlignment="1">
      <alignment horizontal="center" vertical="center"/>
    </xf>
    <xf numFmtId="0" fontId="0" fillId="0" borderId="0" xfId="0" applyAlignment="1">
      <alignment horizontal="right" indent="1"/>
    </xf>
    <xf numFmtId="0" fontId="6" fillId="0" borderId="0" xfId="2" applyAlignment="1">
      <alignment horizontal="left" indent="1"/>
    </xf>
    <xf numFmtId="14" fontId="0" fillId="0" borderId="0" xfId="0" applyNumberFormat="1"/>
    <xf numFmtId="164" fontId="0" fillId="0" borderId="0" xfId="0" applyNumberFormat="1"/>
    <xf numFmtId="0" fontId="0" fillId="0" borderId="0" xfId="0" applyAlignment="1">
      <alignment horizontal="left" wrapText="1" indent="1"/>
    </xf>
    <xf numFmtId="0" fontId="3" fillId="0" borderId="0" xfId="0" applyFont="1" applyAlignment="1">
      <alignment horizontal="left"/>
    </xf>
    <xf numFmtId="1" fontId="3" fillId="0" borderId="0" xfId="0" applyNumberFormat="1" applyFont="1"/>
    <xf numFmtId="166" fontId="5" fillId="0" borderId="0" xfId="0" applyNumberFormat="1" applyFont="1"/>
    <xf numFmtId="166" fontId="8" fillId="0" borderId="0" xfId="0" applyNumberFormat="1" applyFont="1"/>
    <xf numFmtId="16" fontId="0" fillId="0" borderId="0" xfId="0" applyNumberFormat="1"/>
    <xf numFmtId="16" fontId="0" fillId="0" borderId="0" xfId="0" applyNumberFormat="1" applyAlignment="1">
      <alignment horizontal="left" indent="1"/>
    </xf>
    <xf numFmtId="1" fontId="0" fillId="5" borderId="0" xfId="0" applyNumberFormat="1" applyFill="1"/>
    <xf numFmtId="1" fontId="5" fillId="5" borderId="0" xfId="0" applyNumberFormat="1" applyFont="1" applyFill="1"/>
    <xf numFmtId="1" fontId="0" fillId="0" borderId="1" xfId="0" applyNumberFormat="1" applyBorder="1"/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 wrapText="1"/>
    </xf>
    <xf numFmtId="0" fontId="2" fillId="3" borderId="6" xfId="0" quotePrefix="1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/>
    </xf>
    <xf numFmtId="14" fontId="29" fillId="0" borderId="1" xfId="0" applyNumberFormat="1" applyFont="1" applyBorder="1" applyAlignment="1">
      <alignment horizontal="center" vertical="center"/>
    </xf>
  </cellXfs>
  <cellStyles count="4">
    <cellStyle name="Comma" xfId="3" builtinId="3"/>
    <cellStyle name="Hyperlink" xfId="2" builtinId="8"/>
    <cellStyle name="Normal" xfId="0" builtinId="0"/>
    <cellStyle name="Percent" xfId="1" builtinId="5"/>
  </cellStyles>
  <dxfs count="3">
    <dxf>
      <numFmt numFmtId="166" formatCode="_(* #,##0_);_(* \(#,##0\);_(* &quot;-&quot;??_);_(@_)"/>
    </dxf>
    <dxf>
      <numFmt numFmtId="166" formatCode="_(* #,##0_);_(* \(#,##0\);_(* &quot;-&quot;??_);_(@_)"/>
    </dxf>
    <dxf>
      <numFmt numFmtId="166" formatCode="_(* #,##0_);_(* \(#,##0\);_(* &quot;-&quot;??_);_(@_)"/>
    </dxf>
  </dxfs>
  <tableStyles count="0" defaultTableStyle="TableStyleMedium2" defaultPivotStyle="PivotStyleLight16"/>
  <colors>
    <mruColors>
      <color rgb="FF7C35B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Planned &amp; Unplanned Mogas</a:t>
            </a:r>
            <a:r>
              <a:rPr lang="en-US" baseline="0"/>
              <a:t> Offline Prod (kbd)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9247594050743664E-2"/>
          <c:y val="0.22669036162146397"/>
          <c:w val="0.89019685039370078"/>
          <c:h val="0.66591025080198307"/>
        </c:manualLayout>
      </c:layout>
      <c:lineChart>
        <c:grouping val="standard"/>
        <c:varyColors val="0"/>
        <c:ser>
          <c:idx val="0"/>
          <c:order val="0"/>
          <c:tx>
            <c:v>2024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'P2 - 2026 delet'!$R$35:$AC$35</c:f>
              <c:numCache>
                <c:formatCode>0</c:formatCode>
                <c:ptCount val="12"/>
                <c:pt idx="5">
                  <c:v>-3.4104444443333315</c:v>
                </c:pt>
                <c:pt idx="6">
                  <c:v>84.983870967741936</c:v>
                </c:pt>
                <c:pt idx="7">
                  <c:v>101.91132616509677</c:v>
                </c:pt>
                <c:pt idx="8">
                  <c:v>216.29499999988892</c:v>
                </c:pt>
                <c:pt idx="9">
                  <c:v>128.79186164863438</c:v>
                </c:pt>
                <c:pt idx="10">
                  <c:v>76.768333333333331</c:v>
                </c:pt>
                <c:pt idx="11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FB-442A-AFB8-82C4EAE03DCD}"/>
            </c:ext>
          </c:extLst>
        </c:ser>
        <c:ser>
          <c:idx val="1"/>
          <c:order val="1"/>
          <c:tx>
            <c:v>2023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'P2 - 2026 delet'!$R$38:$AC$38</c:f>
              <c:numCache>
                <c:formatCode>0</c:formatCode>
                <c:ptCount val="12"/>
                <c:pt idx="6">
                  <c:v>36.5</c:v>
                </c:pt>
                <c:pt idx="7">
                  <c:v>131.6</c:v>
                </c:pt>
                <c:pt idx="8">
                  <c:v>97</c:v>
                </c:pt>
                <c:pt idx="9">
                  <c:v>203</c:v>
                </c:pt>
                <c:pt idx="10">
                  <c:v>280.8</c:v>
                </c:pt>
                <c:pt idx="11">
                  <c:v>132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FB-442A-AFB8-82C4EAE03DCD}"/>
            </c:ext>
          </c:extLst>
        </c:ser>
        <c:ser>
          <c:idx val="2"/>
          <c:order val="2"/>
          <c:tx>
            <c:v>2022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'P2 - 2026 delet'!$R$40:$AC$40</c:f>
              <c:numCache>
                <c:formatCode>0</c:formatCode>
                <c:ptCount val="12"/>
                <c:pt idx="0">
                  <c:v>290.55306666500002</c:v>
                </c:pt>
                <c:pt idx="1">
                  <c:v>234.396999999</c:v>
                </c:pt>
                <c:pt idx="2">
                  <c:v>282.96883333100004</c:v>
                </c:pt>
                <c:pt idx="3">
                  <c:v>366</c:v>
                </c:pt>
                <c:pt idx="4">
                  <c:v>207.17533333399999</c:v>
                </c:pt>
                <c:pt idx="5">
                  <c:v>86.418666666999997</c:v>
                </c:pt>
                <c:pt idx="6">
                  <c:v>74.094000000000008</c:v>
                </c:pt>
                <c:pt idx="7">
                  <c:v>22.667666666000002</c:v>
                </c:pt>
                <c:pt idx="8">
                  <c:v>242.75643333300002</c:v>
                </c:pt>
                <c:pt idx="9">
                  <c:v>308.80980000099999</c:v>
                </c:pt>
                <c:pt idx="10">
                  <c:v>71.480000001000008</c:v>
                </c:pt>
                <c:pt idx="11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5FB-442A-AFB8-82C4EAE03D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10308256"/>
        <c:axId val="1910315328"/>
      </c:lineChart>
      <c:catAx>
        <c:axId val="191030825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0315328"/>
        <c:crosses val="autoZero"/>
        <c:auto val="1"/>
        <c:lblAlgn val="ctr"/>
        <c:lblOffset val="100"/>
        <c:noMultiLvlLbl val="0"/>
      </c:catAx>
      <c:valAx>
        <c:axId val="1910315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0308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P2 Planned Mogas</a:t>
            </a:r>
            <a:r>
              <a:rPr lang="en-US" baseline="0"/>
              <a:t> Offline Prod (kbd)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1418833103338184E-2"/>
          <c:y val="0.24134252449213078"/>
          <c:w val="0.89019685039370078"/>
          <c:h val="0.66591025080198307"/>
        </c:manualLayout>
      </c:layout>
      <c:lineChart>
        <c:grouping val="standard"/>
        <c:varyColors val="0"/>
        <c:ser>
          <c:idx val="0"/>
          <c:order val="0"/>
          <c:tx>
            <c:v>2024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'P2 - 2026 delet'!$W$4:$AC$4</c:f>
              <c:strCache>
                <c:ptCount val="7"/>
                <c:pt idx="0">
                  <c:v>Jun</c:v>
                </c:pt>
                <c:pt idx="1">
                  <c:v>Jul</c:v>
                </c:pt>
                <c:pt idx="2">
                  <c:v>Aug</c:v>
                </c:pt>
                <c:pt idx="3">
                  <c:v>Sep</c:v>
                </c:pt>
                <c:pt idx="4">
                  <c:v>Oct</c:v>
                </c:pt>
                <c:pt idx="5">
                  <c:v>Nov</c:v>
                </c:pt>
                <c:pt idx="6">
                  <c:v>Dec</c:v>
                </c:pt>
              </c:strCache>
            </c:strRef>
          </c:cat>
          <c:val>
            <c:numRef>
              <c:f>'P2 - 2026 delet'!$W$43:$AC$43</c:f>
              <c:numCache>
                <c:formatCode>0</c:formatCode>
                <c:ptCount val="7"/>
                <c:pt idx="0">
                  <c:v>0</c:v>
                </c:pt>
                <c:pt idx="1">
                  <c:v>4.0733333333333341</c:v>
                </c:pt>
                <c:pt idx="2">
                  <c:v>6.9193548387096779</c:v>
                </c:pt>
                <c:pt idx="3">
                  <c:v>199.59333333333333</c:v>
                </c:pt>
                <c:pt idx="4">
                  <c:v>280.56451612903226</c:v>
                </c:pt>
                <c:pt idx="5">
                  <c:v>44.496666666666663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AE-4343-A3E9-1784A96AA9DA}"/>
            </c:ext>
          </c:extLst>
        </c:ser>
        <c:ser>
          <c:idx val="3"/>
          <c:order val="1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#REF!</c:f>
            </c:multiLvlStr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AE-4343-A3E9-1784A96AA9DA}"/>
            </c:ext>
          </c:extLst>
        </c:ser>
        <c:ser>
          <c:idx val="1"/>
          <c:order val="2"/>
          <c:tx>
            <c:v>2023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'P2 - 2026 delet'!$W$4:$AC$4</c:f>
              <c:strCache>
                <c:ptCount val="7"/>
                <c:pt idx="0">
                  <c:v>Jun</c:v>
                </c:pt>
                <c:pt idx="1">
                  <c:v>Jul</c:v>
                </c:pt>
                <c:pt idx="2">
                  <c:v>Aug</c:v>
                </c:pt>
                <c:pt idx="3">
                  <c:v>Sep</c:v>
                </c:pt>
                <c:pt idx="4">
                  <c:v>Oct</c:v>
                </c:pt>
                <c:pt idx="5">
                  <c:v>Nov</c:v>
                </c:pt>
                <c:pt idx="6">
                  <c:v>Dec</c:v>
                </c:pt>
              </c:strCache>
            </c:strRef>
          </c:cat>
          <c:val>
            <c:numRef>
              <c:f>'P2 - 2026 delet'!$W$45:$AC$45</c:f>
              <c:numCache>
                <c:formatCode>0</c:formatCode>
                <c:ptCount val="7"/>
                <c:pt idx="0">
                  <c:v>0</c:v>
                </c:pt>
                <c:pt idx="1">
                  <c:v>12.474666666000001</c:v>
                </c:pt>
                <c:pt idx="2">
                  <c:v>0</c:v>
                </c:pt>
                <c:pt idx="3">
                  <c:v>224.61643333299997</c:v>
                </c:pt>
                <c:pt idx="4">
                  <c:v>270.88113333400003</c:v>
                </c:pt>
                <c:pt idx="5">
                  <c:v>31.586666666999996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8AE-4343-A3E9-1784A96AA9DA}"/>
            </c:ext>
          </c:extLst>
        </c:ser>
        <c:ser>
          <c:idx val="2"/>
          <c:order val="3"/>
          <c:tx>
            <c:v>2022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'P2 - 2026 delet'!$W$4:$AC$4</c:f>
              <c:strCache>
                <c:ptCount val="7"/>
                <c:pt idx="0">
                  <c:v>Jun</c:v>
                </c:pt>
                <c:pt idx="1">
                  <c:v>Jul</c:v>
                </c:pt>
                <c:pt idx="2">
                  <c:v>Aug</c:v>
                </c:pt>
                <c:pt idx="3">
                  <c:v>Sep</c:v>
                </c:pt>
                <c:pt idx="4">
                  <c:v>Oct</c:v>
                </c:pt>
                <c:pt idx="5">
                  <c:v>Nov</c:v>
                </c:pt>
                <c:pt idx="6">
                  <c:v>Dec</c:v>
                </c:pt>
              </c:strCache>
            </c:strRef>
          </c:cat>
          <c:val>
            <c:numRef>
              <c:f>'P2 - 2026 delet'!$W$47:$AC$47</c:f>
              <c:numCache>
                <c:formatCode>0</c:formatCode>
                <c:ptCount val="7"/>
                <c:pt idx="0">
                  <c:v>96.649999999999991</c:v>
                </c:pt>
                <c:pt idx="1">
                  <c:v>111.17683333299999</c:v>
                </c:pt>
                <c:pt idx="2">
                  <c:v>97.614333332000001</c:v>
                </c:pt>
                <c:pt idx="3">
                  <c:v>63.706666667</c:v>
                </c:pt>
                <c:pt idx="4">
                  <c:v>154.534533334</c:v>
                </c:pt>
                <c:pt idx="5">
                  <c:v>69.530333334000005</c:v>
                </c:pt>
                <c:pt idx="6">
                  <c:v>0.66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8AE-4343-A3E9-1784A96AA9DA}"/>
            </c:ext>
          </c:extLst>
        </c:ser>
        <c:ser>
          <c:idx val="4"/>
          <c:order val="4"/>
          <c:tx>
            <c:v>2025</c:v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'P2 - 2026 delet'!$W$42:$AC$42</c:f>
              <c:numCache>
                <c:formatCode>0</c:formatCode>
                <c:ptCount val="7"/>
                <c:pt idx="0">
                  <c:v>0</c:v>
                </c:pt>
                <c:pt idx="1">
                  <c:v>29.983870967741939</c:v>
                </c:pt>
                <c:pt idx="2">
                  <c:v>53</c:v>
                </c:pt>
                <c:pt idx="3">
                  <c:v>198.01500000000001</c:v>
                </c:pt>
                <c:pt idx="4">
                  <c:v>99.915322580645153</c:v>
                </c:pt>
                <c:pt idx="5">
                  <c:v>10.768333333333334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8AE-4343-A3E9-1784A96AA9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10308256"/>
        <c:axId val="1910315328"/>
      </c:lineChart>
      <c:catAx>
        <c:axId val="191030825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0315328"/>
        <c:crosses val="autoZero"/>
        <c:auto val="1"/>
        <c:lblAlgn val="ctr"/>
        <c:lblOffset val="100"/>
        <c:noMultiLvlLbl val="0"/>
      </c:catAx>
      <c:valAx>
        <c:axId val="1910315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0308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P2 Planned &amp; Unplanned Mogas</a:t>
            </a:r>
            <a:r>
              <a:rPr lang="en-US" baseline="0"/>
              <a:t> Offline Prod (kbd)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1418833103338184E-2"/>
          <c:y val="0.24134252449213078"/>
          <c:w val="0.89019685039370078"/>
          <c:h val="0.66591025080198307"/>
        </c:manualLayout>
      </c:layout>
      <c:lineChart>
        <c:grouping val="standard"/>
        <c:varyColors val="0"/>
        <c:ser>
          <c:idx val="0"/>
          <c:order val="0"/>
          <c:tx>
            <c:v>2024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'P2 - 2026 delet'!$W$4:$AC$4</c:f>
              <c:strCache>
                <c:ptCount val="7"/>
                <c:pt idx="0">
                  <c:v>Jun</c:v>
                </c:pt>
                <c:pt idx="1">
                  <c:v>Jul</c:v>
                </c:pt>
                <c:pt idx="2">
                  <c:v>Aug</c:v>
                </c:pt>
                <c:pt idx="3">
                  <c:v>Sep</c:v>
                </c:pt>
                <c:pt idx="4">
                  <c:v>Oct</c:v>
                </c:pt>
                <c:pt idx="5">
                  <c:v>Nov</c:v>
                </c:pt>
                <c:pt idx="6">
                  <c:v>Dec</c:v>
                </c:pt>
              </c:strCache>
            </c:strRef>
          </c:cat>
          <c:val>
            <c:numRef>
              <c:f>'P2 - 2026 delet'!$W$36:$AC$36</c:f>
              <c:numCache>
                <c:formatCode>0</c:formatCode>
                <c:ptCount val="7"/>
                <c:pt idx="1">
                  <c:v>131.6</c:v>
                </c:pt>
                <c:pt idx="2">
                  <c:v>97</c:v>
                </c:pt>
                <c:pt idx="3">
                  <c:v>203</c:v>
                </c:pt>
                <c:pt idx="4">
                  <c:v>280.8</c:v>
                </c:pt>
                <c:pt idx="5">
                  <c:v>132</c:v>
                </c:pt>
                <c:pt idx="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EB-49CF-8651-E19652CD1D60}"/>
            </c:ext>
          </c:extLst>
        </c:ser>
        <c:ser>
          <c:idx val="3"/>
          <c:order val="1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#REF!</c:f>
            </c:multiLvlStr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6EB-49CF-8651-E19652CD1D60}"/>
            </c:ext>
          </c:extLst>
        </c:ser>
        <c:ser>
          <c:idx val="1"/>
          <c:order val="2"/>
          <c:tx>
            <c:v>2023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'P2 - 2026 delet'!$W$4:$AC$4</c:f>
              <c:strCache>
                <c:ptCount val="7"/>
                <c:pt idx="0">
                  <c:v>Jun</c:v>
                </c:pt>
                <c:pt idx="1">
                  <c:v>Jul</c:v>
                </c:pt>
                <c:pt idx="2">
                  <c:v>Aug</c:v>
                </c:pt>
                <c:pt idx="3">
                  <c:v>Sep</c:v>
                </c:pt>
                <c:pt idx="4">
                  <c:v>Oct</c:v>
                </c:pt>
                <c:pt idx="5">
                  <c:v>Nov</c:v>
                </c:pt>
                <c:pt idx="6">
                  <c:v>Dec</c:v>
                </c:pt>
              </c:strCache>
            </c:strRef>
          </c:cat>
          <c:val>
            <c:numRef>
              <c:f>'P2 - 2026 delet'!$W$38:$AC$38</c:f>
              <c:numCache>
                <c:formatCode>0</c:formatCode>
                <c:ptCount val="7"/>
                <c:pt idx="1">
                  <c:v>36.5</c:v>
                </c:pt>
                <c:pt idx="2">
                  <c:v>131.6</c:v>
                </c:pt>
                <c:pt idx="3">
                  <c:v>97</c:v>
                </c:pt>
                <c:pt idx="4">
                  <c:v>203</c:v>
                </c:pt>
                <c:pt idx="5">
                  <c:v>280.8</c:v>
                </c:pt>
                <c:pt idx="6">
                  <c:v>132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EB-49CF-8651-E19652CD1D60}"/>
            </c:ext>
          </c:extLst>
        </c:ser>
        <c:ser>
          <c:idx val="2"/>
          <c:order val="3"/>
          <c:tx>
            <c:v>2022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'P2 - 2026 delet'!$W$4:$AC$4</c:f>
              <c:strCache>
                <c:ptCount val="7"/>
                <c:pt idx="0">
                  <c:v>Jun</c:v>
                </c:pt>
                <c:pt idx="1">
                  <c:v>Jul</c:v>
                </c:pt>
                <c:pt idx="2">
                  <c:v>Aug</c:v>
                </c:pt>
                <c:pt idx="3">
                  <c:v>Sep</c:v>
                </c:pt>
                <c:pt idx="4">
                  <c:v>Oct</c:v>
                </c:pt>
                <c:pt idx="5">
                  <c:v>Nov</c:v>
                </c:pt>
                <c:pt idx="6">
                  <c:v>Dec</c:v>
                </c:pt>
              </c:strCache>
            </c:strRef>
          </c:cat>
          <c:val>
            <c:numRef>
              <c:f>'P2 - 2026 delet'!$W$40:$AC$40</c:f>
              <c:numCache>
                <c:formatCode>0</c:formatCode>
                <c:ptCount val="7"/>
                <c:pt idx="0">
                  <c:v>86.418666666999997</c:v>
                </c:pt>
                <c:pt idx="1">
                  <c:v>74.094000000000008</c:v>
                </c:pt>
                <c:pt idx="2">
                  <c:v>22.667666666000002</c:v>
                </c:pt>
                <c:pt idx="3">
                  <c:v>242.75643333300002</c:v>
                </c:pt>
                <c:pt idx="4">
                  <c:v>308.80980000099999</c:v>
                </c:pt>
                <c:pt idx="5">
                  <c:v>71.480000001000008</c:v>
                </c:pt>
                <c:pt idx="6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6EB-49CF-8651-E19652CD1D60}"/>
            </c:ext>
          </c:extLst>
        </c:ser>
        <c:ser>
          <c:idx val="4"/>
          <c:order val="4"/>
          <c:tx>
            <c:v>2025</c:v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'P2 - 2026 delet'!$W$4:$AC$4</c:f>
              <c:strCache>
                <c:ptCount val="7"/>
                <c:pt idx="0">
                  <c:v>Jun</c:v>
                </c:pt>
                <c:pt idx="1">
                  <c:v>Jul</c:v>
                </c:pt>
                <c:pt idx="2">
                  <c:v>Aug</c:v>
                </c:pt>
                <c:pt idx="3">
                  <c:v>Sep</c:v>
                </c:pt>
                <c:pt idx="4">
                  <c:v>Oct</c:v>
                </c:pt>
                <c:pt idx="5">
                  <c:v>Nov</c:v>
                </c:pt>
                <c:pt idx="6">
                  <c:v>Dec</c:v>
                </c:pt>
              </c:strCache>
            </c:strRef>
          </c:cat>
          <c:val>
            <c:numRef>
              <c:f>'P2 - 2026 delet'!$W$35:$AC$35</c:f>
              <c:numCache>
                <c:formatCode>0</c:formatCode>
                <c:ptCount val="7"/>
                <c:pt idx="0">
                  <c:v>-3.4104444443333315</c:v>
                </c:pt>
                <c:pt idx="1">
                  <c:v>84.983870967741936</c:v>
                </c:pt>
                <c:pt idx="2">
                  <c:v>101.91132616509677</c:v>
                </c:pt>
                <c:pt idx="3">
                  <c:v>216.29499999988892</c:v>
                </c:pt>
                <c:pt idx="4">
                  <c:v>128.79186164863438</c:v>
                </c:pt>
                <c:pt idx="5">
                  <c:v>76.768333333333331</c:v>
                </c:pt>
                <c:pt idx="6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6EB-49CF-8651-E19652CD1D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10308256"/>
        <c:axId val="1910315328"/>
      </c:lineChart>
      <c:catAx>
        <c:axId val="191030825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0315328"/>
        <c:crosses val="autoZero"/>
        <c:auto val="1"/>
        <c:lblAlgn val="ctr"/>
        <c:lblOffset val="100"/>
        <c:noMultiLvlLbl val="0"/>
      </c:catAx>
      <c:valAx>
        <c:axId val="1910315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0308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</a:t>
            </a:r>
            <a:r>
              <a:rPr lang="en-US" baseline="0"/>
              <a:t>2 </a:t>
            </a:r>
            <a:r>
              <a:rPr lang="en-US"/>
              <a:t>Planned &amp; Unplanned Mogas</a:t>
            </a:r>
            <a:r>
              <a:rPr lang="en-US" baseline="0"/>
              <a:t> Offline Prod (kbd)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1418833103338184E-2"/>
          <c:y val="0.24134252449213078"/>
          <c:w val="0.89019685039370078"/>
          <c:h val="0.66591025080198307"/>
        </c:manualLayout>
      </c:layout>
      <c:barChart>
        <c:barDir val="col"/>
        <c:grouping val="stacked"/>
        <c:varyColors val="0"/>
        <c:ser>
          <c:idx val="4"/>
          <c:order val="3"/>
          <c:tx>
            <c:strRef>
              <c:f>'P2 - 2026 '!$M$42</c:f>
              <c:strCache>
                <c:ptCount val="1"/>
                <c:pt idx="0">
                  <c:v>2026 Plan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'P2 - 2026 '!$N$34:$Y$34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'P2 - 2026 '!$N$42:$Y$42</c:f>
              <c:numCache>
                <c:formatCode>0</c:formatCode>
                <c:ptCount val="12"/>
                <c:pt idx="0">
                  <c:v>0</c:v>
                </c:pt>
                <c:pt idx="1">
                  <c:v>53.057000000000002</c:v>
                </c:pt>
                <c:pt idx="2">
                  <c:v>194.77225000000001</c:v>
                </c:pt>
                <c:pt idx="3">
                  <c:v>178.60900000000001</c:v>
                </c:pt>
                <c:pt idx="4">
                  <c:v>54.30449999999999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145.55324999999999</c:v>
                </c:pt>
                <c:pt idx="9">
                  <c:v>177.76815000000002</c:v>
                </c:pt>
                <c:pt idx="10">
                  <c:v>82.875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BC-4193-87C6-C1169DF6A7B3}"/>
            </c:ext>
          </c:extLst>
        </c:ser>
        <c:ser>
          <c:idx val="5"/>
          <c:order val="4"/>
          <c:tx>
            <c:strRef>
              <c:f>'P5 - 2026'!$Q$30</c:f>
              <c:strCache>
                <c:ptCount val="1"/>
                <c:pt idx="0">
                  <c:v>2026 Unplanned Outages Estimate</c:v>
                </c:pt>
              </c:strCache>
            </c:strRef>
          </c:tx>
          <c:spPr>
            <a:solidFill>
              <a:schemeClr val="accent2">
                <a:alpha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'P2 - 2026 '!$N$34:$Y$34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'P2 - 2026 '!$N$54:$Y$54</c:f>
              <c:numCache>
                <c:formatCode>_(* #,##0_);_(* \(#,##0\);_(* "-"??_);_(@_)</c:formatCode>
                <c:ptCount val="12"/>
                <c:pt idx="0">
                  <c:v>29.4</c:v>
                </c:pt>
                <c:pt idx="1">
                  <c:v>93.334124999999986</c:v>
                </c:pt>
                <c:pt idx="2">
                  <c:v>6.3562999999999477</c:v>
                </c:pt>
                <c:pt idx="3">
                  <c:v>53.234499999999997</c:v>
                </c:pt>
                <c:pt idx="4">
                  <c:v>159.2841</c:v>
                </c:pt>
                <c:pt idx="5">
                  <c:v>52.122888889000002</c:v>
                </c:pt>
                <c:pt idx="6" formatCode="0">
                  <c:v>52.999660215409314</c:v>
                </c:pt>
                <c:pt idx="7" formatCode="0">
                  <c:v>54.230731182499404</c:v>
                </c:pt>
                <c:pt idx="8" formatCode="0">
                  <c:v>21.355666666666679</c:v>
                </c:pt>
                <c:pt idx="9" formatCode="0">
                  <c:v>55.553003942763439</c:v>
                </c:pt>
                <c:pt idx="10" formatCode="0">
                  <c:v>49.605000000444448</c:v>
                </c:pt>
                <c:pt idx="11" formatCode="0">
                  <c:v>15.9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BC-4193-87C6-C1169DF6A7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10308256"/>
        <c:axId val="1910315328"/>
      </c:barChart>
      <c:lineChart>
        <c:grouping val="standard"/>
        <c:varyColors val="0"/>
        <c:ser>
          <c:idx val="0"/>
          <c:order val="0"/>
          <c:tx>
            <c:strRef>
              <c:f>'P2 - 2026 '!$M$36</c:f>
              <c:strCache>
                <c:ptCount val="1"/>
                <c:pt idx="0">
                  <c:v>2025 Outages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'P2 - 2026 '!$N$34:$Y$34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'P2 - 2026 '!$N$36:$Y$36</c:f>
              <c:numCache>
                <c:formatCode>0</c:formatCode>
                <c:ptCount val="12"/>
                <c:pt idx="0">
                  <c:v>47.430483870967741</c:v>
                </c:pt>
                <c:pt idx="1">
                  <c:v>99.612500000000011</c:v>
                </c:pt>
                <c:pt idx="2">
                  <c:v>210.36193548387095</c:v>
                </c:pt>
                <c:pt idx="3">
                  <c:v>371.07308333333339</c:v>
                </c:pt>
                <c:pt idx="4">
                  <c:v>244.7332258064516</c:v>
                </c:pt>
                <c:pt idx="5">
                  <c:v>44.76</c:v>
                </c:pt>
                <c:pt idx="6">
                  <c:v>59.686999999999998</c:v>
                </c:pt>
                <c:pt idx="7">
                  <c:v>79.650000000000006</c:v>
                </c:pt>
                <c:pt idx="8">
                  <c:v>159.2175</c:v>
                </c:pt>
                <c:pt idx="9">
                  <c:v>313.09969999999998</c:v>
                </c:pt>
                <c:pt idx="10">
                  <c:v>83.47</c:v>
                </c:pt>
                <c:pt idx="11">
                  <c:v>15.9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3BC-4193-87C6-C1169DF6A7B3}"/>
            </c:ext>
          </c:extLst>
        </c:ser>
        <c:ser>
          <c:idx val="1"/>
          <c:order val="1"/>
          <c:tx>
            <c:strRef>
              <c:f>'P2 - 2026 '!$M$38</c:f>
              <c:strCache>
                <c:ptCount val="1"/>
                <c:pt idx="0">
                  <c:v>2024 Outages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'P2 - 2026 '!$N$34:$Y$34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'P2 - 2026 '!$N$38:$Y$38</c:f>
              <c:numCache>
                <c:formatCode>0</c:formatCode>
                <c:ptCount val="12"/>
                <c:pt idx="0">
                  <c:v>90</c:v>
                </c:pt>
                <c:pt idx="1">
                  <c:v>280.58189655172407</c:v>
                </c:pt>
                <c:pt idx="2">
                  <c:v>163</c:v>
                </c:pt>
                <c:pt idx="3">
                  <c:v>276.65499999999997</c:v>
                </c:pt>
                <c:pt idx="4">
                  <c:v>126.35806451612903</c:v>
                </c:pt>
                <c:pt idx="5">
                  <c:v>45</c:v>
                </c:pt>
                <c:pt idx="6">
                  <c:v>131.6</c:v>
                </c:pt>
                <c:pt idx="7">
                  <c:v>97</c:v>
                </c:pt>
                <c:pt idx="8">
                  <c:v>203</c:v>
                </c:pt>
                <c:pt idx="9">
                  <c:v>280.8</c:v>
                </c:pt>
                <c:pt idx="10">
                  <c:v>132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3BC-4193-87C6-C1169DF6A7B3}"/>
            </c:ext>
          </c:extLst>
        </c:ser>
        <c:ser>
          <c:idx val="2"/>
          <c:order val="2"/>
          <c:tx>
            <c:strRef>
              <c:f>'P2 - 2026 '!$M$40</c:f>
              <c:strCache>
                <c:ptCount val="1"/>
                <c:pt idx="0">
                  <c:v>2023 Outages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'P2 - 2026 '!$N$34:$Y$34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'P2 - 2026 '!$N$40:$Y$40</c:f>
              <c:numCache>
                <c:formatCode>0</c:formatCode>
                <c:ptCount val="12"/>
                <c:pt idx="0">
                  <c:v>290.55306666500002</c:v>
                </c:pt>
                <c:pt idx="1">
                  <c:v>234.396999999</c:v>
                </c:pt>
                <c:pt idx="2">
                  <c:v>282.96883333100004</c:v>
                </c:pt>
                <c:pt idx="3">
                  <c:v>366</c:v>
                </c:pt>
                <c:pt idx="4">
                  <c:v>207.17533333399999</c:v>
                </c:pt>
                <c:pt idx="5">
                  <c:v>86.418666666999997</c:v>
                </c:pt>
                <c:pt idx="6">
                  <c:v>74.094000000000008</c:v>
                </c:pt>
                <c:pt idx="7">
                  <c:v>22.667666666000002</c:v>
                </c:pt>
                <c:pt idx="8">
                  <c:v>242.75643333300002</c:v>
                </c:pt>
                <c:pt idx="9">
                  <c:v>308.80980000099999</c:v>
                </c:pt>
                <c:pt idx="10">
                  <c:v>71.480000001000008</c:v>
                </c:pt>
                <c:pt idx="11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3BC-4193-87C6-C1169DF6A7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0308256"/>
        <c:axId val="1910315328"/>
      </c:lineChart>
      <c:catAx>
        <c:axId val="191030825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0315328"/>
        <c:crosses val="autoZero"/>
        <c:auto val="1"/>
        <c:lblAlgn val="ctr"/>
        <c:lblOffset val="100"/>
        <c:noMultiLvlLbl val="0"/>
      </c:catAx>
      <c:valAx>
        <c:axId val="1910315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0308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P2 Planned Mogas</a:t>
            </a:r>
            <a:r>
              <a:rPr lang="en-US" baseline="0"/>
              <a:t> Offline Prod (kbd)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1418833103338184E-2"/>
          <c:y val="0.24134252449213078"/>
          <c:w val="0.89019685039370078"/>
          <c:h val="0.66591025080198307"/>
        </c:manualLayout>
      </c:layout>
      <c:barChart>
        <c:barDir val="col"/>
        <c:grouping val="stacked"/>
        <c:varyColors val="0"/>
        <c:ser>
          <c:idx val="4"/>
          <c:order val="3"/>
          <c:tx>
            <c:strRef>
              <c:f>'P3 - 2026'!$M$43</c:f>
              <c:strCache>
                <c:ptCount val="1"/>
                <c:pt idx="0">
                  <c:v>2026 Plan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'P3 - 2026'!$N$35:$Y$35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'P2 - 2026 '!$N$42:$Y$42</c:f>
              <c:numCache>
                <c:formatCode>0</c:formatCode>
                <c:ptCount val="12"/>
                <c:pt idx="0">
                  <c:v>0</c:v>
                </c:pt>
                <c:pt idx="1">
                  <c:v>53.057000000000002</c:v>
                </c:pt>
                <c:pt idx="2">
                  <c:v>194.77225000000001</c:v>
                </c:pt>
                <c:pt idx="3">
                  <c:v>178.60900000000001</c:v>
                </c:pt>
                <c:pt idx="4">
                  <c:v>54.30449999999999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145.55324999999999</c:v>
                </c:pt>
                <c:pt idx="9">
                  <c:v>177.76815000000002</c:v>
                </c:pt>
                <c:pt idx="10">
                  <c:v>82.875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84-4C8F-96CE-BB4905D6B2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10308256"/>
        <c:axId val="1910315328"/>
      </c:barChart>
      <c:lineChart>
        <c:grouping val="standard"/>
        <c:varyColors val="0"/>
        <c:ser>
          <c:idx val="0"/>
          <c:order val="0"/>
          <c:tx>
            <c:strRef>
              <c:f>'P2 - 2026 '!$M$43</c:f>
              <c:strCache>
                <c:ptCount val="1"/>
                <c:pt idx="0">
                  <c:v>2025 Outages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'P2 - 2026 '!$N$34:$Y$34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'P2 - 2026 '!$N$43:$Y$43</c:f>
              <c:numCache>
                <c:formatCode>0</c:formatCode>
                <c:ptCount val="12"/>
                <c:pt idx="0">
                  <c:v>8.637096774193548</c:v>
                </c:pt>
                <c:pt idx="1">
                  <c:v>18.350000000000001</c:v>
                </c:pt>
                <c:pt idx="2">
                  <c:v>202.00806451612902</c:v>
                </c:pt>
                <c:pt idx="3">
                  <c:v>278.0990000000001</c:v>
                </c:pt>
                <c:pt idx="4">
                  <c:v>122.1725806451613</c:v>
                </c:pt>
                <c:pt idx="5">
                  <c:v>19.7</c:v>
                </c:pt>
                <c:pt idx="6">
                  <c:v>36.193548387096783</c:v>
                </c:pt>
                <c:pt idx="7">
                  <c:v>42.56666666666667</c:v>
                </c:pt>
                <c:pt idx="8">
                  <c:v>127.37500000000001</c:v>
                </c:pt>
                <c:pt idx="9">
                  <c:v>184.60483870967738</c:v>
                </c:pt>
                <c:pt idx="10">
                  <c:v>32.916666666666664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84-4C8F-96CE-BB4905D6B2AC}"/>
            </c:ext>
          </c:extLst>
        </c:ser>
        <c:ser>
          <c:idx val="1"/>
          <c:order val="1"/>
          <c:tx>
            <c:strRef>
              <c:f>'P2 - 2026 '!$M$45</c:f>
              <c:strCache>
                <c:ptCount val="1"/>
                <c:pt idx="0">
                  <c:v>2024 Outages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'P2 - 2026 '!$N$34:$Y$34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'P2 - 2026 '!$N$45:$Y$45</c:f>
              <c:numCache>
                <c:formatCode>0</c:formatCode>
                <c:ptCount val="12"/>
                <c:pt idx="0">
                  <c:v>1.0000000000000001E-5</c:v>
                </c:pt>
                <c:pt idx="1">
                  <c:v>13.6</c:v>
                </c:pt>
                <c:pt idx="2">
                  <c:v>135.1494408605484</c:v>
                </c:pt>
                <c:pt idx="3">
                  <c:v>343.64733333217271</c:v>
                </c:pt>
                <c:pt idx="4">
                  <c:v>148.09725806451613</c:v>
                </c:pt>
                <c:pt idx="5">
                  <c:v>0.01</c:v>
                </c:pt>
                <c:pt idx="6">
                  <c:v>4.0733333333333341</c:v>
                </c:pt>
                <c:pt idx="7">
                  <c:v>6.9193548387096779</c:v>
                </c:pt>
                <c:pt idx="8">
                  <c:v>199.59333333333333</c:v>
                </c:pt>
                <c:pt idx="9">
                  <c:v>280.56451612903226</c:v>
                </c:pt>
                <c:pt idx="10">
                  <c:v>44.496666666666663</c:v>
                </c:pt>
                <c:pt idx="11">
                  <c:v>0.01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84-4C8F-96CE-BB4905D6B2AC}"/>
            </c:ext>
          </c:extLst>
        </c:ser>
        <c:ser>
          <c:idx val="2"/>
          <c:order val="2"/>
          <c:tx>
            <c:strRef>
              <c:f>'P2 - 2026 '!$M$47</c:f>
              <c:strCache>
                <c:ptCount val="1"/>
                <c:pt idx="0">
                  <c:v>2023 Outages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'P2 - 2026 '!$N$34:$Y$34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'P2 - 2026 '!$N$47:$Y$47</c:f>
              <c:numCache>
                <c:formatCode>0</c:formatCode>
                <c:ptCount val="12"/>
                <c:pt idx="0">
                  <c:v>100.925666666</c:v>
                </c:pt>
                <c:pt idx="1">
                  <c:v>91.353666666000009</c:v>
                </c:pt>
                <c:pt idx="2">
                  <c:v>131.694499998</c:v>
                </c:pt>
                <c:pt idx="3">
                  <c:v>199.05599999999998</c:v>
                </c:pt>
                <c:pt idx="4">
                  <c:v>55.635333332999991</c:v>
                </c:pt>
                <c:pt idx="5">
                  <c:v>0.1</c:v>
                </c:pt>
                <c:pt idx="6">
                  <c:v>12.474666666000001</c:v>
                </c:pt>
                <c:pt idx="7">
                  <c:v>0</c:v>
                </c:pt>
                <c:pt idx="8">
                  <c:v>224.61643333299997</c:v>
                </c:pt>
                <c:pt idx="9">
                  <c:v>270.88113333400003</c:v>
                </c:pt>
                <c:pt idx="10">
                  <c:v>31.586666666999996</c:v>
                </c:pt>
                <c:pt idx="11">
                  <c:v>0.01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B84-4C8F-96CE-BB4905D6B2AC}"/>
            </c:ext>
          </c:extLst>
        </c:ser>
        <c:ser>
          <c:idx val="3"/>
          <c:order val="4"/>
          <c:tx>
            <c:v>2027 Plan</c:v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'P2 - 2026 '!$N$26:$Y$26</c:f>
              <c:numCache>
                <c:formatCode>0</c:formatCode>
                <c:ptCount val="12"/>
                <c:pt idx="0">
                  <c:v>0</c:v>
                </c:pt>
                <c:pt idx="1">
                  <c:v>41.275999999999996</c:v>
                </c:pt>
                <c:pt idx="2">
                  <c:v>88.625499999999988</c:v>
                </c:pt>
                <c:pt idx="3">
                  <c:v>160.57174999999998</c:v>
                </c:pt>
                <c:pt idx="4">
                  <c:v>106.83799999999999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288.98412499999995</c:v>
                </c:pt>
                <c:pt idx="9">
                  <c:v>183.07537499999998</c:v>
                </c:pt>
                <c:pt idx="10">
                  <c:v>1.53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B1-478E-8E44-9A6ECD56A8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0308256"/>
        <c:axId val="1910315328"/>
      </c:lineChart>
      <c:catAx>
        <c:axId val="191030825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0315328"/>
        <c:crosses val="autoZero"/>
        <c:auto val="1"/>
        <c:lblAlgn val="ctr"/>
        <c:lblOffset val="100"/>
        <c:noMultiLvlLbl val="0"/>
      </c:catAx>
      <c:valAx>
        <c:axId val="1910315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0308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P3 Planned &amp; Unplanned Mogas</a:t>
            </a:r>
            <a:r>
              <a:rPr lang="en-US" baseline="0"/>
              <a:t> Offline Prod (kbd)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1418833103338184E-2"/>
          <c:y val="0.24134252449213078"/>
          <c:w val="0.89019685039370078"/>
          <c:h val="0.66591025080198307"/>
        </c:manualLayout>
      </c:layout>
      <c:barChart>
        <c:barDir val="col"/>
        <c:grouping val="stacked"/>
        <c:varyColors val="0"/>
        <c:ser>
          <c:idx val="4"/>
          <c:order val="3"/>
          <c:tx>
            <c:strRef>
              <c:f>'P3 - 2026'!$M$43</c:f>
              <c:strCache>
                <c:ptCount val="1"/>
                <c:pt idx="0">
                  <c:v>2026 Plan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'P3 - 2026'!$N$35:$Y$35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'P3 - 2026'!$N$43:$Y$43</c:f>
              <c:numCache>
                <c:formatCode>0</c:formatCode>
                <c:ptCount val="12"/>
                <c:pt idx="0">
                  <c:v>328.24145161290323</c:v>
                </c:pt>
                <c:pt idx="1">
                  <c:v>558.51607142857142</c:v>
                </c:pt>
                <c:pt idx="2">
                  <c:v>274.283064516129</c:v>
                </c:pt>
                <c:pt idx="3">
                  <c:v>207</c:v>
                </c:pt>
                <c:pt idx="4">
                  <c:v>193</c:v>
                </c:pt>
                <c:pt idx="5">
                  <c:v>133</c:v>
                </c:pt>
                <c:pt idx="6">
                  <c:v>129.06451612903226</c:v>
                </c:pt>
                <c:pt idx="7">
                  <c:v>129.69354838709677</c:v>
                </c:pt>
                <c:pt idx="8">
                  <c:v>200</c:v>
                </c:pt>
                <c:pt idx="9">
                  <c:v>253</c:v>
                </c:pt>
                <c:pt idx="10">
                  <c:v>155.47075000000001</c:v>
                </c:pt>
                <c:pt idx="11">
                  <c:v>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ED-4553-91FE-BF402C176771}"/>
            </c:ext>
          </c:extLst>
        </c:ser>
        <c:ser>
          <c:idx val="5"/>
          <c:order val="4"/>
          <c:tx>
            <c:strRef>
              <c:f>'P5 - 2026'!$Q$30</c:f>
              <c:strCache>
                <c:ptCount val="1"/>
                <c:pt idx="0">
                  <c:v>2026 Unplanned Outages Estimate</c:v>
                </c:pt>
              </c:strCache>
            </c:strRef>
          </c:tx>
          <c:spPr>
            <a:solidFill>
              <a:schemeClr val="accent2">
                <a:alpha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'P3 - 2026'!$N$35:$Y$35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'P3 - 2026'!$N$55:$Y$55</c:f>
              <c:numCache>
                <c:formatCode>_(* #,##0_);_(* \(#,##0\);_(* "-"??_);_(@_)</c:formatCode>
                <c:ptCount val="12"/>
                <c:pt idx="0">
                  <c:v>68.712048387096786</c:v>
                </c:pt>
                <c:pt idx="1">
                  <c:v>75.483928571428578</c:v>
                </c:pt>
                <c:pt idx="2">
                  <c:v>86.169410483870934</c:v>
                </c:pt>
                <c:pt idx="3">
                  <c:v>200.61255</c:v>
                </c:pt>
                <c:pt idx="4">
                  <c:v>111.99112500000001</c:v>
                </c:pt>
                <c:pt idx="5">
                  <c:v>89.849111110999999</c:v>
                </c:pt>
                <c:pt idx="6">
                  <c:v>102.54060215027096</c:v>
                </c:pt>
                <c:pt idx="7">
                  <c:v>98.791065233330471</c:v>
                </c:pt>
                <c:pt idx="8">
                  <c:v>111.43484444444442</c:v>
                </c:pt>
                <c:pt idx="9">
                  <c:v>129.06055376377418</c:v>
                </c:pt>
                <c:pt idx="10">
                  <c:v>99.554999999999993</c:v>
                </c:pt>
                <c:pt idx="11">
                  <c:v>58.268888889333333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ED-4553-91FE-BF402C1767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10308256"/>
        <c:axId val="1910315328"/>
      </c:barChart>
      <c:lineChart>
        <c:grouping val="standard"/>
        <c:varyColors val="0"/>
        <c:ser>
          <c:idx val="0"/>
          <c:order val="0"/>
          <c:tx>
            <c:strRef>
              <c:f>'P3 - 2026'!$M$37</c:f>
              <c:strCache>
                <c:ptCount val="1"/>
                <c:pt idx="0">
                  <c:v>2025 Outages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'P3 - 2026'!$N$35:$Y$35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'P3 - 2026'!$N$37:$Y$37</c:f>
              <c:numCache>
                <c:formatCode>0</c:formatCode>
                <c:ptCount val="12"/>
                <c:pt idx="0">
                  <c:v>492.36074193548382</c:v>
                </c:pt>
                <c:pt idx="1">
                  <c:v>602.09399999999994</c:v>
                </c:pt>
                <c:pt idx="2">
                  <c:v>514.37598106591861</c:v>
                </c:pt>
                <c:pt idx="3">
                  <c:v>463.22733333333338</c:v>
                </c:pt>
                <c:pt idx="4">
                  <c:v>343.9835161290323</c:v>
                </c:pt>
                <c:pt idx="5">
                  <c:v>222</c:v>
                </c:pt>
                <c:pt idx="6">
                  <c:v>253</c:v>
                </c:pt>
                <c:pt idx="7">
                  <c:v>308.11900000000003</c:v>
                </c:pt>
                <c:pt idx="8">
                  <c:v>401.18599999999998</c:v>
                </c:pt>
                <c:pt idx="9">
                  <c:v>763.5</c:v>
                </c:pt>
                <c:pt idx="10">
                  <c:v>420.93</c:v>
                </c:pt>
                <c:pt idx="11">
                  <c:v>138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4ED-4553-91FE-BF402C176771}"/>
            </c:ext>
          </c:extLst>
        </c:ser>
        <c:ser>
          <c:idx val="1"/>
          <c:order val="1"/>
          <c:tx>
            <c:strRef>
              <c:f>'P3 - 2026'!$M$39</c:f>
              <c:strCache>
                <c:ptCount val="1"/>
                <c:pt idx="0">
                  <c:v>2024 Outages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strRef>
              <c:f>'P3 - 2026'!$N$35:$Y$35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'P3 - 2026'!$N$39:$Y$39</c:f>
              <c:numCache>
                <c:formatCode>0</c:formatCode>
                <c:ptCount val="12"/>
                <c:pt idx="0">
                  <c:v>409.60999999999996</c:v>
                </c:pt>
                <c:pt idx="1">
                  <c:v>453.78805418719219</c:v>
                </c:pt>
                <c:pt idx="2">
                  <c:v>496.32799999999997</c:v>
                </c:pt>
                <c:pt idx="3">
                  <c:v>262.86706666666669</c:v>
                </c:pt>
                <c:pt idx="4">
                  <c:v>189.15241935483868</c:v>
                </c:pt>
                <c:pt idx="5">
                  <c:v>157</c:v>
                </c:pt>
                <c:pt idx="6">
                  <c:v>229</c:v>
                </c:pt>
                <c:pt idx="7">
                  <c:v>200</c:v>
                </c:pt>
                <c:pt idx="8">
                  <c:v>319</c:v>
                </c:pt>
                <c:pt idx="9">
                  <c:v>349</c:v>
                </c:pt>
                <c:pt idx="10">
                  <c:v>267.39999999999998</c:v>
                </c:pt>
                <c:pt idx="11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4ED-4553-91FE-BF402C176771}"/>
            </c:ext>
          </c:extLst>
        </c:ser>
        <c:ser>
          <c:idx val="2"/>
          <c:order val="2"/>
          <c:tx>
            <c:strRef>
              <c:f>'P3 - 2026'!$M$41</c:f>
              <c:strCache>
                <c:ptCount val="1"/>
                <c:pt idx="0">
                  <c:v>2023 Outages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'P3 - 2026'!$N$35:$Y$35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'P3 - 2026'!$N$41:$Y$41</c:f>
              <c:numCache>
                <c:formatCode>0</c:formatCode>
                <c:ptCount val="12"/>
                <c:pt idx="0">
                  <c:v>453.4397999979999</c:v>
                </c:pt>
                <c:pt idx="1">
                  <c:v>503.92160000099989</c:v>
                </c:pt>
                <c:pt idx="2">
                  <c:v>462.31529999999998</c:v>
                </c:pt>
                <c:pt idx="3">
                  <c:v>311.64499999999992</c:v>
                </c:pt>
                <c:pt idx="4">
                  <c:v>238.36466666599998</c:v>
                </c:pt>
                <c:pt idx="5">
                  <c:v>246.24299999999997</c:v>
                </c:pt>
                <c:pt idx="6">
                  <c:v>142.38566666600002</c:v>
                </c:pt>
                <c:pt idx="7">
                  <c:v>272.159666668</c:v>
                </c:pt>
                <c:pt idx="8">
                  <c:v>347.09166666699997</c:v>
                </c:pt>
                <c:pt idx="9">
                  <c:v>570.43266666799991</c:v>
                </c:pt>
                <c:pt idx="10">
                  <c:v>254.68700000000001</c:v>
                </c:pt>
                <c:pt idx="11">
                  <c:v>57.101666667000003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4ED-4553-91FE-BF402C1767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0308256"/>
        <c:axId val="1910315328"/>
      </c:lineChart>
      <c:catAx>
        <c:axId val="191030825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0315328"/>
        <c:crosses val="autoZero"/>
        <c:auto val="1"/>
        <c:lblAlgn val="ctr"/>
        <c:lblOffset val="100"/>
        <c:noMultiLvlLbl val="0"/>
      </c:catAx>
      <c:valAx>
        <c:axId val="1910315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0308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P3 Planned Mogas</a:t>
            </a:r>
            <a:r>
              <a:rPr lang="en-US" baseline="0"/>
              <a:t> Offline Prod (kbd)- Including Lyondell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1418833103338184E-2"/>
          <c:y val="0.24134252449213078"/>
          <c:w val="0.89019685039370078"/>
          <c:h val="0.66591025080198307"/>
        </c:manualLayout>
      </c:layout>
      <c:barChart>
        <c:barDir val="col"/>
        <c:grouping val="stacked"/>
        <c:varyColors val="0"/>
        <c:ser>
          <c:idx val="4"/>
          <c:order val="3"/>
          <c:tx>
            <c:strRef>
              <c:f>'P3 - 2026'!$M$43</c:f>
              <c:strCache>
                <c:ptCount val="1"/>
                <c:pt idx="0">
                  <c:v>2026 Plan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'P3 - 2026'!$N$35:$Y$35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'P3 - 2026'!$N$43:$Y$43</c:f>
              <c:numCache>
                <c:formatCode>0</c:formatCode>
                <c:ptCount val="12"/>
                <c:pt idx="0">
                  <c:v>328.24145161290323</c:v>
                </c:pt>
                <c:pt idx="1">
                  <c:v>558.51607142857142</c:v>
                </c:pt>
                <c:pt idx="2">
                  <c:v>274.283064516129</c:v>
                </c:pt>
                <c:pt idx="3">
                  <c:v>207</c:v>
                </c:pt>
                <c:pt idx="4">
                  <c:v>193</c:v>
                </c:pt>
                <c:pt idx="5">
                  <c:v>133</c:v>
                </c:pt>
                <c:pt idx="6">
                  <c:v>129.06451612903226</c:v>
                </c:pt>
                <c:pt idx="7">
                  <c:v>129.69354838709677</c:v>
                </c:pt>
                <c:pt idx="8">
                  <c:v>200</c:v>
                </c:pt>
                <c:pt idx="9">
                  <c:v>253</c:v>
                </c:pt>
                <c:pt idx="10">
                  <c:v>155.47075000000001</c:v>
                </c:pt>
                <c:pt idx="11">
                  <c:v>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77-40A2-99CA-BC4455B91B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10308256"/>
        <c:axId val="1910315328"/>
      </c:barChart>
      <c:lineChart>
        <c:grouping val="standard"/>
        <c:varyColors val="0"/>
        <c:ser>
          <c:idx val="0"/>
          <c:order val="0"/>
          <c:tx>
            <c:strRef>
              <c:f>'P3 - 2026'!$M$44</c:f>
              <c:strCache>
                <c:ptCount val="1"/>
                <c:pt idx="0">
                  <c:v>2025 Outages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'P3 - 2026'!$N$35:$Y$35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'P3 - 2026'!$N$44:$Y$44</c:f>
              <c:numCache>
                <c:formatCode>0</c:formatCode>
                <c:ptCount val="12"/>
                <c:pt idx="0">
                  <c:v>251.33548387096801</c:v>
                </c:pt>
                <c:pt idx="1">
                  <c:v>333.27678571428601</c:v>
                </c:pt>
                <c:pt idx="2">
                  <c:v>254.851612903226</c:v>
                </c:pt>
                <c:pt idx="3">
                  <c:v>301.52833333299998</c:v>
                </c:pt>
                <c:pt idx="4">
                  <c:v>184.6138064516129</c:v>
                </c:pt>
                <c:pt idx="5">
                  <c:v>145.93333333333334</c:v>
                </c:pt>
                <c:pt idx="6">
                  <c:v>129.85806451612902</c:v>
                </c:pt>
                <c:pt idx="7">
                  <c:v>187.66236559139787</c:v>
                </c:pt>
                <c:pt idx="8">
                  <c:v>324.90199999999999</c:v>
                </c:pt>
                <c:pt idx="9">
                  <c:v>437.56290322580645</c:v>
                </c:pt>
                <c:pt idx="10">
                  <c:v>247.93333333333334</c:v>
                </c:pt>
                <c:pt idx="11">
                  <c:v>128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D77-40A2-99CA-BC4455B91B17}"/>
            </c:ext>
          </c:extLst>
        </c:ser>
        <c:ser>
          <c:idx val="1"/>
          <c:order val="1"/>
          <c:tx>
            <c:strRef>
              <c:f>'P3 - 2026'!$M$46</c:f>
              <c:strCache>
                <c:ptCount val="1"/>
                <c:pt idx="0">
                  <c:v>2024 Outages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'P3 - 2026'!$N$35:$Y$35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'P3 - 2026'!$N$46:$Y$46</c:f>
              <c:numCache>
                <c:formatCode>0</c:formatCode>
                <c:ptCount val="12"/>
                <c:pt idx="0">
                  <c:v>347.97645161290325</c:v>
                </c:pt>
                <c:pt idx="1">
                  <c:v>495</c:v>
                </c:pt>
                <c:pt idx="2">
                  <c:v>237.86139043381533</c:v>
                </c:pt>
                <c:pt idx="3">
                  <c:v>80.508333333333326</c:v>
                </c:pt>
                <c:pt idx="4">
                  <c:v>22.800161290322581</c:v>
                </c:pt>
                <c:pt idx="5">
                  <c:v>59.756666666666675</c:v>
                </c:pt>
                <c:pt idx="6">
                  <c:v>52.009677419354837</c:v>
                </c:pt>
                <c:pt idx="7">
                  <c:v>102.1708064516129</c:v>
                </c:pt>
                <c:pt idx="8">
                  <c:v>158.99666666733336</c:v>
                </c:pt>
                <c:pt idx="9">
                  <c:v>284.10854838709679</c:v>
                </c:pt>
                <c:pt idx="10">
                  <c:v>76.554500000000004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D77-40A2-99CA-BC4455B91B17}"/>
            </c:ext>
          </c:extLst>
        </c:ser>
        <c:ser>
          <c:idx val="2"/>
          <c:order val="2"/>
          <c:tx>
            <c:strRef>
              <c:f>'P3 - 2026'!$M$48</c:f>
              <c:strCache>
                <c:ptCount val="1"/>
                <c:pt idx="0">
                  <c:v>2023 Outages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'P3 - 2026'!$N$35:$Y$35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'P3 - 2026'!$N$48:$Y$48</c:f>
              <c:numCache>
                <c:formatCode>0</c:formatCode>
                <c:ptCount val="12"/>
                <c:pt idx="0">
                  <c:v>238.07846666699999</c:v>
                </c:pt>
                <c:pt idx="1">
                  <c:v>467.77760000000001</c:v>
                </c:pt>
                <c:pt idx="2">
                  <c:v>370.22563333300002</c:v>
                </c:pt>
                <c:pt idx="3">
                  <c:v>218.854333333</c:v>
                </c:pt>
                <c:pt idx="4">
                  <c:v>116.557833333</c:v>
                </c:pt>
                <c:pt idx="5">
                  <c:v>63.005666667</c:v>
                </c:pt>
                <c:pt idx="6">
                  <c:v>1.7406666669999999</c:v>
                </c:pt>
                <c:pt idx="7">
                  <c:v>63.728999999999999</c:v>
                </c:pt>
                <c:pt idx="8">
                  <c:v>165.49833333300001</c:v>
                </c:pt>
                <c:pt idx="9">
                  <c:v>445.01900000000001</c:v>
                </c:pt>
                <c:pt idx="10">
                  <c:v>196.64500000000001</c:v>
                </c:pt>
                <c:pt idx="11">
                  <c:v>29.198333333000001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D77-40A2-99CA-BC4455B91B17}"/>
            </c:ext>
          </c:extLst>
        </c:ser>
        <c:ser>
          <c:idx val="3"/>
          <c:order val="4"/>
          <c:tx>
            <c:v>2027</c:v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'P3 - 2026'!$N$25:$Y$25</c:f>
              <c:numCache>
                <c:formatCode>0</c:formatCode>
                <c:ptCount val="12"/>
                <c:pt idx="0">
                  <c:v>346.56787500000007</c:v>
                </c:pt>
                <c:pt idx="1">
                  <c:v>467.34662500000002</c:v>
                </c:pt>
                <c:pt idx="2">
                  <c:v>529.54000000000008</c:v>
                </c:pt>
                <c:pt idx="3">
                  <c:v>284.27375000000001</c:v>
                </c:pt>
                <c:pt idx="4">
                  <c:v>139.28</c:v>
                </c:pt>
                <c:pt idx="5">
                  <c:v>189.84</c:v>
                </c:pt>
                <c:pt idx="6">
                  <c:v>189</c:v>
                </c:pt>
                <c:pt idx="7">
                  <c:v>145.69</c:v>
                </c:pt>
                <c:pt idx="8">
                  <c:v>330.32324999999997</c:v>
                </c:pt>
                <c:pt idx="9">
                  <c:v>390.27825000000001</c:v>
                </c:pt>
                <c:pt idx="10">
                  <c:v>214.05175</c:v>
                </c:pt>
                <c:pt idx="11">
                  <c:v>128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6D-4888-B758-6AFE298BD2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0308256"/>
        <c:axId val="1910315328"/>
      </c:lineChart>
      <c:catAx>
        <c:axId val="191030825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0315328"/>
        <c:crosses val="autoZero"/>
        <c:auto val="1"/>
        <c:lblAlgn val="ctr"/>
        <c:lblOffset val="100"/>
        <c:noMultiLvlLbl val="0"/>
      </c:catAx>
      <c:valAx>
        <c:axId val="1910315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0308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P3 Planned Mogas</a:t>
            </a:r>
            <a:r>
              <a:rPr lang="en-US" baseline="0"/>
              <a:t> Offline Prod (kbd)- Excluding Lyondell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1418833103338184E-2"/>
          <c:y val="0.24134252449213078"/>
          <c:w val="0.89019685039370078"/>
          <c:h val="0.66591025080198307"/>
        </c:manualLayout>
      </c:layout>
      <c:barChart>
        <c:barDir val="col"/>
        <c:grouping val="stacked"/>
        <c:varyColors val="0"/>
        <c:ser>
          <c:idx val="4"/>
          <c:order val="3"/>
          <c:tx>
            <c:strRef>
              <c:f>'P3 - 2026'!$M$43</c:f>
              <c:strCache>
                <c:ptCount val="1"/>
                <c:pt idx="0">
                  <c:v>2026 Plan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'P3 - 2026'!$N$35:$Y$35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'P3 - 2026'!$N$91:$Y$91</c:f>
              <c:numCache>
                <c:formatCode>0</c:formatCode>
                <c:ptCount val="12"/>
                <c:pt idx="0">
                  <c:v>200.24145161290323</c:v>
                </c:pt>
                <c:pt idx="1">
                  <c:v>430.51607142857137</c:v>
                </c:pt>
                <c:pt idx="2">
                  <c:v>146.283064516129</c:v>
                </c:pt>
                <c:pt idx="3">
                  <c:v>79</c:v>
                </c:pt>
                <c:pt idx="4">
                  <c:v>65</c:v>
                </c:pt>
                <c:pt idx="5">
                  <c:v>5</c:v>
                </c:pt>
                <c:pt idx="6">
                  <c:v>1.064516129032258</c:v>
                </c:pt>
                <c:pt idx="7">
                  <c:v>1.6935483870967742</c:v>
                </c:pt>
                <c:pt idx="8">
                  <c:v>132.03875000000002</c:v>
                </c:pt>
                <c:pt idx="9">
                  <c:v>94.651899999999998</c:v>
                </c:pt>
                <c:pt idx="10">
                  <c:v>27.470750000000002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9B-4155-9BC6-43E7ABB352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10308256"/>
        <c:axId val="1910315328"/>
      </c:barChart>
      <c:lineChart>
        <c:grouping val="standard"/>
        <c:varyColors val="0"/>
        <c:ser>
          <c:idx val="0"/>
          <c:order val="0"/>
          <c:tx>
            <c:strRef>
              <c:f>'P3 - 2026'!$M$92</c:f>
              <c:strCache>
                <c:ptCount val="1"/>
                <c:pt idx="0">
                  <c:v>2025 Outages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'P3 - 2026'!$N$35:$Y$35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'P3 - 2026'!$N$92:$Y$92</c:f>
              <c:numCache>
                <c:formatCode>0</c:formatCode>
                <c:ptCount val="12"/>
                <c:pt idx="0">
                  <c:v>246.33548387096778</c:v>
                </c:pt>
                <c:pt idx="1">
                  <c:v>268.77678571428572</c:v>
                </c:pt>
                <c:pt idx="2">
                  <c:v>126.8516129032258</c:v>
                </c:pt>
                <c:pt idx="3">
                  <c:v>173.52833333300001</c:v>
                </c:pt>
                <c:pt idx="4">
                  <c:v>56.613806451612902</c:v>
                </c:pt>
                <c:pt idx="5">
                  <c:v>17.93333333333333</c:v>
                </c:pt>
                <c:pt idx="6">
                  <c:v>1.8580645161290321</c:v>
                </c:pt>
                <c:pt idx="7">
                  <c:v>59.662365591397858</c:v>
                </c:pt>
                <c:pt idx="8">
                  <c:v>196.90199999999999</c:v>
                </c:pt>
                <c:pt idx="9">
                  <c:v>309.56290322580645</c:v>
                </c:pt>
                <c:pt idx="10">
                  <c:v>119.93333333333334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B9B-4155-9BC6-43E7ABB3529B}"/>
            </c:ext>
          </c:extLst>
        </c:ser>
        <c:ser>
          <c:idx val="1"/>
          <c:order val="1"/>
          <c:tx>
            <c:strRef>
              <c:f>'P3 - 2026'!$M$46</c:f>
              <c:strCache>
                <c:ptCount val="1"/>
                <c:pt idx="0">
                  <c:v>2024 Outages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'P3 - 2026'!$N$35:$Y$35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'P3 - 2026'!$N$46:$Y$46</c:f>
              <c:numCache>
                <c:formatCode>0</c:formatCode>
                <c:ptCount val="12"/>
                <c:pt idx="0">
                  <c:v>347.97645161290325</c:v>
                </c:pt>
                <c:pt idx="1">
                  <c:v>495</c:v>
                </c:pt>
                <c:pt idx="2">
                  <c:v>237.86139043381533</c:v>
                </c:pt>
                <c:pt idx="3">
                  <c:v>80.508333333333326</c:v>
                </c:pt>
                <c:pt idx="4">
                  <c:v>22.800161290322581</c:v>
                </c:pt>
                <c:pt idx="5">
                  <c:v>59.756666666666675</c:v>
                </c:pt>
                <c:pt idx="6">
                  <c:v>52.009677419354837</c:v>
                </c:pt>
                <c:pt idx="7">
                  <c:v>102.1708064516129</c:v>
                </c:pt>
                <c:pt idx="8">
                  <c:v>158.99666666733336</c:v>
                </c:pt>
                <c:pt idx="9">
                  <c:v>284.10854838709679</c:v>
                </c:pt>
                <c:pt idx="10">
                  <c:v>76.554500000000004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B9B-4155-9BC6-43E7ABB3529B}"/>
            </c:ext>
          </c:extLst>
        </c:ser>
        <c:ser>
          <c:idx val="2"/>
          <c:order val="2"/>
          <c:tx>
            <c:strRef>
              <c:f>'P3 - 2026'!$M$48</c:f>
              <c:strCache>
                <c:ptCount val="1"/>
                <c:pt idx="0">
                  <c:v>2023 Outages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'P3 - 2026'!$N$35:$Y$35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'P3 - 2026'!$N$48:$Y$48</c:f>
              <c:numCache>
                <c:formatCode>0</c:formatCode>
                <c:ptCount val="12"/>
                <c:pt idx="0">
                  <c:v>238.07846666699999</c:v>
                </c:pt>
                <c:pt idx="1">
                  <c:v>467.77760000000001</c:v>
                </c:pt>
                <c:pt idx="2">
                  <c:v>370.22563333300002</c:v>
                </c:pt>
                <c:pt idx="3">
                  <c:v>218.854333333</c:v>
                </c:pt>
                <c:pt idx="4">
                  <c:v>116.557833333</c:v>
                </c:pt>
                <c:pt idx="5">
                  <c:v>63.005666667</c:v>
                </c:pt>
                <c:pt idx="6">
                  <c:v>1.7406666669999999</c:v>
                </c:pt>
                <c:pt idx="7">
                  <c:v>63.728999999999999</c:v>
                </c:pt>
                <c:pt idx="8">
                  <c:v>165.49833333300001</c:v>
                </c:pt>
                <c:pt idx="9">
                  <c:v>445.01900000000001</c:v>
                </c:pt>
                <c:pt idx="10">
                  <c:v>196.64500000000001</c:v>
                </c:pt>
                <c:pt idx="11">
                  <c:v>29.198333333000001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B9B-4155-9BC6-43E7ABB3529B}"/>
            </c:ext>
          </c:extLst>
        </c:ser>
        <c:ser>
          <c:idx val="3"/>
          <c:order val="4"/>
          <c:tx>
            <c:strRef>
              <c:f>'P3 - 2026'!$M$27</c:f>
              <c:strCache>
                <c:ptCount val="1"/>
                <c:pt idx="0">
                  <c:v>2027 plan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'P3 - 2026'!$N$27:$Y$27</c:f>
              <c:numCache>
                <c:formatCode>0</c:formatCode>
                <c:ptCount val="12"/>
                <c:pt idx="0">
                  <c:v>218.56787500000004</c:v>
                </c:pt>
                <c:pt idx="1">
                  <c:v>339.34662500000002</c:v>
                </c:pt>
                <c:pt idx="2">
                  <c:v>401.54000000000008</c:v>
                </c:pt>
                <c:pt idx="3">
                  <c:v>156.27375000000001</c:v>
                </c:pt>
                <c:pt idx="4">
                  <c:v>11.280000000000001</c:v>
                </c:pt>
                <c:pt idx="5">
                  <c:v>61.84</c:v>
                </c:pt>
                <c:pt idx="6">
                  <c:v>61</c:v>
                </c:pt>
                <c:pt idx="7">
                  <c:v>17.689999999999998</c:v>
                </c:pt>
                <c:pt idx="8">
                  <c:v>202.32324999999997</c:v>
                </c:pt>
                <c:pt idx="9">
                  <c:v>262.27825000000001</c:v>
                </c:pt>
                <c:pt idx="10">
                  <c:v>86.051749999999998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DF-4BB2-90F7-26103FBB57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0308256"/>
        <c:axId val="1910315328"/>
      </c:lineChart>
      <c:catAx>
        <c:axId val="191030825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0315328"/>
        <c:crosses val="autoZero"/>
        <c:auto val="1"/>
        <c:lblAlgn val="ctr"/>
        <c:lblOffset val="100"/>
        <c:noMultiLvlLbl val="0"/>
      </c:catAx>
      <c:valAx>
        <c:axId val="1910315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0308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P5 Planned &amp; Unplanned Mogas</a:t>
            </a:r>
            <a:r>
              <a:rPr lang="en-US" baseline="0"/>
              <a:t> Offline Prod (kbd)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906251590572334"/>
          <c:y val="0.27183813514440119"/>
          <c:w val="0.89019685039370078"/>
          <c:h val="0.66591025080198307"/>
        </c:manualLayout>
      </c:layout>
      <c:barChart>
        <c:barDir val="col"/>
        <c:grouping val="stacked"/>
        <c:varyColors val="0"/>
        <c:ser>
          <c:idx val="4"/>
          <c:order val="3"/>
          <c:tx>
            <c:strRef>
              <c:f>'P5 - 2026'!$Q$22</c:f>
              <c:strCache>
                <c:ptCount val="1"/>
                <c:pt idx="0">
                  <c:v>2026 Plan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'P5 - 2026'!$R$14:$AC$14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'P5 - 2026'!$R$22:$AC$22</c:f>
              <c:numCache>
                <c:formatCode>0</c:formatCode>
                <c:ptCount val="12"/>
                <c:pt idx="0">
                  <c:v>110.08425</c:v>
                </c:pt>
                <c:pt idx="1">
                  <c:v>186.07999999999998</c:v>
                </c:pt>
                <c:pt idx="2">
                  <c:v>216.86349999999999</c:v>
                </c:pt>
                <c:pt idx="3">
                  <c:v>212.59224999999998</c:v>
                </c:pt>
                <c:pt idx="4">
                  <c:v>210.96825000000001</c:v>
                </c:pt>
                <c:pt idx="5">
                  <c:v>206.92025000000001</c:v>
                </c:pt>
                <c:pt idx="6">
                  <c:v>220.58250000000001</c:v>
                </c:pt>
                <c:pt idx="7">
                  <c:v>187</c:v>
                </c:pt>
                <c:pt idx="8">
                  <c:v>202</c:v>
                </c:pt>
                <c:pt idx="9">
                  <c:v>270</c:v>
                </c:pt>
                <c:pt idx="10">
                  <c:v>259</c:v>
                </c:pt>
                <c:pt idx="11">
                  <c:v>190.12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CC0-41C5-8915-10598E905528}"/>
            </c:ext>
          </c:extLst>
        </c:ser>
        <c:ser>
          <c:idx val="5"/>
          <c:order val="4"/>
          <c:tx>
            <c:strRef>
              <c:f>'P5 - 2026'!$Q$30</c:f>
              <c:strCache>
                <c:ptCount val="1"/>
                <c:pt idx="0">
                  <c:v>2026 Unplanned Outages Estimate</c:v>
                </c:pt>
              </c:strCache>
            </c:strRef>
          </c:tx>
          <c:spPr>
            <a:solidFill>
              <a:schemeClr val="accent2">
                <a:alpha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'P5 - 2026'!$R$14:$AC$14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'P5 - 2026'!$R$30:$AC$30</c:f>
              <c:numCache>
                <c:formatCode>0</c:formatCode>
                <c:ptCount val="12"/>
                <c:pt idx="0">
                  <c:v>71.911237499999999</c:v>
                </c:pt>
                <c:pt idx="1">
                  <c:v>99.731847500000015</c:v>
                </c:pt>
                <c:pt idx="2">
                  <c:v>63.237500000000011</c:v>
                </c:pt>
                <c:pt idx="3">
                  <c:v>174.51107500000006</c:v>
                </c:pt>
                <c:pt idx="4">
                  <c:v>68.584749999999985</c:v>
                </c:pt>
                <c:pt idx="5">
                  <c:v>22.1035</c:v>
                </c:pt>
                <c:pt idx="6">
                  <c:v>32.198589919354838</c:v>
                </c:pt>
                <c:pt idx="7">
                  <c:v>31.642822580645163</c:v>
                </c:pt>
                <c:pt idx="8">
                  <c:v>58.758333333333333</c:v>
                </c:pt>
                <c:pt idx="9">
                  <c:v>53.88600865232975</c:v>
                </c:pt>
                <c:pt idx="10">
                  <c:v>54.123215555555547</c:v>
                </c:pt>
                <c:pt idx="11">
                  <c:v>53.107741935483872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CC0-41C5-8915-10598E9055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10308256"/>
        <c:axId val="1910315328"/>
      </c:barChart>
      <c:lineChart>
        <c:grouping val="standard"/>
        <c:varyColors val="0"/>
        <c:ser>
          <c:idx val="0"/>
          <c:order val="0"/>
          <c:tx>
            <c:strRef>
              <c:f>'P5 - 2026'!$Q$16</c:f>
              <c:strCache>
                <c:ptCount val="1"/>
                <c:pt idx="0">
                  <c:v>2025 Outages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'P5 - 2026'!$R$14:$AC$14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'P5 - 2026'!$R$16:$AC$16</c:f>
              <c:numCache>
                <c:formatCode>0</c:formatCode>
                <c:ptCount val="12"/>
                <c:pt idx="0">
                  <c:v>107.51145161290322</c:v>
                </c:pt>
                <c:pt idx="1">
                  <c:v>160.53303571428572</c:v>
                </c:pt>
                <c:pt idx="2">
                  <c:v>206.75564516129035</c:v>
                </c:pt>
                <c:pt idx="3">
                  <c:v>256.96166666666664</c:v>
                </c:pt>
                <c:pt idx="4">
                  <c:v>181.41016129032255</c:v>
                </c:pt>
                <c:pt idx="5">
                  <c:v>102.614</c:v>
                </c:pt>
                <c:pt idx="6">
                  <c:v>66.137100000000004</c:v>
                </c:pt>
                <c:pt idx="7">
                  <c:v>74.257499999999993</c:v>
                </c:pt>
                <c:pt idx="8">
                  <c:v>103.175</c:v>
                </c:pt>
                <c:pt idx="9">
                  <c:v>322.57310000000001</c:v>
                </c:pt>
                <c:pt idx="10">
                  <c:v>355.53</c:v>
                </c:pt>
                <c:pt idx="11">
                  <c:v>159.79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122-468D-9D27-168D99032F4E}"/>
            </c:ext>
          </c:extLst>
        </c:ser>
        <c:ser>
          <c:idx val="1"/>
          <c:order val="1"/>
          <c:tx>
            <c:strRef>
              <c:f>'P5 - 2026'!$Q$18</c:f>
              <c:strCache>
                <c:ptCount val="1"/>
                <c:pt idx="0">
                  <c:v>2024 Outages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'P5 - 2026'!$R$14:$AC$14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'P5 - 2026'!$R$18:$AC$18</c:f>
              <c:numCache>
                <c:formatCode>0</c:formatCode>
                <c:ptCount val="12"/>
                <c:pt idx="0">
                  <c:v>76.529032258064518</c:v>
                </c:pt>
                <c:pt idx="1">
                  <c:v>123.27586206896552</c:v>
                </c:pt>
                <c:pt idx="2">
                  <c:v>98.316129032258061</c:v>
                </c:pt>
                <c:pt idx="3">
                  <c:v>103.94833333333334</c:v>
                </c:pt>
                <c:pt idx="4">
                  <c:v>100.9483870967742</c:v>
                </c:pt>
                <c:pt idx="5">
                  <c:v>185.8</c:v>
                </c:pt>
                <c:pt idx="6">
                  <c:v>4.2</c:v>
                </c:pt>
                <c:pt idx="7">
                  <c:v>20.7</c:v>
                </c:pt>
                <c:pt idx="8">
                  <c:v>108.1</c:v>
                </c:pt>
                <c:pt idx="9">
                  <c:v>135.19999999999999</c:v>
                </c:pt>
                <c:pt idx="10">
                  <c:v>75.900000000000006</c:v>
                </c:pt>
                <c:pt idx="11">
                  <c:v>40.5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C0-41C5-8915-10598E905528}"/>
            </c:ext>
          </c:extLst>
        </c:ser>
        <c:ser>
          <c:idx val="2"/>
          <c:order val="2"/>
          <c:tx>
            <c:strRef>
              <c:f>'P5 - 2026'!$Q$20</c:f>
              <c:strCache>
                <c:ptCount val="1"/>
                <c:pt idx="0">
                  <c:v>2023 Outages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'P5 - 2026'!$R$14:$AC$14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'P5 - 2026'!$R$20:$AC$20</c:f>
              <c:numCache>
                <c:formatCode>0</c:formatCode>
                <c:ptCount val="12"/>
                <c:pt idx="0">
                  <c:v>125.1</c:v>
                </c:pt>
                <c:pt idx="1">
                  <c:v>118.5</c:v>
                </c:pt>
                <c:pt idx="2">
                  <c:v>126.3</c:v>
                </c:pt>
                <c:pt idx="3">
                  <c:v>17.7</c:v>
                </c:pt>
                <c:pt idx="4">
                  <c:v>93.3</c:v>
                </c:pt>
                <c:pt idx="5">
                  <c:v>30.6</c:v>
                </c:pt>
                <c:pt idx="6">
                  <c:v>20.5</c:v>
                </c:pt>
                <c:pt idx="7">
                  <c:v>30.5</c:v>
                </c:pt>
                <c:pt idx="8">
                  <c:v>37.299999999999997</c:v>
                </c:pt>
                <c:pt idx="9">
                  <c:v>156</c:v>
                </c:pt>
                <c:pt idx="10">
                  <c:v>151.69999999999999</c:v>
                </c:pt>
                <c:pt idx="11">
                  <c:v>42.5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CC0-41C5-8915-10598E9055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0308256"/>
        <c:axId val="1910315328"/>
      </c:lineChart>
      <c:catAx>
        <c:axId val="191030825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0315328"/>
        <c:crosses val="autoZero"/>
        <c:auto val="1"/>
        <c:lblAlgn val="ctr"/>
        <c:lblOffset val="100"/>
        <c:noMultiLvlLbl val="0"/>
      </c:catAx>
      <c:valAx>
        <c:axId val="1910315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0308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P5 Planned Mogas</a:t>
            </a:r>
            <a:r>
              <a:rPr lang="en-US" baseline="0"/>
              <a:t> Offline Prod (kbd)-Includes P66 LA and Valero Benicia SDs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9365587778239796E-2"/>
          <c:y val="0.25416333813013714"/>
          <c:w val="0.89019685039370078"/>
          <c:h val="0.66591025080198307"/>
        </c:manualLayout>
      </c:layout>
      <c:barChart>
        <c:barDir val="col"/>
        <c:grouping val="stacked"/>
        <c:varyColors val="0"/>
        <c:ser>
          <c:idx val="4"/>
          <c:order val="3"/>
          <c:tx>
            <c:strRef>
              <c:f>'P5 - 2026'!$Q$22</c:f>
              <c:strCache>
                <c:ptCount val="1"/>
                <c:pt idx="0">
                  <c:v>2026 Plan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'P5 - 2026'!$R$14:$AC$14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'P5 - 2026'!$R$22:$AC$22</c:f>
              <c:numCache>
                <c:formatCode>0</c:formatCode>
                <c:ptCount val="12"/>
                <c:pt idx="0">
                  <c:v>110.08425</c:v>
                </c:pt>
                <c:pt idx="1">
                  <c:v>186.07999999999998</c:v>
                </c:pt>
                <c:pt idx="2">
                  <c:v>216.86349999999999</c:v>
                </c:pt>
                <c:pt idx="3">
                  <c:v>212.59224999999998</c:v>
                </c:pt>
                <c:pt idx="4">
                  <c:v>210.96825000000001</c:v>
                </c:pt>
                <c:pt idx="5">
                  <c:v>206.92025000000001</c:v>
                </c:pt>
                <c:pt idx="6">
                  <c:v>220.58250000000001</c:v>
                </c:pt>
                <c:pt idx="7">
                  <c:v>187</c:v>
                </c:pt>
                <c:pt idx="8">
                  <c:v>202</c:v>
                </c:pt>
                <c:pt idx="9">
                  <c:v>270</c:v>
                </c:pt>
                <c:pt idx="10">
                  <c:v>259</c:v>
                </c:pt>
                <c:pt idx="11">
                  <c:v>190.12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73-4B5E-8403-985F0D10EA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10308256"/>
        <c:axId val="1910315328"/>
      </c:barChart>
      <c:lineChart>
        <c:grouping val="standard"/>
        <c:varyColors val="0"/>
        <c:ser>
          <c:idx val="0"/>
          <c:order val="0"/>
          <c:tx>
            <c:strRef>
              <c:f>'P5 - 2026'!$Q$23</c:f>
              <c:strCache>
                <c:ptCount val="1"/>
                <c:pt idx="0">
                  <c:v>2025 Outages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'P5 - 2026'!$R$14:$AC$14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'P5 - 2026'!$R$23:$AC$23</c:f>
              <c:numCache>
                <c:formatCode>0</c:formatCode>
                <c:ptCount val="12"/>
                <c:pt idx="0">
                  <c:v>67.519354838709674</c:v>
                </c:pt>
                <c:pt idx="1">
                  <c:v>70.993087557603687</c:v>
                </c:pt>
                <c:pt idx="2">
                  <c:v>89.196774193548379</c:v>
                </c:pt>
                <c:pt idx="3">
                  <c:v>102.4</c:v>
                </c:pt>
                <c:pt idx="4">
                  <c:v>41.532258064516135</c:v>
                </c:pt>
                <c:pt idx="5">
                  <c:v>19.7</c:v>
                </c:pt>
                <c:pt idx="6">
                  <c:v>0.77419354838709686</c:v>
                </c:pt>
                <c:pt idx="7">
                  <c:v>0.92903225806451628</c:v>
                </c:pt>
                <c:pt idx="8">
                  <c:v>38</c:v>
                </c:pt>
                <c:pt idx="9">
                  <c:v>177.15236559139788</c:v>
                </c:pt>
                <c:pt idx="10">
                  <c:v>192.38233333333335</c:v>
                </c:pt>
                <c:pt idx="11">
                  <c:v>93.574516129032247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A73-4B5E-8403-985F0D10EACD}"/>
            </c:ext>
          </c:extLst>
        </c:ser>
        <c:ser>
          <c:idx val="1"/>
          <c:order val="1"/>
          <c:tx>
            <c:strRef>
              <c:f>'P5 - 2026'!$Q$25</c:f>
              <c:strCache>
                <c:ptCount val="1"/>
                <c:pt idx="0">
                  <c:v>2024 Outages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'P5 - 2026'!$R$14:$AC$14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'P5 - 2026'!$R$25:$AC$25</c:f>
              <c:numCache>
                <c:formatCode>0</c:formatCode>
                <c:ptCount val="12"/>
                <c:pt idx="0">
                  <c:v>33.188709677419354</c:v>
                </c:pt>
                <c:pt idx="1">
                  <c:v>51.103448275862064</c:v>
                </c:pt>
                <c:pt idx="2">
                  <c:v>71.543333332999993</c:v>
                </c:pt>
                <c:pt idx="3">
                  <c:v>107.34333333366666</c:v>
                </c:pt>
                <c:pt idx="4">
                  <c:v>163.27451612903224</c:v>
                </c:pt>
                <c:pt idx="5">
                  <c:v>151.4</c:v>
                </c:pt>
                <c:pt idx="6">
                  <c:v>3.6</c:v>
                </c:pt>
                <c:pt idx="7">
                  <c:v>1.7</c:v>
                </c:pt>
                <c:pt idx="8">
                  <c:v>6.6</c:v>
                </c:pt>
                <c:pt idx="9">
                  <c:v>8.6</c:v>
                </c:pt>
                <c:pt idx="10">
                  <c:v>2.5</c:v>
                </c:pt>
                <c:pt idx="11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A73-4B5E-8403-985F0D10EACD}"/>
            </c:ext>
          </c:extLst>
        </c:ser>
        <c:ser>
          <c:idx val="2"/>
          <c:order val="2"/>
          <c:tx>
            <c:strRef>
              <c:f>'P5 - 2026'!$Q$27</c:f>
              <c:strCache>
                <c:ptCount val="1"/>
                <c:pt idx="0">
                  <c:v>2023 Outages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'P5 - 2026'!$R$14:$AC$14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'P5 - 2026'!$R$27:$AC$27</c:f>
              <c:numCache>
                <c:formatCode>0</c:formatCode>
                <c:ptCount val="12"/>
                <c:pt idx="0">
                  <c:v>80.900000000000006</c:v>
                </c:pt>
                <c:pt idx="1">
                  <c:v>150.80000000000001</c:v>
                </c:pt>
                <c:pt idx="2">
                  <c:v>65</c:v>
                </c:pt>
                <c:pt idx="3">
                  <c:v>132.5</c:v>
                </c:pt>
                <c:pt idx="4">
                  <c:v>93</c:v>
                </c:pt>
                <c:pt idx="5">
                  <c:v>25.1</c:v>
                </c:pt>
                <c:pt idx="6">
                  <c:v>0</c:v>
                </c:pt>
                <c:pt idx="7">
                  <c:v>27.9</c:v>
                </c:pt>
                <c:pt idx="8">
                  <c:v>27.7</c:v>
                </c:pt>
                <c:pt idx="9">
                  <c:v>149.30000000000001</c:v>
                </c:pt>
                <c:pt idx="10">
                  <c:v>108.3</c:v>
                </c:pt>
                <c:pt idx="11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A73-4B5E-8403-985F0D10EACD}"/>
            </c:ext>
          </c:extLst>
        </c:ser>
        <c:ser>
          <c:idx val="3"/>
          <c:order val="4"/>
          <c:tx>
            <c:v>2027 Plan</c:v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'P5 - 2026'!$R$7:$AC$7</c:f>
              <c:numCache>
                <c:formatCode>0</c:formatCode>
                <c:ptCount val="12"/>
                <c:pt idx="0">
                  <c:v>249.32499999999999</c:v>
                </c:pt>
                <c:pt idx="1">
                  <c:v>261.54589999999996</c:v>
                </c:pt>
                <c:pt idx="2">
                  <c:v>219.1112</c:v>
                </c:pt>
                <c:pt idx="3">
                  <c:v>187.80587500000001</c:v>
                </c:pt>
                <c:pt idx="4">
                  <c:v>195.37200000000001</c:v>
                </c:pt>
                <c:pt idx="5">
                  <c:v>187</c:v>
                </c:pt>
                <c:pt idx="6">
                  <c:v>187</c:v>
                </c:pt>
                <c:pt idx="7">
                  <c:v>187</c:v>
                </c:pt>
                <c:pt idx="8">
                  <c:v>229.30950000000001</c:v>
                </c:pt>
                <c:pt idx="9">
                  <c:v>282.10000000000002</c:v>
                </c:pt>
                <c:pt idx="10">
                  <c:v>204.7705</c:v>
                </c:pt>
                <c:pt idx="11">
                  <c:v>187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67-45A9-93E4-44EB8F8905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0308256"/>
        <c:axId val="1910315328"/>
      </c:lineChart>
      <c:catAx>
        <c:axId val="191030825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0315328"/>
        <c:crosses val="autoZero"/>
        <c:auto val="1"/>
        <c:lblAlgn val="ctr"/>
        <c:lblOffset val="100"/>
        <c:noMultiLvlLbl val="0"/>
      </c:catAx>
      <c:valAx>
        <c:axId val="1910315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0308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P5 Planned Mogas</a:t>
            </a:r>
            <a:r>
              <a:rPr lang="en-US" baseline="0"/>
              <a:t> Offline Prod (kbd)-Excludes P66 LA and Valero Benicia SDs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906251590572334"/>
          <c:y val="0.27183813514440119"/>
          <c:w val="0.89019685039370078"/>
          <c:h val="0.66591025080198307"/>
        </c:manualLayout>
      </c:layout>
      <c:barChart>
        <c:barDir val="col"/>
        <c:grouping val="stacked"/>
        <c:varyColors val="0"/>
        <c:ser>
          <c:idx val="4"/>
          <c:order val="3"/>
          <c:tx>
            <c:strRef>
              <c:f>'P5 - 2026'!$Q$69</c:f>
              <c:strCache>
                <c:ptCount val="1"/>
                <c:pt idx="0">
                  <c:v>2026 Plan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'P5 - 2026'!$R$14:$AC$14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'P5 - 2026'!$R$69:$AC$69</c:f>
              <c:numCache>
                <c:formatCode>0</c:formatCode>
                <c:ptCount val="12"/>
                <c:pt idx="0">
                  <c:v>26.084250000000001</c:v>
                </c:pt>
                <c:pt idx="1">
                  <c:v>34.880000000000003</c:v>
                </c:pt>
                <c:pt idx="2">
                  <c:v>29.863499999999998</c:v>
                </c:pt>
                <c:pt idx="3">
                  <c:v>25.592249999999996</c:v>
                </c:pt>
                <c:pt idx="4">
                  <c:v>23.968249999999998</c:v>
                </c:pt>
                <c:pt idx="5">
                  <c:v>19.920249999999999</c:v>
                </c:pt>
                <c:pt idx="6">
                  <c:v>33.582500000000003</c:v>
                </c:pt>
                <c:pt idx="7">
                  <c:v>0</c:v>
                </c:pt>
                <c:pt idx="8">
                  <c:v>15</c:v>
                </c:pt>
                <c:pt idx="9">
                  <c:v>83</c:v>
                </c:pt>
                <c:pt idx="10">
                  <c:v>72</c:v>
                </c:pt>
                <c:pt idx="11">
                  <c:v>3.12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FF-4FCA-90C7-4D89B3B709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10308256"/>
        <c:axId val="1910315328"/>
      </c:barChart>
      <c:lineChart>
        <c:grouping val="standard"/>
        <c:varyColors val="0"/>
        <c:ser>
          <c:idx val="0"/>
          <c:order val="0"/>
          <c:tx>
            <c:strRef>
              <c:f>'P5 - 2026'!$Q$23</c:f>
              <c:strCache>
                <c:ptCount val="1"/>
                <c:pt idx="0">
                  <c:v>2025 Outages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'P5 - 2026'!$R$14:$AC$14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'P5 - 2026'!$R$23:$AC$23</c:f>
              <c:numCache>
                <c:formatCode>0</c:formatCode>
                <c:ptCount val="12"/>
                <c:pt idx="0">
                  <c:v>67.519354838709674</c:v>
                </c:pt>
                <c:pt idx="1">
                  <c:v>70.993087557603687</c:v>
                </c:pt>
                <c:pt idx="2">
                  <c:v>89.196774193548379</c:v>
                </c:pt>
                <c:pt idx="3">
                  <c:v>102.4</c:v>
                </c:pt>
                <c:pt idx="4">
                  <c:v>41.532258064516135</c:v>
                </c:pt>
                <c:pt idx="5">
                  <c:v>19.7</c:v>
                </c:pt>
                <c:pt idx="6">
                  <c:v>0.77419354838709686</c:v>
                </c:pt>
                <c:pt idx="7">
                  <c:v>0.92903225806451628</c:v>
                </c:pt>
                <c:pt idx="8">
                  <c:v>38</c:v>
                </c:pt>
                <c:pt idx="9">
                  <c:v>177.15236559139788</c:v>
                </c:pt>
                <c:pt idx="10">
                  <c:v>192.38233333333335</c:v>
                </c:pt>
                <c:pt idx="11">
                  <c:v>93.574516129032247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FF-4FCA-90C7-4D89B3B709A9}"/>
            </c:ext>
          </c:extLst>
        </c:ser>
        <c:ser>
          <c:idx val="1"/>
          <c:order val="1"/>
          <c:tx>
            <c:strRef>
              <c:f>'P5 - 2026'!$Q$25</c:f>
              <c:strCache>
                <c:ptCount val="1"/>
                <c:pt idx="0">
                  <c:v>2024 Outages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'P5 - 2026'!$R$14:$AC$14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'P5 - 2026'!$R$25:$AC$25</c:f>
              <c:numCache>
                <c:formatCode>0</c:formatCode>
                <c:ptCount val="12"/>
                <c:pt idx="0">
                  <c:v>33.188709677419354</c:v>
                </c:pt>
                <c:pt idx="1">
                  <c:v>51.103448275862064</c:v>
                </c:pt>
                <c:pt idx="2">
                  <c:v>71.543333332999993</c:v>
                </c:pt>
                <c:pt idx="3">
                  <c:v>107.34333333366666</c:v>
                </c:pt>
                <c:pt idx="4">
                  <c:v>163.27451612903224</c:v>
                </c:pt>
                <c:pt idx="5">
                  <c:v>151.4</c:v>
                </c:pt>
                <c:pt idx="6">
                  <c:v>3.6</c:v>
                </c:pt>
                <c:pt idx="7">
                  <c:v>1.7</c:v>
                </c:pt>
                <c:pt idx="8">
                  <c:v>6.6</c:v>
                </c:pt>
                <c:pt idx="9">
                  <c:v>8.6</c:v>
                </c:pt>
                <c:pt idx="10">
                  <c:v>2.5</c:v>
                </c:pt>
                <c:pt idx="11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CFF-4FCA-90C7-4D89B3B709A9}"/>
            </c:ext>
          </c:extLst>
        </c:ser>
        <c:ser>
          <c:idx val="2"/>
          <c:order val="2"/>
          <c:tx>
            <c:strRef>
              <c:f>'P5 - 2026'!$Q$27</c:f>
              <c:strCache>
                <c:ptCount val="1"/>
                <c:pt idx="0">
                  <c:v>2023 Outages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'P5 - 2026'!$R$14:$AC$14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'P5 - 2026'!$R$27:$AC$27</c:f>
              <c:numCache>
                <c:formatCode>0</c:formatCode>
                <c:ptCount val="12"/>
                <c:pt idx="0">
                  <c:v>80.900000000000006</c:v>
                </c:pt>
                <c:pt idx="1">
                  <c:v>150.80000000000001</c:v>
                </c:pt>
                <c:pt idx="2">
                  <c:v>65</c:v>
                </c:pt>
                <c:pt idx="3">
                  <c:v>132.5</c:v>
                </c:pt>
                <c:pt idx="4">
                  <c:v>93</c:v>
                </c:pt>
                <c:pt idx="5">
                  <c:v>25.1</c:v>
                </c:pt>
                <c:pt idx="6">
                  <c:v>0</c:v>
                </c:pt>
                <c:pt idx="7">
                  <c:v>27.9</c:v>
                </c:pt>
                <c:pt idx="8">
                  <c:v>27.7</c:v>
                </c:pt>
                <c:pt idx="9">
                  <c:v>149.30000000000001</c:v>
                </c:pt>
                <c:pt idx="10">
                  <c:v>108.3</c:v>
                </c:pt>
                <c:pt idx="11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CFF-4FCA-90C7-4D89B3B709A9}"/>
            </c:ext>
          </c:extLst>
        </c:ser>
        <c:ser>
          <c:idx val="3"/>
          <c:order val="4"/>
          <c:tx>
            <c:v>2027 Plan</c:v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'P5 - 2026'!$R$6:$AC$6</c:f>
              <c:numCache>
                <c:formatCode>0</c:formatCode>
                <c:ptCount val="12"/>
                <c:pt idx="0">
                  <c:v>62.325000000000003</c:v>
                </c:pt>
                <c:pt idx="1">
                  <c:v>74.545899999999989</c:v>
                </c:pt>
                <c:pt idx="2">
                  <c:v>32.111199999999997</c:v>
                </c:pt>
                <c:pt idx="3">
                  <c:v>0.80587500000000001</c:v>
                </c:pt>
                <c:pt idx="4">
                  <c:v>8.3719999999999981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42.3095</c:v>
                </c:pt>
                <c:pt idx="9">
                  <c:v>95.1</c:v>
                </c:pt>
                <c:pt idx="10">
                  <c:v>17.770499999999998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67-4D30-B91B-FC8524B002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0308256"/>
        <c:axId val="1910315328"/>
      </c:lineChart>
      <c:catAx>
        <c:axId val="191030825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0315328"/>
        <c:crosses val="autoZero"/>
        <c:auto val="1"/>
        <c:lblAlgn val="ctr"/>
        <c:lblOffset val="100"/>
        <c:noMultiLvlLbl val="0"/>
      </c:catAx>
      <c:valAx>
        <c:axId val="1910315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0308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US Planned &amp; Unplanned Mogas</a:t>
            </a:r>
            <a:r>
              <a:rPr lang="en-US" baseline="0"/>
              <a:t> Offline Prod (kbd)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1418833103338184E-2"/>
          <c:y val="0.24134252449213078"/>
          <c:w val="0.89019685039370078"/>
          <c:h val="0.66591025080198307"/>
        </c:manualLayout>
      </c:layout>
      <c:barChart>
        <c:barDir val="col"/>
        <c:grouping val="stacked"/>
        <c:varyColors val="0"/>
        <c:ser>
          <c:idx val="4"/>
          <c:order val="4"/>
          <c:tx>
            <c:strRef>
              <c:f>'US (2026 planned and unplanned)'!$C$66</c:f>
              <c:strCache>
                <c:ptCount val="1"/>
                <c:pt idx="0">
                  <c:v>2026 Plan</c:v>
                </c:pt>
              </c:strCache>
            </c:strRef>
          </c:tx>
          <c:spPr>
            <a:solidFill>
              <a:srgbClr val="7C35B1"/>
            </a:solidFill>
            <a:ln>
              <a:noFill/>
            </a:ln>
            <a:effectLst/>
          </c:spPr>
          <c:invertIfNegative val="0"/>
          <c:cat>
            <c:strRef>
              <c:f>'US (2026 planned and unplanned)'!$D$57:$O$57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'US (2026 planned and unplanned)'!$D$66:$O$66</c:f>
              <c:numCache>
                <c:formatCode>_(* #,##0_);_(* \(#,##0\);_(* "-"??_);_(@_)</c:formatCode>
                <c:ptCount val="6"/>
                <c:pt idx="0">
                  <c:v>484.02499999999992</c:v>
                </c:pt>
                <c:pt idx="1">
                  <c:v>772.67071428571433</c:v>
                </c:pt>
                <c:pt idx="2">
                  <c:v>661.29274193548383</c:v>
                </c:pt>
                <c:pt idx="3">
                  <c:v>615.18786021505366</c:v>
                </c:pt>
                <c:pt idx="4">
                  <c:v>377.51763440860213</c:v>
                </c:pt>
                <c:pt idx="5">
                  <c:v>332.30666666666667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16C-4689-96CB-888958BB1D14}"/>
            </c:ext>
          </c:extLst>
        </c:ser>
        <c:ser>
          <c:idx val="5"/>
          <c:order val="5"/>
          <c:tx>
            <c:strRef>
              <c:f>'US (2026 planned and unplanned)'!$B$74</c:f>
              <c:strCache>
                <c:ptCount val="1"/>
                <c:pt idx="0">
                  <c:v>2026  Unplanned estimate 3yr avg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'US (2026 planned and unplanned)'!$D$57:$O$57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'US (2026 planned and unplanned)'!$D$74:$O$74</c:f>
              <c:numCache>
                <c:formatCode>_(* #,##0_);_(* \(#,##0\);_(* "-"??_);_(@_)</c:formatCode>
                <c:ptCount val="6"/>
                <c:pt idx="0">
                  <c:v>200</c:v>
                </c:pt>
                <c:pt idx="1">
                  <c:v>230</c:v>
                </c:pt>
                <c:pt idx="2">
                  <c:v>230</c:v>
                </c:pt>
                <c:pt idx="3">
                  <c:v>200</c:v>
                </c:pt>
                <c:pt idx="4">
                  <c:v>150</c:v>
                </c:pt>
                <c:pt idx="5">
                  <c:v>230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916C-4689-96CB-888958BB1D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10308256"/>
        <c:axId val="1910315328"/>
      </c:barChart>
      <c:lineChart>
        <c:grouping val="standard"/>
        <c:varyColors val="0"/>
        <c:ser>
          <c:idx val="0"/>
          <c:order val="0"/>
          <c:tx>
            <c:strRef>
              <c:f>'US (2026 planned and unplanned)'!$C$64</c:f>
              <c:strCache>
                <c:ptCount val="1"/>
                <c:pt idx="0">
                  <c:v>2023 Outages</c:v>
                </c:pt>
              </c:strCache>
            </c:strRef>
          </c:tx>
          <c:spPr>
            <a:ln w="28575" cap="rnd">
              <a:solidFill>
                <a:schemeClr val="bg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'US (2026 planned and unplanned)'!$D$57:$I$57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'US (2026 planned and unplanned)'!$D$64:$O$64</c:f>
              <c:numCache>
                <c:formatCode>0</c:formatCode>
                <c:ptCount val="6"/>
                <c:pt idx="0">
                  <c:v>417.94819354838717</c:v>
                </c:pt>
                <c:pt idx="1">
                  <c:v>512.31600000000003</c:v>
                </c:pt>
                <c:pt idx="2">
                  <c:v>415.3019032258066</c:v>
                </c:pt>
                <c:pt idx="3">
                  <c:v>283.59499999999997</c:v>
                </c:pt>
                <c:pt idx="4">
                  <c:v>218.23032258064515</c:v>
                </c:pt>
                <c:pt idx="5">
                  <c:v>236.04299999999998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16C-4689-96CB-888958BB1D14}"/>
            </c:ext>
          </c:extLst>
        </c:ser>
        <c:ser>
          <c:idx val="1"/>
          <c:order val="1"/>
          <c:tx>
            <c:strRef>
              <c:f>'US (2026 planned and unplanned)'!$C$62</c:f>
              <c:strCache>
                <c:ptCount val="1"/>
                <c:pt idx="0">
                  <c:v>2024 Outages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'US (2026 planned and unplanned)'!$D$57:$I$57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'US (2026 planned and unplanned)'!$D$62:$O$62</c:f>
              <c:numCache>
                <c:formatCode>0</c:formatCode>
                <c:ptCount val="6"/>
                <c:pt idx="0">
                  <c:v>518.53516129032255</c:v>
                </c:pt>
                <c:pt idx="1">
                  <c:v>905.17339901477828</c:v>
                </c:pt>
                <c:pt idx="2">
                  <c:v>815.41001612903221</c:v>
                </c:pt>
                <c:pt idx="3">
                  <c:v>696.64373333333344</c:v>
                </c:pt>
                <c:pt idx="4">
                  <c:v>460.26048387096773</c:v>
                </c:pt>
                <c:pt idx="5">
                  <c:v>227.28416666666666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16C-4689-96CB-888958BB1D14}"/>
            </c:ext>
          </c:extLst>
        </c:ser>
        <c:ser>
          <c:idx val="2"/>
          <c:order val="2"/>
          <c:tx>
            <c:strRef>
              <c:f>'US (2026 planned and unplanned)'!$C$60</c:f>
              <c:strCache>
                <c:ptCount val="1"/>
                <c:pt idx="0">
                  <c:v>2025 Outages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'US (2026 planned and unplanned)'!$D$57:$I$57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'US (2026 planned and unplanned)'!$D$60:$O$60</c:f>
              <c:numCache>
                <c:formatCode>0</c:formatCode>
                <c:ptCount val="6"/>
                <c:pt idx="0">
                  <c:v>689.226870967742</c:v>
                </c:pt>
                <c:pt idx="1">
                  <c:v>871.33632142857141</c:v>
                </c:pt>
                <c:pt idx="2">
                  <c:v>931.76404558204763</c:v>
                </c:pt>
                <c:pt idx="3">
                  <c:v>1037.8529166666672</c:v>
                </c:pt>
                <c:pt idx="4">
                  <c:v>699.32891935483894</c:v>
                </c:pt>
                <c:pt idx="5">
                  <c:v>432.80886111111101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16C-4689-96CB-888958BB1D14}"/>
            </c:ext>
          </c:extLst>
        </c:ser>
        <c:ser>
          <c:idx val="3"/>
          <c:order val="3"/>
          <c:tx>
            <c:strRef>
              <c:f>'US (2026 planned and unplanned)'!$C$59</c:f>
              <c:strCache>
                <c:ptCount val="1"/>
                <c:pt idx="0">
                  <c:v>2026 Plan + Unplanned Estimate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'US (2026 planned and unplanned)'!$D$57:$I$57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'US (2026 planned and unplanned)'!$D$59:$O$59</c:f>
              <c:numCache>
                <c:formatCode>_(* #,##0_);_(* \(#,##0\);_(* "-"??_);_(@_)</c:formatCode>
                <c:ptCount val="6"/>
                <c:pt idx="0">
                  <c:v>668.68439383503653</c:v>
                </c:pt>
                <c:pt idx="1">
                  <c:v>981.80061287991953</c:v>
                </c:pt>
                <c:pt idx="2">
                  <c:v>880.54877355933081</c:v>
                </c:pt>
                <c:pt idx="3">
                  <c:v>883.83607799300944</c:v>
                </c:pt>
                <c:pt idx="4">
                  <c:v>639.23118853055485</c:v>
                </c:pt>
                <c:pt idx="5">
                  <c:v>520.62609629620738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916C-4689-96CB-888958BB1D14}"/>
            </c:ext>
          </c:extLst>
        </c:ser>
        <c:ser>
          <c:idx val="6"/>
          <c:order val="6"/>
          <c:tx>
            <c:strRef>
              <c:f>'US (2026 planned and unplanned)'!$C$66</c:f>
              <c:strCache>
                <c:ptCount val="1"/>
                <c:pt idx="0">
                  <c:v>2026 Plan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'US (2026 planned and unplanned)'!$D$57:$I$57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'US (2026 planned and unplanned)'!$D$66:$I$66</c:f>
              <c:numCache>
                <c:formatCode>_(* #,##0_);_(* \(#,##0\);_(* "-"??_);_(@_)</c:formatCode>
                <c:ptCount val="6"/>
                <c:pt idx="0">
                  <c:v>484.02499999999992</c:v>
                </c:pt>
                <c:pt idx="1">
                  <c:v>772.67071428571433</c:v>
                </c:pt>
                <c:pt idx="2">
                  <c:v>661.29274193548383</c:v>
                </c:pt>
                <c:pt idx="3">
                  <c:v>615.18786021505366</c:v>
                </c:pt>
                <c:pt idx="4">
                  <c:v>377.51763440860213</c:v>
                </c:pt>
                <c:pt idx="5">
                  <c:v>332.30666666666667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916C-4689-96CB-888958BB1D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0308256"/>
        <c:axId val="1910315328"/>
      </c:lineChart>
      <c:catAx>
        <c:axId val="191030825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0315328"/>
        <c:crosses val="autoZero"/>
        <c:auto val="1"/>
        <c:lblAlgn val="ctr"/>
        <c:lblOffset val="100"/>
        <c:noMultiLvlLbl val="0"/>
      </c:catAx>
      <c:valAx>
        <c:axId val="1910315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0308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Gasoline Production Offline (KBD)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3"/>
          <c:tx>
            <c:strRef>
              <c:f>'1h26 US &amp; PADD'!$D$3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'1h26 US &amp; PADD'!$D$4:$D$9</c:f>
              <c:numCache>
                <c:formatCode>General</c:formatCode>
                <c:ptCount val="6"/>
                <c:pt idx="0">
                  <c:v>272.02499999999992</c:v>
                </c:pt>
                <c:pt idx="1">
                  <c:v>560.67071428571444</c:v>
                </c:pt>
                <c:pt idx="2">
                  <c:v>449.29274193548372</c:v>
                </c:pt>
                <c:pt idx="3">
                  <c:v>403.18786021505372</c:v>
                </c:pt>
                <c:pt idx="4">
                  <c:v>165.51763440860222</c:v>
                </c:pt>
                <c:pt idx="5">
                  <c:v>120.30666666666666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E82-45F6-87AF-BF9C2384C1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62453391"/>
        <c:axId val="962454351"/>
      </c:barChart>
      <c:lineChart>
        <c:grouping val="standard"/>
        <c:varyColors val="0"/>
        <c:ser>
          <c:idx val="0"/>
          <c:order val="0"/>
          <c:tx>
            <c:strRef>
              <c:f>'1h26 US &amp; PADD'!$B$3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'1h26 US &amp; PADD'!$A$4:$A$9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'1h26 US &amp; PADD'!$B$4:$B$9</c:f>
              <c:numCache>
                <c:formatCode>General</c:formatCode>
                <c:ptCount val="6"/>
                <c:pt idx="0">
                  <c:v>376.30645161290323</c:v>
                </c:pt>
                <c:pt idx="1">
                  <c:v>706.91176783727974</c:v>
                </c:pt>
                <c:pt idx="2">
                  <c:v>527.9323366700412</c:v>
                </c:pt>
                <c:pt idx="3">
                  <c:v>572.57733333320471</c:v>
                </c:pt>
                <c:pt idx="4">
                  <c:v>346.63860215087095</c:v>
                </c:pt>
                <c:pt idx="5">
                  <c:v>107.33000000000001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82-45F6-87AF-BF9C2384C1A9}"/>
            </c:ext>
          </c:extLst>
        </c:ser>
        <c:ser>
          <c:idx val="1"/>
          <c:order val="1"/>
          <c:tx>
            <c:strRef>
              <c:f>'1h26 US &amp; PADD'!$C$3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'1h26 US &amp; PADD'!$A$4:$A$9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'1h26 US &amp; PADD'!$C$4:$C$9</c:f>
              <c:numCache>
                <c:formatCode>General</c:formatCode>
                <c:ptCount val="6"/>
                <c:pt idx="0">
                  <c:v>347.18258064516129</c:v>
                </c:pt>
                <c:pt idx="1">
                  <c:v>441.12196428571428</c:v>
                </c:pt>
                <c:pt idx="2">
                  <c:v>724.38672580645164</c:v>
                </c:pt>
                <c:pt idx="3">
                  <c:v>672.18149999966636</c:v>
                </c:pt>
                <c:pt idx="4">
                  <c:v>233.31654838709682</c:v>
                </c:pt>
                <c:pt idx="5">
                  <c:v>75.509166666666658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82-45F6-87AF-BF9C2384C1A9}"/>
            </c:ext>
          </c:extLst>
        </c:ser>
        <c:ser>
          <c:idx val="2"/>
          <c:order val="2"/>
          <c:tx>
            <c:strRef>
              <c:f>'1h26 US &amp; PADD'!$D$3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'1h26 US &amp; PADD'!$A$4:$A$9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'1h26 US &amp; PADD'!$D$4:$D$9</c:f>
              <c:numCache>
                <c:formatCode>General</c:formatCode>
                <c:ptCount val="6"/>
                <c:pt idx="0">
                  <c:v>272.02499999999992</c:v>
                </c:pt>
                <c:pt idx="1">
                  <c:v>560.67071428571444</c:v>
                </c:pt>
                <c:pt idx="2">
                  <c:v>449.29274193548372</c:v>
                </c:pt>
                <c:pt idx="3">
                  <c:v>403.18786021505372</c:v>
                </c:pt>
                <c:pt idx="4">
                  <c:v>165.51763440860222</c:v>
                </c:pt>
                <c:pt idx="5">
                  <c:v>120.30666666666666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E82-45F6-87AF-BF9C2384C1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2453391"/>
        <c:axId val="962454351"/>
      </c:lineChart>
      <c:catAx>
        <c:axId val="962453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454351"/>
        <c:crosses val="autoZero"/>
        <c:auto val="1"/>
        <c:lblAlgn val="ctr"/>
        <c:lblOffset val="100"/>
        <c:noMultiLvlLbl val="0"/>
      </c:catAx>
      <c:valAx>
        <c:axId val="962454351"/>
        <c:scaling>
          <c:orientation val="minMax"/>
          <c:max val="9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453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Padd 3</a:t>
            </a:r>
          </a:p>
          <a:p>
            <a:pPr>
              <a:defRPr/>
            </a:pPr>
            <a:r>
              <a:rPr lang="en-US"/>
              <a:t>Gasoline Production Offline (KBD)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3"/>
          <c:tx>
            <c:strRef>
              <c:f>'1h26 US &amp; PADD'!$D$3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'1h26 US &amp; PADD'!$D$22:$D$27</c:f>
              <c:numCache>
                <c:formatCode>General</c:formatCode>
                <c:ptCount val="6"/>
                <c:pt idx="0">
                  <c:v>246.11532258064517</c:v>
                </c:pt>
                <c:pt idx="1">
                  <c:v>386.82678571428568</c:v>
                </c:pt>
                <c:pt idx="2">
                  <c:v>206.43467741935484</c:v>
                </c:pt>
                <c:pt idx="3">
                  <c:v>38.385833333333331</c:v>
                </c:pt>
                <c:pt idx="4">
                  <c:v>9.939516129032258</c:v>
                </c:pt>
                <c:pt idx="5">
                  <c:v>2.75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A0C-40E2-9838-27C5E0818A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62453391"/>
        <c:axId val="962454351"/>
      </c:barChart>
      <c:lineChart>
        <c:grouping val="standard"/>
        <c:varyColors val="0"/>
        <c:ser>
          <c:idx val="0"/>
          <c:order val="0"/>
          <c:tx>
            <c:strRef>
              <c:f>'1h26 US &amp; PADD'!$B$3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'1h26 US &amp; PADD'!$A$22:$A$27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'1h26 US &amp; PADD'!$B$22:$B$27</c:f>
              <c:numCache>
                <c:formatCode>General</c:formatCode>
                <c:ptCount val="6"/>
                <c:pt idx="0">
                  <c:v>343.11774193548388</c:v>
                </c:pt>
                <c:pt idx="1">
                  <c:v>604.06280232003826</c:v>
                </c:pt>
                <c:pt idx="2">
                  <c:v>235.24526140155731</c:v>
                </c:pt>
                <c:pt idx="3">
                  <c:v>78.808333333333337</c:v>
                </c:pt>
                <c:pt idx="4">
                  <c:v>22.754999999999999</c:v>
                </c:pt>
                <c:pt idx="5">
                  <c:v>59.156666666666666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0C-40E2-9838-27C5E0818A89}"/>
            </c:ext>
          </c:extLst>
        </c:ser>
        <c:ser>
          <c:idx val="1"/>
          <c:order val="1"/>
          <c:tx>
            <c:strRef>
              <c:f>'1h26 US &amp; PADD'!$C$3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'1h26 US &amp; PADD'!$A$22:$A$27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'1h26 US &amp; PADD'!$C$22:$C$27</c:f>
              <c:numCache>
                <c:formatCode>General</c:formatCode>
                <c:ptCount val="6"/>
                <c:pt idx="0">
                  <c:v>288.69032258064522</c:v>
                </c:pt>
                <c:pt idx="1">
                  <c:v>293.5410714285714</c:v>
                </c:pt>
                <c:pt idx="2">
                  <c:v>222.98024193548386</c:v>
                </c:pt>
                <c:pt idx="3">
                  <c:v>147.2266666663333</c:v>
                </c:pt>
                <c:pt idx="4">
                  <c:v>34.555903225806446</c:v>
                </c:pt>
                <c:pt idx="5">
                  <c:v>17.93333333333333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A0C-40E2-9838-27C5E0818A89}"/>
            </c:ext>
          </c:extLst>
        </c:ser>
        <c:ser>
          <c:idx val="2"/>
          <c:order val="2"/>
          <c:tx>
            <c:strRef>
              <c:f>'1h26 US &amp; PADD'!$D$3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'1h26 US &amp; PADD'!$A$22:$A$27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'1h26 US &amp; PADD'!$D$22:$D$27</c:f>
              <c:numCache>
                <c:formatCode>General</c:formatCode>
                <c:ptCount val="6"/>
                <c:pt idx="0">
                  <c:v>246.11532258064517</c:v>
                </c:pt>
                <c:pt idx="1">
                  <c:v>386.82678571428568</c:v>
                </c:pt>
                <c:pt idx="2">
                  <c:v>206.43467741935484</c:v>
                </c:pt>
                <c:pt idx="3">
                  <c:v>38.385833333333331</c:v>
                </c:pt>
                <c:pt idx="4">
                  <c:v>9.939516129032258</c:v>
                </c:pt>
                <c:pt idx="5">
                  <c:v>2.75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A0C-40E2-9838-27C5E0818A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2453391"/>
        <c:axId val="962454351"/>
      </c:lineChart>
      <c:catAx>
        <c:axId val="962453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454351"/>
        <c:crosses val="autoZero"/>
        <c:auto val="1"/>
        <c:lblAlgn val="ctr"/>
        <c:lblOffset val="100"/>
        <c:noMultiLvlLbl val="0"/>
      </c:catAx>
      <c:valAx>
        <c:axId val="962454351"/>
        <c:scaling>
          <c:orientation val="minMax"/>
          <c:max val="7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453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Padd 2</a:t>
            </a:r>
          </a:p>
          <a:p>
            <a:pPr>
              <a:defRPr/>
            </a:pPr>
            <a:r>
              <a:rPr lang="en-US"/>
              <a:t>Gasoline Production Offline (KBD)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3"/>
          <c:tx>
            <c:strRef>
              <c:f>'1h26 US &amp; PADD'!$D$39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'1h26 US &amp; PADD'!$D$40:$D$45</c:f>
              <c:numCache>
                <c:formatCode>General</c:formatCode>
                <c:ptCount val="6"/>
                <c:pt idx="1">
                  <c:v>146.72142857142856</c:v>
                </c:pt>
                <c:pt idx="2">
                  <c:v>155.92822580645159</c:v>
                </c:pt>
                <c:pt idx="3">
                  <c:v>148.97166666666666</c:v>
                </c:pt>
                <c:pt idx="4">
                  <c:v>23.029838709677421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3A6-4518-B146-19EE09B7AD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62453391"/>
        <c:axId val="962454351"/>
      </c:barChart>
      <c:lineChart>
        <c:grouping val="standard"/>
        <c:varyColors val="0"/>
        <c:ser>
          <c:idx val="0"/>
          <c:order val="0"/>
          <c:tx>
            <c:strRef>
              <c:f>'1h26 US &amp; PADD'!$B$3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'1h26 US &amp; PADD'!$A$40:$A$46</c:f>
              <c:strCache>
                <c:ptCount val="7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</c:strCache>
            </c:strRef>
          </c:cat>
          <c:val>
            <c:numRef>
              <c:f>'1h26 US &amp; PADD'!$B$40:$B$46</c:f>
              <c:numCache>
                <c:formatCode>General</c:formatCode>
                <c:ptCount val="7"/>
                <c:pt idx="1">
                  <c:v>13.6</c:v>
                </c:pt>
                <c:pt idx="2">
                  <c:v>134.09944086054838</c:v>
                </c:pt>
                <c:pt idx="3">
                  <c:v>343.47233333220458</c:v>
                </c:pt>
                <c:pt idx="4">
                  <c:v>148.09725806451615</c:v>
                </c:pt>
                <c:pt idx="6">
                  <c:v>3.916666666666667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A6-4518-B146-19EE09B7ADEF}"/>
            </c:ext>
          </c:extLst>
        </c:ser>
        <c:ser>
          <c:idx val="1"/>
          <c:order val="1"/>
          <c:tx>
            <c:strRef>
              <c:f>'1h26 US &amp; PADD'!$C$3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'1h26 US &amp; PADD'!$A$40:$A$46</c:f>
              <c:strCache>
                <c:ptCount val="7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</c:strCache>
            </c:strRef>
          </c:cat>
          <c:val>
            <c:numRef>
              <c:f>'1h26 US &amp; PADD'!$C$40:$C$46</c:f>
              <c:numCache>
                <c:formatCode>General</c:formatCode>
                <c:ptCount val="7"/>
                <c:pt idx="0">
                  <c:v>8.637096774193548</c:v>
                </c:pt>
                <c:pt idx="1">
                  <c:v>36.455357142857146</c:v>
                </c:pt>
                <c:pt idx="2">
                  <c:v>280.16212903225801</c:v>
                </c:pt>
                <c:pt idx="3">
                  <c:v>383.54150000000004</c:v>
                </c:pt>
                <c:pt idx="4">
                  <c:v>110.88064516129032</c:v>
                </c:pt>
                <c:pt idx="5">
                  <c:v>45.25</c:v>
                </c:pt>
                <c:pt idx="6">
                  <c:v>36.193548387096783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3A6-4518-B146-19EE09B7ADEF}"/>
            </c:ext>
          </c:extLst>
        </c:ser>
        <c:ser>
          <c:idx val="2"/>
          <c:order val="2"/>
          <c:tx>
            <c:strRef>
              <c:f>'1h26 US &amp; PADD'!$D$3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'1h26 US &amp; PADD'!$A$40:$A$46</c:f>
              <c:strCache>
                <c:ptCount val="7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</c:strCache>
            </c:strRef>
          </c:cat>
          <c:val>
            <c:numRef>
              <c:f>'1h26 US &amp; PADD'!$D$40:$D$46</c:f>
              <c:numCache>
                <c:formatCode>General</c:formatCode>
                <c:ptCount val="7"/>
                <c:pt idx="1">
                  <c:v>146.72142857142856</c:v>
                </c:pt>
                <c:pt idx="2">
                  <c:v>155.92822580645159</c:v>
                </c:pt>
                <c:pt idx="3">
                  <c:v>148.97166666666666</c:v>
                </c:pt>
                <c:pt idx="4">
                  <c:v>23.029838709677421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3A6-4518-B146-19EE09B7AD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2453391"/>
        <c:axId val="962454351"/>
      </c:lineChart>
      <c:catAx>
        <c:axId val="962453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454351"/>
        <c:crosses val="autoZero"/>
        <c:auto val="1"/>
        <c:lblAlgn val="ctr"/>
        <c:lblOffset val="100"/>
        <c:noMultiLvlLbl val="0"/>
      </c:catAx>
      <c:valAx>
        <c:axId val="962454351"/>
        <c:scaling>
          <c:orientation val="minMax"/>
          <c:max val="5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453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Padd 5 </a:t>
            </a:r>
          </a:p>
          <a:p>
            <a:pPr>
              <a:defRPr/>
            </a:pPr>
            <a:r>
              <a:rPr lang="en-US"/>
              <a:t>Gasoline Production Offline (KBD)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'1h26 US &amp; PADD'!$B$3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'1h26 US &amp; PADD'!$A$58:$A$64</c:f>
              <c:strCache>
                <c:ptCount val="7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</c:strCache>
            </c:strRef>
          </c:cat>
          <c:val>
            <c:numRef>
              <c:f>'1h26 US &amp; PADD'!$B$58:$B$64</c:f>
              <c:numCache>
                <c:formatCode>General</c:formatCode>
                <c:ptCount val="7"/>
                <c:pt idx="0">
                  <c:v>33.188709677419354</c:v>
                </c:pt>
                <c:pt idx="1">
                  <c:v>51.103448275862078</c:v>
                </c:pt>
                <c:pt idx="2">
                  <c:v>71.543333332999993</c:v>
                </c:pt>
                <c:pt idx="3">
                  <c:v>105.24333333366667</c:v>
                </c:pt>
                <c:pt idx="4">
                  <c:v>161.95838709677417</c:v>
                </c:pt>
                <c:pt idx="5">
                  <c:v>48.173333333333332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DD-4ED6-977C-6978829562BA}"/>
            </c:ext>
          </c:extLst>
        </c:ser>
        <c:ser>
          <c:idx val="1"/>
          <c:order val="1"/>
          <c:tx>
            <c:strRef>
              <c:f>'1h26 US &amp; PADD'!$C$3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'1h26 US &amp; PADD'!$A$58:$A$64</c:f>
              <c:strCache>
                <c:ptCount val="7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</c:strCache>
            </c:strRef>
          </c:cat>
          <c:val>
            <c:numRef>
              <c:f>'1h26 US &amp; PADD'!$C$58:$C$64</c:f>
              <c:numCache>
                <c:formatCode>General</c:formatCode>
                <c:ptCount val="7"/>
                <c:pt idx="0">
                  <c:v>38.525806451612908</c:v>
                </c:pt>
                <c:pt idx="1">
                  <c:v>67.828571428571436</c:v>
                </c:pt>
                <c:pt idx="2">
                  <c:v>180.20645161290324</c:v>
                </c:pt>
                <c:pt idx="3">
                  <c:v>109.64833333333334</c:v>
                </c:pt>
                <c:pt idx="4">
                  <c:v>72.732258064516131</c:v>
                </c:pt>
                <c:pt idx="6">
                  <c:v>14.483870967741934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ADD-4ED6-977C-6978829562BA}"/>
            </c:ext>
          </c:extLst>
        </c:ser>
        <c:ser>
          <c:idx val="2"/>
          <c:order val="2"/>
          <c:tx>
            <c:strRef>
              <c:f>'1h26 US &amp; PADD'!$D$3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'1h26 US &amp; PADD'!$A$58:$A$64</c:f>
              <c:strCache>
                <c:ptCount val="7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</c:strCache>
            </c:strRef>
          </c:cat>
          <c:val>
            <c:numRef>
              <c:f>'1h26 US &amp; PADD'!$D$58:$D$64</c:f>
              <c:numCache>
                <c:formatCode>General</c:formatCode>
                <c:ptCount val="7"/>
                <c:pt idx="0">
                  <c:v>25.909677419354843</c:v>
                </c:pt>
                <c:pt idx="1">
                  <c:v>8.3724999999999987</c:v>
                </c:pt>
                <c:pt idx="2">
                  <c:v>11.34</c:v>
                </c:pt>
                <c:pt idx="3">
                  <c:v>118.53933333333333</c:v>
                </c:pt>
                <c:pt idx="4">
                  <c:v>129.5340860215054</c:v>
                </c:pt>
                <c:pt idx="5">
                  <c:v>117.55666666666667</c:v>
                </c:pt>
                <c:pt idx="6">
                  <c:v>103.05000000000001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ADD-4ED6-977C-6978829562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2453391"/>
        <c:axId val="962454351"/>
      </c:lineChart>
      <c:catAx>
        <c:axId val="962453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454351"/>
        <c:crosses val="autoZero"/>
        <c:auto val="1"/>
        <c:lblAlgn val="ctr"/>
        <c:lblOffset val="100"/>
        <c:noMultiLvlLbl val="0"/>
      </c:catAx>
      <c:valAx>
        <c:axId val="962454351"/>
        <c:scaling>
          <c:orientation val="minMax"/>
          <c:max val="2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453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US Total</a:t>
            </a:r>
            <a:r>
              <a:rPr lang="en-US" baseline="0"/>
              <a:t> (Power BI)</a:t>
            </a:r>
          </a:p>
          <a:p>
            <a:pPr>
              <a:defRPr/>
            </a:pPr>
            <a:r>
              <a:rPr lang="en-US"/>
              <a:t>Gasoline Production Offline (KBD)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7165860030898365E-2"/>
          <c:y val="0.17171296296296298"/>
          <c:w val="0.89071723427223515"/>
          <c:h val="0.61498432487605714"/>
        </c:manualLayout>
      </c:layout>
      <c:lineChart>
        <c:grouping val="standard"/>
        <c:varyColors val="0"/>
        <c:ser>
          <c:idx val="1"/>
          <c:order val="0"/>
          <c:tx>
            <c:strRef>
              <c:f>'1h26 US &amp; PADD'!$R$4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'1h26 US &amp; PADD'!$Q$6:$Q$11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'1h26 US &amp; PADD'!$R$6:$R$11</c:f>
              <c:numCache>
                <c:formatCode>General</c:formatCode>
                <c:ptCount val="6"/>
                <c:pt idx="0">
                  <c:v>713.58045161290295</c:v>
                </c:pt>
                <c:pt idx="1">
                  <c:v>1128.2900714285713</c:v>
                </c:pt>
                <c:pt idx="2">
                  <c:v>1003.2088387096768</c:v>
                </c:pt>
                <c:pt idx="3">
                  <c:v>918.93966666666711</c:v>
                </c:pt>
                <c:pt idx="4">
                  <c:v>604.2099999999997</c:v>
                </c:pt>
                <c:pt idx="5">
                  <c:v>424.2943333333339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AB0-498C-B4BA-7BD382311AD1}"/>
            </c:ext>
          </c:extLst>
        </c:ser>
        <c:ser>
          <c:idx val="0"/>
          <c:order val="1"/>
          <c:tx>
            <c:strRef>
              <c:f>'1h26 US &amp; PADD'!$S$4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'1h26 US &amp; PADD'!$Q$6:$Q$11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'1h26 US &amp; PADD'!$S$6:$S$11</c:f>
              <c:numCache>
                <c:formatCode>General</c:formatCode>
                <c:ptCount val="6"/>
                <c:pt idx="0">
                  <c:v>971.73864516129026</c:v>
                </c:pt>
                <c:pt idx="1">
                  <c:v>1337.8524137931036</c:v>
                </c:pt>
                <c:pt idx="2">
                  <c:v>915.41658064516105</c:v>
                </c:pt>
                <c:pt idx="3">
                  <c:v>771.28016666666701</c:v>
                </c:pt>
                <c:pt idx="4">
                  <c:v>477.80112903225807</c:v>
                </c:pt>
                <c:pt idx="5">
                  <c:v>372.30349999999999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AAB0-498C-B4BA-7BD382311AD1}"/>
            </c:ext>
          </c:extLst>
        </c:ser>
        <c:ser>
          <c:idx val="2"/>
          <c:order val="2"/>
          <c:tx>
            <c:strRef>
              <c:f>'1h26 US &amp; PADD'!$T$4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'1h26 US &amp; PADD'!$Q$6:$Q$11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'1h26 US &amp; PADD'!$T$6:$T$11</c:f>
              <c:numCache>
                <c:formatCode>General</c:formatCode>
                <c:ptCount val="6"/>
                <c:pt idx="0">
                  <c:v>372.22212903225801</c:v>
                </c:pt>
                <c:pt idx="1">
                  <c:v>839.72214285714313</c:v>
                </c:pt>
                <c:pt idx="2">
                  <c:v>865.88596774193581</c:v>
                </c:pt>
                <c:pt idx="3">
                  <c:v>562.44416666666666</c:v>
                </c:pt>
                <c:pt idx="4">
                  <c:v>278.07419354838703</c:v>
                </c:pt>
                <c:pt idx="5">
                  <c:v>69.549499999999995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AB0-498C-B4BA-7BD382311AD1}"/>
            </c:ext>
          </c:extLst>
        </c:ser>
        <c:ser>
          <c:idx val="3"/>
          <c:order val="3"/>
          <c:tx>
            <c:strRef>
              <c:f>'1h26 US &amp; PADD'!$U$4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'1h26 US &amp; PADD'!$Q$6:$Q$11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'1h26 US &amp; PADD'!$U$6:$U$11</c:f>
              <c:numCache>
                <c:formatCode>General</c:formatCode>
                <c:ptCount val="6"/>
                <c:pt idx="0">
                  <c:v>294.74612903225801</c:v>
                </c:pt>
                <c:pt idx="1">
                  <c:v>468.11875000000003</c:v>
                </c:pt>
                <c:pt idx="2">
                  <c:v>527.37454838709652</c:v>
                </c:pt>
                <c:pt idx="3">
                  <c:v>274.53953333333334</c:v>
                </c:pt>
                <c:pt idx="4">
                  <c:v>61.096064516129012</c:v>
                </c:pt>
                <c:pt idx="5">
                  <c:v>18.65666666666667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AAB0-498C-B4BA-7BD382311A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2453391"/>
        <c:axId val="962454351"/>
      </c:lineChart>
      <c:catAx>
        <c:axId val="962453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454351"/>
        <c:crosses val="autoZero"/>
        <c:auto val="1"/>
        <c:lblAlgn val="ctr"/>
        <c:lblOffset val="100"/>
        <c:noMultiLvlLbl val="0"/>
      </c:catAx>
      <c:valAx>
        <c:axId val="962454351"/>
        <c:scaling>
          <c:orientation val="minMax"/>
          <c:max val="15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453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Padd</a:t>
            </a:r>
            <a:r>
              <a:rPr lang="en-US" baseline="0"/>
              <a:t> 3 </a:t>
            </a:r>
          </a:p>
          <a:p>
            <a:pPr>
              <a:defRPr/>
            </a:pPr>
            <a:r>
              <a:rPr lang="en-US"/>
              <a:t>Gasoline Production Offline (KBD)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7165860030898365E-2"/>
          <c:y val="0.17171296296296298"/>
          <c:w val="0.89071723427223515"/>
          <c:h val="0.61498432487605714"/>
        </c:manualLayout>
      </c:layout>
      <c:lineChart>
        <c:grouping val="standard"/>
        <c:varyColors val="0"/>
        <c:ser>
          <c:idx val="1"/>
          <c:order val="0"/>
          <c:tx>
            <c:strRef>
              <c:f>'1h26 US &amp; PADD'!$R$4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'1h26 US &amp; PADD'!$Q$25:$Q$30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'1h26 US &amp; PADD'!$R$25:$R$30</c:f>
              <c:numCache>
                <c:formatCode>General</c:formatCode>
                <c:ptCount val="6"/>
                <c:pt idx="0">
                  <c:v>420.20238709677392</c:v>
                </c:pt>
                <c:pt idx="1">
                  <c:v>682.32992857142847</c:v>
                </c:pt>
                <c:pt idx="2">
                  <c:v>610.41609677419331</c:v>
                </c:pt>
                <c:pt idx="3">
                  <c:v>446.31633333333389</c:v>
                </c:pt>
                <c:pt idx="4">
                  <c:v>301.50048387096757</c:v>
                </c:pt>
                <c:pt idx="5">
                  <c:v>302.91233333333389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C5-4A69-A4C8-EAF91BA37F81}"/>
            </c:ext>
          </c:extLst>
        </c:ser>
        <c:ser>
          <c:idx val="0"/>
          <c:order val="1"/>
          <c:tx>
            <c:strRef>
              <c:f>'1h26 US &amp; PADD'!$S$4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'1h26 US &amp; PADD'!$Q$25:$Q$30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'1h26 US &amp; PADD'!$S$25:$S$30</c:f>
              <c:numCache>
                <c:formatCode>General</c:formatCode>
                <c:ptCount val="6"/>
                <c:pt idx="0">
                  <c:v>818.4145806451611</c:v>
                </c:pt>
                <c:pt idx="1">
                  <c:v>1135.9813793103447</c:v>
                </c:pt>
                <c:pt idx="2">
                  <c:v>587.10490322580631</c:v>
                </c:pt>
                <c:pt idx="3">
                  <c:v>411.00816666666702</c:v>
                </c:pt>
                <c:pt idx="4">
                  <c:v>244.82677419354837</c:v>
                </c:pt>
                <c:pt idx="5">
                  <c:v>184.11949999999999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C5-4A69-A4C8-EAF91BA37F81}"/>
            </c:ext>
          </c:extLst>
        </c:ser>
        <c:ser>
          <c:idx val="2"/>
          <c:order val="2"/>
          <c:tx>
            <c:strRef>
              <c:f>'1h26 US &amp; PADD'!$T$4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'1h26 US &amp; PADD'!$Q$25:$Q$30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'1h26 US &amp; PADD'!$T$25:$T$30</c:f>
              <c:numCache>
                <c:formatCode>General</c:formatCode>
                <c:ptCount val="6"/>
                <c:pt idx="0">
                  <c:v>288.47903225806448</c:v>
                </c:pt>
                <c:pt idx="1">
                  <c:v>713.39214285714297</c:v>
                </c:pt>
                <c:pt idx="2">
                  <c:v>588.23580645161314</c:v>
                </c:pt>
                <c:pt idx="3">
                  <c:v>78.730833333333337</c:v>
                </c:pt>
                <c:pt idx="4">
                  <c:v>6.4919354838709671</c:v>
                </c:pt>
                <c:pt idx="5">
                  <c:v>1.6333333333333335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3C5-4A69-A4C8-EAF91BA37F81}"/>
            </c:ext>
          </c:extLst>
        </c:ser>
        <c:ser>
          <c:idx val="3"/>
          <c:order val="3"/>
          <c:tx>
            <c:strRef>
              <c:f>'1h26 US &amp; PADD'!$U$4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'1h26 US &amp; PADD'!$Q$25:$Q$30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'1h26 US &amp; PADD'!$U$25:$U$30</c:f>
              <c:numCache>
                <c:formatCode>General</c:formatCode>
                <c:ptCount val="6"/>
                <c:pt idx="0">
                  <c:v>182.74677419354836</c:v>
                </c:pt>
                <c:pt idx="1">
                  <c:v>301.8155357142856</c:v>
                </c:pt>
                <c:pt idx="2">
                  <c:v>156.04267741935487</c:v>
                </c:pt>
                <c:pt idx="3">
                  <c:v>31.188399999999994</c:v>
                </c:pt>
                <c:pt idx="4">
                  <c:v>14.5616129032258</c:v>
                </c:pt>
                <c:pt idx="5">
                  <c:v>8.2500000000000036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3C5-4A69-A4C8-EAF91BA37F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2453391"/>
        <c:axId val="962454351"/>
      </c:lineChart>
      <c:catAx>
        <c:axId val="962453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454351"/>
        <c:crosses val="autoZero"/>
        <c:auto val="1"/>
        <c:lblAlgn val="ctr"/>
        <c:lblOffset val="100"/>
        <c:noMultiLvlLbl val="0"/>
      </c:catAx>
      <c:valAx>
        <c:axId val="962454351"/>
        <c:scaling>
          <c:orientation val="minMax"/>
          <c:max val="15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453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Gasoline Production Offline (KBD)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7165860030898365E-2"/>
          <c:y val="0.17171296296296298"/>
          <c:w val="0.89071723427223515"/>
          <c:h val="0.61498432487605714"/>
        </c:manualLayout>
      </c:layout>
      <c:lineChart>
        <c:grouping val="standard"/>
        <c:varyColors val="0"/>
        <c:ser>
          <c:idx val="1"/>
          <c:order val="0"/>
          <c:tx>
            <c:strRef>
              <c:f>'1h26 US &amp; PADD'!$R$4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'1h26 US &amp; PADD'!$Q$43:$Q$48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'1h26 US &amp; PADD'!$R$43:$R$48</c:f>
              <c:numCache>
                <c:formatCode>General</c:formatCode>
                <c:ptCount val="6"/>
                <c:pt idx="0">
                  <c:v>187.67000000000004</c:v>
                </c:pt>
                <c:pt idx="1">
                  <c:v>194.47892857142853</c:v>
                </c:pt>
                <c:pt idx="2">
                  <c:v>225.18338709677428</c:v>
                </c:pt>
                <c:pt idx="3">
                  <c:v>276.39600000000007</c:v>
                </c:pt>
                <c:pt idx="4">
                  <c:v>137.33741935483874</c:v>
                </c:pt>
                <c:pt idx="5">
                  <c:v>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00-4DA5-9B9F-E7787563FB42}"/>
            </c:ext>
          </c:extLst>
        </c:ser>
        <c:ser>
          <c:idx val="0"/>
          <c:order val="1"/>
          <c:tx>
            <c:strRef>
              <c:f>'1h26 US &amp; PADD'!$S$4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'1h26 US &amp; PADD'!$Q$43:$Q$48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'1h26 US &amp; PADD'!$S$43:$S$48</c:f>
              <c:numCache>
                <c:formatCode>General</c:formatCode>
                <c:ptCount val="6"/>
                <c:pt idx="0">
                  <c:v>90.000000000000043</c:v>
                </c:pt>
                <c:pt idx="1">
                  <c:v>103.36620689655169</c:v>
                </c:pt>
                <c:pt idx="2">
                  <c:v>163.40016129032264</c:v>
                </c:pt>
                <c:pt idx="3">
                  <c:v>226.50133333333326</c:v>
                </c:pt>
                <c:pt idx="4">
                  <c:v>113.01387096774192</c:v>
                </c:pt>
                <c:pt idx="5">
                  <c:v>45.804666666666662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200-4DA5-9B9F-E7787563FB42}"/>
            </c:ext>
          </c:extLst>
        </c:ser>
        <c:ser>
          <c:idx val="2"/>
          <c:order val="2"/>
          <c:tx>
            <c:strRef>
              <c:f>'1h26 US &amp; PADD'!$T$4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'1h26 US &amp; PADD'!$Q$43:$Q$48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'1h26 US &amp; PADD'!$T$43:$T$48</c:f>
              <c:numCache>
                <c:formatCode>General</c:formatCode>
                <c:ptCount val="6"/>
                <c:pt idx="0">
                  <c:v>29.506322580645161</c:v>
                </c:pt>
                <c:pt idx="1">
                  <c:v>64.85899999999998</c:v>
                </c:pt>
                <c:pt idx="2">
                  <c:v>190.22870967741937</c:v>
                </c:pt>
                <c:pt idx="3">
                  <c:v>351.62783333333334</c:v>
                </c:pt>
                <c:pt idx="4">
                  <c:v>161.14806451612904</c:v>
                </c:pt>
                <c:pt idx="5">
                  <c:v>55.68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200-4DA5-9B9F-E7787563FB42}"/>
            </c:ext>
          </c:extLst>
        </c:ser>
        <c:ser>
          <c:idx val="3"/>
          <c:order val="3"/>
          <c:tx>
            <c:strRef>
              <c:f>'1h26 US &amp; PADD'!$U$4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'1h26 US &amp; PADD'!$Q$43:$Q$48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'1h26 US &amp; PADD'!$U$43:$U$48</c:f>
              <c:numCache>
                <c:formatCode>General</c:formatCode>
                <c:ptCount val="6"/>
                <c:pt idx="0">
                  <c:v>0</c:v>
                </c:pt>
                <c:pt idx="1">
                  <c:v>137.81785714285718</c:v>
                </c:pt>
                <c:pt idx="2">
                  <c:v>84.803225806451607</c:v>
                </c:pt>
                <c:pt idx="3">
                  <c:v>56.081666666666678</c:v>
                </c:pt>
                <c:pt idx="4">
                  <c:v>11.453225806451613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200-4DA5-9B9F-E7787563FB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2453391"/>
        <c:axId val="962454351"/>
      </c:lineChart>
      <c:catAx>
        <c:axId val="962453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454351"/>
        <c:crosses val="autoZero"/>
        <c:auto val="1"/>
        <c:lblAlgn val="ctr"/>
        <c:lblOffset val="100"/>
        <c:noMultiLvlLbl val="0"/>
      </c:catAx>
      <c:valAx>
        <c:axId val="96245435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453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Gasoline Production Offline (KBD)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7165860030898365E-2"/>
          <c:y val="0.17171296296296298"/>
          <c:w val="0.89071723427223515"/>
          <c:h val="0.61498432487605714"/>
        </c:manualLayout>
      </c:layout>
      <c:lineChart>
        <c:grouping val="standard"/>
        <c:varyColors val="0"/>
        <c:ser>
          <c:idx val="1"/>
          <c:order val="0"/>
          <c:tx>
            <c:strRef>
              <c:f>'1h26 US &amp; PADD'!$R$4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'1h26 US &amp; PADD'!$Q$62:$Q$67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'1h26 US &amp; PADD'!$R$62:$R$67</c:f>
              <c:numCache>
                <c:formatCode>General</c:formatCode>
                <c:ptCount val="6"/>
                <c:pt idx="0">
                  <c:v>64.6148387096774</c:v>
                </c:pt>
                <c:pt idx="1">
                  <c:v>121.13249999999999</c:v>
                </c:pt>
                <c:pt idx="2">
                  <c:v>48.76</c:v>
                </c:pt>
                <c:pt idx="3">
                  <c:v>122.61483333333335</c:v>
                </c:pt>
                <c:pt idx="4">
                  <c:v>99.754677419354863</c:v>
                </c:pt>
                <c:pt idx="5">
                  <c:v>25.131666666666657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F0-435D-A519-F59F732B724D}"/>
            </c:ext>
          </c:extLst>
        </c:ser>
        <c:ser>
          <c:idx val="0"/>
          <c:order val="1"/>
          <c:tx>
            <c:strRef>
              <c:f>'1h26 US &amp; PADD'!$S$4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'1h26 US &amp; PADD'!$Q$62:$Q$67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'1h26 US &amp; PADD'!$S$62:$S$67</c:f>
              <c:numCache>
                <c:formatCode>General</c:formatCode>
                <c:ptCount val="6"/>
                <c:pt idx="0">
                  <c:v>57.735483870967748</c:v>
                </c:pt>
                <c:pt idx="1">
                  <c:v>59.781034482758614</c:v>
                </c:pt>
                <c:pt idx="2">
                  <c:v>48.573870967741932</c:v>
                </c:pt>
                <c:pt idx="3">
                  <c:v>54.338399999999979</c:v>
                </c:pt>
                <c:pt idx="4">
                  <c:v>110.43290322580646</c:v>
                </c:pt>
                <c:pt idx="5">
                  <c:v>142.37933333333328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F0-435D-A519-F59F732B724D}"/>
            </c:ext>
          </c:extLst>
        </c:ser>
        <c:ser>
          <c:idx val="2"/>
          <c:order val="2"/>
          <c:tx>
            <c:strRef>
              <c:f>'1h26 US &amp; PADD'!$T$4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'1h26 US &amp; PADD'!$Q$62:$Q$67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'1h26 US &amp; PADD'!$T$62:$T$67</c:f>
              <c:numCache>
                <c:formatCode>General</c:formatCode>
                <c:ptCount val="6"/>
                <c:pt idx="0">
                  <c:v>54.236774193548378</c:v>
                </c:pt>
                <c:pt idx="1">
                  <c:v>34.670285714285711</c:v>
                </c:pt>
                <c:pt idx="2">
                  <c:v>41.109677419354838</c:v>
                </c:pt>
                <c:pt idx="3">
                  <c:v>91.32</c:v>
                </c:pt>
                <c:pt idx="4">
                  <c:v>75.193548387096754</c:v>
                </c:pt>
                <c:pt idx="5">
                  <c:v>0.26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CF0-435D-A519-F59F732B724D}"/>
            </c:ext>
          </c:extLst>
        </c:ser>
        <c:ser>
          <c:idx val="3"/>
          <c:order val="3"/>
          <c:tx>
            <c:strRef>
              <c:f>'1h26 US &amp; PADD'!$U$4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'1h26 US &amp; PADD'!$Q$62:$Q$67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'1h26 US &amp; PADD'!$U$62:$U$67</c:f>
              <c:numCache>
                <c:formatCode>General</c:formatCode>
                <c:ptCount val="6"/>
                <c:pt idx="0">
                  <c:v>111.99935483870966</c:v>
                </c:pt>
                <c:pt idx="1">
                  <c:v>23.006428571428575</c:v>
                </c:pt>
                <c:pt idx="2">
                  <c:v>54.319999999999972</c:v>
                </c:pt>
                <c:pt idx="3">
                  <c:v>21.542333333333335</c:v>
                </c:pt>
                <c:pt idx="4">
                  <c:v>32.514516129032259</c:v>
                </c:pt>
                <c:pt idx="5">
                  <c:v>10.406666666666665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CF0-435D-A519-F59F732B72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2453391"/>
        <c:axId val="962454351"/>
      </c:lineChart>
      <c:catAx>
        <c:axId val="962453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454351"/>
        <c:crosses val="autoZero"/>
        <c:auto val="1"/>
        <c:lblAlgn val="ctr"/>
        <c:lblOffset val="100"/>
        <c:noMultiLvlLbl val="0"/>
      </c:catAx>
      <c:valAx>
        <c:axId val="962454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453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Planned &amp; Unplanned Mogas</a:t>
            </a:r>
            <a:r>
              <a:rPr lang="en-US" baseline="0"/>
              <a:t> Offline Prod (kbd)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9247594050743664E-2"/>
          <c:y val="0.22669036162146397"/>
          <c:w val="0.89019685039370078"/>
          <c:h val="0.66591025080198307"/>
        </c:manualLayout>
      </c:layout>
      <c:lineChart>
        <c:grouping val="standard"/>
        <c:varyColors val="0"/>
        <c:ser>
          <c:idx val="0"/>
          <c:order val="0"/>
          <c:tx>
            <c:v>2024</c:v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Lit>
              <c:ptCount val="10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8</c:v>
              </c:pt>
              <c:pt idx="6">
                <c:v>9</c:v>
              </c:pt>
              <c:pt idx="7">
                <c:v>10</c:v>
              </c:pt>
              <c:pt idx="8">
                <c:v>11</c:v>
              </c:pt>
              <c:pt idx="9">
                <c:v>12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'22-24 data'!$R$35:$AC$35</c15:sqref>
                  </c15:fullRef>
                </c:ext>
              </c:extLst>
              <c:f>('22-24 data'!$R$35:$V$35,'22-24 data'!$Y$35:$AC$35)</c:f>
              <c:numCache>
                <c:formatCode>0</c:formatCode>
                <c:ptCount val="10"/>
                <c:pt idx="0">
                  <c:v>347.97645161290325</c:v>
                </c:pt>
                <c:pt idx="1">
                  <c:v>594.7177864293659</c:v>
                </c:pt>
                <c:pt idx="2">
                  <c:v>237.86139043381533</c:v>
                </c:pt>
                <c:pt idx="3">
                  <c:v>80.508333333333326</c:v>
                </c:pt>
                <c:pt idx="4">
                  <c:v>22.800161290322581</c:v>
                </c:pt>
                <c:pt idx="5">
                  <c:v>102.1708064516129</c:v>
                </c:pt>
                <c:pt idx="6">
                  <c:v>231.37166666733299</c:v>
                </c:pt>
                <c:pt idx="7">
                  <c:v>310.07053763374199</c:v>
                </c:pt>
                <c:pt idx="8">
                  <c:v>68.001166666666705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05-4523-AF7F-A464111B4DB4}"/>
            </c:ext>
          </c:extLst>
        </c:ser>
        <c:ser>
          <c:idx val="1"/>
          <c:order val="1"/>
          <c:tx>
            <c:v>2023</c:v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strLit>
              <c:ptCount val="10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8</c:v>
              </c:pt>
              <c:pt idx="6">
                <c:v>9</c:v>
              </c:pt>
              <c:pt idx="7">
                <c:v>10</c:v>
              </c:pt>
              <c:pt idx="8">
                <c:v>11</c:v>
              </c:pt>
              <c:pt idx="9">
                <c:v>12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'22-24 data'!$R$37:$AC$37</c15:sqref>
                  </c15:fullRef>
                </c:ext>
              </c:extLst>
              <c:f>('22-24 data'!$R$37:$V$37,'22-24 data'!$Y$37:$AC$37)</c:f>
              <c:numCache>
                <c:formatCode>0</c:formatCode>
                <c:ptCount val="10"/>
                <c:pt idx="0">
                  <c:v>417.94819354838717</c:v>
                </c:pt>
                <c:pt idx="1">
                  <c:v>512.31600000000003</c:v>
                </c:pt>
                <c:pt idx="2">
                  <c:v>415.3019032258066</c:v>
                </c:pt>
                <c:pt idx="3">
                  <c:v>283.59499999999997</c:v>
                </c:pt>
                <c:pt idx="4">
                  <c:v>218.23032258064515</c:v>
                </c:pt>
                <c:pt idx="5">
                  <c:v>245.76064516129034</c:v>
                </c:pt>
                <c:pt idx="6">
                  <c:v>323.25500000000005</c:v>
                </c:pt>
                <c:pt idx="7">
                  <c:v>530.40580645161299</c:v>
                </c:pt>
                <c:pt idx="8">
                  <c:v>239.63700000000006</c:v>
                </c:pt>
                <c:pt idx="9">
                  <c:v>58.000645161290294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05-4523-AF7F-A464111B4DB4}"/>
            </c:ext>
          </c:extLst>
        </c:ser>
        <c:ser>
          <c:idx val="2"/>
          <c:order val="2"/>
          <c:tx>
            <c:v>2022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10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8</c:v>
              </c:pt>
              <c:pt idx="6">
                <c:v>9</c:v>
              </c:pt>
              <c:pt idx="7">
                <c:v>10</c:v>
              </c:pt>
              <c:pt idx="8">
                <c:v>11</c:v>
              </c:pt>
              <c:pt idx="9">
                <c:v>12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'22-24 data'!$R$39:$AC$39</c15:sqref>
                  </c15:fullRef>
                </c:ext>
              </c:extLst>
              <c:f>('22-24 data'!$R$39:$V$39,'22-24 data'!$Y$39:$AC$39)</c:f>
              <c:numCache>
                <c:formatCode>0</c:formatCode>
                <c:ptCount val="10"/>
                <c:pt idx="0">
                  <c:v>373.97450666599997</c:v>
                </c:pt>
                <c:pt idx="1">
                  <c:v>530.57791999900007</c:v>
                </c:pt>
                <c:pt idx="2">
                  <c:v>279.18400666700001</c:v>
                </c:pt>
                <c:pt idx="3">
                  <c:v>242.635583333</c:v>
                </c:pt>
                <c:pt idx="4">
                  <c:v>221.08524000000003</c:v>
                </c:pt>
                <c:pt idx="5">
                  <c:v>59.664333333000002</c:v>
                </c:pt>
                <c:pt idx="6">
                  <c:v>104.03633333500001</c:v>
                </c:pt>
                <c:pt idx="7">
                  <c:v>446.52620000000002</c:v>
                </c:pt>
                <c:pt idx="8">
                  <c:v>226.35833333299996</c:v>
                </c:pt>
                <c:pt idx="9">
                  <c:v>391.73253333600007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505-4523-AF7F-A464111B4D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10308256"/>
        <c:axId val="1910315328"/>
      </c:lineChart>
      <c:catAx>
        <c:axId val="191030825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0315328"/>
        <c:crosses val="autoZero"/>
        <c:auto val="1"/>
        <c:lblAlgn val="ctr"/>
        <c:lblOffset val="100"/>
        <c:noMultiLvlLbl val="0"/>
      </c:catAx>
      <c:valAx>
        <c:axId val="1910315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0308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Planned Mogas</a:t>
            </a:r>
            <a:r>
              <a:rPr lang="en-US" baseline="0"/>
              <a:t> Offline Prod (kbd)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9247594050743664E-2"/>
          <c:y val="0.22669036162146397"/>
          <c:w val="0.89019685039370078"/>
          <c:h val="0.66591025080198307"/>
        </c:manualLayout>
      </c:layout>
      <c:lineChart>
        <c:grouping val="standard"/>
        <c:varyColors val="0"/>
        <c:ser>
          <c:idx val="0"/>
          <c:order val="0"/>
          <c:tx>
            <c:v>2024</c:v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Lit>
              <c:ptCount val="10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8</c:v>
              </c:pt>
              <c:pt idx="6">
                <c:v>9</c:v>
              </c:pt>
              <c:pt idx="7">
                <c:v>10</c:v>
              </c:pt>
              <c:pt idx="8">
                <c:v>11</c:v>
              </c:pt>
              <c:pt idx="9">
                <c:v>12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'22-24 data'!$R$35:$AC$35</c15:sqref>
                  </c15:fullRef>
                </c:ext>
              </c:extLst>
              <c:f>('22-24 data'!$R$35:$V$35,'22-24 data'!$Y$35:$AC$35)</c:f>
              <c:numCache>
                <c:formatCode>0</c:formatCode>
                <c:ptCount val="10"/>
                <c:pt idx="0">
                  <c:v>347.97645161290325</c:v>
                </c:pt>
                <c:pt idx="1">
                  <c:v>594.7177864293659</c:v>
                </c:pt>
                <c:pt idx="2">
                  <c:v>237.86139043381533</c:v>
                </c:pt>
                <c:pt idx="3">
                  <c:v>80.508333333333326</c:v>
                </c:pt>
                <c:pt idx="4">
                  <c:v>22.800161290322581</c:v>
                </c:pt>
                <c:pt idx="5">
                  <c:v>102.1708064516129</c:v>
                </c:pt>
                <c:pt idx="6">
                  <c:v>231.37166666733299</c:v>
                </c:pt>
                <c:pt idx="7">
                  <c:v>310.07053763374199</c:v>
                </c:pt>
                <c:pt idx="8">
                  <c:v>68.001166666666705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40-4C41-ADE6-5AE9A8EF756B}"/>
            </c:ext>
          </c:extLst>
        </c:ser>
        <c:ser>
          <c:idx val="1"/>
          <c:order val="1"/>
          <c:tx>
            <c:v>2023</c:v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strLit>
              <c:ptCount val="10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8</c:v>
              </c:pt>
              <c:pt idx="6">
                <c:v>9</c:v>
              </c:pt>
              <c:pt idx="7">
                <c:v>10</c:v>
              </c:pt>
              <c:pt idx="8">
                <c:v>11</c:v>
              </c:pt>
              <c:pt idx="9">
                <c:v>12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'22-24 data'!$R$42:$AC$42</c15:sqref>
                  </c15:fullRef>
                </c:ext>
              </c:extLst>
              <c:f>('22-24 data'!$R$42:$V$42,'22-24 data'!$Y$42:$AC$42)</c:f>
              <c:numCache>
                <c:formatCode>0</c:formatCode>
                <c:ptCount val="10"/>
                <c:pt idx="0">
                  <c:v>238.07846666699999</c:v>
                </c:pt>
                <c:pt idx="1">
                  <c:v>467.77760000000001</c:v>
                </c:pt>
                <c:pt idx="2">
                  <c:v>370.22563333300002</c:v>
                </c:pt>
                <c:pt idx="3">
                  <c:v>218.854333333</c:v>
                </c:pt>
                <c:pt idx="4">
                  <c:v>116.557833333</c:v>
                </c:pt>
                <c:pt idx="5">
                  <c:v>63.728999999999999</c:v>
                </c:pt>
                <c:pt idx="6">
                  <c:v>165.49833333300001</c:v>
                </c:pt>
                <c:pt idx="7">
                  <c:v>445.01900000000001</c:v>
                </c:pt>
                <c:pt idx="8">
                  <c:v>196.64500000000001</c:v>
                </c:pt>
                <c:pt idx="9">
                  <c:v>29.198333333000001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C40-4C41-ADE6-5AE9A8EF756B}"/>
            </c:ext>
          </c:extLst>
        </c:ser>
        <c:ser>
          <c:idx val="2"/>
          <c:order val="2"/>
          <c:tx>
            <c:v>2022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10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8</c:v>
              </c:pt>
              <c:pt idx="6">
                <c:v>9</c:v>
              </c:pt>
              <c:pt idx="7">
                <c:v>10</c:v>
              </c:pt>
              <c:pt idx="8">
                <c:v>11</c:v>
              </c:pt>
              <c:pt idx="9">
                <c:v>12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'22-24 data'!$R$44:$AC$44</c15:sqref>
                  </c15:fullRef>
                </c:ext>
              </c:extLst>
              <c:f>('22-24 data'!$R$44:$V$44,'22-24 data'!$Y$44:$AC$44)</c:f>
              <c:numCache>
                <c:formatCode>0</c:formatCode>
                <c:ptCount val="10"/>
                <c:pt idx="0">
                  <c:v>166.37083333300001</c:v>
                </c:pt>
                <c:pt idx="1">
                  <c:v>279.69299999999998</c:v>
                </c:pt>
                <c:pt idx="2">
                  <c:v>218.807333333</c:v>
                </c:pt>
                <c:pt idx="3">
                  <c:v>155.898</c:v>
                </c:pt>
                <c:pt idx="4">
                  <c:v>81.371333332999995</c:v>
                </c:pt>
                <c:pt idx="5">
                  <c:v>20.173333332999999</c:v>
                </c:pt>
                <c:pt idx="6">
                  <c:v>68.549666666999997</c:v>
                </c:pt>
                <c:pt idx="7">
                  <c:v>391.1662</c:v>
                </c:pt>
                <c:pt idx="8">
                  <c:v>193.85300000000001</c:v>
                </c:pt>
                <c:pt idx="9">
                  <c:v>36.110333333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40-4C41-ADE6-5AE9A8EF75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10308256"/>
        <c:axId val="1910315328"/>
      </c:lineChart>
      <c:catAx>
        <c:axId val="191030825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0315328"/>
        <c:crosses val="autoZero"/>
        <c:auto val="1"/>
        <c:lblAlgn val="ctr"/>
        <c:lblOffset val="100"/>
        <c:noMultiLvlLbl val="0"/>
      </c:catAx>
      <c:valAx>
        <c:axId val="1910315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0308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Planned &amp; Unplanned Mogas</a:t>
            </a:r>
            <a:r>
              <a:rPr lang="en-US" baseline="0"/>
              <a:t> Offline Prod (kbd)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9247594050743664E-2"/>
          <c:y val="0.22669036162146397"/>
          <c:w val="0.89019685039370078"/>
          <c:h val="0.66591025080198307"/>
        </c:manualLayout>
      </c:layout>
      <c:lineChart>
        <c:grouping val="standard"/>
        <c:varyColors val="0"/>
        <c:ser>
          <c:idx val="0"/>
          <c:order val="0"/>
          <c:tx>
            <c:v>2024</c:v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Lit>
              <c:ptCount val="10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8</c:v>
              </c:pt>
              <c:pt idx="6">
                <c:v>9</c:v>
              </c:pt>
              <c:pt idx="7">
                <c:v>10</c:v>
              </c:pt>
              <c:pt idx="8">
                <c:v>11</c:v>
              </c:pt>
              <c:pt idx="9">
                <c:v>12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'23-26 data'!$R$37:$AC$37</c15:sqref>
                  </c15:fullRef>
                </c:ext>
              </c:extLst>
              <c:f>('23-26 data'!$R$37:$V$37,'23-26 data'!$Y$37:$AC$37)</c:f>
              <c:numCache>
                <c:formatCode>0</c:formatCode>
                <c:ptCount val="10"/>
                <c:pt idx="0">
                  <c:v>347.97645161290325</c:v>
                </c:pt>
                <c:pt idx="1">
                  <c:v>594.7177864293659</c:v>
                </c:pt>
                <c:pt idx="2">
                  <c:v>237.86139043381533</c:v>
                </c:pt>
                <c:pt idx="3">
                  <c:v>80.508333333333326</c:v>
                </c:pt>
                <c:pt idx="4">
                  <c:v>22.800161290322581</c:v>
                </c:pt>
                <c:pt idx="5">
                  <c:v>102.1708064516129</c:v>
                </c:pt>
                <c:pt idx="6">
                  <c:v>231.37166666733299</c:v>
                </c:pt>
                <c:pt idx="7">
                  <c:v>310.07053763374199</c:v>
                </c:pt>
                <c:pt idx="8">
                  <c:v>68.001166666666705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4B-4132-90B1-005700E681B7}"/>
            </c:ext>
          </c:extLst>
        </c:ser>
        <c:ser>
          <c:idx val="1"/>
          <c:order val="1"/>
          <c:tx>
            <c:v>2023</c:v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strLit>
              <c:ptCount val="10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8</c:v>
              </c:pt>
              <c:pt idx="6">
                <c:v>9</c:v>
              </c:pt>
              <c:pt idx="7">
                <c:v>10</c:v>
              </c:pt>
              <c:pt idx="8">
                <c:v>11</c:v>
              </c:pt>
              <c:pt idx="9">
                <c:v>12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'23-26 data'!$R$39:$AC$39</c15:sqref>
                  </c15:fullRef>
                </c:ext>
              </c:extLst>
              <c:f>('23-26 data'!$R$39:$V$39,'23-26 data'!$Y$39:$AC$39)</c:f>
              <c:numCache>
                <c:formatCode>0</c:formatCode>
                <c:ptCount val="10"/>
                <c:pt idx="0">
                  <c:v>417.94819354838717</c:v>
                </c:pt>
                <c:pt idx="1">
                  <c:v>512.31600000000003</c:v>
                </c:pt>
                <c:pt idx="2">
                  <c:v>415.3019032258066</c:v>
                </c:pt>
                <c:pt idx="3">
                  <c:v>283.59499999999997</c:v>
                </c:pt>
                <c:pt idx="4">
                  <c:v>218.23032258064515</c:v>
                </c:pt>
                <c:pt idx="5">
                  <c:v>245.76064516129034</c:v>
                </c:pt>
                <c:pt idx="6">
                  <c:v>323.25500000000005</c:v>
                </c:pt>
                <c:pt idx="7">
                  <c:v>530.40580645161299</c:v>
                </c:pt>
                <c:pt idx="8">
                  <c:v>239.63700000000006</c:v>
                </c:pt>
                <c:pt idx="9">
                  <c:v>58.000645161290294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4B-4132-90B1-005700E681B7}"/>
            </c:ext>
          </c:extLst>
        </c:ser>
        <c:ser>
          <c:idx val="2"/>
          <c:order val="2"/>
          <c:tx>
            <c:v>2022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10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8</c:v>
              </c:pt>
              <c:pt idx="6">
                <c:v>9</c:v>
              </c:pt>
              <c:pt idx="7">
                <c:v>10</c:v>
              </c:pt>
              <c:pt idx="8">
                <c:v>11</c:v>
              </c:pt>
              <c:pt idx="9">
                <c:v>12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'23-26 data'!$R$41:$AC$41</c15:sqref>
                  </c15:fullRef>
                </c:ext>
              </c:extLst>
              <c:f>('23-26 data'!$R$41:$V$41,'23-26 data'!$Y$41:$AC$41)</c:f>
              <c:numCache>
                <c:formatCode>0</c:formatCode>
                <c:ptCount val="10"/>
                <c:pt idx="0">
                  <c:v>373.97450666599997</c:v>
                </c:pt>
                <c:pt idx="1">
                  <c:v>530.57791999900007</c:v>
                </c:pt>
                <c:pt idx="2">
                  <c:v>279.18400666700001</c:v>
                </c:pt>
                <c:pt idx="3">
                  <c:v>242.635583333</c:v>
                </c:pt>
                <c:pt idx="4">
                  <c:v>221.08524000000003</c:v>
                </c:pt>
                <c:pt idx="5">
                  <c:v>59.664333333000002</c:v>
                </c:pt>
                <c:pt idx="6">
                  <c:v>104.03633333500001</c:v>
                </c:pt>
                <c:pt idx="7">
                  <c:v>446.52620000000002</c:v>
                </c:pt>
                <c:pt idx="8">
                  <c:v>226.35833333299996</c:v>
                </c:pt>
                <c:pt idx="9">
                  <c:v>391.73253333600007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24B-4132-90B1-005700E681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10308256"/>
        <c:axId val="1910315328"/>
      </c:lineChart>
      <c:catAx>
        <c:axId val="191030825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0315328"/>
        <c:crosses val="autoZero"/>
        <c:auto val="1"/>
        <c:lblAlgn val="ctr"/>
        <c:lblOffset val="100"/>
        <c:noMultiLvlLbl val="0"/>
      </c:catAx>
      <c:valAx>
        <c:axId val="1910315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0308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Planned Mogas</a:t>
            </a:r>
            <a:r>
              <a:rPr lang="en-US" baseline="0"/>
              <a:t> Offline Prod (kbd)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9247594050743664E-2"/>
          <c:y val="0.22669036162146397"/>
          <c:w val="0.89019685039370078"/>
          <c:h val="0.66591025080198307"/>
        </c:manualLayout>
      </c:layout>
      <c:lineChart>
        <c:grouping val="standard"/>
        <c:varyColors val="0"/>
        <c:ser>
          <c:idx val="0"/>
          <c:order val="0"/>
          <c:tx>
            <c:v>2024</c:v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Lit>
              <c:ptCount val="10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8</c:v>
              </c:pt>
              <c:pt idx="6">
                <c:v>9</c:v>
              </c:pt>
              <c:pt idx="7">
                <c:v>10</c:v>
              </c:pt>
              <c:pt idx="8">
                <c:v>11</c:v>
              </c:pt>
              <c:pt idx="9">
                <c:v>12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'23-26 data'!$R$37:$AC$37</c15:sqref>
                  </c15:fullRef>
                </c:ext>
              </c:extLst>
              <c:f>('23-26 data'!$R$37:$V$37,'23-26 data'!$Y$37:$AC$37)</c:f>
              <c:numCache>
                <c:formatCode>0</c:formatCode>
                <c:ptCount val="10"/>
                <c:pt idx="0">
                  <c:v>347.97645161290325</c:v>
                </c:pt>
                <c:pt idx="1">
                  <c:v>594.7177864293659</c:v>
                </c:pt>
                <c:pt idx="2">
                  <c:v>237.86139043381533</c:v>
                </c:pt>
                <c:pt idx="3">
                  <c:v>80.508333333333326</c:v>
                </c:pt>
                <c:pt idx="4">
                  <c:v>22.800161290322581</c:v>
                </c:pt>
                <c:pt idx="5">
                  <c:v>102.1708064516129</c:v>
                </c:pt>
                <c:pt idx="6">
                  <c:v>231.37166666733299</c:v>
                </c:pt>
                <c:pt idx="7">
                  <c:v>310.07053763374199</c:v>
                </c:pt>
                <c:pt idx="8">
                  <c:v>68.001166666666705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8B-41A9-A978-9E82C316B1F1}"/>
            </c:ext>
          </c:extLst>
        </c:ser>
        <c:ser>
          <c:idx val="1"/>
          <c:order val="1"/>
          <c:tx>
            <c:v>2023</c:v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strLit>
              <c:ptCount val="10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8</c:v>
              </c:pt>
              <c:pt idx="6">
                <c:v>9</c:v>
              </c:pt>
              <c:pt idx="7">
                <c:v>10</c:v>
              </c:pt>
              <c:pt idx="8">
                <c:v>11</c:v>
              </c:pt>
              <c:pt idx="9">
                <c:v>12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'23-26 data'!$R$44:$AC$44</c15:sqref>
                  </c15:fullRef>
                </c:ext>
              </c:extLst>
              <c:f>('23-26 data'!$R$44:$V$44,'23-26 data'!$Y$44:$AC$44)</c:f>
              <c:numCache>
                <c:formatCode>0</c:formatCode>
                <c:ptCount val="10"/>
                <c:pt idx="0">
                  <c:v>238.07846666699999</c:v>
                </c:pt>
                <c:pt idx="1">
                  <c:v>467.77760000000001</c:v>
                </c:pt>
                <c:pt idx="2">
                  <c:v>370.22563333300002</c:v>
                </c:pt>
                <c:pt idx="3">
                  <c:v>218.854333333</c:v>
                </c:pt>
                <c:pt idx="4">
                  <c:v>116.557833333</c:v>
                </c:pt>
                <c:pt idx="5">
                  <c:v>63.728999999999999</c:v>
                </c:pt>
                <c:pt idx="6">
                  <c:v>165.49833333300001</c:v>
                </c:pt>
                <c:pt idx="7">
                  <c:v>445.01900000000001</c:v>
                </c:pt>
                <c:pt idx="8">
                  <c:v>196.64500000000001</c:v>
                </c:pt>
                <c:pt idx="9">
                  <c:v>29.198333333000001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8B-41A9-A978-9E82C316B1F1}"/>
            </c:ext>
          </c:extLst>
        </c:ser>
        <c:ser>
          <c:idx val="2"/>
          <c:order val="2"/>
          <c:tx>
            <c:v>2022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10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8</c:v>
              </c:pt>
              <c:pt idx="6">
                <c:v>9</c:v>
              </c:pt>
              <c:pt idx="7">
                <c:v>10</c:v>
              </c:pt>
              <c:pt idx="8">
                <c:v>11</c:v>
              </c:pt>
              <c:pt idx="9">
                <c:v>12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'23-26 data'!$R$46:$AC$46</c15:sqref>
                  </c15:fullRef>
                </c:ext>
              </c:extLst>
              <c:f>('23-26 data'!$R$46:$V$46,'23-26 data'!$Y$46:$AC$46)</c:f>
              <c:numCache>
                <c:formatCode>0</c:formatCode>
                <c:ptCount val="10"/>
                <c:pt idx="0">
                  <c:v>166.37083333300001</c:v>
                </c:pt>
                <c:pt idx="1">
                  <c:v>279.69299999999998</c:v>
                </c:pt>
                <c:pt idx="2">
                  <c:v>218.807333333</c:v>
                </c:pt>
                <c:pt idx="3">
                  <c:v>155.898</c:v>
                </c:pt>
                <c:pt idx="4">
                  <c:v>81.371333332999995</c:v>
                </c:pt>
                <c:pt idx="5">
                  <c:v>20.173333332999999</c:v>
                </c:pt>
                <c:pt idx="6">
                  <c:v>68.549666666999997</c:v>
                </c:pt>
                <c:pt idx="7">
                  <c:v>391.1662</c:v>
                </c:pt>
                <c:pt idx="8">
                  <c:v>193.85300000000001</c:v>
                </c:pt>
                <c:pt idx="9">
                  <c:v>36.110333333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58B-41A9-A978-9E82C316B1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10308256"/>
        <c:axId val="1910315328"/>
      </c:lineChart>
      <c:catAx>
        <c:axId val="191030825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0315328"/>
        <c:crosses val="autoZero"/>
        <c:auto val="1"/>
        <c:lblAlgn val="ctr"/>
        <c:lblOffset val="100"/>
        <c:noMultiLvlLbl val="0"/>
      </c:catAx>
      <c:valAx>
        <c:axId val="1910315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0308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1247774</xdr:colOff>
      <xdr:row>55</xdr:row>
      <xdr:rowOff>46434</xdr:rowOff>
    </xdr:from>
    <xdr:to>
      <xdr:col>7</xdr:col>
      <xdr:colOff>138112</xdr:colOff>
      <xdr:row>69</xdr:row>
      <xdr:rowOff>113109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A74668-DEEC-4AC5-B01E-75DC2D55DB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547687</xdr:colOff>
      <xdr:row>56</xdr:row>
      <xdr:rowOff>119063</xdr:rowOff>
    </xdr:from>
    <xdr:to>
      <xdr:col>15</xdr:col>
      <xdr:colOff>261937</xdr:colOff>
      <xdr:row>71</xdr:row>
      <xdr:rowOff>4763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32B1C12-21A9-45E4-9BBF-2F3AEE91AF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16</xdr:col>
      <xdr:colOff>154781</xdr:colOff>
      <xdr:row>59</xdr:row>
      <xdr:rowOff>0</xdr:rowOff>
    </xdr:from>
    <xdr:to>
      <xdr:col>30</xdr:col>
      <xdr:colOff>64353</xdr:colOff>
      <xdr:row>75</xdr:row>
      <xdr:rowOff>60845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9F2D68F-A4D1-46BF-989B-7A8B332C4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751469" y="11346656"/>
          <a:ext cx="10334005" cy="3103403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73</xdr:row>
      <xdr:rowOff>0</xdr:rowOff>
    </xdr:from>
    <xdr:to>
      <xdr:col>15</xdr:col>
      <xdr:colOff>376237</xdr:colOff>
      <xdr:row>87</xdr:row>
      <xdr:rowOff>66675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996FBF5-96F8-4C47-B60C-AA99F43035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48</xdr:row>
      <xdr:rowOff>12323</xdr:rowOff>
    </xdr:from>
    <xdr:to>
      <xdr:col>9</xdr:col>
      <xdr:colOff>256442</xdr:colOff>
      <xdr:row>67</xdr:row>
      <xdr:rowOff>35447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43FC84-6E31-475E-AAAA-32C1E4E3B8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69</xdr:row>
      <xdr:rowOff>142875</xdr:rowOff>
    </xdr:from>
    <xdr:to>
      <xdr:col>8</xdr:col>
      <xdr:colOff>15875</xdr:colOff>
      <xdr:row>89</xdr:row>
      <xdr:rowOff>9662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F9DD613-2638-47CE-BE43-37E1EEB111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232020</xdr:colOff>
      <xdr:row>38</xdr:row>
      <xdr:rowOff>172324</xdr:rowOff>
    </xdr:from>
    <xdr:to>
      <xdr:col>8</xdr:col>
      <xdr:colOff>293078</xdr:colOff>
      <xdr:row>59</xdr:row>
      <xdr:rowOff>5212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8B40300-EAE4-463F-B940-248508CB64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62</xdr:row>
      <xdr:rowOff>168730</xdr:rowOff>
    </xdr:from>
    <xdr:to>
      <xdr:col>8</xdr:col>
      <xdr:colOff>66773</xdr:colOff>
      <xdr:row>83</xdr:row>
      <xdr:rowOff>32557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8058A0-7B85-4D1F-9C27-D55B102B09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85</xdr:row>
      <xdr:rowOff>0</xdr:rowOff>
    </xdr:from>
    <xdr:to>
      <xdr:col>8</xdr:col>
      <xdr:colOff>64868</xdr:colOff>
      <xdr:row>105</xdr:row>
      <xdr:rowOff>46980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B43A5CE-EA10-432C-BC1B-824B4DC5BA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83827</xdr:colOff>
      <xdr:row>20</xdr:row>
      <xdr:rowOff>129765</xdr:rowOff>
    </xdr:from>
    <xdr:to>
      <xdr:col>13</xdr:col>
      <xdr:colOff>156500</xdr:colOff>
      <xdr:row>40</xdr:row>
      <xdr:rowOff>136567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9229965-0DFA-4400-958E-A8B43E28C6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44</xdr:row>
      <xdr:rowOff>168728</xdr:rowOff>
    </xdr:from>
    <xdr:to>
      <xdr:col>13</xdr:col>
      <xdr:colOff>66958</xdr:colOff>
      <xdr:row>65</xdr:row>
      <xdr:rowOff>656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714D94-C081-4F2E-AD7B-F87A602A8D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67</xdr:row>
      <xdr:rowOff>0</xdr:rowOff>
    </xdr:from>
    <xdr:to>
      <xdr:col>13</xdr:col>
      <xdr:colOff>65053</xdr:colOff>
      <xdr:row>87</xdr:row>
      <xdr:rowOff>2992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B7CEE42-C3CD-4ECC-88E6-5D94244853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82</xdr:row>
      <xdr:rowOff>0</xdr:rowOff>
    </xdr:from>
    <xdr:to>
      <xdr:col>14</xdr:col>
      <xdr:colOff>454720</xdr:colOff>
      <xdr:row>103</xdr:row>
      <xdr:rowOff>151573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3EAEB4-3B32-4F1D-9F1A-6C96116571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571500</xdr:colOff>
      <xdr:row>3</xdr:row>
      <xdr:rowOff>176212</xdr:rowOff>
    </xdr:from>
    <xdr:to>
      <xdr:col>14</xdr:col>
      <xdr:colOff>266700</xdr:colOff>
      <xdr:row>18</xdr:row>
      <xdr:rowOff>61912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6A76B6-C788-45FD-E19C-C2137DEA0E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9526</xdr:colOff>
      <xdr:row>19</xdr:row>
      <xdr:rowOff>55789</xdr:rowOff>
    </xdr:from>
    <xdr:to>
      <xdr:col>14</xdr:col>
      <xdr:colOff>317047</xdr:colOff>
      <xdr:row>33</xdr:row>
      <xdr:rowOff>131989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F61D5AA-927C-44BC-BC21-45196A0FEB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38</xdr:row>
      <xdr:rowOff>171450</xdr:rowOff>
    </xdr:from>
    <xdr:to>
      <xdr:col>14</xdr:col>
      <xdr:colOff>304800</xdr:colOff>
      <xdr:row>53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E8DAE4A-6FA5-434E-968A-D5D3DEB3B4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102454</xdr:colOff>
      <xdr:row>57</xdr:row>
      <xdr:rowOff>51227</xdr:rowOff>
    </xdr:from>
    <xdr:to>
      <xdr:col>14</xdr:col>
      <xdr:colOff>407253</xdr:colOff>
      <xdr:row>71</xdr:row>
      <xdr:rowOff>127427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ABBD4A2-6C0D-4D4C-AC75-8A7AB61E54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0</xdr:colOff>
      <xdr:row>4</xdr:row>
      <xdr:rowOff>0</xdr:rowOff>
    </xdr:from>
    <xdr:to>
      <xdr:col>30</xdr:col>
      <xdr:colOff>307521</xdr:colOff>
      <xdr:row>18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16F4ED3-099C-4897-AAF0-4E3F1131C2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23</xdr:col>
      <xdr:colOff>68036</xdr:colOff>
      <xdr:row>22</xdr:row>
      <xdr:rowOff>27214</xdr:rowOff>
    </xdr:from>
    <xdr:to>
      <xdr:col>30</xdr:col>
      <xdr:colOff>375557</xdr:colOff>
      <xdr:row>36</xdr:row>
      <xdr:rowOff>103414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66BF15E-879F-40DC-938E-86822366BA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23</xdr:col>
      <xdr:colOff>0</xdr:colOff>
      <xdr:row>41</xdr:row>
      <xdr:rowOff>0</xdr:rowOff>
    </xdr:from>
    <xdr:to>
      <xdr:col>30</xdr:col>
      <xdr:colOff>307521</xdr:colOff>
      <xdr:row>55</xdr:row>
      <xdr:rowOff>76200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FD9CB37-F270-49E2-9995-47FE2D3AC9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23</xdr:col>
      <xdr:colOff>0</xdr:colOff>
      <xdr:row>59</xdr:row>
      <xdr:rowOff>0</xdr:rowOff>
    </xdr:from>
    <xdr:to>
      <xdr:col>30</xdr:col>
      <xdr:colOff>307521</xdr:colOff>
      <xdr:row>73</xdr:row>
      <xdr:rowOff>76200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A10A3D1-9E5C-412A-8DCE-F5D883F178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41</xdr:row>
      <xdr:rowOff>10375</xdr:rowOff>
    </xdr:from>
    <xdr:to>
      <xdr:col>4</xdr:col>
      <xdr:colOff>285750</xdr:colOff>
      <xdr:row>55</xdr:row>
      <xdr:rowOff>72968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610621</xdr:colOff>
      <xdr:row>41</xdr:row>
      <xdr:rowOff>151380</xdr:rowOff>
    </xdr:from>
    <xdr:to>
      <xdr:col>12</xdr:col>
      <xdr:colOff>314665</xdr:colOff>
      <xdr:row>56</xdr:row>
      <xdr:rowOff>23473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41</xdr:row>
      <xdr:rowOff>10375</xdr:rowOff>
    </xdr:from>
    <xdr:to>
      <xdr:col>4</xdr:col>
      <xdr:colOff>285750</xdr:colOff>
      <xdr:row>55</xdr:row>
      <xdr:rowOff>72968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73B99F-1AC8-4E7E-BC61-33955A5C42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610621</xdr:colOff>
      <xdr:row>41</xdr:row>
      <xdr:rowOff>151380</xdr:rowOff>
    </xdr:from>
    <xdr:to>
      <xdr:col>12</xdr:col>
      <xdr:colOff>314665</xdr:colOff>
      <xdr:row>56</xdr:row>
      <xdr:rowOff>23473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84B1268-A6C2-48C8-B4DD-04036759D6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hoedfs03\dfs_ffx\intl_prod\Trading%20Analytics%20Meta\Balances\Gasoline\Refinery%20Production%20&amp;%20Outages\Total%20Outages%20per%20PADD.xlsx" TargetMode="External"/><Relationship Id="rId1" Type="http://schemas.openxmlformats.org/officeDocument/2006/relationships/externalLinkPath" Target="Total%20Outages%20per%20PAD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EHATHO\Desktop\Outage%20Table%20for%20Weekly%20PP_v2.6.10.xlsx" TargetMode="External"/><Relationship Id="rId1" Type="http://schemas.openxmlformats.org/officeDocument/2006/relationships/externalLinkPath" Target="file:///C:\Users\JEHATHO\Desktop\Outage%20Table%20for%20Weekly%20PP_v2.6.1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DD 1 Query"/>
      <sheetName val="PADD 2 Query"/>
      <sheetName val="PADD 3 Query"/>
      <sheetName val="PADD 4 Query"/>
      <sheetName val="PADD 5 Query"/>
      <sheetName val="Yields"/>
      <sheetName val="PADD 2 Planned"/>
      <sheetName val="PADD 5 Planned"/>
      <sheetName val="PADD 3 Planned"/>
    </sheetNames>
    <sheetDataSet>
      <sheetData sheetId="0">
        <row r="1">
          <cell r="H1" t="str">
            <v>CDU Mogas Offline</v>
          </cell>
          <cell r="I1" t="str">
            <v>FCC Mogas Offline</v>
          </cell>
          <cell r="J1" t="str">
            <v>Ref Mogas Offline</v>
          </cell>
          <cell r="K1" t="str">
            <v>Coker Mogas Offline</v>
          </cell>
          <cell r="L1" t="str">
            <v>HDC Mogas Offline</v>
          </cell>
          <cell r="M1" t="str">
            <v>Total Mogas Offline</v>
          </cell>
        </row>
        <row r="2">
          <cell r="G2">
            <v>44562</v>
          </cell>
          <cell r="H2">
            <v>9.625</v>
          </cell>
          <cell r="I2">
            <v>2.9250000000000003</v>
          </cell>
          <cell r="J2">
            <v>27.2</v>
          </cell>
          <cell r="K2">
            <v>0</v>
          </cell>
          <cell r="L2">
            <v>0</v>
          </cell>
          <cell r="M2">
            <v>39.75</v>
          </cell>
        </row>
        <row r="3">
          <cell r="G3">
            <v>44593</v>
          </cell>
          <cell r="H3">
            <v>9.625</v>
          </cell>
          <cell r="I3">
            <v>24.375</v>
          </cell>
          <cell r="J3">
            <v>27.2</v>
          </cell>
          <cell r="K3">
            <v>0</v>
          </cell>
          <cell r="L3">
            <v>0.36800000000000005</v>
          </cell>
          <cell r="M3">
            <v>61.568000000000005</v>
          </cell>
        </row>
        <row r="4">
          <cell r="G4">
            <v>44621</v>
          </cell>
          <cell r="H4">
            <v>18.62</v>
          </cell>
          <cell r="I4">
            <v>8.8725000000000005</v>
          </cell>
          <cell r="J4">
            <v>73.01925</v>
          </cell>
          <cell r="K4">
            <v>0</v>
          </cell>
          <cell r="L4">
            <v>0.66700000000000004</v>
          </cell>
          <cell r="M4">
            <v>101.17875000000001</v>
          </cell>
        </row>
        <row r="5">
          <cell r="G5">
            <v>44652</v>
          </cell>
          <cell r="H5">
            <v>16.607500000000002</v>
          </cell>
          <cell r="I5">
            <v>7.7805000000000009</v>
          </cell>
          <cell r="J5">
            <v>27.117549999999998</v>
          </cell>
          <cell r="K5">
            <v>0</v>
          </cell>
          <cell r="L5">
            <v>0</v>
          </cell>
          <cell r="M5">
            <v>51.505549999999999</v>
          </cell>
        </row>
        <row r="6">
          <cell r="G6">
            <v>44682</v>
          </cell>
          <cell r="H6">
            <v>9.625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9.625</v>
          </cell>
        </row>
        <row r="7">
          <cell r="G7">
            <v>44713</v>
          </cell>
          <cell r="H7">
            <v>9.625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9.625</v>
          </cell>
        </row>
        <row r="8">
          <cell r="G8">
            <v>44743</v>
          </cell>
          <cell r="H8">
            <v>9.625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9.625</v>
          </cell>
        </row>
        <row r="9">
          <cell r="G9">
            <v>44774</v>
          </cell>
          <cell r="H9">
            <v>5.0049999999999999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5.0049999999999999</v>
          </cell>
        </row>
        <row r="10">
          <cell r="G10">
            <v>44805</v>
          </cell>
          <cell r="H10">
            <v>11.331249999999999</v>
          </cell>
          <cell r="I10">
            <v>0</v>
          </cell>
          <cell r="J10">
            <v>0</v>
          </cell>
          <cell r="K10">
            <v>9.5060000000000002</v>
          </cell>
          <cell r="L10">
            <v>0</v>
          </cell>
          <cell r="M10">
            <v>20.837249999999997</v>
          </cell>
        </row>
        <row r="11">
          <cell r="G11">
            <v>44835</v>
          </cell>
          <cell r="H11">
            <v>8.9031249999999993</v>
          </cell>
          <cell r="I11">
            <v>0</v>
          </cell>
          <cell r="J11">
            <v>4.25</v>
          </cell>
          <cell r="K11">
            <v>0.29399999999999998</v>
          </cell>
          <cell r="L11">
            <v>0.11499999999999999</v>
          </cell>
          <cell r="M11">
            <v>13.562125</v>
          </cell>
        </row>
        <row r="12">
          <cell r="G12">
            <v>44866</v>
          </cell>
          <cell r="H12">
            <v>1.1637500000000001</v>
          </cell>
          <cell r="I12">
            <v>0</v>
          </cell>
          <cell r="J12">
            <v>3.7569999999999997</v>
          </cell>
          <cell r="K12">
            <v>0</v>
          </cell>
          <cell r="L12">
            <v>0</v>
          </cell>
          <cell r="M12">
            <v>4.92075</v>
          </cell>
        </row>
        <row r="13">
          <cell r="G13">
            <v>44896</v>
          </cell>
          <cell r="H13">
            <v>0</v>
          </cell>
          <cell r="I13">
            <v>4.42</v>
          </cell>
          <cell r="J13">
            <v>0</v>
          </cell>
          <cell r="K13">
            <v>0</v>
          </cell>
          <cell r="L13">
            <v>0</v>
          </cell>
          <cell r="M13">
            <v>4.42</v>
          </cell>
        </row>
        <row r="14">
          <cell r="G14">
            <v>44927</v>
          </cell>
          <cell r="H14">
            <v>11.070500000000001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11.070500000000001</v>
          </cell>
        </row>
        <row r="15">
          <cell r="G15">
            <v>44958</v>
          </cell>
          <cell r="H15">
            <v>22.574999999999999</v>
          </cell>
          <cell r="I15">
            <v>97.5</v>
          </cell>
          <cell r="J15">
            <v>0</v>
          </cell>
          <cell r="K15">
            <v>0</v>
          </cell>
          <cell r="L15">
            <v>0</v>
          </cell>
          <cell r="M15">
            <v>120.075</v>
          </cell>
        </row>
        <row r="16">
          <cell r="G16">
            <v>44986</v>
          </cell>
          <cell r="H16">
            <v>33.199249999999999</v>
          </cell>
          <cell r="I16">
            <v>87.477000000000018</v>
          </cell>
          <cell r="J16">
            <v>0.79559999999999997</v>
          </cell>
          <cell r="K16">
            <v>0</v>
          </cell>
          <cell r="L16">
            <v>5.5900000000000005E-2</v>
          </cell>
          <cell r="M16">
            <v>121.52775</v>
          </cell>
        </row>
        <row r="17">
          <cell r="G17">
            <v>45017</v>
          </cell>
          <cell r="H17">
            <v>3.9042499999999993</v>
          </cell>
          <cell r="I17">
            <v>0</v>
          </cell>
          <cell r="J17">
            <v>2.9681999999999999</v>
          </cell>
          <cell r="K17">
            <v>7.8400000000000007</v>
          </cell>
          <cell r="L17">
            <v>0.9285500000000001</v>
          </cell>
          <cell r="M17">
            <v>15.641</v>
          </cell>
        </row>
        <row r="18">
          <cell r="G18">
            <v>45047</v>
          </cell>
          <cell r="H18">
            <v>0</v>
          </cell>
          <cell r="I18">
            <v>0</v>
          </cell>
          <cell r="J18">
            <v>0</v>
          </cell>
          <cell r="K18">
            <v>7.2519999999999998</v>
          </cell>
          <cell r="L18">
            <v>0.49500000000000005</v>
          </cell>
          <cell r="M18">
            <v>7.7469999999999999</v>
          </cell>
        </row>
        <row r="19">
          <cell r="G19">
            <v>45078</v>
          </cell>
          <cell r="H19">
            <v>17.416437500000001</v>
          </cell>
          <cell r="I19">
            <v>61.425000000000004</v>
          </cell>
          <cell r="J19">
            <v>8.5084999999999997</v>
          </cell>
          <cell r="K19">
            <v>0</v>
          </cell>
          <cell r="L19">
            <v>0</v>
          </cell>
          <cell r="M19">
            <v>87.34993750000001</v>
          </cell>
        </row>
        <row r="20">
          <cell r="G20">
            <v>45108</v>
          </cell>
          <cell r="H20">
            <v>15.380749999999999</v>
          </cell>
          <cell r="I20">
            <v>56.550000000000004</v>
          </cell>
          <cell r="J20">
            <v>7.5139999999999993</v>
          </cell>
          <cell r="K20">
            <v>0</v>
          </cell>
          <cell r="L20">
            <v>0</v>
          </cell>
          <cell r="M20">
            <v>79.444749999999999</v>
          </cell>
        </row>
        <row r="21">
          <cell r="G21">
            <v>45139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</row>
        <row r="22">
          <cell r="G22">
            <v>45170</v>
          </cell>
          <cell r="H22">
            <v>17.626874999999998</v>
          </cell>
          <cell r="I22">
            <v>23.426000000000002</v>
          </cell>
          <cell r="J22">
            <v>25.8672</v>
          </cell>
          <cell r="K22">
            <v>0</v>
          </cell>
          <cell r="L22">
            <v>0.65549999999999997</v>
          </cell>
          <cell r="M22">
            <v>67.575575000000001</v>
          </cell>
        </row>
        <row r="23">
          <cell r="G23">
            <v>45200</v>
          </cell>
          <cell r="H23">
            <v>32.375</v>
          </cell>
          <cell r="I23">
            <v>44.2</v>
          </cell>
          <cell r="J23">
            <v>51</v>
          </cell>
          <cell r="K23">
            <v>0</v>
          </cell>
          <cell r="L23">
            <v>1.1500000000000001</v>
          </cell>
          <cell r="M23">
            <v>128.72499999999999</v>
          </cell>
        </row>
        <row r="24">
          <cell r="G24">
            <v>45231</v>
          </cell>
          <cell r="H24">
            <v>9.7124999999999986</v>
          </cell>
          <cell r="I24">
            <v>29.614000000000001</v>
          </cell>
          <cell r="J24">
            <v>15.299999999999999</v>
          </cell>
          <cell r="K24">
            <v>0</v>
          </cell>
          <cell r="L24">
            <v>0.34500000000000003</v>
          </cell>
          <cell r="M24">
            <v>54.971499999999992</v>
          </cell>
        </row>
        <row r="25">
          <cell r="G25">
            <v>45261</v>
          </cell>
          <cell r="H25">
            <v>4.5237499999999997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4.5237499999999997</v>
          </cell>
        </row>
        <row r="26">
          <cell r="G26">
            <v>45292</v>
          </cell>
          <cell r="H26">
            <v>6.923</v>
          </cell>
          <cell r="I26">
            <v>5.7460000000000004</v>
          </cell>
          <cell r="J26">
            <v>6.63</v>
          </cell>
          <cell r="K26">
            <v>0</v>
          </cell>
          <cell r="L26">
            <v>0.14950000000000002</v>
          </cell>
          <cell r="M26">
            <v>19.448499999999999</v>
          </cell>
        </row>
        <row r="27">
          <cell r="G27">
            <v>45323</v>
          </cell>
          <cell r="H27">
            <v>0</v>
          </cell>
          <cell r="I27">
            <v>31.011500000000002</v>
          </cell>
          <cell r="J27">
            <v>7.6160000000000005</v>
          </cell>
          <cell r="K27">
            <v>0</v>
          </cell>
          <cell r="L27">
            <v>0</v>
          </cell>
          <cell r="M27">
            <v>38.627500000000005</v>
          </cell>
        </row>
        <row r="28">
          <cell r="G28">
            <v>45352</v>
          </cell>
          <cell r="H28">
            <v>10.59625</v>
          </cell>
          <cell r="I28">
            <v>53.774500000000003</v>
          </cell>
          <cell r="J28">
            <v>11.02093</v>
          </cell>
          <cell r="K28">
            <v>2.7636000000000003</v>
          </cell>
          <cell r="L28">
            <v>0.25379999999999997</v>
          </cell>
          <cell r="M28">
            <v>78.409080000000003</v>
          </cell>
        </row>
        <row r="29">
          <cell r="G29">
            <v>45383</v>
          </cell>
          <cell r="H29">
            <v>8.3606249999999989</v>
          </cell>
          <cell r="I29">
            <v>49.094499999999996</v>
          </cell>
          <cell r="J29">
            <v>8.1862650000000006</v>
          </cell>
          <cell r="K29">
            <v>2.5578000000000003</v>
          </cell>
          <cell r="L29">
            <v>0.23490000000000003</v>
          </cell>
          <cell r="M29">
            <v>68.434089999999998</v>
          </cell>
        </row>
        <row r="30">
          <cell r="G30">
            <v>45413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</row>
        <row r="31">
          <cell r="G31">
            <v>45444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</row>
        <row r="32">
          <cell r="G32">
            <v>45474</v>
          </cell>
          <cell r="H32">
            <v>1.9687499999999998</v>
          </cell>
          <cell r="I32">
            <v>32.695</v>
          </cell>
          <cell r="J32">
            <v>0</v>
          </cell>
          <cell r="K32">
            <v>0</v>
          </cell>
          <cell r="L32">
            <v>0</v>
          </cell>
          <cell r="M32">
            <v>34.66375</v>
          </cell>
        </row>
        <row r="33">
          <cell r="G33">
            <v>45505</v>
          </cell>
          <cell r="H33">
            <v>0</v>
          </cell>
          <cell r="I33">
            <v>7.0849999999999991</v>
          </cell>
          <cell r="J33">
            <v>0</v>
          </cell>
          <cell r="K33">
            <v>0</v>
          </cell>
          <cell r="L33">
            <v>0</v>
          </cell>
          <cell r="M33">
            <v>7.0849999999999991</v>
          </cell>
        </row>
        <row r="34">
          <cell r="G34">
            <v>45536</v>
          </cell>
          <cell r="H34">
            <v>0</v>
          </cell>
          <cell r="I34">
            <v>36.048999999999999</v>
          </cell>
          <cell r="J34">
            <v>3.6549999999999998</v>
          </cell>
          <cell r="K34">
            <v>0</v>
          </cell>
          <cell r="L34">
            <v>0</v>
          </cell>
          <cell r="M34">
            <v>39.704000000000001</v>
          </cell>
        </row>
        <row r="35">
          <cell r="G35">
            <v>45566</v>
          </cell>
          <cell r="H35">
            <v>12.789</v>
          </cell>
          <cell r="I35">
            <v>20.702500000000001</v>
          </cell>
          <cell r="J35">
            <v>0</v>
          </cell>
          <cell r="K35">
            <v>0</v>
          </cell>
          <cell r="L35">
            <v>0</v>
          </cell>
          <cell r="M35">
            <v>33.491500000000002</v>
          </cell>
        </row>
        <row r="36">
          <cell r="G36">
            <v>45597</v>
          </cell>
          <cell r="H36">
            <v>20.4575</v>
          </cell>
          <cell r="I36">
            <v>2.7364999999999999</v>
          </cell>
          <cell r="J36">
            <v>0.94094999999999995</v>
          </cell>
          <cell r="K36">
            <v>0</v>
          </cell>
          <cell r="L36">
            <v>6.3E-2</v>
          </cell>
          <cell r="M36">
            <v>24.197949999999999</v>
          </cell>
        </row>
        <row r="37">
          <cell r="G37">
            <v>45627</v>
          </cell>
          <cell r="H37">
            <v>27.973749999999999</v>
          </cell>
          <cell r="I37">
            <v>0</v>
          </cell>
          <cell r="J37">
            <v>0</v>
          </cell>
          <cell r="K37">
            <v>0</v>
          </cell>
          <cell r="L37">
            <v>0.35099999999999998</v>
          </cell>
          <cell r="M37">
            <v>28.324749999999998</v>
          </cell>
        </row>
        <row r="38">
          <cell r="G38">
            <v>45658</v>
          </cell>
          <cell r="H38">
            <v>29.770999999999997</v>
          </cell>
          <cell r="I38">
            <v>0</v>
          </cell>
          <cell r="J38">
            <v>0</v>
          </cell>
          <cell r="K38">
            <v>0</v>
          </cell>
          <cell r="L38">
            <v>0.51749999999999996</v>
          </cell>
          <cell r="M38">
            <v>30.288499999999996</v>
          </cell>
        </row>
        <row r="39">
          <cell r="G39">
            <v>45689</v>
          </cell>
          <cell r="H39">
            <v>53.65325</v>
          </cell>
          <cell r="I39">
            <v>3.7895000000000003</v>
          </cell>
          <cell r="J39">
            <v>11.933999999999999</v>
          </cell>
          <cell r="K39">
            <v>0</v>
          </cell>
          <cell r="L39">
            <v>1.2490000000000001</v>
          </cell>
          <cell r="M39">
            <v>70.625749999999996</v>
          </cell>
        </row>
        <row r="40">
          <cell r="G40">
            <v>45717</v>
          </cell>
          <cell r="H40">
            <v>74.583249999999992</v>
          </cell>
          <cell r="I40">
            <v>0</v>
          </cell>
          <cell r="J40">
            <v>22.191800000000001</v>
          </cell>
          <cell r="K40">
            <v>0</v>
          </cell>
          <cell r="L40">
            <v>1.0214500000000002</v>
          </cell>
          <cell r="M40">
            <v>97.796499999999995</v>
          </cell>
        </row>
        <row r="41">
          <cell r="G41">
            <v>45748</v>
          </cell>
          <cell r="H41">
            <v>22.469317499999995</v>
          </cell>
          <cell r="I41">
            <v>23.643750000000001</v>
          </cell>
          <cell r="J41">
            <v>9.0822499999999984</v>
          </cell>
          <cell r="K41">
            <v>0</v>
          </cell>
          <cell r="L41">
            <v>1.9610000000000001</v>
          </cell>
          <cell r="M41">
            <v>57.1563175</v>
          </cell>
        </row>
        <row r="42">
          <cell r="G42">
            <v>45778</v>
          </cell>
          <cell r="H42">
            <v>15.335249999999998</v>
          </cell>
          <cell r="I42">
            <v>24.375</v>
          </cell>
          <cell r="J42">
            <v>8.5849999999999991</v>
          </cell>
          <cell r="K42">
            <v>1</v>
          </cell>
          <cell r="L42">
            <v>0.53</v>
          </cell>
          <cell r="M42">
            <v>49.825250000000004</v>
          </cell>
        </row>
        <row r="43">
          <cell r="G43">
            <v>45809</v>
          </cell>
          <cell r="H43">
            <v>12.256492499999998</v>
          </cell>
          <cell r="I43">
            <v>4.1437499999999998</v>
          </cell>
          <cell r="J43">
            <v>8.6793499999999995</v>
          </cell>
          <cell r="K43">
            <v>5</v>
          </cell>
          <cell r="L43">
            <v>0.82555000000000001</v>
          </cell>
          <cell r="M43">
            <v>30.905142499999997</v>
          </cell>
        </row>
        <row r="44">
          <cell r="G44">
            <v>45839</v>
          </cell>
          <cell r="H44">
            <v>13.726125</v>
          </cell>
          <cell r="I44">
            <v>19.558500000000002</v>
          </cell>
          <cell r="J44">
            <v>8.311300000000001</v>
          </cell>
          <cell r="K44">
            <v>0</v>
          </cell>
          <cell r="L44">
            <v>0.1905</v>
          </cell>
          <cell r="M44">
            <v>41.786425000000008</v>
          </cell>
        </row>
        <row r="45">
          <cell r="G45">
            <v>45870</v>
          </cell>
          <cell r="H45">
            <v>0</v>
          </cell>
          <cell r="I45">
            <v>0</v>
          </cell>
          <cell r="J45">
            <v>1.2749999999999999</v>
          </cell>
          <cell r="K45">
            <v>0</v>
          </cell>
          <cell r="L45">
            <v>0.11499999999999999</v>
          </cell>
          <cell r="M45">
            <v>1.39</v>
          </cell>
        </row>
        <row r="46">
          <cell r="G46">
            <v>45901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</row>
        <row r="47">
          <cell r="G47">
            <v>45931</v>
          </cell>
          <cell r="H47">
            <v>0</v>
          </cell>
          <cell r="I47">
            <v>0</v>
          </cell>
          <cell r="J47">
            <v>6.2560000000000002</v>
          </cell>
          <cell r="K47">
            <v>0</v>
          </cell>
          <cell r="L47">
            <v>0.14399999999999999</v>
          </cell>
          <cell r="M47">
            <v>6.4</v>
          </cell>
        </row>
        <row r="48">
          <cell r="G48">
            <v>45962</v>
          </cell>
          <cell r="H48">
            <v>0</v>
          </cell>
          <cell r="I48">
            <v>1.3260000000000001</v>
          </cell>
          <cell r="J48">
            <v>0</v>
          </cell>
          <cell r="K48">
            <v>0</v>
          </cell>
          <cell r="L48">
            <v>0</v>
          </cell>
          <cell r="M48">
            <v>1.3260000000000001</v>
          </cell>
        </row>
        <row r="49">
          <cell r="G49">
            <v>46023</v>
          </cell>
          <cell r="H49">
            <v>3.08</v>
          </cell>
          <cell r="I49">
            <v>5.7460000000000004</v>
          </cell>
          <cell r="J49">
            <v>0</v>
          </cell>
          <cell r="K49">
            <v>0</v>
          </cell>
          <cell r="L49">
            <v>2.7000000000000003E-2</v>
          </cell>
          <cell r="M49">
            <v>8.8529999999999998</v>
          </cell>
        </row>
        <row r="50">
          <cell r="G50">
            <v>46054</v>
          </cell>
          <cell r="H50">
            <v>2.1174999999999997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2.1174999999999997</v>
          </cell>
        </row>
        <row r="51">
          <cell r="G51">
            <v>46082</v>
          </cell>
          <cell r="H51">
            <v>3.8219999999999996</v>
          </cell>
          <cell r="I51">
            <v>1.0335000000000001</v>
          </cell>
          <cell r="J51">
            <v>2.5737999999999999</v>
          </cell>
          <cell r="K51">
            <v>0</v>
          </cell>
          <cell r="L51">
            <v>0</v>
          </cell>
          <cell r="M51">
            <v>7.4292999999999996</v>
          </cell>
        </row>
        <row r="52">
          <cell r="G52">
            <v>46113</v>
          </cell>
          <cell r="H52">
            <v>0</v>
          </cell>
          <cell r="I52">
            <v>0</v>
          </cell>
          <cell r="J52">
            <v>1.87</v>
          </cell>
          <cell r="K52">
            <v>0</v>
          </cell>
          <cell r="L52">
            <v>0</v>
          </cell>
          <cell r="M52">
            <v>1.87</v>
          </cell>
        </row>
        <row r="53">
          <cell r="G53">
            <v>46143</v>
          </cell>
          <cell r="H53">
            <v>1.9249999999999998</v>
          </cell>
          <cell r="I53">
            <v>0</v>
          </cell>
          <cell r="J53">
            <v>1.87</v>
          </cell>
          <cell r="K53">
            <v>1.6</v>
          </cell>
          <cell r="L53">
            <v>0</v>
          </cell>
          <cell r="M53">
            <v>5.3949999999999996</v>
          </cell>
        </row>
        <row r="54">
          <cell r="G54">
            <v>46174</v>
          </cell>
          <cell r="H54">
            <v>9.8279999999999994</v>
          </cell>
          <cell r="I54">
            <v>11.933999999999999</v>
          </cell>
          <cell r="J54">
            <v>15.639999999999999</v>
          </cell>
          <cell r="K54">
            <v>0</v>
          </cell>
          <cell r="L54">
            <v>0.32400000000000007</v>
          </cell>
          <cell r="M54">
            <v>37.725999999999999</v>
          </cell>
        </row>
        <row r="55">
          <cell r="G55">
            <v>46204</v>
          </cell>
          <cell r="H55">
            <v>0</v>
          </cell>
          <cell r="I55">
            <v>0</v>
          </cell>
          <cell r="J55">
            <v>0.59839999999999993</v>
          </cell>
          <cell r="K55">
            <v>0</v>
          </cell>
          <cell r="L55">
            <v>0</v>
          </cell>
          <cell r="M55">
            <v>0.59839999999999993</v>
          </cell>
        </row>
        <row r="56">
          <cell r="G56">
            <v>46266</v>
          </cell>
          <cell r="H56">
            <v>9.0474999999999994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9.0474999999999994</v>
          </cell>
        </row>
        <row r="57">
          <cell r="G57">
            <v>46296</v>
          </cell>
          <cell r="H57">
            <v>13.089999999999998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13.089999999999998</v>
          </cell>
        </row>
        <row r="58">
          <cell r="G58">
            <v>46447</v>
          </cell>
          <cell r="H58">
            <v>19.03125</v>
          </cell>
          <cell r="I58">
            <v>11.875500000000001</v>
          </cell>
          <cell r="J58">
            <v>11.831999999999999</v>
          </cell>
          <cell r="K58">
            <v>0</v>
          </cell>
          <cell r="L58">
            <v>0</v>
          </cell>
          <cell r="M58">
            <v>42.738750000000003</v>
          </cell>
        </row>
        <row r="59">
          <cell r="G59">
            <v>46478</v>
          </cell>
          <cell r="H59">
            <v>7.86625</v>
          </cell>
          <cell r="I59">
            <v>5.8694999999999995</v>
          </cell>
          <cell r="J59">
            <v>5.8479999999999999</v>
          </cell>
          <cell r="K59">
            <v>0</v>
          </cell>
          <cell r="L59">
            <v>0</v>
          </cell>
          <cell r="M59">
            <v>19.583749999999998</v>
          </cell>
        </row>
        <row r="60">
          <cell r="G60">
            <v>46631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0.80399999999999994</v>
          </cell>
          <cell r="M60">
            <v>0.80399999999999994</v>
          </cell>
        </row>
        <row r="61">
          <cell r="G61">
            <v>46661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</row>
        <row r="62">
          <cell r="G62">
            <v>46813</v>
          </cell>
          <cell r="H62">
            <v>32.598999999999997</v>
          </cell>
          <cell r="I62">
            <v>52</v>
          </cell>
          <cell r="J62">
            <v>1.7578</v>
          </cell>
          <cell r="K62">
            <v>0</v>
          </cell>
          <cell r="L62">
            <v>0</v>
          </cell>
          <cell r="M62">
            <v>86.356799999999993</v>
          </cell>
        </row>
        <row r="63">
          <cell r="G63">
            <v>46844</v>
          </cell>
          <cell r="H63">
            <v>2.5637499999999998</v>
          </cell>
          <cell r="I63">
            <v>3.6399999999999997</v>
          </cell>
          <cell r="J63">
            <v>0.374</v>
          </cell>
          <cell r="K63">
            <v>0</v>
          </cell>
          <cell r="L63">
            <v>0</v>
          </cell>
          <cell r="M63">
            <v>6.5777499999999991</v>
          </cell>
        </row>
        <row r="64">
          <cell r="G64">
            <v>46997</v>
          </cell>
          <cell r="H64">
            <v>0</v>
          </cell>
          <cell r="I64">
            <v>119.27500000000001</v>
          </cell>
          <cell r="J64">
            <v>0</v>
          </cell>
          <cell r="K64">
            <v>0</v>
          </cell>
          <cell r="L64">
            <v>0</v>
          </cell>
          <cell r="M64">
            <v>119.27500000000001</v>
          </cell>
        </row>
        <row r="65">
          <cell r="G65">
            <v>47027</v>
          </cell>
          <cell r="H65">
            <v>0</v>
          </cell>
          <cell r="I65">
            <v>82.355000000000004</v>
          </cell>
          <cell r="J65">
            <v>0</v>
          </cell>
          <cell r="K65">
            <v>0</v>
          </cell>
          <cell r="L65">
            <v>0</v>
          </cell>
          <cell r="M65">
            <v>82.355000000000004</v>
          </cell>
        </row>
        <row r="66">
          <cell r="G66">
            <v>47088</v>
          </cell>
          <cell r="H66">
            <v>4.0249999999999995</v>
          </cell>
          <cell r="I66">
            <v>0</v>
          </cell>
          <cell r="J66">
            <v>3.06</v>
          </cell>
          <cell r="K66">
            <v>0</v>
          </cell>
          <cell r="L66">
            <v>0.215</v>
          </cell>
          <cell r="M66">
            <v>7.2999999999999989</v>
          </cell>
        </row>
        <row r="67">
          <cell r="G67">
            <v>47119</v>
          </cell>
          <cell r="H67">
            <v>1.1672499999999999</v>
          </cell>
          <cell r="I67">
            <v>0</v>
          </cell>
          <cell r="J67">
            <v>0.88739999999999997</v>
          </cell>
          <cell r="K67">
            <v>0</v>
          </cell>
          <cell r="L67">
            <v>6.235000000000001E-2</v>
          </cell>
          <cell r="M67">
            <v>2.1169999999999995</v>
          </cell>
        </row>
        <row r="68">
          <cell r="G68">
            <v>47150</v>
          </cell>
          <cell r="H68">
            <v>10.42475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10.42475</v>
          </cell>
        </row>
        <row r="69">
          <cell r="G69">
            <v>47178</v>
          </cell>
          <cell r="H69">
            <v>22.662499999999998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22.662499999999998</v>
          </cell>
        </row>
        <row r="70">
          <cell r="G70">
            <v>47209</v>
          </cell>
          <cell r="H70">
            <v>4.5324999999999998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4.5324999999999998</v>
          </cell>
        </row>
        <row r="71">
          <cell r="G71" t="e">
            <v>#REF!</v>
          </cell>
          <cell r="H71" t="e">
            <v>#REF!</v>
          </cell>
          <cell r="I71" t="e">
            <v>#REF!</v>
          </cell>
          <cell r="J71" t="e">
            <v>#REF!</v>
          </cell>
          <cell r="K71" t="e">
            <v>#REF!</v>
          </cell>
          <cell r="L71" t="e">
            <v>#REF!</v>
          </cell>
          <cell r="M71" t="e">
            <v>#REF!</v>
          </cell>
        </row>
        <row r="72">
          <cell r="G72" t="e">
            <v>#REF!</v>
          </cell>
          <cell r="H72" t="e">
            <v>#REF!</v>
          </cell>
          <cell r="I72" t="e">
            <v>#REF!</v>
          </cell>
          <cell r="J72" t="e">
            <v>#REF!</v>
          </cell>
          <cell r="K72" t="e">
            <v>#REF!</v>
          </cell>
          <cell r="L72" t="e">
            <v>#REF!</v>
          </cell>
          <cell r="M72" t="e">
            <v>#REF!</v>
          </cell>
        </row>
        <row r="73">
          <cell r="G73" t="e">
            <v>#REF!</v>
          </cell>
          <cell r="H73" t="e">
            <v>#REF!</v>
          </cell>
          <cell r="I73" t="e">
            <v>#REF!</v>
          </cell>
          <cell r="J73" t="e">
            <v>#REF!</v>
          </cell>
          <cell r="K73" t="e">
            <v>#REF!</v>
          </cell>
          <cell r="L73" t="e">
            <v>#REF!</v>
          </cell>
          <cell r="M73" t="e">
            <v>#REF!</v>
          </cell>
        </row>
        <row r="74">
          <cell r="G74">
            <v>48580</v>
          </cell>
          <cell r="H74">
            <v>1.4087499999999999</v>
          </cell>
          <cell r="I74">
            <v>0</v>
          </cell>
          <cell r="J74">
            <v>1.071</v>
          </cell>
          <cell r="K74">
            <v>0</v>
          </cell>
          <cell r="L74">
            <v>7.5249999999999997E-2</v>
          </cell>
          <cell r="M74">
            <v>2.5550000000000002</v>
          </cell>
        </row>
      </sheetData>
      <sheetData sheetId="1">
        <row r="1">
          <cell r="H1" t="str">
            <v>CDU Mogas Offline</v>
          </cell>
          <cell r="I1" t="str">
            <v>FCC Mogas Offline</v>
          </cell>
          <cell r="J1" t="str">
            <v>Ref Mogas Offline</v>
          </cell>
          <cell r="K1" t="str">
            <v>Coker Mogas Offline</v>
          </cell>
          <cell r="L1" t="str">
            <v>HDC Mogas Offline</v>
          </cell>
          <cell r="M1" t="str">
            <v>Total Mogas Offline</v>
          </cell>
        </row>
        <row r="2">
          <cell r="G2">
            <v>44562</v>
          </cell>
          <cell r="H2">
            <v>23.423749999999998</v>
          </cell>
          <cell r="I2">
            <v>8.4500000000000011</v>
          </cell>
          <cell r="J2">
            <v>14.69225</v>
          </cell>
          <cell r="K2">
            <v>2.2440000000000002</v>
          </cell>
          <cell r="L2">
            <v>0.67600000000000005</v>
          </cell>
          <cell r="M2">
            <v>49.486000000000004</v>
          </cell>
        </row>
        <row r="3">
          <cell r="G3">
            <v>44593</v>
          </cell>
          <cell r="H3">
            <v>19.862499999999997</v>
          </cell>
          <cell r="I3">
            <v>17.780750000000001</v>
          </cell>
          <cell r="J3">
            <v>11.321999999999999</v>
          </cell>
          <cell r="K3">
            <v>1.9641999999999999</v>
          </cell>
          <cell r="L3">
            <v>0.221</v>
          </cell>
          <cell r="M3">
            <v>51.150449999999992</v>
          </cell>
        </row>
        <row r="4">
          <cell r="G4">
            <v>44621</v>
          </cell>
          <cell r="H4">
            <v>84.68249999999999</v>
          </cell>
          <cell r="I4">
            <v>44.395000000000003</v>
          </cell>
          <cell r="J4">
            <v>121.074</v>
          </cell>
          <cell r="K4">
            <v>3.34</v>
          </cell>
          <cell r="L4">
            <v>2.6814</v>
          </cell>
          <cell r="M4">
            <v>256.17290000000003</v>
          </cell>
        </row>
        <row r="5">
          <cell r="G5">
            <v>44652</v>
          </cell>
          <cell r="H5">
            <v>78.282749999999993</v>
          </cell>
          <cell r="I5">
            <v>69.283500000000004</v>
          </cell>
          <cell r="J5">
            <v>75.794499999999985</v>
          </cell>
          <cell r="K5">
            <v>9.552719999999999</v>
          </cell>
          <cell r="L5">
            <v>3.2700000000000005</v>
          </cell>
          <cell r="M5">
            <v>236.18347</v>
          </cell>
        </row>
        <row r="6">
          <cell r="G6">
            <v>44682</v>
          </cell>
          <cell r="H6">
            <v>75.107759999999999</v>
          </cell>
          <cell r="I6">
            <v>47.4955</v>
          </cell>
          <cell r="J6">
            <v>53.222749999999998</v>
          </cell>
          <cell r="K6">
            <v>10.080400000000001</v>
          </cell>
          <cell r="L6">
            <v>2.0013999999999998</v>
          </cell>
          <cell r="M6">
            <v>187.90780999999998</v>
          </cell>
        </row>
        <row r="7">
          <cell r="G7">
            <v>44713</v>
          </cell>
          <cell r="H7">
            <v>52.64</v>
          </cell>
          <cell r="I7">
            <v>54.232750000000003</v>
          </cell>
          <cell r="J7">
            <v>44.370000000000005</v>
          </cell>
          <cell r="K7">
            <v>10.286000000000001</v>
          </cell>
          <cell r="L7">
            <v>0.15400000000000003</v>
          </cell>
          <cell r="M7">
            <v>161.68275</v>
          </cell>
        </row>
        <row r="8">
          <cell r="G8">
            <v>44743</v>
          </cell>
          <cell r="H8">
            <v>72.579499999999996</v>
          </cell>
          <cell r="I8">
            <v>53.857049999999994</v>
          </cell>
          <cell r="J8">
            <v>50.761319999999998</v>
          </cell>
          <cell r="K8">
            <v>11.388500000000001</v>
          </cell>
          <cell r="L8">
            <v>0</v>
          </cell>
          <cell r="M8">
            <v>188.58636999999996</v>
          </cell>
        </row>
        <row r="9">
          <cell r="G9">
            <v>44774</v>
          </cell>
          <cell r="H9">
            <v>72.684499999999986</v>
          </cell>
          <cell r="I9">
            <v>71.460999999999999</v>
          </cell>
          <cell r="J9">
            <v>75.075909999999993</v>
          </cell>
          <cell r="K9">
            <v>13.633800000000001</v>
          </cell>
          <cell r="L9">
            <v>0.35200000000000004</v>
          </cell>
          <cell r="M9">
            <v>233.20720999999998</v>
          </cell>
        </row>
        <row r="10">
          <cell r="G10">
            <v>44805</v>
          </cell>
          <cell r="H10">
            <v>53.961074999999994</v>
          </cell>
          <cell r="I10">
            <v>64.350000000000009</v>
          </cell>
          <cell r="J10">
            <v>68.684250000000006</v>
          </cell>
          <cell r="K10">
            <v>14.541</v>
          </cell>
          <cell r="L10">
            <v>1.4768000000000001</v>
          </cell>
          <cell r="M10">
            <v>203.013125</v>
          </cell>
        </row>
        <row r="11">
          <cell r="G11">
            <v>44835</v>
          </cell>
          <cell r="H11">
            <v>63.112874999999995</v>
          </cell>
          <cell r="I11">
            <v>122.55945</v>
          </cell>
          <cell r="J11">
            <v>121.00259999999999</v>
          </cell>
          <cell r="K11">
            <v>11.4238</v>
          </cell>
          <cell r="L11">
            <v>4.6771500000000001</v>
          </cell>
          <cell r="M11">
            <v>322.77587499999993</v>
          </cell>
        </row>
        <row r="12">
          <cell r="G12">
            <v>44866</v>
          </cell>
          <cell r="H12">
            <v>47.127499999999998</v>
          </cell>
          <cell r="I12">
            <v>106.15865000000001</v>
          </cell>
          <cell r="J12">
            <v>54.289500000000004</v>
          </cell>
          <cell r="K12">
            <v>8.3209999999999997</v>
          </cell>
          <cell r="L12">
            <v>3.2938499999999999</v>
          </cell>
          <cell r="M12">
            <v>219.19050000000001</v>
          </cell>
        </row>
        <row r="13">
          <cell r="G13">
            <v>44896</v>
          </cell>
          <cell r="H13">
            <v>55.077750000000002</v>
          </cell>
          <cell r="I13">
            <v>96.140200000000007</v>
          </cell>
          <cell r="J13">
            <v>51.260099999999994</v>
          </cell>
          <cell r="K13">
            <v>9.2346000000000004</v>
          </cell>
          <cell r="L13">
            <v>1.75</v>
          </cell>
          <cell r="M13">
            <v>213.46265</v>
          </cell>
        </row>
        <row r="14">
          <cell r="G14">
            <v>44927</v>
          </cell>
          <cell r="H14">
            <v>66.619</v>
          </cell>
          <cell r="I14">
            <v>110.2894</v>
          </cell>
          <cell r="J14">
            <v>91.608750000000001</v>
          </cell>
          <cell r="K14">
            <v>8.7914000000000012</v>
          </cell>
          <cell r="L14">
            <v>3.35</v>
          </cell>
          <cell r="M14">
            <v>280.65855000000005</v>
          </cell>
        </row>
        <row r="15">
          <cell r="G15">
            <v>44958</v>
          </cell>
          <cell r="H15">
            <v>64.153249999999986</v>
          </cell>
          <cell r="I15">
            <v>110.13925</v>
          </cell>
          <cell r="J15">
            <v>82.891999999999996</v>
          </cell>
          <cell r="K15">
            <v>8.7739999999999991</v>
          </cell>
          <cell r="L15">
            <v>3.35</v>
          </cell>
          <cell r="M15">
            <v>269.30849999999998</v>
          </cell>
        </row>
        <row r="16">
          <cell r="G16">
            <v>44986</v>
          </cell>
          <cell r="H16">
            <v>110.81087499999998</v>
          </cell>
          <cell r="I16">
            <v>113.0805</v>
          </cell>
          <cell r="J16">
            <v>189.37574999999998</v>
          </cell>
          <cell r="K16">
            <v>23.458000000000002</v>
          </cell>
          <cell r="L16">
            <v>3.9210000000000003</v>
          </cell>
          <cell r="M16">
            <v>440.64612499999998</v>
          </cell>
        </row>
        <row r="17">
          <cell r="G17">
            <v>45017</v>
          </cell>
          <cell r="H17">
            <v>129.271625</v>
          </cell>
          <cell r="I17">
            <v>109.90200000000002</v>
          </cell>
          <cell r="J17">
            <v>159.31550000000001</v>
          </cell>
          <cell r="K17">
            <v>26.674000000000003</v>
          </cell>
          <cell r="L17">
            <v>2.9995000000000003</v>
          </cell>
          <cell r="M17">
            <v>428.16262500000005</v>
          </cell>
        </row>
        <row r="18">
          <cell r="G18">
            <v>45047</v>
          </cell>
          <cell r="H18">
            <v>65.28725</v>
          </cell>
          <cell r="I18">
            <v>105.38125000000001</v>
          </cell>
          <cell r="J18">
            <v>79.058499999999995</v>
          </cell>
          <cell r="K18">
            <v>12.268000000000001</v>
          </cell>
          <cell r="L18">
            <v>0.63</v>
          </cell>
          <cell r="M18">
            <v>262.625</v>
          </cell>
        </row>
        <row r="19">
          <cell r="G19">
            <v>45078</v>
          </cell>
          <cell r="H19">
            <v>30.37125</v>
          </cell>
          <cell r="I19">
            <v>65.006500000000003</v>
          </cell>
          <cell r="J19">
            <v>30.651</v>
          </cell>
          <cell r="K19">
            <v>7.7770000000000001</v>
          </cell>
          <cell r="L19">
            <v>0</v>
          </cell>
          <cell r="M19">
            <v>133.80574999999999</v>
          </cell>
        </row>
        <row r="20">
          <cell r="G20">
            <v>45108</v>
          </cell>
          <cell r="H20">
            <v>29.517250000000001</v>
          </cell>
          <cell r="I20">
            <v>25.051000000000002</v>
          </cell>
          <cell r="J20">
            <v>22.839499999999997</v>
          </cell>
          <cell r="K20">
            <v>1.4294000000000002</v>
          </cell>
          <cell r="L20">
            <v>0.24700000000000003</v>
          </cell>
          <cell r="M20">
            <v>79.084150000000008</v>
          </cell>
        </row>
        <row r="21">
          <cell r="G21">
            <v>45139</v>
          </cell>
          <cell r="H21">
            <v>10.59625</v>
          </cell>
          <cell r="I21">
            <v>9.23</v>
          </cell>
          <cell r="J21">
            <v>7.8199999999999994</v>
          </cell>
          <cell r="K21">
            <v>0.18779999999999999</v>
          </cell>
          <cell r="L21">
            <v>0.28925000000000001</v>
          </cell>
          <cell r="M21">
            <v>28.1233</v>
          </cell>
        </row>
        <row r="22">
          <cell r="G22">
            <v>45170</v>
          </cell>
          <cell r="H22">
            <v>64.677812499999987</v>
          </cell>
          <cell r="I22">
            <v>52.65</v>
          </cell>
          <cell r="J22">
            <v>80.490750000000006</v>
          </cell>
          <cell r="K22">
            <v>13.090960000000003</v>
          </cell>
          <cell r="L22">
            <v>2.0872500000000005</v>
          </cell>
          <cell r="M22">
            <v>212.99677249999999</v>
          </cell>
        </row>
        <row r="23">
          <cell r="G23">
            <v>45200</v>
          </cell>
          <cell r="H23">
            <v>86.738312500000006</v>
          </cell>
          <cell r="I23">
            <v>58.75350000000001</v>
          </cell>
          <cell r="J23">
            <v>107.32312499999999</v>
          </cell>
          <cell r="K23">
            <v>20.08916</v>
          </cell>
          <cell r="L23">
            <v>2.093</v>
          </cell>
          <cell r="M23">
            <v>274.9970975</v>
          </cell>
        </row>
        <row r="24">
          <cell r="G24">
            <v>45231</v>
          </cell>
          <cell r="H24">
            <v>28.498749999999998</v>
          </cell>
          <cell r="I24">
            <v>27.592500000000001</v>
          </cell>
          <cell r="J24">
            <v>19.362999999999996</v>
          </cell>
          <cell r="K24">
            <v>1.6850000000000003</v>
          </cell>
          <cell r="L24">
            <v>6.6000000000000003E-2</v>
          </cell>
          <cell r="M24">
            <v>77.205250000000007</v>
          </cell>
        </row>
        <row r="25">
          <cell r="G25">
            <v>45261</v>
          </cell>
          <cell r="H25">
            <v>0</v>
          </cell>
          <cell r="I25">
            <v>2.5350000000000001</v>
          </cell>
          <cell r="J25">
            <v>13.089999999999998</v>
          </cell>
          <cell r="K25">
            <v>2.2106000000000003</v>
          </cell>
          <cell r="L25">
            <v>0</v>
          </cell>
          <cell r="M25">
            <v>17.835599999999999</v>
          </cell>
        </row>
        <row r="26">
          <cell r="G26">
            <v>45292</v>
          </cell>
          <cell r="H26">
            <v>1.9075</v>
          </cell>
          <cell r="I26">
            <v>1.4755</v>
          </cell>
          <cell r="J26">
            <v>15.469999999999999</v>
          </cell>
          <cell r="K26">
            <v>4.6684000000000001</v>
          </cell>
          <cell r="L26">
            <v>0.15000000000000002</v>
          </cell>
          <cell r="M26">
            <v>23.671399999999998</v>
          </cell>
        </row>
        <row r="27">
          <cell r="G27">
            <v>45323</v>
          </cell>
          <cell r="H27">
            <v>79.542014999999992</v>
          </cell>
          <cell r="I27">
            <v>228.40350000000001</v>
          </cell>
          <cell r="J27">
            <v>137.18149999999997</v>
          </cell>
          <cell r="K27">
            <v>31.892000000000003</v>
          </cell>
          <cell r="L27">
            <v>0.21000000000000002</v>
          </cell>
          <cell r="M27">
            <v>477.22901499999995</v>
          </cell>
        </row>
        <row r="28">
          <cell r="G28">
            <v>45352</v>
          </cell>
          <cell r="H28">
            <v>67.924604999999985</v>
          </cell>
          <cell r="I28">
            <v>55.828500000000005</v>
          </cell>
          <cell r="J28">
            <v>81.408749999999998</v>
          </cell>
          <cell r="K28">
            <v>18.259600000000002</v>
          </cell>
          <cell r="L28">
            <v>6.5257000000000005</v>
          </cell>
          <cell r="M28">
            <v>229.94715500000001</v>
          </cell>
        </row>
        <row r="29">
          <cell r="G29">
            <v>45383</v>
          </cell>
          <cell r="H29">
            <v>79.6201875</v>
          </cell>
          <cell r="I29">
            <v>75.455250000000007</v>
          </cell>
          <cell r="J29">
            <v>94.496624999999995</v>
          </cell>
          <cell r="K29">
            <v>17.574840000000002</v>
          </cell>
          <cell r="L29">
            <v>1.0720000000000001</v>
          </cell>
          <cell r="M29">
            <v>268.21890250000001</v>
          </cell>
        </row>
        <row r="30">
          <cell r="G30">
            <v>45413</v>
          </cell>
          <cell r="H30">
            <v>31.525375</v>
          </cell>
          <cell r="I30">
            <v>48.6785</v>
          </cell>
          <cell r="J30">
            <v>32.710124999999998</v>
          </cell>
          <cell r="K30">
            <v>8.8881999999999994</v>
          </cell>
          <cell r="L30">
            <v>9.1000000000000011E-2</v>
          </cell>
          <cell r="M30">
            <v>121.89319999999998</v>
          </cell>
        </row>
        <row r="31">
          <cell r="G31">
            <v>45444</v>
          </cell>
          <cell r="H31">
            <v>16.7685</v>
          </cell>
          <cell r="I31">
            <v>11.83</v>
          </cell>
          <cell r="J31">
            <v>49.265999999999998</v>
          </cell>
          <cell r="K31">
            <v>3.2519999999999998</v>
          </cell>
          <cell r="L31">
            <v>0</v>
          </cell>
          <cell r="M31">
            <v>81.116499999999988</v>
          </cell>
        </row>
        <row r="32">
          <cell r="G32">
            <v>45474</v>
          </cell>
          <cell r="H32">
            <v>46.850999999999999</v>
          </cell>
          <cell r="I32">
            <v>60.787999999999997</v>
          </cell>
          <cell r="J32">
            <v>39.416625000000003</v>
          </cell>
          <cell r="K32">
            <v>9.5715000000000003</v>
          </cell>
          <cell r="L32">
            <v>0</v>
          </cell>
          <cell r="M32">
            <v>156.62712499999998</v>
          </cell>
        </row>
        <row r="33">
          <cell r="G33">
            <v>45505</v>
          </cell>
          <cell r="H33">
            <v>32.472999999999999</v>
          </cell>
          <cell r="I33">
            <v>24.660999999999998</v>
          </cell>
          <cell r="J33">
            <v>51.556750000000001</v>
          </cell>
          <cell r="K33">
            <v>7.5086399999999998</v>
          </cell>
          <cell r="L33">
            <v>0</v>
          </cell>
          <cell r="M33">
            <v>116.19939000000001</v>
          </cell>
        </row>
        <row r="34">
          <cell r="G34">
            <v>45536</v>
          </cell>
          <cell r="H34">
            <v>73.969069999999988</v>
          </cell>
          <cell r="I34">
            <v>74.236500000000007</v>
          </cell>
          <cell r="J34">
            <v>75.809375000000003</v>
          </cell>
          <cell r="K34">
            <v>18.427000000000003</v>
          </cell>
          <cell r="L34">
            <v>0</v>
          </cell>
          <cell r="M34">
            <v>242.441945</v>
          </cell>
        </row>
        <row r="35">
          <cell r="G35">
            <v>45566</v>
          </cell>
          <cell r="H35">
            <v>86.682749999999999</v>
          </cell>
          <cell r="I35">
            <v>82.173000000000002</v>
          </cell>
          <cell r="J35">
            <v>206.941</v>
          </cell>
          <cell r="K35">
            <v>36.358200000000004</v>
          </cell>
          <cell r="L35">
            <v>0</v>
          </cell>
          <cell r="M35">
            <v>412.15494999999999</v>
          </cell>
        </row>
        <row r="36">
          <cell r="G36">
            <v>45597</v>
          </cell>
          <cell r="H36">
            <v>38.689</v>
          </cell>
          <cell r="I36">
            <v>17.875</v>
          </cell>
          <cell r="J36">
            <v>50.825749999999999</v>
          </cell>
          <cell r="K36">
            <v>20.8184</v>
          </cell>
          <cell r="L36">
            <v>0</v>
          </cell>
          <cell r="M36">
            <v>128.20814999999999</v>
          </cell>
        </row>
        <row r="37">
          <cell r="G37">
            <v>45627</v>
          </cell>
          <cell r="H37">
            <v>0.68260499999999991</v>
          </cell>
          <cell r="I37">
            <v>0</v>
          </cell>
          <cell r="J37">
            <v>0</v>
          </cell>
          <cell r="K37">
            <v>2.5100000000000002</v>
          </cell>
          <cell r="L37">
            <v>0</v>
          </cell>
          <cell r="M37">
            <v>3.1926050000000004</v>
          </cell>
        </row>
        <row r="38">
          <cell r="G38">
            <v>45658</v>
          </cell>
          <cell r="H38">
            <v>7.8382499999999995</v>
          </cell>
          <cell r="I38">
            <v>3.9520000000000004</v>
          </cell>
          <cell r="J38">
            <v>34.010625000000005</v>
          </cell>
          <cell r="K38">
            <v>2.3780800000000002</v>
          </cell>
          <cell r="L38">
            <v>2.1000000000000001E-2</v>
          </cell>
          <cell r="M38">
            <v>48.199955000000003</v>
          </cell>
        </row>
        <row r="39">
          <cell r="G39">
            <v>45689</v>
          </cell>
          <cell r="H39">
            <v>37.681874999999998</v>
          </cell>
          <cell r="I39">
            <v>31.421000000000003</v>
          </cell>
          <cell r="J39">
            <v>51.703375000000001</v>
          </cell>
          <cell r="K39">
            <v>4.5946800000000003</v>
          </cell>
          <cell r="L39">
            <v>0</v>
          </cell>
          <cell r="M39">
            <v>125.40093</v>
          </cell>
        </row>
        <row r="40">
          <cell r="G40">
            <v>45717</v>
          </cell>
          <cell r="H40">
            <v>78.893499999999989</v>
          </cell>
          <cell r="I40">
            <v>85.081750000000014</v>
          </cell>
          <cell r="J40">
            <v>101.05224999999999</v>
          </cell>
          <cell r="K40">
            <v>11.225999999999999</v>
          </cell>
          <cell r="L40">
            <v>1.8562500000000002</v>
          </cell>
          <cell r="M40">
            <v>278.10975000000002</v>
          </cell>
        </row>
        <row r="41">
          <cell r="G41">
            <v>45748</v>
          </cell>
          <cell r="H41">
            <v>130.34349999999998</v>
          </cell>
          <cell r="I41">
            <v>136.49675000000002</v>
          </cell>
          <cell r="J41">
            <v>186.320425</v>
          </cell>
          <cell r="K41">
            <v>20.177</v>
          </cell>
          <cell r="L41">
            <v>4.9275000000000002</v>
          </cell>
          <cell r="M41">
            <v>478.265175</v>
          </cell>
        </row>
        <row r="42">
          <cell r="G42">
            <v>45778</v>
          </cell>
          <cell r="H42">
            <v>55.620354999999996</v>
          </cell>
          <cell r="I42">
            <v>86.391500000000008</v>
          </cell>
          <cell r="J42">
            <v>104.7795</v>
          </cell>
          <cell r="K42">
            <v>6.1430000000000007</v>
          </cell>
          <cell r="L42">
            <v>2.758</v>
          </cell>
          <cell r="M42">
            <v>255.69235500000002</v>
          </cell>
        </row>
        <row r="43">
          <cell r="G43">
            <v>45809</v>
          </cell>
          <cell r="H43">
            <v>17.029249999999998</v>
          </cell>
          <cell r="I43">
            <v>18.121999999999996</v>
          </cell>
          <cell r="J43">
            <v>36.858124999999994</v>
          </cell>
          <cell r="K43">
            <v>2.7750000000000004</v>
          </cell>
          <cell r="L43">
            <v>1.3860000000000001</v>
          </cell>
          <cell r="M43">
            <v>76.170374999999979</v>
          </cell>
        </row>
        <row r="44">
          <cell r="G44">
            <v>45839</v>
          </cell>
          <cell r="H44">
            <v>13.269724999999999</v>
          </cell>
          <cell r="I44">
            <v>17.091750000000001</v>
          </cell>
          <cell r="J44">
            <v>9.5625</v>
          </cell>
          <cell r="K44">
            <v>1.8070000000000002</v>
          </cell>
          <cell r="L44">
            <v>0.87925000000000009</v>
          </cell>
          <cell r="M44">
            <v>42.610225</v>
          </cell>
        </row>
        <row r="45">
          <cell r="G45">
            <v>45870</v>
          </cell>
          <cell r="H45">
            <v>43.430765000000001</v>
          </cell>
          <cell r="I45">
            <v>24.7</v>
          </cell>
          <cell r="J45">
            <v>27.37</v>
          </cell>
          <cell r="K45">
            <v>5.1000000000000005</v>
          </cell>
          <cell r="L45">
            <v>0.62400000000000011</v>
          </cell>
          <cell r="M45">
            <v>101.22476499999999</v>
          </cell>
        </row>
        <row r="46">
          <cell r="G46">
            <v>45901</v>
          </cell>
          <cell r="H46">
            <v>67.060874999999996</v>
          </cell>
          <cell r="I46">
            <v>46.305999999999997</v>
          </cell>
          <cell r="J46">
            <v>14.749624999999998</v>
          </cell>
          <cell r="K46">
            <v>7.4860000000000015</v>
          </cell>
          <cell r="L46">
            <v>0</v>
          </cell>
          <cell r="M46">
            <v>135.60249999999999</v>
          </cell>
        </row>
        <row r="47">
          <cell r="G47">
            <v>45931</v>
          </cell>
          <cell r="H47">
            <v>103.74349999999998</v>
          </cell>
          <cell r="I47">
            <v>124.63100000000001</v>
          </cell>
          <cell r="J47">
            <v>34.373999999999995</v>
          </cell>
          <cell r="K47">
            <v>11.562600000000002</v>
          </cell>
          <cell r="L47">
            <v>0</v>
          </cell>
          <cell r="M47">
            <v>274.31110000000001</v>
          </cell>
        </row>
        <row r="48">
          <cell r="G48">
            <v>45962</v>
          </cell>
          <cell r="H48">
            <v>21.050854999999999</v>
          </cell>
          <cell r="I48">
            <v>45.792500000000004</v>
          </cell>
          <cell r="J48">
            <v>43.607125000000003</v>
          </cell>
          <cell r="K48">
            <v>3.2510000000000008</v>
          </cell>
          <cell r="L48">
            <v>0.26</v>
          </cell>
          <cell r="M48">
            <v>113.96148000000001</v>
          </cell>
        </row>
        <row r="49">
          <cell r="G49">
            <v>45992</v>
          </cell>
          <cell r="H49">
            <v>7.1085000000000003</v>
          </cell>
          <cell r="I49">
            <v>2.1255000000000002</v>
          </cell>
          <cell r="J49">
            <v>3.1875</v>
          </cell>
          <cell r="K49">
            <v>1.3900000000000001</v>
          </cell>
          <cell r="L49">
            <v>0.53600000000000003</v>
          </cell>
          <cell r="M49">
            <v>14.3475</v>
          </cell>
        </row>
        <row r="50">
          <cell r="G50">
            <v>46023</v>
          </cell>
          <cell r="H50">
            <v>11.408249999999999</v>
          </cell>
          <cell r="I50">
            <v>2.8924999999999996</v>
          </cell>
          <cell r="J50">
            <v>14.426625</v>
          </cell>
          <cell r="K50">
            <v>1.0376000000000001</v>
          </cell>
          <cell r="L50">
            <v>7.8000000000000014E-2</v>
          </cell>
          <cell r="M50">
            <v>29.842974999999999</v>
          </cell>
        </row>
        <row r="51">
          <cell r="G51">
            <v>46054</v>
          </cell>
          <cell r="H51">
            <v>38.466749999999998</v>
          </cell>
          <cell r="I51">
            <v>74.77600000000001</v>
          </cell>
          <cell r="J51">
            <v>28.379375000000003</v>
          </cell>
          <cell r="K51">
            <v>6.2570000000000014</v>
          </cell>
          <cell r="L51">
            <v>0.27599999999999997</v>
          </cell>
          <cell r="M51">
            <v>148.15512500000003</v>
          </cell>
        </row>
        <row r="52">
          <cell r="G52">
            <v>46082</v>
          </cell>
          <cell r="H52">
            <v>77.857499999999987</v>
          </cell>
          <cell r="I52">
            <v>71.018999999999991</v>
          </cell>
          <cell r="J52">
            <v>35.27075</v>
          </cell>
          <cell r="K52">
            <v>19.12</v>
          </cell>
          <cell r="L52">
            <v>1.7463000000000002</v>
          </cell>
          <cell r="M52">
            <v>205.01354999999995</v>
          </cell>
        </row>
        <row r="53">
          <cell r="G53">
            <v>46113</v>
          </cell>
          <cell r="H53">
            <v>98.90124999999999</v>
          </cell>
          <cell r="I53">
            <v>52.64350000000001</v>
          </cell>
          <cell r="J53">
            <v>53.252499999999998</v>
          </cell>
          <cell r="K53">
            <v>27.562000000000001</v>
          </cell>
          <cell r="L53">
            <v>2.2000000000000002</v>
          </cell>
          <cell r="M53">
            <v>234.55924999999999</v>
          </cell>
        </row>
        <row r="54">
          <cell r="G54">
            <v>46143</v>
          </cell>
          <cell r="H54">
            <v>58.763249999999992</v>
          </cell>
          <cell r="I54">
            <v>92.95</v>
          </cell>
          <cell r="J54">
            <v>49.899249999999995</v>
          </cell>
          <cell r="K54">
            <v>10.4726</v>
          </cell>
          <cell r="L54">
            <v>1.5035000000000001</v>
          </cell>
          <cell r="M54">
            <v>213.58859999999999</v>
          </cell>
        </row>
        <row r="55">
          <cell r="G55">
            <v>46174</v>
          </cell>
          <cell r="H55">
            <v>6.3962499999999993</v>
          </cell>
          <cell r="I55">
            <v>34.814</v>
          </cell>
          <cell r="J55">
            <v>13.6</v>
          </cell>
          <cell r="K55">
            <v>2.7300000000000004</v>
          </cell>
          <cell r="L55">
            <v>0.18000000000000002</v>
          </cell>
          <cell r="M55">
            <v>57.72025</v>
          </cell>
        </row>
        <row r="56">
          <cell r="G56">
            <v>46204</v>
          </cell>
          <cell r="H56">
            <v>1.2249999999999999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1.2249999999999999</v>
          </cell>
        </row>
        <row r="57">
          <cell r="G57">
            <v>46266</v>
          </cell>
          <cell r="H57">
            <v>37.115749999999991</v>
          </cell>
          <cell r="I57">
            <v>44.804500000000004</v>
          </cell>
          <cell r="J57">
            <v>47.6</v>
          </cell>
          <cell r="K57">
            <v>8.7039999999999988</v>
          </cell>
          <cell r="L57">
            <v>2.17</v>
          </cell>
          <cell r="M57">
            <v>140.39425</v>
          </cell>
        </row>
        <row r="58">
          <cell r="G58">
            <v>46296</v>
          </cell>
          <cell r="H58">
            <v>49.701749999999997</v>
          </cell>
          <cell r="I58">
            <v>73.001500000000007</v>
          </cell>
          <cell r="J58">
            <v>43.655999999999999</v>
          </cell>
          <cell r="K58">
            <v>9.1883999999999997</v>
          </cell>
          <cell r="L58">
            <v>1.0114999999999998</v>
          </cell>
          <cell r="M58">
            <v>176.55915000000002</v>
          </cell>
        </row>
        <row r="59">
          <cell r="G59">
            <v>46327</v>
          </cell>
          <cell r="H59">
            <v>28.349999999999998</v>
          </cell>
          <cell r="I59">
            <v>25.35</v>
          </cell>
          <cell r="J59">
            <v>31.45</v>
          </cell>
          <cell r="K59">
            <v>8.2000000000000011</v>
          </cell>
          <cell r="L59">
            <v>0</v>
          </cell>
          <cell r="M59">
            <v>93.350000000000009</v>
          </cell>
        </row>
        <row r="60">
          <cell r="G60">
            <v>46419</v>
          </cell>
          <cell r="H60">
            <v>11.864999999999998</v>
          </cell>
          <cell r="I60">
            <v>23.035999999999998</v>
          </cell>
          <cell r="J60">
            <v>6.375</v>
          </cell>
          <cell r="K60">
            <v>0</v>
          </cell>
          <cell r="L60">
            <v>0</v>
          </cell>
          <cell r="M60">
            <v>41.275999999999996</v>
          </cell>
        </row>
        <row r="61">
          <cell r="G61">
            <v>46447</v>
          </cell>
          <cell r="H61">
            <v>39.278749999999995</v>
          </cell>
          <cell r="I61">
            <v>26.468</v>
          </cell>
          <cell r="J61">
            <v>32.087499999999999</v>
          </cell>
          <cell r="K61">
            <v>2.2100000000000004</v>
          </cell>
          <cell r="L61">
            <v>0</v>
          </cell>
          <cell r="M61">
            <v>100.04424999999999</v>
          </cell>
        </row>
        <row r="62">
          <cell r="G62">
            <v>46478</v>
          </cell>
          <cell r="H62">
            <v>62.544999999999995</v>
          </cell>
          <cell r="I62">
            <v>61.789000000000001</v>
          </cell>
          <cell r="J62">
            <v>14.875</v>
          </cell>
          <cell r="K62">
            <v>17.513999999999999</v>
          </cell>
          <cell r="L62">
            <v>0</v>
          </cell>
          <cell r="M62">
            <v>156.72300000000001</v>
          </cell>
        </row>
        <row r="63">
          <cell r="G63">
            <v>46508</v>
          </cell>
          <cell r="H63">
            <v>36.137499999999996</v>
          </cell>
          <cell r="I63">
            <v>45.227000000000004</v>
          </cell>
          <cell r="J63">
            <v>0</v>
          </cell>
          <cell r="K63">
            <v>7.4759999999999991</v>
          </cell>
          <cell r="L63">
            <v>0</v>
          </cell>
          <cell r="M63">
            <v>88.840499999999992</v>
          </cell>
        </row>
        <row r="64">
          <cell r="G64">
            <v>46631</v>
          </cell>
          <cell r="H64">
            <v>95.93412499999998</v>
          </cell>
          <cell r="I64">
            <v>102.375</v>
          </cell>
          <cell r="J64">
            <v>71.144999999999982</v>
          </cell>
          <cell r="K64">
            <v>18.972000000000001</v>
          </cell>
          <cell r="L64">
            <v>0.55800000000000005</v>
          </cell>
          <cell r="M64">
            <v>288.98412499999995</v>
          </cell>
        </row>
        <row r="65">
          <cell r="G65">
            <v>46661</v>
          </cell>
          <cell r="H65">
            <v>44.034374999999997</v>
          </cell>
          <cell r="I65">
            <v>72.461999999999989</v>
          </cell>
          <cell r="J65">
            <v>65.024999999999991</v>
          </cell>
          <cell r="K65">
            <v>1.2240000000000002</v>
          </cell>
          <cell r="L65">
            <v>0.33</v>
          </cell>
          <cell r="M65">
            <v>183.07537499999998</v>
          </cell>
        </row>
        <row r="66">
          <cell r="G66">
            <v>46692</v>
          </cell>
          <cell r="H66">
            <v>0</v>
          </cell>
          <cell r="I66">
            <v>0</v>
          </cell>
          <cell r="J66">
            <v>1.53</v>
          </cell>
          <cell r="K66">
            <v>0</v>
          </cell>
          <cell r="L66">
            <v>0</v>
          </cell>
          <cell r="M66">
            <v>1.53</v>
          </cell>
        </row>
        <row r="67">
          <cell r="G67">
            <v>46813</v>
          </cell>
          <cell r="H67">
            <v>19.88</v>
          </cell>
          <cell r="I67">
            <v>25.3825</v>
          </cell>
          <cell r="J67">
            <v>24.139999999999997</v>
          </cell>
          <cell r="K67">
            <v>5.1830000000000007</v>
          </cell>
          <cell r="L67">
            <v>2.0680000000000001</v>
          </cell>
          <cell r="M67">
            <v>76.653500000000008</v>
          </cell>
        </row>
        <row r="68">
          <cell r="G68">
            <v>46844</v>
          </cell>
          <cell r="H68">
            <v>18.042499999999997</v>
          </cell>
          <cell r="I68">
            <v>24.6831</v>
          </cell>
          <cell r="J68">
            <v>19.379999999999995</v>
          </cell>
          <cell r="K68">
            <v>3.1390000000000002</v>
          </cell>
          <cell r="L68">
            <v>1.54</v>
          </cell>
          <cell r="M68">
            <v>66.784599999999998</v>
          </cell>
        </row>
        <row r="69">
          <cell r="G69">
            <v>46874</v>
          </cell>
          <cell r="H69">
            <v>5.2307499999999996</v>
          </cell>
          <cell r="I69">
            <v>6.3083799999999997</v>
          </cell>
          <cell r="J69">
            <v>4.1479999999999997</v>
          </cell>
          <cell r="K69">
            <v>0</v>
          </cell>
          <cell r="L69">
            <v>0</v>
          </cell>
          <cell r="M69">
            <v>15.68713</v>
          </cell>
        </row>
        <row r="70">
          <cell r="G70">
            <v>46997</v>
          </cell>
          <cell r="H70">
            <v>35.563499999999998</v>
          </cell>
          <cell r="I70">
            <v>85.764250000000004</v>
          </cell>
          <cell r="J70">
            <v>14.726249999999999</v>
          </cell>
          <cell r="K70">
            <v>5.2860000000000005</v>
          </cell>
          <cell r="L70">
            <v>0</v>
          </cell>
          <cell r="M70">
            <v>141.34</v>
          </cell>
        </row>
        <row r="71">
          <cell r="G71">
            <v>47027</v>
          </cell>
          <cell r="H71">
            <v>24.279499999999999</v>
          </cell>
          <cell r="I71">
            <v>76.579750000000004</v>
          </cell>
          <cell r="J71">
            <v>7.4587500000000002</v>
          </cell>
          <cell r="K71">
            <v>1.9020000000000001</v>
          </cell>
          <cell r="L71">
            <v>0</v>
          </cell>
          <cell r="M71">
            <v>110.22</v>
          </cell>
        </row>
        <row r="72">
          <cell r="G72">
            <v>47058</v>
          </cell>
          <cell r="H72">
            <v>5.0837500000000002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5.0837500000000002</v>
          </cell>
        </row>
        <row r="73">
          <cell r="G73">
            <v>47150</v>
          </cell>
          <cell r="H73">
            <v>9.3187499999999996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9.3187499999999996</v>
          </cell>
        </row>
        <row r="74">
          <cell r="G74">
            <v>47178</v>
          </cell>
          <cell r="H74">
            <v>25.56925</v>
          </cell>
          <cell r="I74">
            <v>0</v>
          </cell>
          <cell r="J74">
            <v>0</v>
          </cell>
          <cell r="K74">
            <v>0</v>
          </cell>
          <cell r="L74">
            <v>1.552</v>
          </cell>
          <cell r="M74">
            <v>27.12125</v>
          </cell>
        </row>
        <row r="75">
          <cell r="G75">
            <v>47209</v>
          </cell>
          <cell r="H75">
            <v>7.6999999999999993</v>
          </cell>
          <cell r="I75">
            <v>0</v>
          </cell>
          <cell r="J75">
            <v>0</v>
          </cell>
          <cell r="K75">
            <v>0</v>
          </cell>
          <cell r="L75">
            <v>1.4475</v>
          </cell>
        </row>
        <row r="76">
          <cell r="G76">
            <v>47239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1.3475000000000001</v>
          </cell>
        </row>
        <row r="77">
          <cell r="G77">
            <v>47270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</row>
        <row r="78">
          <cell r="G78">
            <v>47300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</row>
        <row r="79">
          <cell r="G79">
            <v>47331</v>
          </cell>
          <cell r="H79">
            <v>0</v>
          </cell>
          <cell r="I79">
            <v>1.6575</v>
          </cell>
          <cell r="J79">
            <v>0</v>
          </cell>
          <cell r="K79">
            <v>0</v>
          </cell>
          <cell r="L79">
            <v>0</v>
          </cell>
        </row>
        <row r="80">
          <cell r="G80">
            <v>47362</v>
          </cell>
          <cell r="H80">
            <v>14.174999999999999</v>
          </cell>
          <cell r="I80">
            <v>74.75</v>
          </cell>
          <cell r="J80">
            <v>10.199999999999999</v>
          </cell>
          <cell r="K80">
            <v>0</v>
          </cell>
          <cell r="L80">
            <v>0</v>
          </cell>
        </row>
        <row r="81">
          <cell r="G81">
            <v>47392</v>
          </cell>
          <cell r="H81">
            <v>18.19125</v>
          </cell>
          <cell r="I81">
            <v>33.865000000000002</v>
          </cell>
          <cell r="J81">
            <v>13.09</v>
          </cell>
          <cell r="K81">
            <v>0</v>
          </cell>
          <cell r="L81">
            <v>0</v>
          </cell>
        </row>
        <row r="82">
          <cell r="G82">
            <v>47423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</row>
        <row r="83">
          <cell r="G83">
            <v>47543</v>
          </cell>
          <cell r="H83">
            <v>40.591249999999995</v>
          </cell>
          <cell r="I83">
            <v>35.41525</v>
          </cell>
          <cell r="J83">
            <v>39.440000000000005</v>
          </cell>
          <cell r="K83">
            <v>2.75</v>
          </cell>
          <cell r="L83">
            <v>0.82500000000000007</v>
          </cell>
        </row>
        <row r="84">
          <cell r="G84">
            <v>47574</v>
          </cell>
          <cell r="H84">
            <v>10.267249999999999</v>
          </cell>
          <cell r="I84">
            <v>7.5328499999999989</v>
          </cell>
          <cell r="J84">
            <v>7.3440000000000003</v>
          </cell>
          <cell r="K84">
            <v>1.35</v>
          </cell>
          <cell r="L84">
            <v>0.40500000000000003</v>
          </cell>
        </row>
        <row r="85">
          <cell r="G85">
            <v>47665</v>
          </cell>
          <cell r="H85">
            <v>17.81325</v>
          </cell>
          <cell r="I85">
            <v>14.703000000000001</v>
          </cell>
          <cell r="J85">
            <v>14.050500000000001</v>
          </cell>
          <cell r="K85">
            <v>0</v>
          </cell>
          <cell r="L85">
            <v>0</v>
          </cell>
        </row>
        <row r="86">
          <cell r="G86">
            <v>47696</v>
          </cell>
          <cell r="H86">
            <v>48.474999999999994</v>
          </cell>
          <cell r="I86">
            <v>16.900000000000002</v>
          </cell>
          <cell r="J86">
            <v>16.149999999999999</v>
          </cell>
          <cell r="K86">
            <v>0</v>
          </cell>
          <cell r="L86">
            <v>0</v>
          </cell>
        </row>
        <row r="87">
          <cell r="G87">
            <v>47727</v>
          </cell>
          <cell r="H87">
            <v>74.443249999999992</v>
          </cell>
          <cell r="I87">
            <v>60.0015</v>
          </cell>
          <cell r="J87">
            <v>2.1122500000000004</v>
          </cell>
          <cell r="K87">
            <v>16.931999999999999</v>
          </cell>
          <cell r="L87">
            <v>0</v>
          </cell>
        </row>
        <row r="88">
          <cell r="G88">
            <v>47757</v>
          </cell>
          <cell r="H88">
            <v>44.519999999999996</v>
          </cell>
          <cell r="I88">
            <v>45.188000000000002</v>
          </cell>
          <cell r="J88">
            <v>32.725000000000001</v>
          </cell>
          <cell r="K88">
            <v>20.400000000000002</v>
          </cell>
          <cell r="L88">
            <v>0</v>
          </cell>
        </row>
        <row r="89">
          <cell r="G89">
            <v>47788</v>
          </cell>
          <cell r="H89">
            <v>5.46</v>
          </cell>
          <cell r="I89">
            <v>0</v>
          </cell>
          <cell r="J89">
            <v>0</v>
          </cell>
          <cell r="K89">
            <v>2.6520000000000001</v>
          </cell>
          <cell r="L89">
            <v>0</v>
          </cell>
        </row>
        <row r="90">
          <cell r="G90">
            <v>47880</v>
          </cell>
          <cell r="H90">
            <v>0</v>
          </cell>
          <cell r="I90">
            <v>0</v>
          </cell>
          <cell r="J90">
            <v>0</v>
          </cell>
          <cell r="K90">
            <v>13</v>
          </cell>
          <cell r="L90">
            <v>0</v>
          </cell>
        </row>
        <row r="91">
          <cell r="G91">
            <v>47908</v>
          </cell>
          <cell r="H91">
            <v>0</v>
          </cell>
          <cell r="I91">
            <v>0</v>
          </cell>
          <cell r="J91">
            <v>0</v>
          </cell>
          <cell r="K91">
            <v>2.99</v>
          </cell>
          <cell r="L91">
            <v>0</v>
          </cell>
        </row>
        <row r="92">
          <cell r="G92">
            <v>47939</v>
          </cell>
          <cell r="H92">
            <v>11.97</v>
          </cell>
          <cell r="I92">
            <v>15.209999999999999</v>
          </cell>
          <cell r="J92">
            <v>9.9449999999999985</v>
          </cell>
          <cell r="K92">
            <v>0</v>
          </cell>
          <cell r="L92">
            <v>0</v>
          </cell>
        </row>
        <row r="93">
          <cell r="G93">
            <v>47969</v>
          </cell>
          <cell r="H93">
            <v>7.7139999999999995</v>
          </cell>
          <cell r="I93">
            <v>9.8019999999999996</v>
          </cell>
          <cell r="J93">
            <v>6.4089999999999998</v>
          </cell>
          <cell r="K93">
            <v>0</v>
          </cell>
          <cell r="L93">
            <v>0</v>
          </cell>
        </row>
        <row r="94">
          <cell r="G94">
            <v>48122</v>
          </cell>
          <cell r="H94">
            <v>5.9412500000000001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</row>
        <row r="95">
          <cell r="G95" t="e">
            <v>#REF!</v>
          </cell>
          <cell r="H95" t="e">
            <v>#REF!</v>
          </cell>
          <cell r="I95" t="e">
            <v>#REF!</v>
          </cell>
          <cell r="J95" t="e">
            <v>#REF!</v>
          </cell>
          <cell r="K95" t="e">
            <v>#REF!</v>
          </cell>
          <cell r="L95" t="e">
            <v>#REF!</v>
          </cell>
        </row>
        <row r="96">
          <cell r="G96">
            <v>50526</v>
          </cell>
          <cell r="H96">
            <v>6.9160000000000004</v>
          </cell>
          <cell r="I96">
            <v>8.7880000000000003</v>
          </cell>
          <cell r="J96">
            <v>5.7459999999999996</v>
          </cell>
          <cell r="K96">
            <v>0</v>
          </cell>
          <cell r="L96">
            <v>0</v>
          </cell>
        </row>
      </sheetData>
      <sheetData sheetId="2">
        <row r="1">
          <cell r="H1" t="str">
            <v>CDU Mogas Offline</v>
          </cell>
          <cell r="I1" t="str">
            <v>FCC Mogas Offline</v>
          </cell>
          <cell r="J1" t="str">
            <v>Ref Mogas Offline</v>
          </cell>
          <cell r="K1" t="str">
            <v>Coker Mogas Offline</v>
          </cell>
          <cell r="L1" t="str">
            <v>HDC Mogas Offline</v>
          </cell>
          <cell r="M1" t="str">
            <v>Total Mogas Offline</v>
          </cell>
        </row>
        <row r="2">
          <cell r="G2">
            <v>44562</v>
          </cell>
          <cell r="H2">
            <v>117.50024999999998</v>
          </cell>
          <cell r="I2">
            <v>372.734375</v>
          </cell>
          <cell r="J2">
            <v>149.32204999999999</v>
          </cell>
          <cell r="K2">
            <v>31.488480000000006</v>
          </cell>
          <cell r="L2">
            <v>4.0405000000000006</v>
          </cell>
          <cell r="M2">
            <v>675.08565499999997</v>
          </cell>
        </row>
        <row r="3">
          <cell r="G3">
            <v>44593</v>
          </cell>
          <cell r="H3">
            <v>135.78914999999998</v>
          </cell>
          <cell r="I3">
            <v>342.09499999999997</v>
          </cell>
          <cell r="J3">
            <v>271.91329999999999</v>
          </cell>
          <cell r="K3">
            <v>47.088000000000001</v>
          </cell>
          <cell r="L3">
            <v>14.411500000000002</v>
          </cell>
          <cell r="M3">
            <v>811.29695000000004</v>
          </cell>
        </row>
        <row r="4">
          <cell r="G4">
            <v>44621</v>
          </cell>
          <cell r="H4">
            <v>93.712849999999989</v>
          </cell>
          <cell r="I4">
            <v>208.71500000000003</v>
          </cell>
          <cell r="J4">
            <v>162.06100000000001</v>
          </cell>
          <cell r="K4">
            <v>24.991</v>
          </cell>
          <cell r="L4">
            <v>9.3633000000000006</v>
          </cell>
          <cell r="M4">
            <v>498.84315000000004</v>
          </cell>
        </row>
        <row r="5">
          <cell r="G5">
            <v>44652</v>
          </cell>
          <cell r="H5">
            <v>110.79687499999997</v>
          </cell>
          <cell r="I5">
            <v>146.67574999999999</v>
          </cell>
          <cell r="J5">
            <v>195.12208999999999</v>
          </cell>
          <cell r="K5">
            <v>19.064999999999998</v>
          </cell>
          <cell r="L5">
            <v>10.205750000000002</v>
          </cell>
          <cell r="M5">
            <v>481.86546499999997</v>
          </cell>
        </row>
        <row r="6">
          <cell r="G6">
            <v>44682</v>
          </cell>
          <cell r="H6">
            <v>108.019065</v>
          </cell>
          <cell r="I6">
            <v>134.3485</v>
          </cell>
          <cell r="J6">
            <v>84.413499999999999</v>
          </cell>
          <cell r="K6">
            <v>26.129000000000005</v>
          </cell>
          <cell r="L6">
            <v>9.3370500000000014</v>
          </cell>
          <cell r="M6">
            <v>362.24711500000001</v>
          </cell>
        </row>
        <row r="7">
          <cell r="G7">
            <v>44713</v>
          </cell>
          <cell r="H7">
            <v>76.420749999999998</v>
          </cell>
          <cell r="I7">
            <v>134.91400000000002</v>
          </cell>
          <cell r="J7">
            <v>54.094000000000001</v>
          </cell>
          <cell r="K7">
            <v>15.836400000000001</v>
          </cell>
          <cell r="L7">
            <v>0.46250000000000002</v>
          </cell>
          <cell r="M7">
            <v>281.72765000000004</v>
          </cell>
        </row>
        <row r="8">
          <cell r="G8">
            <v>44743</v>
          </cell>
          <cell r="H8">
            <v>59.653999999999996</v>
          </cell>
          <cell r="I8">
            <v>80.119</v>
          </cell>
          <cell r="J8">
            <v>72.025599999999997</v>
          </cell>
          <cell r="K8">
            <v>13.863999999999999</v>
          </cell>
          <cell r="L8">
            <v>0.67500000000000004</v>
          </cell>
          <cell r="M8">
            <v>226.33760000000001</v>
          </cell>
        </row>
        <row r="9">
          <cell r="G9">
            <v>44774</v>
          </cell>
          <cell r="H9">
            <v>78.377249999999989</v>
          </cell>
          <cell r="I9">
            <v>93.060500000000019</v>
          </cell>
          <cell r="J9">
            <v>79.747</v>
          </cell>
          <cell r="K9">
            <v>23.063000000000002</v>
          </cell>
          <cell r="L9">
            <v>1.8897500000000003</v>
          </cell>
          <cell r="M9">
            <v>276.13749999999999</v>
          </cell>
        </row>
        <row r="10">
          <cell r="G10">
            <v>44805</v>
          </cell>
          <cell r="H10">
            <v>105.22049999999999</v>
          </cell>
          <cell r="I10">
            <v>100.57450000000001</v>
          </cell>
          <cell r="J10">
            <v>126.34315000000001</v>
          </cell>
          <cell r="K10">
            <v>28.971879999999999</v>
          </cell>
          <cell r="L10">
            <v>2.1090000000000004</v>
          </cell>
          <cell r="M10">
            <v>363.21902999999998</v>
          </cell>
        </row>
        <row r="11">
          <cell r="G11">
            <v>44835</v>
          </cell>
          <cell r="H11">
            <v>201.64812499999999</v>
          </cell>
          <cell r="I11">
            <v>273.33150000000001</v>
          </cell>
          <cell r="J11">
            <v>194.82849999999999</v>
          </cell>
          <cell r="K11">
            <v>38.465000000000003</v>
          </cell>
          <cell r="L11">
            <v>3.1034999999999999</v>
          </cell>
          <cell r="M11">
            <v>711.3766250000001</v>
          </cell>
        </row>
        <row r="12">
          <cell r="G12">
            <v>44866</v>
          </cell>
          <cell r="H12">
            <v>89.115249999999989</v>
          </cell>
          <cell r="I12">
            <v>250.94550000000001</v>
          </cell>
          <cell r="J12">
            <v>75.981499999999997</v>
          </cell>
          <cell r="K12">
            <v>20.274419999999999</v>
          </cell>
          <cell r="L12">
            <v>0.47000000000000003</v>
          </cell>
          <cell r="M12">
            <v>436.78667000000002</v>
          </cell>
        </row>
        <row r="13">
          <cell r="G13">
            <v>44896</v>
          </cell>
          <cell r="H13">
            <v>172.69586249999998</v>
          </cell>
          <cell r="I13">
            <v>316.07094999999998</v>
          </cell>
          <cell r="J13">
            <v>175.46975</v>
          </cell>
          <cell r="K13">
            <v>37.624299999999998</v>
          </cell>
          <cell r="L13">
            <v>4.0070600000000001</v>
          </cell>
          <cell r="M13">
            <v>705.86792249999996</v>
          </cell>
        </row>
        <row r="14">
          <cell r="G14">
            <v>44927</v>
          </cell>
          <cell r="H14">
            <v>176.8235</v>
          </cell>
          <cell r="I14">
            <v>326.51190000000003</v>
          </cell>
          <cell r="J14">
            <v>224.8879</v>
          </cell>
          <cell r="K14">
            <v>47.517000000000003</v>
          </cell>
          <cell r="L14">
            <v>6.7710000000000008</v>
          </cell>
          <cell r="M14">
            <v>782.51130000000012</v>
          </cell>
        </row>
        <row r="15">
          <cell r="G15">
            <v>44958</v>
          </cell>
          <cell r="H15">
            <v>218.9915</v>
          </cell>
          <cell r="I15">
            <v>301.86</v>
          </cell>
          <cell r="J15">
            <v>232.86600000000001</v>
          </cell>
          <cell r="K15">
            <v>62.266000000000012</v>
          </cell>
          <cell r="L15">
            <v>8.7645</v>
          </cell>
          <cell r="M15">
            <v>824.74799999999993</v>
          </cell>
        </row>
        <row r="16">
          <cell r="G16">
            <v>44986</v>
          </cell>
          <cell r="H16">
            <v>172.77312499999999</v>
          </cell>
          <cell r="I16">
            <v>261.1635</v>
          </cell>
          <cell r="J16">
            <v>179.80474999999998</v>
          </cell>
          <cell r="K16">
            <v>64.081999999999994</v>
          </cell>
          <cell r="L16">
            <v>16.33175</v>
          </cell>
          <cell r="M16">
            <v>694.155125</v>
          </cell>
        </row>
        <row r="17">
          <cell r="G17">
            <v>45017</v>
          </cell>
          <cell r="H17">
            <v>119.627375</v>
          </cell>
          <cell r="I17">
            <v>228.59849999999997</v>
          </cell>
          <cell r="J17">
            <v>148.94549999999998</v>
          </cell>
          <cell r="K17">
            <v>48.094999999999999</v>
          </cell>
          <cell r="L17">
            <v>10.388</v>
          </cell>
          <cell r="M17">
            <v>555.65437499999996</v>
          </cell>
        </row>
        <row r="18">
          <cell r="G18">
            <v>45047</v>
          </cell>
          <cell r="H18">
            <v>87.588515000000001</v>
          </cell>
          <cell r="I18">
            <v>198.31500000000003</v>
          </cell>
          <cell r="J18">
            <v>135.26644999999999</v>
          </cell>
          <cell r="K18">
            <v>22.058</v>
          </cell>
          <cell r="L18">
            <v>1.7365000000000004</v>
          </cell>
          <cell r="M18">
            <v>444.96446500000002</v>
          </cell>
        </row>
        <row r="19">
          <cell r="G19">
            <v>45078</v>
          </cell>
          <cell r="H19">
            <v>76.125</v>
          </cell>
          <cell r="I19">
            <v>133.43200000000002</v>
          </cell>
          <cell r="J19">
            <v>123.7413</v>
          </cell>
          <cell r="K19">
            <v>14.129000000000003</v>
          </cell>
          <cell r="L19">
            <v>0.52474999999999994</v>
          </cell>
          <cell r="M19">
            <v>347.95205000000004</v>
          </cell>
        </row>
        <row r="20">
          <cell r="G20">
            <v>45108</v>
          </cell>
          <cell r="H20">
            <v>39.278749999999995</v>
          </cell>
          <cell r="I20">
            <v>65.630499999999998</v>
          </cell>
          <cell r="J20">
            <v>78.174499999999995</v>
          </cell>
          <cell r="K20">
            <v>14.230880000000003</v>
          </cell>
          <cell r="L20">
            <v>0</v>
          </cell>
          <cell r="M20">
            <v>197.31462999999999</v>
          </cell>
        </row>
        <row r="21">
          <cell r="G21">
            <v>45139</v>
          </cell>
          <cell r="H21">
            <v>73.849999999999994</v>
          </cell>
          <cell r="I21">
            <v>80.336749999999995</v>
          </cell>
          <cell r="J21">
            <v>153.459</v>
          </cell>
          <cell r="K21">
            <v>22.368000000000002</v>
          </cell>
          <cell r="L21">
            <v>2.5364</v>
          </cell>
          <cell r="M21">
            <v>332.55015000000003</v>
          </cell>
        </row>
        <row r="22">
          <cell r="G22">
            <v>45170</v>
          </cell>
          <cell r="H22">
            <v>112.71181250000001</v>
          </cell>
          <cell r="I22">
            <v>168.00875000000002</v>
          </cell>
          <cell r="J22">
            <v>92.972999999999999</v>
          </cell>
          <cell r="K22">
            <v>35.041879999999999</v>
          </cell>
          <cell r="L22">
            <v>1.2955000000000001</v>
          </cell>
          <cell r="M22">
            <v>410.03094250000004</v>
          </cell>
        </row>
        <row r="23">
          <cell r="G23">
            <v>45200</v>
          </cell>
          <cell r="H23">
            <v>214.452</v>
          </cell>
          <cell r="I23">
            <v>215.89099999999999</v>
          </cell>
          <cell r="J23">
            <v>273.75099999999998</v>
          </cell>
          <cell r="K23">
            <v>36.875999999999998</v>
          </cell>
          <cell r="L23">
            <v>2.8925000000000001</v>
          </cell>
          <cell r="M23">
            <v>743.86249999999995</v>
          </cell>
        </row>
        <row r="24">
          <cell r="G24">
            <v>45231</v>
          </cell>
          <cell r="H24">
            <v>97.098749999999995</v>
          </cell>
          <cell r="I24">
            <v>95.845749999999995</v>
          </cell>
          <cell r="J24">
            <v>181.28205000000003</v>
          </cell>
          <cell r="K24">
            <v>22.118400000000001</v>
          </cell>
          <cell r="L24">
            <v>1.1500000000000001</v>
          </cell>
          <cell r="M24">
            <v>397.49495000000002</v>
          </cell>
        </row>
        <row r="25">
          <cell r="G25">
            <v>45261</v>
          </cell>
          <cell r="H25">
            <v>22.424500000000002</v>
          </cell>
          <cell r="I25">
            <v>53.56</v>
          </cell>
          <cell r="J25">
            <v>26.698499999999999</v>
          </cell>
          <cell r="K25">
            <v>15.26764</v>
          </cell>
          <cell r="L25">
            <v>0.88000000000000012</v>
          </cell>
          <cell r="M25">
            <v>118.83063999999999</v>
          </cell>
        </row>
        <row r="26">
          <cell r="G26">
            <v>45292</v>
          </cell>
          <cell r="H26">
            <v>227.48039999999997</v>
          </cell>
          <cell r="I26">
            <v>172.88374999999999</v>
          </cell>
          <cell r="J26">
            <v>284.01152000000002</v>
          </cell>
          <cell r="K26">
            <v>78.902800000000013</v>
          </cell>
          <cell r="L26">
            <v>9.3910999999999998</v>
          </cell>
          <cell r="M26">
            <v>772.66957000000002</v>
          </cell>
        </row>
        <row r="27">
          <cell r="G27">
            <v>45323</v>
          </cell>
          <cell r="H27">
            <v>296.92075</v>
          </cell>
          <cell r="I27">
            <v>329.73057</v>
          </cell>
          <cell r="J27">
            <v>434.43074999999999</v>
          </cell>
          <cell r="K27">
            <v>119.13400000000001</v>
          </cell>
          <cell r="L27">
            <v>15.663900000000002</v>
          </cell>
          <cell r="M27">
            <v>1195.87997</v>
          </cell>
        </row>
        <row r="28">
          <cell r="G28">
            <v>45352</v>
          </cell>
          <cell r="H28">
            <v>130.59234999999998</v>
          </cell>
          <cell r="I28">
            <v>150.96575000000001</v>
          </cell>
          <cell r="J28">
            <v>227.84674999999999</v>
          </cell>
          <cell r="K28">
            <v>59.506560000000007</v>
          </cell>
          <cell r="L28">
            <v>4.6949999999999994</v>
          </cell>
          <cell r="M28">
            <v>573.60640999999998</v>
          </cell>
        </row>
        <row r="29">
          <cell r="G29">
            <v>45383</v>
          </cell>
          <cell r="H29">
            <v>114.45874999999998</v>
          </cell>
          <cell r="I29">
            <v>143.99254999999999</v>
          </cell>
          <cell r="J29">
            <v>254.66425000000001</v>
          </cell>
          <cell r="K29">
            <v>25.522000000000002</v>
          </cell>
          <cell r="L29">
            <v>4.5839999999999996</v>
          </cell>
          <cell r="M29">
            <v>543.22154999999998</v>
          </cell>
        </row>
        <row r="30">
          <cell r="G30">
            <v>45413</v>
          </cell>
          <cell r="H30">
            <v>19.3095</v>
          </cell>
          <cell r="I30">
            <v>76.817000000000007</v>
          </cell>
          <cell r="J30">
            <v>187.85</v>
          </cell>
          <cell r="K30">
            <v>16.809999999999999</v>
          </cell>
          <cell r="L30">
            <v>4.9420000000000002</v>
          </cell>
          <cell r="M30">
            <v>305.7285</v>
          </cell>
        </row>
        <row r="31">
          <cell r="G31">
            <v>45444</v>
          </cell>
          <cell r="H31">
            <v>49.215249999999997</v>
          </cell>
          <cell r="I31">
            <v>84.542249999999996</v>
          </cell>
          <cell r="J31">
            <v>160.09324999999998</v>
          </cell>
          <cell r="K31">
            <v>21.900000000000002</v>
          </cell>
          <cell r="L31">
            <v>2.0445000000000002</v>
          </cell>
          <cell r="M31">
            <v>317.79524999999995</v>
          </cell>
        </row>
        <row r="32">
          <cell r="G32">
            <v>45474</v>
          </cell>
          <cell r="H32">
            <v>63.677249999999994</v>
          </cell>
          <cell r="I32">
            <v>122.14150000000001</v>
          </cell>
          <cell r="J32">
            <v>62.559999999999995</v>
          </cell>
          <cell r="K32">
            <v>8.538000000000002</v>
          </cell>
          <cell r="L32">
            <v>2.2057500000000001</v>
          </cell>
          <cell r="M32">
            <v>259.1225</v>
          </cell>
        </row>
        <row r="33">
          <cell r="G33">
            <v>45505</v>
          </cell>
          <cell r="H33">
            <v>63.794149999999995</v>
          </cell>
          <cell r="I33">
            <v>96.720000000000013</v>
          </cell>
          <cell r="J33">
            <v>74.613</v>
          </cell>
          <cell r="K33">
            <v>1.24004</v>
          </cell>
          <cell r="L33">
            <v>1.04</v>
          </cell>
          <cell r="M33">
            <v>237.40718999999999</v>
          </cell>
        </row>
        <row r="34">
          <cell r="G34">
            <v>45536</v>
          </cell>
          <cell r="H34">
            <v>105.938</v>
          </cell>
          <cell r="I34">
            <v>152.29759999999999</v>
          </cell>
          <cell r="J34">
            <v>145.598625</v>
          </cell>
          <cell r="K34">
            <v>9.4909999999999997</v>
          </cell>
          <cell r="L34">
            <v>8.8185000000000002</v>
          </cell>
          <cell r="M34">
            <v>422.1437249999999</v>
          </cell>
        </row>
        <row r="35">
          <cell r="G35">
            <v>45566</v>
          </cell>
          <cell r="H35">
            <v>93.063249999999982</v>
          </cell>
          <cell r="I35">
            <v>99.875750000000011</v>
          </cell>
          <cell r="J35">
            <v>236.10109999999997</v>
          </cell>
          <cell r="K35">
            <v>27.572000000000003</v>
          </cell>
          <cell r="L35">
            <v>9.9890000000000008</v>
          </cell>
          <cell r="M35">
            <v>466.60109999999992</v>
          </cell>
        </row>
        <row r="36">
          <cell r="G36">
            <v>45597</v>
          </cell>
          <cell r="H36">
            <v>66.083500000000001</v>
          </cell>
          <cell r="I36">
            <v>73.850400000000008</v>
          </cell>
          <cell r="J36">
            <v>102.926925</v>
          </cell>
          <cell r="K36">
            <v>14.457999999999998</v>
          </cell>
          <cell r="L36">
            <v>2.7130000000000005</v>
          </cell>
          <cell r="M36">
            <v>260.03182499999997</v>
          </cell>
        </row>
        <row r="37">
          <cell r="G37">
            <v>45627</v>
          </cell>
          <cell r="H37">
            <v>17.230849999999997</v>
          </cell>
          <cell r="I37">
            <v>28.372499999999999</v>
          </cell>
          <cell r="J37">
            <v>4.2245000000000008</v>
          </cell>
          <cell r="K37">
            <v>13.783480000000001</v>
          </cell>
          <cell r="L37">
            <v>0</v>
          </cell>
          <cell r="M37">
            <v>63.611329999999995</v>
          </cell>
        </row>
        <row r="38">
          <cell r="G38">
            <v>45658</v>
          </cell>
          <cell r="H38">
            <v>161.03587499999998</v>
          </cell>
          <cell r="I38">
            <v>132.66240000000002</v>
          </cell>
          <cell r="J38">
            <v>82.204349999999991</v>
          </cell>
          <cell r="K38">
            <v>30.66986</v>
          </cell>
          <cell r="L38">
            <v>3.74925</v>
          </cell>
          <cell r="M38">
            <v>410.32173499999993</v>
          </cell>
        </row>
        <row r="39">
          <cell r="G39">
            <v>45689</v>
          </cell>
          <cell r="H39">
            <v>161.58817500000001</v>
          </cell>
          <cell r="I39">
            <v>185.4359</v>
          </cell>
          <cell r="J39">
            <v>108.05114999999999</v>
          </cell>
          <cell r="K39">
            <v>52.708880000000001</v>
          </cell>
          <cell r="L39">
            <v>4.7340000000000009</v>
          </cell>
          <cell r="M39">
            <v>512.51810500000011</v>
          </cell>
        </row>
        <row r="40">
          <cell r="G40">
            <v>45717</v>
          </cell>
          <cell r="H40">
            <v>54.906599999999997</v>
          </cell>
          <cell r="I40">
            <v>155.85570000000001</v>
          </cell>
          <cell r="J40">
            <v>60.505550000000007</v>
          </cell>
          <cell r="K40">
            <v>12.452</v>
          </cell>
          <cell r="L40">
            <v>2.8027500000000005</v>
          </cell>
          <cell r="M40">
            <v>286.52260000000001</v>
          </cell>
        </row>
        <row r="41">
          <cell r="G41">
            <v>45748</v>
          </cell>
          <cell r="H41">
            <v>62.562500000000007</v>
          </cell>
          <cell r="I41">
            <v>50.830000000000005</v>
          </cell>
          <cell r="J41">
            <v>68.042500000000004</v>
          </cell>
          <cell r="K41">
            <v>3.9280000000000004</v>
          </cell>
          <cell r="L41">
            <v>1.2000000000000002</v>
          </cell>
          <cell r="M41">
            <v>186.56299999999999</v>
          </cell>
        </row>
        <row r="42">
          <cell r="G42">
            <v>45778</v>
          </cell>
          <cell r="H42">
            <v>33.528599999999997</v>
          </cell>
          <cell r="I42">
            <v>17.316000000000003</v>
          </cell>
          <cell r="J42">
            <v>26.140900000000002</v>
          </cell>
          <cell r="K42">
            <v>12.532</v>
          </cell>
          <cell r="L42">
            <v>0.58800000000000008</v>
          </cell>
          <cell r="M42">
            <v>90.105499999999992</v>
          </cell>
        </row>
        <row r="43">
          <cell r="G43">
            <v>45809</v>
          </cell>
          <cell r="H43">
            <v>19.893999999999998</v>
          </cell>
          <cell r="I43">
            <v>37.573250000000002</v>
          </cell>
          <cell r="J43">
            <v>18.618400000000001</v>
          </cell>
          <cell r="K43">
            <v>6.4</v>
          </cell>
          <cell r="L43">
            <v>1.8307500000000001</v>
          </cell>
          <cell r="M43">
            <v>84.316400000000002</v>
          </cell>
        </row>
        <row r="44">
          <cell r="G44">
            <v>45839</v>
          </cell>
          <cell r="H44">
            <v>12.561499999999999</v>
          </cell>
          <cell r="I44">
            <v>25.112749999999998</v>
          </cell>
          <cell r="J44">
            <v>5.4918500000000003</v>
          </cell>
          <cell r="K44">
            <v>7.5117599999999998</v>
          </cell>
          <cell r="L44">
            <v>3.8000000000000003</v>
          </cell>
          <cell r="M44">
            <v>54.47786</v>
          </cell>
        </row>
        <row r="45">
          <cell r="G45">
            <v>45870</v>
          </cell>
          <cell r="H45">
            <v>15.126999999999999</v>
          </cell>
          <cell r="I45">
            <v>80.23275000000001</v>
          </cell>
          <cell r="J45">
            <v>32.104499999999994</v>
          </cell>
          <cell r="K45">
            <v>6.76</v>
          </cell>
          <cell r="L45">
            <v>6.1630000000000003</v>
          </cell>
          <cell r="M45">
            <v>140.38724999999999</v>
          </cell>
        </row>
        <row r="46">
          <cell r="G46">
            <v>45901</v>
          </cell>
          <cell r="H46">
            <v>124.90712499999999</v>
          </cell>
          <cell r="I46">
            <v>130.31524999999999</v>
          </cell>
          <cell r="J46">
            <v>84.119399999999999</v>
          </cell>
          <cell r="K46">
            <v>21.825000000000003</v>
          </cell>
          <cell r="L46">
            <v>4.1555</v>
          </cell>
          <cell r="M46">
            <v>365.32227499999999</v>
          </cell>
        </row>
        <row r="47">
          <cell r="G47">
            <v>45931</v>
          </cell>
          <cell r="H47">
            <v>195.51437499999997</v>
          </cell>
          <cell r="I47">
            <v>191.74447499999999</v>
          </cell>
          <cell r="J47">
            <v>161.20760000000001</v>
          </cell>
          <cell r="K47">
            <v>44.323800000000006</v>
          </cell>
          <cell r="L47">
            <v>8.4359999999999999</v>
          </cell>
          <cell r="M47">
            <v>601.22624999999994</v>
          </cell>
        </row>
        <row r="48">
          <cell r="G48">
            <v>45962</v>
          </cell>
          <cell r="H48">
            <v>125.35074999999999</v>
          </cell>
          <cell r="I48">
            <v>60.620884999999994</v>
          </cell>
          <cell r="J48">
            <v>80.169449999999998</v>
          </cell>
          <cell r="K48">
            <v>29.992000000000004</v>
          </cell>
          <cell r="L48">
            <v>4.2677499999999995</v>
          </cell>
          <cell r="M48">
            <v>300.40083499999997</v>
          </cell>
        </row>
        <row r="49">
          <cell r="G49">
            <v>45992</v>
          </cell>
          <cell r="H49">
            <v>16.358999999999998</v>
          </cell>
          <cell r="I49">
            <v>0</v>
          </cell>
          <cell r="J49">
            <v>4.8449999999999998</v>
          </cell>
          <cell r="K49">
            <v>5.2720000000000002</v>
          </cell>
          <cell r="L49">
            <v>1.3035000000000001</v>
          </cell>
          <cell r="M49">
            <v>27.779499999999999</v>
          </cell>
        </row>
        <row r="50">
          <cell r="G50">
            <v>46023</v>
          </cell>
          <cell r="H50">
            <v>69.354249999999993</v>
          </cell>
          <cell r="I50">
            <v>136.79250000000002</v>
          </cell>
          <cell r="J50">
            <v>39.988250000000001</v>
          </cell>
          <cell r="K50">
            <v>1.29</v>
          </cell>
          <cell r="L50">
            <v>2.3689999999999998</v>
          </cell>
          <cell r="M50">
            <v>249.79399999999998</v>
          </cell>
        </row>
        <row r="51">
          <cell r="G51">
            <v>46054</v>
          </cell>
          <cell r="H51">
            <v>159.42534999999998</v>
          </cell>
          <cell r="I51">
            <v>237.66437500000001</v>
          </cell>
          <cell r="J51">
            <v>91.719250000000002</v>
          </cell>
          <cell r="K51">
            <v>10.3</v>
          </cell>
          <cell r="L51">
            <v>3.0560000000000005</v>
          </cell>
          <cell r="M51">
            <v>502.16497499999997</v>
          </cell>
        </row>
        <row r="52">
          <cell r="G52">
            <v>46082</v>
          </cell>
          <cell r="H52">
            <v>71.247225</v>
          </cell>
          <cell r="I52">
            <v>81.784300000000002</v>
          </cell>
          <cell r="J52">
            <v>74.771950000000004</v>
          </cell>
          <cell r="K52">
            <v>8.8970000000000002</v>
          </cell>
          <cell r="L52">
            <v>5.1524999999999999</v>
          </cell>
          <cell r="M52">
            <v>241.85297499999999</v>
          </cell>
        </row>
        <row r="53">
          <cell r="G53">
            <v>46113</v>
          </cell>
          <cell r="H53">
            <v>74.32074999999999</v>
          </cell>
          <cell r="I53">
            <v>164.91150000000002</v>
          </cell>
          <cell r="J53">
            <v>35.379550000000002</v>
          </cell>
          <cell r="K53">
            <v>21.675000000000001</v>
          </cell>
          <cell r="L53">
            <v>3.3257500000000002</v>
          </cell>
          <cell r="M53">
            <v>299.61255000000006</v>
          </cell>
        </row>
        <row r="54">
          <cell r="G54">
            <v>46143</v>
          </cell>
          <cell r="H54">
            <v>50.200499999999998</v>
          </cell>
          <cell r="I54">
            <v>81.504475000000014</v>
          </cell>
          <cell r="J54">
            <v>55.474399999999996</v>
          </cell>
          <cell r="K54">
            <v>4.351</v>
          </cell>
          <cell r="L54">
            <v>1.4565000000000001</v>
          </cell>
          <cell r="M54">
            <v>192.98687500000003</v>
          </cell>
        </row>
        <row r="55">
          <cell r="G55">
            <v>46174</v>
          </cell>
          <cell r="H55">
            <v>28.271249999999998</v>
          </cell>
          <cell r="I55">
            <v>19.695</v>
          </cell>
          <cell r="J55">
            <v>54.026000000000003</v>
          </cell>
          <cell r="K55">
            <v>4.7600000000000007</v>
          </cell>
          <cell r="L55">
            <v>0</v>
          </cell>
          <cell r="M55">
            <v>106.75225000000002</v>
          </cell>
        </row>
        <row r="56">
          <cell r="G56">
            <v>46204</v>
          </cell>
          <cell r="H56">
            <v>13.5611</v>
          </cell>
          <cell r="I56">
            <v>0</v>
          </cell>
          <cell r="J56">
            <v>6.8</v>
          </cell>
          <cell r="K56">
            <v>5</v>
          </cell>
          <cell r="L56">
            <v>0</v>
          </cell>
          <cell r="M56">
            <v>25.3611</v>
          </cell>
        </row>
        <row r="57">
          <cell r="G57">
            <v>46235</v>
          </cell>
          <cell r="H57">
            <v>5.669999999999999</v>
          </cell>
          <cell r="I57">
            <v>0</v>
          </cell>
          <cell r="J57">
            <v>4.8194999999999997</v>
          </cell>
          <cell r="K57">
            <v>0</v>
          </cell>
          <cell r="L57">
            <v>2.67</v>
          </cell>
          <cell r="M57">
            <v>13.1595</v>
          </cell>
        </row>
        <row r="58">
          <cell r="G58">
            <v>46266</v>
          </cell>
          <cell r="H58">
            <v>32.261249999999997</v>
          </cell>
          <cell r="I58">
            <v>0</v>
          </cell>
          <cell r="J58">
            <v>44.2425</v>
          </cell>
          <cell r="K58">
            <v>12.840000000000002</v>
          </cell>
          <cell r="L58">
            <v>3.1875</v>
          </cell>
          <cell r="M58">
            <v>92.53125</v>
          </cell>
        </row>
        <row r="59">
          <cell r="G59">
            <v>46296</v>
          </cell>
          <cell r="H59">
            <v>51.741900000000001</v>
          </cell>
          <cell r="I59">
            <v>11.375</v>
          </cell>
          <cell r="J59">
            <v>74.256</v>
          </cell>
          <cell r="K59">
            <v>11.040000000000001</v>
          </cell>
          <cell r="L59">
            <v>0</v>
          </cell>
          <cell r="M59">
            <v>148.41290000000001</v>
          </cell>
        </row>
        <row r="60">
          <cell r="G60">
            <v>46327</v>
          </cell>
          <cell r="H60">
            <v>9.1524999999999981</v>
          </cell>
          <cell r="I60">
            <v>5.3462500000000004</v>
          </cell>
          <cell r="J60">
            <v>20.442499999999999</v>
          </cell>
          <cell r="K60">
            <v>1.8</v>
          </cell>
          <cell r="L60">
            <v>0</v>
          </cell>
          <cell r="M60">
            <v>36.741249999999994</v>
          </cell>
        </row>
        <row r="61">
          <cell r="G61">
            <v>46388</v>
          </cell>
          <cell r="H61">
            <v>50.036875000000002</v>
          </cell>
          <cell r="I61">
            <v>99.957000000000008</v>
          </cell>
          <cell r="J61">
            <v>4.93</v>
          </cell>
          <cell r="K61">
            <v>0</v>
          </cell>
          <cell r="L61">
            <v>0.46400000000000008</v>
          </cell>
          <cell r="M61">
            <v>155.38787500000001</v>
          </cell>
        </row>
        <row r="62">
          <cell r="G62">
            <v>46419</v>
          </cell>
          <cell r="H62">
            <v>65.51124999999999</v>
          </cell>
          <cell r="I62">
            <v>311.47187500000001</v>
          </cell>
          <cell r="J62">
            <v>14.755999999999998</v>
          </cell>
          <cell r="K62">
            <v>3.6</v>
          </cell>
          <cell r="L62">
            <v>2.15</v>
          </cell>
          <cell r="M62">
            <v>397.48912499999994</v>
          </cell>
        </row>
        <row r="63">
          <cell r="G63">
            <v>46447</v>
          </cell>
          <cell r="H63">
            <v>82.069749999999999</v>
          </cell>
          <cell r="I63">
            <v>264.35825</v>
          </cell>
          <cell r="J63">
            <v>85.314499999999995</v>
          </cell>
          <cell r="K63">
            <v>6.98</v>
          </cell>
          <cell r="L63">
            <v>3.3774999999999999</v>
          </cell>
          <cell r="M63">
            <v>442.1</v>
          </cell>
        </row>
        <row r="64">
          <cell r="G64">
            <v>46478</v>
          </cell>
          <cell r="H64">
            <v>31.312749999999998</v>
          </cell>
          <cell r="I64">
            <v>80.567499999999995</v>
          </cell>
          <cell r="J64">
            <v>44.973499999999994</v>
          </cell>
          <cell r="K64">
            <v>3.1500000000000004</v>
          </cell>
          <cell r="L64">
            <v>1.9575</v>
          </cell>
          <cell r="M64">
            <v>161.96125000000001</v>
          </cell>
        </row>
        <row r="65">
          <cell r="G65">
            <v>46508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</row>
        <row r="66">
          <cell r="G66">
            <v>46539</v>
          </cell>
          <cell r="H66">
            <v>16.799999999999997</v>
          </cell>
          <cell r="I66">
            <v>44.2</v>
          </cell>
          <cell r="J66">
            <v>0</v>
          </cell>
          <cell r="K66">
            <v>0</v>
          </cell>
          <cell r="L66">
            <v>0</v>
          </cell>
          <cell r="M66">
            <v>61</v>
          </cell>
        </row>
        <row r="67">
          <cell r="G67">
            <v>46569</v>
          </cell>
          <cell r="H67">
            <v>16.799999999999997</v>
          </cell>
          <cell r="I67">
            <v>44.2</v>
          </cell>
          <cell r="J67">
            <v>0</v>
          </cell>
          <cell r="K67">
            <v>0</v>
          </cell>
          <cell r="L67">
            <v>0</v>
          </cell>
          <cell r="M67">
            <v>61</v>
          </cell>
        </row>
        <row r="68">
          <cell r="G68">
            <v>46600</v>
          </cell>
          <cell r="H68">
            <v>4.8719999999999999</v>
          </cell>
          <cell r="I68">
            <v>12.818</v>
          </cell>
          <cell r="J68">
            <v>0</v>
          </cell>
          <cell r="K68">
            <v>0</v>
          </cell>
          <cell r="L68">
            <v>0</v>
          </cell>
          <cell r="M68">
            <v>17.689999999999998</v>
          </cell>
        </row>
        <row r="69">
          <cell r="G69">
            <v>46631</v>
          </cell>
          <cell r="H69">
            <v>164.62074999999999</v>
          </cell>
          <cell r="I69">
            <v>0</v>
          </cell>
          <cell r="J69">
            <v>0</v>
          </cell>
          <cell r="K69">
            <v>20.46</v>
          </cell>
          <cell r="L69">
            <v>3.1349999999999998</v>
          </cell>
          <cell r="M69">
            <v>188.21574999999999</v>
          </cell>
        </row>
        <row r="70">
          <cell r="G70">
            <v>46661</v>
          </cell>
          <cell r="H70">
            <v>197.51549999999997</v>
          </cell>
          <cell r="I70">
            <v>27.169999999999998</v>
          </cell>
          <cell r="J70">
            <v>12.76275</v>
          </cell>
          <cell r="K70">
            <v>14.06</v>
          </cell>
          <cell r="L70">
            <v>2.19</v>
          </cell>
          <cell r="M70">
            <v>253.69824999999997</v>
          </cell>
        </row>
        <row r="71">
          <cell r="G71">
            <v>46692</v>
          </cell>
          <cell r="H71">
            <v>43.907499999999999</v>
          </cell>
          <cell r="I71">
            <v>28.158000000000001</v>
          </cell>
          <cell r="J71">
            <v>11.071249999999999</v>
          </cell>
          <cell r="K71">
            <v>1.17</v>
          </cell>
          <cell r="L71">
            <v>0.64500000000000002</v>
          </cell>
          <cell r="M71">
            <v>84.951750000000004</v>
          </cell>
        </row>
        <row r="72">
          <cell r="G72">
            <v>46753</v>
          </cell>
          <cell r="H72">
            <v>41.749749999999999</v>
          </cell>
          <cell r="I72">
            <v>35.425000000000004</v>
          </cell>
          <cell r="J72">
            <v>18.419499999999999</v>
          </cell>
          <cell r="K72">
            <v>4.84</v>
          </cell>
          <cell r="L72">
            <v>0.23399999999999999</v>
          </cell>
          <cell r="M72">
            <v>100.66825</v>
          </cell>
        </row>
        <row r="73">
          <cell r="G73">
            <v>46784</v>
          </cell>
          <cell r="H73">
            <v>93.134824999999992</v>
          </cell>
          <cell r="I73">
            <v>100.16500000000001</v>
          </cell>
          <cell r="J73">
            <v>41.344000000000001</v>
          </cell>
          <cell r="K73">
            <v>5.4560000000000004</v>
          </cell>
          <cell r="L73">
            <v>0.60000000000000009</v>
          </cell>
          <cell r="M73">
            <v>240.69982499999998</v>
          </cell>
        </row>
        <row r="74">
          <cell r="G74">
            <v>46813</v>
          </cell>
          <cell r="H74">
            <v>56.734824999999987</v>
          </cell>
          <cell r="I74">
            <v>58.662500000000001</v>
          </cell>
          <cell r="J74">
            <v>42.223749999999995</v>
          </cell>
          <cell r="K74">
            <v>6.4</v>
          </cell>
          <cell r="L74">
            <v>1.2910000000000001</v>
          </cell>
          <cell r="M74">
            <v>165.31207499999999</v>
          </cell>
        </row>
        <row r="75">
          <cell r="G75">
            <v>46844</v>
          </cell>
          <cell r="H75">
            <v>47.917624999999994</v>
          </cell>
          <cell r="I75">
            <v>0</v>
          </cell>
          <cell r="J75">
            <v>28.532799999999998</v>
          </cell>
          <cell r="K75">
            <v>0.44800000000000006</v>
          </cell>
          <cell r="L75">
            <v>6.4750000000000002E-2</v>
          </cell>
          <cell r="M75">
            <v>76.963174999999993</v>
          </cell>
        </row>
        <row r="76">
          <cell r="G76">
            <v>46874</v>
          </cell>
          <cell r="H76">
            <v>36.618749999999999</v>
          </cell>
          <cell r="I76">
            <v>54.287999999999997</v>
          </cell>
          <cell r="J76">
            <v>26.384</v>
          </cell>
          <cell r="K76">
            <v>0</v>
          </cell>
          <cell r="L76">
            <v>0</v>
          </cell>
          <cell r="M76">
            <v>117.29074999999999</v>
          </cell>
        </row>
        <row r="77">
          <cell r="G77">
            <v>46905</v>
          </cell>
          <cell r="H77">
            <v>4.7249999999999996</v>
          </cell>
          <cell r="I77">
            <v>6.24</v>
          </cell>
          <cell r="J77">
            <v>0</v>
          </cell>
          <cell r="K77">
            <v>0</v>
          </cell>
          <cell r="L77">
            <v>0</v>
          </cell>
          <cell r="M77">
            <v>10.965</v>
          </cell>
        </row>
        <row r="78">
          <cell r="G78">
            <v>46935</v>
          </cell>
          <cell r="H78">
            <v>0</v>
          </cell>
          <cell r="I78">
            <v>71.5</v>
          </cell>
          <cell r="J78">
            <v>0</v>
          </cell>
          <cell r="K78">
            <v>0</v>
          </cell>
          <cell r="L78">
            <v>0</v>
          </cell>
          <cell r="M78">
            <v>71.5</v>
          </cell>
        </row>
        <row r="79">
          <cell r="G79">
            <v>46966</v>
          </cell>
          <cell r="H79">
            <v>0</v>
          </cell>
          <cell r="I79">
            <v>9.2949999999999999</v>
          </cell>
          <cell r="J79">
            <v>0</v>
          </cell>
          <cell r="K79">
            <v>0</v>
          </cell>
          <cell r="L79">
            <v>0</v>
          </cell>
          <cell r="M79">
            <v>9.2949999999999999</v>
          </cell>
        </row>
        <row r="80">
          <cell r="G80">
            <v>46997</v>
          </cell>
          <cell r="H80">
            <v>66.179749999999984</v>
          </cell>
          <cell r="I80">
            <v>28.275000000000002</v>
          </cell>
          <cell r="J80">
            <v>38.454000000000001</v>
          </cell>
          <cell r="K80">
            <v>5.9160000000000004</v>
          </cell>
          <cell r="L80">
            <v>2.8774999999999999</v>
          </cell>
          <cell r="M80">
            <v>141.70224999999999</v>
          </cell>
        </row>
        <row r="81">
          <cell r="G81">
            <v>47027</v>
          </cell>
          <cell r="H81">
            <v>54.346249999999998</v>
          </cell>
          <cell r="I81">
            <v>121.82625000000002</v>
          </cell>
          <cell r="J81">
            <v>35.802</v>
          </cell>
          <cell r="K81">
            <v>5.508</v>
          </cell>
          <cell r="L81">
            <v>2.8375000000000004</v>
          </cell>
          <cell r="M81">
            <v>220.32000000000002</v>
          </cell>
        </row>
        <row r="82">
          <cell r="G82">
            <v>47058</v>
          </cell>
          <cell r="H82">
            <v>32.348749999999995</v>
          </cell>
          <cell r="I82">
            <v>49.643750000000004</v>
          </cell>
          <cell r="J82">
            <v>0</v>
          </cell>
          <cell r="K82">
            <v>0</v>
          </cell>
          <cell r="L82">
            <v>0</v>
          </cell>
          <cell r="M82">
            <v>81.992500000000007</v>
          </cell>
        </row>
        <row r="83">
          <cell r="G83">
            <v>47088</v>
          </cell>
          <cell r="H83">
            <v>19.914999999999999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19.914999999999999</v>
          </cell>
        </row>
        <row r="84">
          <cell r="G84">
            <v>47119</v>
          </cell>
          <cell r="H84">
            <v>161.20562499999997</v>
          </cell>
          <cell r="I84">
            <v>83.830500000000001</v>
          </cell>
          <cell r="J84">
            <v>42.890999999999998</v>
          </cell>
          <cell r="K84">
            <v>16</v>
          </cell>
          <cell r="L84">
            <v>1.3050000000000002</v>
          </cell>
          <cell r="M84">
            <v>305.232125</v>
          </cell>
        </row>
        <row r="85">
          <cell r="G85">
            <v>47150</v>
          </cell>
          <cell r="H85">
            <v>104.890625</v>
          </cell>
          <cell r="I85">
            <v>117.26</v>
          </cell>
          <cell r="J85">
            <v>5.423</v>
          </cell>
          <cell r="K85">
            <v>6.1400000000000006</v>
          </cell>
          <cell r="L85">
            <v>0.16500000000000001</v>
          </cell>
          <cell r="M85">
            <v>233.87862499999997</v>
          </cell>
        </row>
        <row r="86">
          <cell r="G86">
            <v>47178</v>
          </cell>
          <cell r="H86">
            <v>60.383749999999999</v>
          </cell>
          <cell r="I86">
            <v>19.798999999999999</v>
          </cell>
          <cell r="J86">
            <v>7.0125000000000002</v>
          </cell>
          <cell r="K86">
            <v>3.4849999999999994</v>
          </cell>
          <cell r="L86">
            <v>0</v>
          </cell>
          <cell r="M86">
            <v>90.680250000000001</v>
          </cell>
        </row>
        <row r="87">
          <cell r="G87">
            <v>47209</v>
          </cell>
          <cell r="H87">
            <v>14.992249999999997</v>
          </cell>
          <cell r="I87">
            <v>21.164000000000001</v>
          </cell>
          <cell r="J87">
            <v>9.8175000000000008</v>
          </cell>
          <cell r="K87">
            <v>0.69000000000000006</v>
          </cell>
          <cell r="L87">
            <v>0</v>
          </cell>
          <cell r="M87">
            <v>46.66375</v>
          </cell>
        </row>
        <row r="88">
          <cell r="G88">
            <v>47239</v>
          </cell>
          <cell r="H88">
            <v>0</v>
          </cell>
          <cell r="I88">
            <v>57.2</v>
          </cell>
          <cell r="J88">
            <v>22.95</v>
          </cell>
          <cell r="K88">
            <v>7.9200000000000008</v>
          </cell>
          <cell r="L88">
            <v>0</v>
          </cell>
          <cell r="M88">
            <v>88.070000000000007</v>
          </cell>
        </row>
        <row r="89">
          <cell r="G89">
            <v>47270</v>
          </cell>
          <cell r="H89">
            <v>0</v>
          </cell>
          <cell r="I89">
            <v>17.16</v>
          </cell>
          <cell r="J89">
            <v>14.535</v>
          </cell>
          <cell r="K89">
            <v>5.016</v>
          </cell>
          <cell r="L89">
            <v>0</v>
          </cell>
          <cell r="M89">
            <v>36.710999999999999</v>
          </cell>
        </row>
        <row r="90">
          <cell r="G90">
            <v>47331</v>
          </cell>
          <cell r="H90">
            <v>0.84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0.84</v>
          </cell>
        </row>
        <row r="91">
          <cell r="G91">
            <v>47362</v>
          </cell>
          <cell r="H91">
            <v>29.4</v>
          </cell>
          <cell r="I91">
            <v>0</v>
          </cell>
          <cell r="J91">
            <v>0</v>
          </cell>
          <cell r="K91">
            <v>8.64</v>
          </cell>
          <cell r="L91">
            <v>0</v>
          </cell>
          <cell r="M91">
            <v>38.04</v>
          </cell>
        </row>
        <row r="92">
          <cell r="G92">
            <v>47392</v>
          </cell>
          <cell r="H92">
            <v>78.015000000000001</v>
          </cell>
          <cell r="I92">
            <v>13.731250000000001</v>
          </cell>
          <cell r="J92">
            <v>7.1824999999999992</v>
          </cell>
          <cell r="K92">
            <v>2.052</v>
          </cell>
          <cell r="L92">
            <v>0</v>
          </cell>
          <cell r="M92">
            <v>100.98075000000001</v>
          </cell>
        </row>
        <row r="93">
          <cell r="G93">
            <v>47423</v>
          </cell>
          <cell r="H93">
            <v>24.849999999999998</v>
          </cell>
          <cell r="I93">
            <v>21.125</v>
          </cell>
          <cell r="J93">
            <v>11.049999999999999</v>
          </cell>
          <cell r="K93">
            <v>0</v>
          </cell>
          <cell r="L93">
            <v>0</v>
          </cell>
          <cell r="M93">
            <v>57.024999999999991</v>
          </cell>
        </row>
        <row r="94">
          <cell r="G94">
            <v>47453</v>
          </cell>
          <cell r="H94">
            <v>0.43049999999999999</v>
          </cell>
          <cell r="I94">
            <v>0.63375000000000004</v>
          </cell>
          <cell r="J94">
            <v>0.33150000000000002</v>
          </cell>
          <cell r="K94">
            <v>0</v>
          </cell>
          <cell r="L94">
            <v>0</v>
          </cell>
          <cell r="M94">
            <v>1.39575</v>
          </cell>
        </row>
        <row r="95">
          <cell r="G95">
            <v>47484</v>
          </cell>
          <cell r="H95">
            <v>16.537499999999998</v>
          </cell>
          <cell r="I95">
            <v>139.1</v>
          </cell>
          <cell r="J95">
            <v>1.53</v>
          </cell>
          <cell r="K95">
            <v>0</v>
          </cell>
          <cell r="L95">
            <v>3.75</v>
          </cell>
          <cell r="M95">
            <v>160.91749999999999</v>
          </cell>
        </row>
        <row r="96">
          <cell r="G96">
            <v>47515</v>
          </cell>
          <cell r="H96">
            <v>95.375</v>
          </cell>
          <cell r="I96">
            <v>46.604999999999997</v>
          </cell>
          <cell r="J96">
            <v>0</v>
          </cell>
          <cell r="K96">
            <v>0</v>
          </cell>
          <cell r="L96">
            <v>0.15000000000000002</v>
          </cell>
          <cell r="M96">
            <v>142.13</v>
          </cell>
        </row>
        <row r="97">
          <cell r="G97">
            <v>47543</v>
          </cell>
          <cell r="H97">
            <v>58.516499999999994</v>
          </cell>
          <cell r="I97">
            <v>19.5</v>
          </cell>
          <cell r="J97">
            <v>0</v>
          </cell>
          <cell r="K97">
            <v>7.7</v>
          </cell>
          <cell r="L97">
            <v>0</v>
          </cell>
          <cell r="M97">
            <v>85.716499999999996</v>
          </cell>
        </row>
        <row r="98">
          <cell r="G98">
            <v>47574</v>
          </cell>
          <cell r="H98">
            <v>3.64175</v>
          </cell>
          <cell r="I98">
            <v>10.335000000000001</v>
          </cell>
          <cell r="J98">
            <v>0</v>
          </cell>
          <cell r="K98">
            <v>2.8970000000000002</v>
          </cell>
          <cell r="L98">
            <v>0</v>
          </cell>
          <cell r="M98">
            <v>16.873750000000001</v>
          </cell>
        </row>
        <row r="99">
          <cell r="G99">
            <v>47727</v>
          </cell>
          <cell r="H99">
            <v>40.695374999999999</v>
          </cell>
          <cell r="I99">
            <v>67.989999999999995</v>
          </cell>
          <cell r="J99">
            <v>0</v>
          </cell>
          <cell r="K99">
            <v>0</v>
          </cell>
          <cell r="L99">
            <v>0</v>
          </cell>
          <cell r="M99">
            <v>108.68537499999999</v>
          </cell>
        </row>
        <row r="100">
          <cell r="G100">
            <v>47757</v>
          </cell>
          <cell r="H100">
            <v>110.668775</v>
          </cell>
          <cell r="I100">
            <v>100.70450000000001</v>
          </cell>
          <cell r="J100">
            <v>3.927</v>
          </cell>
          <cell r="K100">
            <v>0</v>
          </cell>
          <cell r="L100">
            <v>0</v>
          </cell>
          <cell r="M100">
            <v>215.300275</v>
          </cell>
        </row>
        <row r="101">
          <cell r="G101">
            <v>47788</v>
          </cell>
          <cell r="H101">
            <v>63.218749999999993</v>
          </cell>
          <cell r="I101">
            <v>11.1111</v>
          </cell>
          <cell r="J101">
            <v>6.825499999999999</v>
          </cell>
          <cell r="K101">
            <v>0</v>
          </cell>
          <cell r="L101">
            <v>0</v>
          </cell>
          <cell r="M101">
            <v>81.155349999999999</v>
          </cell>
        </row>
        <row r="102">
          <cell r="G102">
            <v>47849</v>
          </cell>
          <cell r="H102">
            <v>10.5</v>
          </cell>
          <cell r="I102">
            <v>64.61</v>
          </cell>
          <cell r="J102">
            <v>0</v>
          </cell>
          <cell r="K102">
            <v>0</v>
          </cell>
          <cell r="L102">
            <v>0</v>
          </cell>
          <cell r="M102">
            <v>75.11</v>
          </cell>
        </row>
        <row r="103">
          <cell r="G103">
            <v>47880</v>
          </cell>
          <cell r="H103">
            <v>19.46875</v>
          </cell>
          <cell r="I103">
            <v>91</v>
          </cell>
          <cell r="J103">
            <v>0</v>
          </cell>
          <cell r="K103">
            <v>0</v>
          </cell>
          <cell r="L103">
            <v>0</v>
          </cell>
          <cell r="M103">
            <v>110.46875</v>
          </cell>
        </row>
        <row r="104">
          <cell r="G104">
            <v>47908</v>
          </cell>
          <cell r="H104">
            <v>24.806249999999999</v>
          </cell>
          <cell r="I104">
            <v>64.61</v>
          </cell>
          <cell r="J104">
            <v>0</v>
          </cell>
          <cell r="K104">
            <v>0</v>
          </cell>
          <cell r="L104">
            <v>0</v>
          </cell>
          <cell r="M104">
            <v>89.416249999999991</v>
          </cell>
        </row>
        <row r="105">
          <cell r="G105">
            <v>47939</v>
          </cell>
          <cell r="H105">
            <v>55.158249999999995</v>
          </cell>
          <cell r="I105">
            <v>8.6125000000000007</v>
          </cell>
          <cell r="J105">
            <v>9.4604999999999997</v>
          </cell>
          <cell r="K105">
            <v>0</v>
          </cell>
          <cell r="L105">
            <v>0</v>
          </cell>
          <cell r="M105">
            <v>73.231249999999989</v>
          </cell>
        </row>
        <row r="106">
          <cell r="G106">
            <v>47969</v>
          </cell>
          <cell r="H106">
            <v>39.97</v>
          </cell>
          <cell r="I106">
            <v>16.25</v>
          </cell>
          <cell r="J106">
            <v>17.849999999999998</v>
          </cell>
          <cell r="K106">
            <v>0</v>
          </cell>
          <cell r="L106">
            <v>0</v>
          </cell>
          <cell r="M106">
            <v>74.069999999999993</v>
          </cell>
        </row>
        <row r="107">
          <cell r="G107">
            <v>48000</v>
          </cell>
          <cell r="H107">
            <v>6.3874999999999993</v>
          </cell>
          <cell r="I107">
            <v>8.125</v>
          </cell>
          <cell r="J107">
            <v>8.9249999999999989</v>
          </cell>
          <cell r="K107">
            <v>0</v>
          </cell>
          <cell r="L107">
            <v>0</v>
          </cell>
          <cell r="M107">
            <v>23.4375</v>
          </cell>
        </row>
        <row r="108">
          <cell r="G108">
            <v>48092</v>
          </cell>
          <cell r="H108">
            <v>25.882499999999993</v>
          </cell>
          <cell r="I108">
            <v>13.289250000000001</v>
          </cell>
          <cell r="J108">
            <v>8.1344999999999992</v>
          </cell>
          <cell r="K108">
            <v>0</v>
          </cell>
          <cell r="L108">
            <v>0</v>
          </cell>
          <cell r="M108">
            <v>47.306249999999991</v>
          </cell>
        </row>
        <row r="109">
          <cell r="G109">
            <v>48122</v>
          </cell>
          <cell r="H109">
            <v>8.6274999999999995</v>
          </cell>
          <cell r="I109">
            <v>4.4297500000000003</v>
          </cell>
          <cell r="J109">
            <v>2.7115</v>
          </cell>
          <cell r="K109">
            <v>0</v>
          </cell>
          <cell r="L109">
            <v>0</v>
          </cell>
          <cell r="M109">
            <v>15.768750000000001</v>
          </cell>
        </row>
        <row r="110">
          <cell r="G110">
            <v>48214</v>
          </cell>
          <cell r="H110">
            <v>12.731249999999999</v>
          </cell>
          <cell r="I110">
            <v>18.59975</v>
          </cell>
          <cell r="J110">
            <v>0</v>
          </cell>
          <cell r="K110">
            <v>0</v>
          </cell>
          <cell r="L110">
            <v>0</v>
          </cell>
          <cell r="M110">
            <v>31.331</v>
          </cell>
        </row>
        <row r="111">
          <cell r="G111">
            <v>49980</v>
          </cell>
          <cell r="H111">
            <v>5.7574999999999994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5.7574999999999994</v>
          </cell>
        </row>
      </sheetData>
      <sheetData sheetId="3">
        <row r="1">
          <cell r="H1" t="str">
            <v>CDU Mogas Offline</v>
          </cell>
          <cell r="I1" t="str">
            <v>FCC Mogas Offline</v>
          </cell>
          <cell r="J1" t="str">
            <v>Ref Mogas Offline</v>
          </cell>
          <cell r="K1" t="str">
            <v>Coker Mogas Offline</v>
          </cell>
          <cell r="L1" t="str">
            <v>HDC Mogas Offline</v>
          </cell>
          <cell r="M1" t="str">
            <v>Total Mogas Offline</v>
          </cell>
        </row>
        <row r="2">
          <cell r="G2">
            <v>44562</v>
          </cell>
          <cell r="H2">
            <v>0</v>
          </cell>
          <cell r="I2">
            <v>0.78585000000000005</v>
          </cell>
          <cell r="J2">
            <v>0</v>
          </cell>
          <cell r="K2">
            <v>0.32000000000000006</v>
          </cell>
          <cell r="L2">
            <v>0</v>
          </cell>
          <cell r="M2">
            <v>1.1058500000000002</v>
          </cell>
        </row>
        <row r="3">
          <cell r="G3">
            <v>44593</v>
          </cell>
          <cell r="H3">
            <v>0</v>
          </cell>
          <cell r="I3">
            <v>4.2919499999999999</v>
          </cell>
          <cell r="J3">
            <v>0</v>
          </cell>
          <cell r="K3">
            <v>0</v>
          </cell>
          <cell r="L3">
            <v>0</v>
          </cell>
          <cell r="M3">
            <v>4.2919499999999999</v>
          </cell>
        </row>
        <row r="4">
          <cell r="G4">
            <v>44621</v>
          </cell>
          <cell r="H4">
            <v>10.856999999999999</v>
          </cell>
          <cell r="I4">
            <v>12.792</v>
          </cell>
          <cell r="J4">
            <v>7.3440000000000003</v>
          </cell>
          <cell r="K4">
            <v>0.13</v>
          </cell>
          <cell r="L4">
            <v>3.0625000000000003E-2</v>
          </cell>
          <cell r="M4">
            <v>31.153625000000002</v>
          </cell>
        </row>
        <row r="5">
          <cell r="G5">
            <v>44652</v>
          </cell>
          <cell r="H5">
            <v>15.205749999999998</v>
          </cell>
          <cell r="I5">
            <v>16.919500000000003</v>
          </cell>
          <cell r="J5">
            <v>26.057599999999997</v>
          </cell>
          <cell r="K5">
            <v>1.4000000000000001</v>
          </cell>
          <cell r="L5">
            <v>0.12250000000000001</v>
          </cell>
          <cell r="M5">
            <v>59.705350000000003</v>
          </cell>
        </row>
        <row r="6">
          <cell r="G6">
            <v>44682</v>
          </cell>
          <cell r="H6">
            <v>23.718975</v>
          </cell>
          <cell r="I6">
            <v>30.269199999999998</v>
          </cell>
          <cell r="J6">
            <v>20.37875</v>
          </cell>
          <cell r="K6">
            <v>7.0400000000000009</v>
          </cell>
          <cell r="L6">
            <v>0.12250000000000001</v>
          </cell>
          <cell r="M6">
            <v>81.529425000000003</v>
          </cell>
        </row>
        <row r="7">
          <cell r="G7">
            <v>44713</v>
          </cell>
          <cell r="H7">
            <v>0.58975</v>
          </cell>
          <cell r="I7">
            <v>3.5392500000000005</v>
          </cell>
          <cell r="J7">
            <v>0</v>
          </cell>
          <cell r="K7">
            <v>3.48</v>
          </cell>
          <cell r="L7">
            <v>0</v>
          </cell>
          <cell r="M7">
            <v>7.609</v>
          </cell>
        </row>
        <row r="8">
          <cell r="G8">
            <v>44743</v>
          </cell>
          <cell r="H8">
            <v>2.6424999999999996</v>
          </cell>
          <cell r="I8">
            <v>1.0010000000000001</v>
          </cell>
          <cell r="J8">
            <v>0.46750000000000003</v>
          </cell>
          <cell r="K8">
            <v>0</v>
          </cell>
          <cell r="L8">
            <v>0.49500000000000005</v>
          </cell>
          <cell r="M8">
            <v>4.6059999999999999</v>
          </cell>
        </row>
        <row r="9">
          <cell r="G9">
            <v>44774</v>
          </cell>
          <cell r="H9">
            <v>15.225</v>
          </cell>
          <cell r="I9">
            <v>2.8762500000000002</v>
          </cell>
          <cell r="J9">
            <v>0.85</v>
          </cell>
          <cell r="K9">
            <v>0</v>
          </cell>
          <cell r="L9">
            <v>0.9</v>
          </cell>
          <cell r="M9">
            <v>19.85125</v>
          </cell>
        </row>
        <row r="10">
          <cell r="G10">
            <v>44805</v>
          </cell>
          <cell r="H10">
            <v>11.701375000000001</v>
          </cell>
          <cell r="I10">
            <v>1.8199999999999998</v>
          </cell>
          <cell r="J10">
            <v>3.1288499999999999</v>
          </cell>
          <cell r="K10">
            <v>0</v>
          </cell>
          <cell r="L10">
            <v>0.98249999999999993</v>
          </cell>
          <cell r="M10">
            <v>17.632725000000001</v>
          </cell>
        </row>
        <row r="11">
          <cell r="G11">
            <v>44835</v>
          </cell>
          <cell r="H11">
            <v>10.716125</v>
          </cell>
          <cell r="I11">
            <v>2.4582999999999999</v>
          </cell>
          <cell r="J11">
            <v>1.3480999999999999</v>
          </cell>
          <cell r="K11">
            <v>0.32000000000000006</v>
          </cell>
          <cell r="L11">
            <v>0.4375</v>
          </cell>
          <cell r="M11">
            <v>15.280025</v>
          </cell>
        </row>
        <row r="12">
          <cell r="G12">
            <v>44866</v>
          </cell>
          <cell r="H12">
            <v>9.3047500000000003</v>
          </cell>
          <cell r="I12">
            <v>0.24375000000000002</v>
          </cell>
          <cell r="J12">
            <v>0</v>
          </cell>
          <cell r="K12">
            <v>2</v>
          </cell>
          <cell r="L12">
            <v>0</v>
          </cell>
          <cell r="M12">
            <v>11.548500000000001</v>
          </cell>
        </row>
        <row r="13">
          <cell r="G13">
            <v>44896</v>
          </cell>
          <cell r="H13">
            <v>10.647</v>
          </cell>
          <cell r="I13">
            <v>9.257299999999999</v>
          </cell>
          <cell r="J13">
            <v>6.1455000000000002</v>
          </cell>
          <cell r="K13">
            <v>0.12</v>
          </cell>
          <cell r="L13">
            <v>0</v>
          </cell>
          <cell r="M13">
            <v>26.169799999999999</v>
          </cell>
        </row>
        <row r="14">
          <cell r="G14">
            <v>44927</v>
          </cell>
          <cell r="H14">
            <v>37.898874999999997</v>
          </cell>
          <cell r="I14">
            <v>43.421950000000002</v>
          </cell>
          <cell r="J14">
            <v>21.675000000000001</v>
          </cell>
          <cell r="K14">
            <v>0</v>
          </cell>
          <cell r="L14">
            <v>0</v>
          </cell>
          <cell r="M14">
            <v>102.995825</v>
          </cell>
        </row>
        <row r="15">
          <cell r="G15">
            <v>44958</v>
          </cell>
          <cell r="H15">
            <v>27.660499999999999</v>
          </cell>
          <cell r="I15">
            <v>35.311250000000001</v>
          </cell>
          <cell r="J15">
            <v>21.675000000000001</v>
          </cell>
          <cell r="K15">
            <v>0</v>
          </cell>
          <cell r="L15">
            <v>0</v>
          </cell>
          <cell r="M15">
            <v>84.646749999999997</v>
          </cell>
        </row>
        <row r="16">
          <cell r="G16">
            <v>44986</v>
          </cell>
          <cell r="H16">
            <v>22.613849999999999</v>
          </cell>
          <cell r="I16">
            <v>25.515749999999997</v>
          </cell>
          <cell r="J16">
            <v>25.716749999999998</v>
          </cell>
          <cell r="K16">
            <v>0.39</v>
          </cell>
          <cell r="L16">
            <v>9.7500000000000003E-2</v>
          </cell>
          <cell r="M16">
            <v>74.333849999999998</v>
          </cell>
        </row>
        <row r="17">
          <cell r="G17">
            <v>45017</v>
          </cell>
          <cell r="H17">
            <v>18.805499999999999</v>
          </cell>
          <cell r="I17">
            <v>23.631400000000003</v>
          </cell>
          <cell r="J17">
            <v>27.378499999999999</v>
          </cell>
          <cell r="K17">
            <v>3</v>
          </cell>
          <cell r="L17">
            <v>0.79875000000000007</v>
          </cell>
          <cell r="M17">
            <v>73.614149999999995</v>
          </cell>
        </row>
        <row r="18">
          <cell r="G18">
            <v>45047</v>
          </cell>
          <cell r="H18">
            <v>12.660024999999999</v>
          </cell>
          <cell r="I18">
            <v>19.506500000000003</v>
          </cell>
          <cell r="J18">
            <v>19.635000000000002</v>
          </cell>
          <cell r="K18">
            <v>1.2000000000000002</v>
          </cell>
          <cell r="L18">
            <v>0.55500000000000005</v>
          </cell>
          <cell r="M18">
            <v>53.556525000000001</v>
          </cell>
        </row>
        <row r="19">
          <cell r="G19">
            <v>45078</v>
          </cell>
          <cell r="H19">
            <v>4.2349999999999994</v>
          </cell>
          <cell r="I19">
            <v>4.6523750000000001</v>
          </cell>
          <cell r="J19">
            <v>1.87</v>
          </cell>
          <cell r="K19">
            <v>0</v>
          </cell>
          <cell r="L19">
            <v>0</v>
          </cell>
          <cell r="M19">
            <v>10.757375</v>
          </cell>
        </row>
        <row r="20">
          <cell r="G20">
            <v>45108</v>
          </cell>
          <cell r="H20">
            <v>3.2549999999999999</v>
          </cell>
          <cell r="I20">
            <v>1.6055000000000001</v>
          </cell>
          <cell r="J20">
            <v>1.2112499999999999</v>
          </cell>
          <cell r="K20">
            <v>0</v>
          </cell>
          <cell r="L20">
            <v>0</v>
          </cell>
          <cell r="M20">
            <v>6.0717499999999998</v>
          </cell>
        </row>
        <row r="21">
          <cell r="G21">
            <v>45139</v>
          </cell>
          <cell r="H21">
            <v>4.375</v>
          </cell>
          <cell r="I21">
            <v>8.4500000000000011</v>
          </cell>
          <cell r="J21">
            <v>6.375</v>
          </cell>
          <cell r="K21">
            <v>0</v>
          </cell>
          <cell r="L21">
            <v>0</v>
          </cell>
          <cell r="M21">
            <v>19.200000000000003</v>
          </cell>
        </row>
        <row r="22">
          <cell r="G22">
            <v>45200</v>
          </cell>
          <cell r="H22">
            <v>0.17254999999999998</v>
          </cell>
          <cell r="I22">
            <v>0</v>
          </cell>
          <cell r="J22">
            <v>0.73949999999999994</v>
          </cell>
          <cell r="K22">
            <v>0</v>
          </cell>
          <cell r="L22">
            <v>0</v>
          </cell>
          <cell r="M22">
            <v>0.91204999999999992</v>
          </cell>
        </row>
        <row r="23">
          <cell r="G23">
            <v>45231</v>
          </cell>
          <cell r="H23">
            <v>0</v>
          </cell>
          <cell r="I23">
            <v>2.6909999999999998</v>
          </cell>
          <cell r="J23">
            <v>0.50574999999999992</v>
          </cell>
          <cell r="K23">
            <v>0</v>
          </cell>
          <cell r="L23">
            <v>0</v>
          </cell>
          <cell r="M23">
            <v>3.1967499999999998</v>
          </cell>
        </row>
        <row r="24">
          <cell r="G24">
            <v>45261</v>
          </cell>
          <cell r="H24">
            <v>9.2942499999999999</v>
          </cell>
          <cell r="I24">
            <v>8.8295999999999992</v>
          </cell>
          <cell r="J24">
            <v>2.4990000000000001</v>
          </cell>
          <cell r="K24">
            <v>0</v>
          </cell>
          <cell r="L24">
            <v>0</v>
          </cell>
          <cell r="M24">
            <v>20.622849999999996</v>
          </cell>
        </row>
        <row r="25">
          <cell r="G25">
            <v>45292</v>
          </cell>
          <cell r="H25">
            <v>9.0201999999999991</v>
          </cell>
          <cell r="I25">
            <v>1.5041</v>
          </cell>
          <cell r="J25">
            <v>1.768</v>
          </cell>
          <cell r="K25">
            <v>0</v>
          </cell>
          <cell r="L25">
            <v>0</v>
          </cell>
          <cell r="M25">
            <v>12.292299999999999</v>
          </cell>
        </row>
        <row r="26">
          <cell r="G26">
            <v>45323</v>
          </cell>
          <cell r="H26">
            <v>21.908950000000001</v>
          </cell>
          <cell r="I26">
            <v>12.7166</v>
          </cell>
          <cell r="J26">
            <v>12.189</v>
          </cell>
          <cell r="K26">
            <v>2.4800000000000004</v>
          </cell>
          <cell r="L26">
            <v>0</v>
          </cell>
          <cell r="M26">
            <v>49.294550000000001</v>
          </cell>
        </row>
        <row r="27">
          <cell r="G27">
            <v>45352</v>
          </cell>
          <cell r="H27">
            <v>19.757849999999998</v>
          </cell>
          <cell r="I27">
            <v>17.174950000000003</v>
          </cell>
          <cell r="J27">
            <v>16.32</v>
          </cell>
          <cell r="K27">
            <v>2.84</v>
          </cell>
          <cell r="L27">
            <v>0.33750000000000002</v>
          </cell>
          <cell r="M27">
            <v>56.430299999999995</v>
          </cell>
        </row>
        <row r="28">
          <cell r="G28">
            <v>45383</v>
          </cell>
          <cell r="H28">
            <v>17.201274999999999</v>
          </cell>
          <cell r="I28">
            <v>0.17550000000000002</v>
          </cell>
          <cell r="J28">
            <v>6.1752499999999992</v>
          </cell>
          <cell r="K28">
            <v>0.86</v>
          </cell>
          <cell r="L28">
            <v>7.5000000000000011E-2</v>
          </cell>
          <cell r="M28">
            <v>24.487024999999996</v>
          </cell>
        </row>
        <row r="29">
          <cell r="G29">
            <v>45413</v>
          </cell>
          <cell r="H29">
            <v>3.4800499999999999</v>
          </cell>
          <cell r="I29">
            <v>0.69225000000000003</v>
          </cell>
          <cell r="J29">
            <v>0.99449999999999994</v>
          </cell>
          <cell r="K29">
            <v>0</v>
          </cell>
          <cell r="L29">
            <v>0.35250000000000004</v>
          </cell>
          <cell r="M29">
            <v>5.5193000000000003</v>
          </cell>
        </row>
        <row r="30">
          <cell r="G30">
            <v>45444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</row>
        <row r="31">
          <cell r="G31">
            <v>45474</v>
          </cell>
          <cell r="H31">
            <v>0.69825000000000004</v>
          </cell>
          <cell r="I31">
            <v>4.9763999999999999</v>
          </cell>
          <cell r="J31">
            <v>0</v>
          </cell>
          <cell r="K31">
            <v>0</v>
          </cell>
          <cell r="L31">
            <v>0</v>
          </cell>
          <cell r="M31">
            <v>5.6746499999999997</v>
          </cell>
        </row>
        <row r="32">
          <cell r="G32">
            <v>45505</v>
          </cell>
          <cell r="H32">
            <v>0</v>
          </cell>
          <cell r="I32">
            <v>12.918360000000002</v>
          </cell>
          <cell r="J32">
            <v>0</v>
          </cell>
          <cell r="K32">
            <v>0</v>
          </cell>
          <cell r="L32">
            <v>0</v>
          </cell>
          <cell r="M32">
            <v>12.918360000000002</v>
          </cell>
        </row>
        <row r="33">
          <cell r="G33">
            <v>45536</v>
          </cell>
          <cell r="H33">
            <v>10.1829</v>
          </cell>
          <cell r="I33">
            <v>1.0920000000000001</v>
          </cell>
          <cell r="J33">
            <v>0.748</v>
          </cell>
          <cell r="K33">
            <v>2.9760000000000004</v>
          </cell>
          <cell r="L33">
            <v>0.1525</v>
          </cell>
          <cell r="M33">
            <v>15.151400000000001</v>
          </cell>
        </row>
        <row r="34">
          <cell r="G34">
            <v>45566</v>
          </cell>
          <cell r="H34">
            <v>3.871</v>
          </cell>
          <cell r="I34">
            <v>4.6936499999999999</v>
          </cell>
          <cell r="J34">
            <v>1.2597</v>
          </cell>
          <cell r="K34">
            <v>0.7360000000000001</v>
          </cell>
          <cell r="L34">
            <v>1.4999999999999999E-2</v>
          </cell>
          <cell r="M34">
            <v>10.575350000000002</v>
          </cell>
        </row>
        <row r="35">
          <cell r="G35">
            <v>45597</v>
          </cell>
          <cell r="H35">
            <v>0</v>
          </cell>
          <cell r="I35">
            <v>0.7702500000000001</v>
          </cell>
          <cell r="J35">
            <v>0</v>
          </cell>
          <cell r="K35">
            <v>0.60000000000000009</v>
          </cell>
          <cell r="L35">
            <v>0</v>
          </cell>
          <cell r="M35">
            <v>1.3702500000000002</v>
          </cell>
        </row>
        <row r="36">
          <cell r="G36">
            <v>45627</v>
          </cell>
          <cell r="H36">
            <v>1.0919999999999999</v>
          </cell>
          <cell r="I36">
            <v>10.467599999999999</v>
          </cell>
          <cell r="J36">
            <v>0.4335</v>
          </cell>
          <cell r="K36">
            <v>2.4156</v>
          </cell>
          <cell r="L36">
            <v>0</v>
          </cell>
          <cell r="M36">
            <v>14.4087</v>
          </cell>
        </row>
        <row r="37">
          <cell r="G37">
            <v>45658</v>
          </cell>
          <cell r="H37">
            <v>7.0944999999999991</v>
          </cell>
          <cell r="I37">
            <v>0</v>
          </cell>
          <cell r="J37">
            <v>0</v>
          </cell>
          <cell r="K37">
            <v>1.64</v>
          </cell>
          <cell r="L37">
            <v>0</v>
          </cell>
          <cell r="M37">
            <v>8.7344999999999988</v>
          </cell>
        </row>
        <row r="38">
          <cell r="G38">
            <v>45689</v>
          </cell>
          <cell r="H38">
            <v>2.6127499999999997</v>
          </cell>
          <cell r="I38">
            <v>2.1807500000000002</v>
          </cell>
          <cell r="J38">
            <v>1.6592</v>
          </cell>
          <cell r="K38">
            <v>1.5744</v>
          </cell>
          <cell r="L38">
            <v>5.2500000000000005E-2</v>
          </cell>
          <cell r="M38">
            <v>8.079600000000001</v>
          </cell>
        </row>
        <row r="39">
          <cell r="G39">
            <v>45717</v>
          </cell>
          <cell r="H39">
            <v>6.5992499999999996</v>
          </cell>
          <cell r="I39">
            <v>3.5750000000000002</v>
          </cell>
          <cell r="J39">
            <v>2.72</v>
          </cell>
          <cell r="K39">
            <v>0.16400000000000001</v>
          </cell>
          <cell r="L39">
            <v>7.5000000000000011E-2</v>
          </cell>
          <cell r="M39">
            <v>13.13325</v>
          </cell>
        </row>
        <row r="40">
          <cell r="G40">
            <v>45748</v>
          </cell>
          <cell r="H40">
            <v>3.9619999999999997</v>
          </cell>
          <cell r="I40">
            <v>25.775750000000002</v>
          </cell>
          <cell r="J40">
            <v>9.4137499999999985</v>
          </cell>
          <cell r="K40">
            <v>0.34</v>
          </cell>
          <cell r="L40">
            <v>0</v>
          </cell>
          <cell r="M40">
            <v>39.491500000000002</v>
          </cell>
        </row>
        <row r="41">
          <cell r="G41">
            <v>45778</v>
          </cell>
          <cell r="H41">
            <v>1.1714499999999999</v>
          </cell>
          <cell r="I41">
            <v>18.703749999999999</v>
          </cell>
          <cell r="J41">
            <v>8.7090999999999994</v>
          </cell>
          <cell r="K41">
            <v>0.96</v>
          </cell>
          <cell r="L41">
            <v>0</v>
          </cell>
          <cell r="M41">
            <v>29.5443</v>
          </cell>
        </row>
        <row r="42">
          <cell r="G42">
            <v>45809</v>
          </cell>
          <cell r="H42">
            <v>0.34125</v>
          </cell>
          <cell r="I42">
            <v>2.9776499999999997</v>
          </cell>
          <cell r="J42">
            <v>0</v>
          </cell>
          <cell r="K42">
            <v>0.26</v>
          </cell>
          <cell r="L42">
            <v>0</v>
          </cell>
          <cell r="M42">
            <v>3.5789</v>
          </cell>
        </row>
        <row r="43">
          <cell r="G43">
            <v>45839</v>
          </cell>
          <cell r="H43">
            <v>11.306925</v>
          </cell>
          <cell r="I43">
            <v>12.049049999999999</v>
          </cell>
          <cell r="J43">
            <v>0</v>
          </cell>
          <cell r="K43">
            <v>0.5</v>
          </cell>
          <cell r="L43">
            <v>0</v>
          </cell>
          <cell r="M43">
            <v>23.855975000000001</v>
          </cell>
        </row>
        <row r="44">
          <cell r="G44">
            <v>45870</v>
          </cell>
          <cell r="H44">
            <v>0</v>
          </cell>
          <cell r="I44">
            <v>2.4569999999999999</v>
          </cell>
          <cell r="J44">
            <v>0</v>
          </cell>
          <cell r="K44">
            <v>0.2</v>
          </cell>
          <cell r="L44">
            <v>0</v>
          </cell>
          <cell r="M44">
            <v>2.657</v>
          </cell>
        </row>
        <row r="45">
          <cell r="G45">
            <v>45901</v>
          </cell>
          <cell r="H45">
            <v>0</v>
          </cell>
          <cell r="I45">
            <v>1.1700000000000002</v>
          </cell>
          <cell r="J45">
            <v>0</v>
          </cell>
          <cell r="K45">
            <v>0.54</v>
          </cell>
          <cell r="L45">
            <v>0</v>
          </cell>
          <cell r="M45">
            <v>1.7100000000000002</v>
          </cell>
        </row>
        <row r="46">
          <cell r="G46">
            <v>45931</v>
          </cell>
          <cell r="H46">
            <v>0.99575000000000002</v>
          </cell>
          <cell r="I46">
            <v>13.02275</v>
          </cell>
          <cell r="J46">
            <v>5.9754999999999994</v>
          </cell>
          <cell r="K46">
            <v>0.2</v>
          </cell>
          <cell r="L46">
            <v>0.24</v>
          </cell>
          <cell r="M46">
            <v>20.433999999999997</v>
          </cell>
        </row>
        <row r="47">
          <cell r="G47">
            <v>45962</v>
          </cell>
          <cell r="H47">
            <v>0.60375000000000001</v>
          </cell>
          <cell r="I47">
            <v>2.6909999999999998</v>
          </cell>
          <cell r="J47">
            <v>1.8360000000000001</v>
          </cell>
          <cell r="K47">
            <v>0</v>
          </cell>
          <cell r="L47">
            <v>0</v>
          </cell>
          <cell r="M47">
            <v>5.1307499999999999</v>
          </cell>
        </row>
        <row r="48">
          <cell r="G48">
            <v>45992</v>
          </cell>
          <cell r="H48">
            <v>0.6048</v>
          </cell>
          <cell r="I48">
            <v>1.74915</v>
          </cell>
          <cell r="J48">
            <v>0.93924999999999992</v>
          </cell>
          <cell r="K48">
            <v>0</v>
          </cell>
          <cell r="L48">
            <v>0</v>
          </cell>
          <cell r="M48">
            <v>3.2932000000000001</v>
          </cell>
        </row>
        <row r="49">
          <cell r="G49">
            <v>46054</v>
          </cell>
          <cell r="H49">
            <v>1.4533749999999999</v>
          </cell>
          <cell r="I49">
            <v>5.9052500000000006</v>
          </cell>
          <cell r="J49">
            <v>0</v>
          </cell>
          <cell r="K49">
            <v>0</v>
          </cell>
          <cell r="L49">
            <v>0</v>
          </cell>
          <cell r="M49">
            <v>7.358625</v>
          </cell>
        </row>
        <row r="50">
          <cell r="G50">
            <v>46082</v>
          </cell>
          <cell r="H50">
            <v>3.4481999999999999</v>
          </cell>
          <cell r="I50">
            <v>16.056950000000001</v>
          </cell>
          <cell r="J50">
            <v>6.8</v>
          </cell>
          <cell r="K50">
            <v>0.12</v>
          </cell>
          <cell r="L50">
            <v>0.39</v>
          </cell>
          <cell r="M50">
            <v>26.815150000000003</v>
          </cell>
        </row>
        <row r="51">
          <cell r="G51">
            <v>46113</v>
          </cell>
          <cell r="H51">
            <v>16.134999999999998</v>
          </cell>
          <cell r="I51">
            <v>40.825200000000002</v>
          </cell>
          <cell r="J51">
            <v>7.5650000000000004</v>
          </cell>
          <cell r="K51">
            <v>0.4</v>
          </cell>
          <cell r="L51">
            <v>0.75</v>
          </cell>
          <cell r="M51">
            <v>65.675200000000004</v>
          </cell>
        </row>
        <row r="52">
          <cell r="G52">
            <v>46143</v>
          </cell>
          <cell r="H52">
            <v>5.9801000000000002</v>
          </cell>
          <cell r="I52">
            <v>21.866</v>
          </cell>
          <cell r="J52">
            <v>3.9439999999999995</v>
          </cell>
          <cell r="K52">
            <v>0</v>
          </cell>
          <cell r="L52">
            <v>9.7500000000000003E-2</v>
          </cell>
          <cell r="M52">
            <v>31.887599999999999</v>
          </cell>
        </row>
        <row r="53">
          <cell r="G53">
            <v>46174</v>
          </cell>
          <cell r="H53">
            <v>0</v>
          </cell>
          <cell r="I53">
            <v>2.9250000000000003</v>
          </cell>
          <cell r="J53">
            <v>0</v>
          </cell>
          <cell r="K53">
            <v>0</v>
          </cell>
          <cell r="L53">
            <v>0</v>
          </cell>
          <cell r="M53">
            <v>2.9250000000000003</v>
          </cell>
        </row>
        <row r="54">
          <cell r="G54">
            <v>46296</v>
          </cell>
          <cell r="H54">
            <v>1.2521249999999999</v>
          </cell>
          <cell r="I54">
            <v>0</v>
          </cell>
          <cell r="J54">
            <v>1.9889999999999999</v>
          </cell>
          <cell r="K54">
            <v>0</v>
          </cell>
          <cell r="L54">
            <v>0.1125</v>
          </cell>
          <cell r="M54">
            <v>3.3536249999999996</v>
          </cell>
        </row>
        <row r="55">
          <cell r="G55">
            <v>46419</v>
          </cell>
          <cell r="H55">
            <v>10.751999999999999</v>
          </cell>
          <cell r="I55">
            <v>16.473600000000001</v>
          </cell>
          <cell r="J55">
            <v>9.7919999999999998</v>
          </cell>
          <cell r="K55">
            <v>0</v>
          </cell>
          <cell r="L55">
            <v>0</v>
          </cell>
          <cell r="M55">
            <v>37.017600000000002</v>
          </cell>
        </row>
        <row r="56">
          <cell r="G56">
            <v>46447</v>
          </cell>
          <cell r="H56">
            <v>19.340999999999998</v>
          </cell>
          <cell r="I56">
            <v>28.988050000000001</v>
          </cell>
          <cell r="J56">
            <v>23.157399999999999</v>
          </cell>
          <cell r="K56">
            <v>0</v>
          </cell>
          <cell r="L56">
            <v>0</v>
          </cell>
          <cell r="M56">
            <v>71.486449999999991</v>
          </cell>
        </row>
        <row r="57">
          <cell r="G57">
            <v>46478</v>
          </cell>
          <cell r="H57">
            <v>13.53975</v>
          </cell>
          <cell r="I57">
            <v>17.046250000000001</v>
          </cell>
          <cell r="J57">
            <v>16.103249999999996</v>
          </cell>
          <cell r="K57">
            <v>2.3359999999999999</v>
          </cell>
          <cell r="L57">
            <v>0</v>
          </cell>
          <cell r="M57">
            <v>49.025249999999993</v>
          </cell>
        </row>
        <row r="58">
          <cell r="G58">
            <v>46508</v>
          </cell>
          <cell r="H58">
            <v>11.524100000000001</v>
          </cell>
          <cell r="I58">
            <v>15.145000000000001</v>
          </cell>
          <cell r="J58">
            <v>17.3978</v>
          </cell>
          <cell r="K58">
            <v>2.3679999999999999</v>
          </cell>
          <cell r="L58">
            <v>0</v>
          </cell>
          <cell r="M58">
            <v>46.434900000000006</v>
          </cell>
        </row>
        <row r="59">
          <cell r="G59">
            <v>46539</v>
          </cell>
          <cell r="H59">
            <v>0</v>
          </cell>
          <cell r="I59">
            <v>0.16575000000000001</v>
          </cell>
          <cell r="J59">
            <v>0.255</v>
          </cell>
          <cell r="K59">
            <v>0</v>
          </cell>
          <cell r="L59">
            <v>0</v>
          </cell>
          <cell r="M59">
            <v>0.42075000000000001</v>
          </cell>
        </row>
        <row r="60">
          <cell r="G60">
            <v>46631</v>
          </cell>
          <cell r="H60">
            <v>3.6312499999999996</v>
          </cell>
          <cell r="I60">
            <v>1.5105999999999999</v>
          </cell>
          <cell r="J60">
            <v>0.7054999999999999</v>
          </cell>
          <cell r="K60">
            <v>0</v>
          </cell>
          <cell r="L60">
            <v>0.747</v>
          </cell>
          <cell r="M60">
            <v>6.5943499999999995</v>
          </cell>
        </row>
        <row r="61">
          <cell r="G61">
            <v>46661</v>
          </cell>
          <cell r="H61">
            <v>2.3677499999999996</v>
          </cell>
          <cell r="I61">
            <v>0.87360000000000004</v>
          </cell>
          <cell r="J61">
            <v>1.5555000000000001</v>
          </cell>
          <cell r="K61">
            <v>0</v>
          </cell>
          <cell r="L61">
            <v>0.67700000000000005</v>
          </cell>
          <cell r="M61">
            <v>5.4738500000000005</v>
          </cell>
        </row>
        <row r="62">
          <cell r="G62">
            <v>46692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0.23765000000000003</v>
          </cell>
          <cell r="M62">
            <v>0.23765000000000003</v>
          </cell>
        </row>
        <row r="63">
          <cell r="G63">
            <v>46813</v>
          </cell>
          <cell r="H63">
            <v>14.717499999999998</v>
          </cell>
          <cell r="I63">
            <v>17.2913</v>
          </cell>
          <cell r="J63">
            <v>7.99</v>
          </cell>
          <cell r="K63">
            <v>0</v>
          </cell>
          <cell r="L63">
            <v>0</v>
          </cell>
          <cell r="M63">
            <v>39.998799999999996</v>
          </cell>
        </row>
        <row r="64">
          <cell r="G64">
            <v>46844</v>
          </cell>
          <cell r="H64">
            <v>21.896000000000001</v>
          </cell>
          <cell r="I64">
            <v>21.501999999999999</v>
          </cell>
          <cell r="J64">
            <v>18.007250000000003</v>
          </cell>
          <cell r="K64">
            <v>4.6139999999999999</v>
          </cell>
          <cell r="L64">
            <v>1.7212499999999999</v>
          </cell>
          <cell r="M64">
            <v>67.740499999999997</v>
          </cell>
        </row>
        <row r="65">
          <cell r="G65">
            <v>46874</v>
          </cell>
          <cell r="H65">
            <v>13.872249999999999</v>
          </cell>
          <cell r="I65">
            <v>10.894000000000002</v>
          </cell>
          <cell r="J65">
            <v>8.5254999999999992</v>
          </cell>
          <cell r="K65">
            <v>2.4580000000000002</v>
          </cell>
          <cell r="L65">
            <v>0.67799999999999994</v>
          </cell>
          <cell r="M65">
            <v>36.427749999999996</v>
          </cell>
        </row>
        <row r="66">
          <cell r="G66">
            <v>46966</v>
          </cell>
          <cell r="H66">
            <v>0</v>
          </cell>
          <cell r="I66">
            <v>0</v>
          </cell>
          <cell r="J66">
            <v>0</v>
          </cell>
          <cell r="K66">
            <v>1.42</v>
          </cell>
          <cell r="L66">
            <v>0</v>
          </cell>
          <cell r="M66">
            <v>1.42</v>
          </cell>
        </row>
        <row r="67">
          <cell r="G67">
            <v>46997</v>
          </cell>
          <cell r="H67">
            <v>0</v>
          </cell>
          <cell r="I67">
            <v>0</v>
          </cell>
          <cell r="J67">
            <v>0</v>
          </cell>
          <cell r="K67">
            <v>2</v>
          </cell>
          <cell r="L67">
            <v>0</v>
          </cell>
          <cell r="M67">
            <v>2</v>
          </cell>
        </row>
        <row r="68">
          <cell r="G68">
            <v>47027</v>
          </cell>
          <cell r="H68">
            <v>0.98437499999999989</v>
          </cell>
          <cell r="I68">
            <v>0</v>
          </cell>
          <cell r="J68">
            <v>0.84150000000000003</v>
          </cell>
          <cell r="K68">
            <v>0.52</v>
          </cell>
          <cell r="L68">
            <v>0.1125</v>
          </cell>
          <cell r="M68">
            <v>2.4583749999999998</v>
          </cell>
        </row>
        <row r="69">
          <cell r="G69">
            <v>47178</v>
          </cell>
          <cell r="H69">
            <v>4.9594999999999994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4.9594999999999994</v>
          </cell>
        </row>
        <row r="70">
          <cell r="G70">
            <v>47209</v>
          </cell>
          <cell r="H70">
            <v>6.0086249999999994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6.0086249999999994</v>
          </cell>
        </row>
        <row r="71">
          <cell r="G71">
            <v>47880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</row>
        <row r="72">
          <cell r="G72">
            <v>47908</v>
          </cell>
          <cell r="H72">
            <v>4.2437499999999995</v>
          </cell>
          <cell r="I72">
            <v>8.1965000000000003</v>
          </cell>
          <cell r="J72">
            <v>6.1837499999999999</v>
          </cell>
          <cell r="K72">
            <v>0</v>
          </cell>
          <cell r="L72">
            <v>0</v>
          </cell>
          <cell r="M72">
            <v>18.623999999999999</v>
          </cell>
        </row>
        <row r="73">
          <cell r="G73">
            <v>47939</v>
          </cell>
          <cell r="H73">
            <v>0.13124999999999998</v>
          </cell>
          <cell r="I73">
            <v>1.8915000000000002</v>
          </cell>
          <cell r="J73">
            <v>0.19125</v>
          </cell>
          <cell r="K73">
            <v>0</v>
          </cell>
          <cell r="L73">
            <v>0</v>
          </cell>
          <cell r="M73">
            <v>2.2140000000000004</v>
          </cell>
        </row>
        <row r="74">
          <cell r="G74">
            <v>47969</v>
          </cell>
          <cell r="H74">
            <v>0</v>
          </cell>
          <cell r="I74">
            <v>0.76439999999999997</v>
          </cell>
          <cell r="J74">
            <v>0</v>
          </cell>
          <cell r="K74">
            <v>0</v>
          </cell>
          <cell r="L74">
            <v>0</v>
          </cell>
          <cell r="M74">
            <v>0.76439999999999997</v>
          </cell>
        </row>
        <row r="75">
          <cell r="G75">
            <v>48122</v>
          </cell>
          <cell r="H75">
            <v>4.1124999999999998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4.1124999999999998</v>
          </cell>
        </row>
        <row r="76">
          <cell r="G76">
            <v>48153</v>
          </cell>
          <cell r="H76">
            <v>1.6187499999999999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1.6187499999999999</v>
          </cell>
        </row>
        <row r="77">
          <cell r="G77">
            <v>48458</v>
          </cell>
          <cell r="H77">
            <v>0</v>
          </cell>
          <cell r="I77">
            <v>1.6926000000000001</v>
          </cell>
          <cell r="J77">
            <v>0</v>
          </cell>
          <cell r="K77">
            <v>0</v>
          </cell>
          <cell r="L77">
            <v>0</v>
          </cell>
          <cell r="M77">
            <v>1.6926000000000001</v>
          </cell>
        </row>
        <row r="78">
          <cell r="G78">
            <v>48488</v>
          </cell>
          <cell r="H78">
            <v>0</v>
          </cell>
          <cell r="I78">
            <v>0.7098000000000001</v>
          </cell>
          <cell r="J78">
            <v>0</v>
          </cell>
          <cell r="K78">
            <v>0</v>
          </cell>
          <cell r="L78">
            <v>0</v>
          </cell>
          <cell r="M78">
            <v>0.7098000000000001</v>
          </cell>
        </row>
        <row r="79">
          <cell r="G79">
            <v>50192</v>
          </cell>
          <cell r="H79">
            <v>6.2842499999999992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6.2842499999999992</v>
          </cell>
        </row>
      </sheetData>
      <sheetData sheetId="4">
        <row r="1">
          <cell r="H1" t="str">
            <v>CDU Mogas Offline</v>
          </cell>
          <cell r="I1" t="str">
            <v>FCC Mogas Offline</v>
          </cell>
          <cell r="J1" t="str">
            <v>Ref Mogas Offline</v>
          </cell>
          <cell r="K1" t="str">
            <v>Coker Mogas Offline</v>
          </cell>
          <cell r="L1" t="str">
            <v>HDC Mogas Offline</v>
          </cell>
          <cell r="M1" t="str">
            <v>Total Mogas Offline</v>
          </cell>
        </row>
        <row r="2">
          <cell r="G2">
            <v>44562</v>
          </cell>
          <cell r="H2">
            <v>39.150999999999996</v>
          </cell>
          <cell r="I2">
            <v>37.453000000000003</v>
          </cell>
          <cell r="J2">
            <v>75.718000000000004</v>
          </cell>
          <cell r="K2">
            <v>10.588000000000001</v>
          </cell>
          <cell r="L2">
            <v>0.70599999999999996</v>
          </cell>
          <cell r="M2">
            <v>163.61599999999999</v>
          </cell>
        </row>
        <row r="3">
          <cell r="G3">
            <v>44593</v>
          </cell>
          <cell r="H3">
            <v>46.305700000000002</v>
          </cell>
          <cell r="I3">
            <v>38.285000000000004</v>
          </cell>
          <cell r="J3">
            <v>37.383000000000003</v>
          </cell>
          <cell r="K3">
            <v>10.958000000000002</v>
          </cell>
          <cell r="L3">
            <v>2.2410000000000001</v>
          </cell>
          <cell r="M3">
            <v>135.17270000000002</v>
          </cell>
        </row>
        <row r="4">
          <cell r="G4">
            <v>44621</v>
          </cell>
          <cell r="H4">
            <v>12.310374999999999</v>
          </cell>
          <cell r="I4">
            <v>94.003</v>
          </cell>
          <cell r="J4">
            <v>12.715999999999999</v>
          </cell>
          <cell r="K4">
            <v>0.89760000000000018</v>
          </cell>
          <cell r="L4">
            <v>2.2240500000000001</v>
          </cell>
          <cell r="M4">
            <v>122.15102499999999</v>
          </cell>
        </row>
        <row r="5">
          <cell r="G5">
            <v>44652</v>
          </cell>
          <cell r="H5">
            <v>58.851624999999999</v>
          </cell>
          <cell r="I5">
            <v>72.721999999999994</v>
          </cell>
          <cell r="J5">
            <v>48.199249999999999</v>
          </cell>
          <cell r="K5">
            <v>4.0456000000000003</v>
          </cell>
          <cell r="L5">
            <v>2.0518000000000001</v>
          </cell>
          <cell r="M5">
            <v>185.87027499999999</v>
          </cell>
        </row>
        <row r="6">
          <cell r="G6">
            <v>44682</v>
          </cell>
          <cell r="H6">
            <v>66.906350000000003</v>
          </cell>
          <cell r="I6">
            <v>43.29</v>
          </cell>
          <cell r="J6">
            <v>26.622</v>
          </cell>
          <cell r="K6">
            <v>0</v>
          </cell>
          <cell r="L6">
            <v>1.5155000000000003</v>
          </cell>
          <cell r="M6">
            <v>138.33385000000001</v>
          </cell>
        </row>
        <row r="7">
          <cell r="G7">
            <v>44713</v>
          </cell>
          <cell r="H7">
            <v>47.083750000000002</v>
          </cell>
          <cell r="I7">
            <v>39</v>
          </cell>
          <cell r="J7">
            <v>73.393249999999995</v>
          </cell>
          <cell r="K7">
            <v>3.6799999999999997</v>
          </cell>
          <cell r="L7">
            <v>2.3130000000000002</v>
          </cell>
          <cell r="M7">
            <v>165.47</v>
          </cell>
        </row>
        <row r="8">
          <cell r="G8">
            <v>44743</v>
          </cell>
          <cell r="H8">
            <v>46.746874999999996</v>
          </cell>
          <cell r="I8">
            <v>16.574999999999999</v>
          </cell>
          <cell r="J8">
            <v>135.9915</v>
          </cell>
          <cell r="K8">
            <v>3.1660000000000004</v>
          </cell>
          <cell r="L8">
            <v>3.54</v>
          </cell>
          <cell r="M8">
            <v>206.019375</v>
          </cell>
        </row>
        <row r="9">
          <cell r="G9">
            <v>44774</v>
          </cell>
          <cell r="H9">
            <v>2.52</v>
          </cell>
          <cell r="I9">
            <v>0</v>
          </cell>
          <cell r="J9">
            <v>62.797999999999995</v>
          </cell>
          <cell r="K9">
            <v>0.84000000000000008</v>
          </cell>
          <cell r="L9">
            <v>1.1925000000000001</v>
          </cell>
          <cell r="M9">
            <v>67.350499999999997</v>
          </cell>
        </row>
        <row r="10">
          <cell r="G10">
            <v>44805</v>
          </cell>
          <cell r="H10">
            <v>29.704499999999999</v>
          </cell>
          <cell r="I10">
            <v>18.8825</v>
          </cell>
          <cell r="J10">
            <v>36.647749999999995</v>
          </cell>
          <cell r="K10">
            <v>5.694</v>
          </cell>
          <cell r="L10">
            <v>0.74250000000000005</v>
          </cell>
          <cell r="M10">
            <v>91.671250000000001</v>
          </cell>
        </row>
        <row r="11">
          <cell r="G11">
            <v>44835</v>
          </cell>
          <cell r="H11">
            <v>45.443999999999996</v>
          </cell>
          <cell r="I11">
            <v>29.835000000000001</v>
          </cell>
          <cell r="J11">
            <v>23.3155</v>
          </cell>
          <cell r="K11">
            <v>17.582400000000003</v>
          </cell>
          <cell r="L11">
            <v>1.9200000000000002E-2</v>
          </cell>
          <cell r="M11">
            <v>116.1961</v>
          </cell>
        </row>
        <row r="12">
          <cell r="G12">
            <v>44866</v>
          </cell>
          <cell r="H12">
            <v>6.3017499999999993</v>
          </cell>
          <cell r="I12">
            <v>4.6800000000000006</v>
          </cell>
          <cell r="J12">
            <v>35.020000000000003</v>
          </cell>
          <cell r="K12">
            <v>7.6140000000000008</v>
          </cell>
          <cell r="L12">
            <v>0</v>
          </cell>
          <cell r="M12">
            <v>53.615750000000006</v>
          </cell>
        </row>
        <row r="13">
          <cell r="G13">
            <v>44896</v>
          </cell>
          <cell r="H13">
            <v>11.94375</v>
          </cell>
          <cell r="I13">
            <v>0</v>
          </cell>
          <cell r="J13">
            <v>0</v>
          </cell>
          <cell r="K13">
            <v>1.9320000000000002</v>
          </cell>
          <cell r="L13">
            <v>0.35750000000000004</v>
          </cell>
          <cell r="M13">
            <v>14.23325</v>
          </cell>
        </row>
        <row r="14">
          <cell r="G14">
            <v>44927</v>
          </cell>
          <cell r="H14">
            <v>25.973500000000001</v>
          </cell>
          <cell r="I14">
            <v>44.362500000000004</v>
          </cell>
          <cell r="J14">
            <v>29.758499999999998</v>
          </cell>
          <cell r="K14">
            <v>22.704000000000004</v>
          </cell>
          <cell r="L14">
            <v>3.6305000000000001</v>
          </cell>
          <cell r="M14">
            <v>126.42900000000002</v>
          </cell>
        </row>
        <row r="15">
          <cell r="G15">
            <v>44958</v>
          </cell>
          <cell r="H15">
            <v>61.772374999999997</v>
          </cell>
          <cell r="I15">
            <v>121.47199999999999</v>
          </cell>
          <cell r="J15">
            <v>48.415999999999997</v>
          </cell>
          <cell r="K15">
            <v>17.315000000000001</v>
          </cell>
          <cell r="L15">
            <v>7.760250000000001</v>
          </cell>
          <cell r="M15">
            <v>256.73562499999997</v>
          </cell>
        </row>
        <row r="16">
          <cell r="G16">
            <v>44986</v>
          </cell>
          <cell r="H16">
            <v>34.998249999999999</v>
          </cell>
          <cell r="I16">
            <v>84.935500000000019</v>
          </cell>
          <cell r="J16">
            <v>17.760750000000002</v>
          </cell>
          <cell r="K16">
            <v>7.1289999999999996</v>
          </cell>
          <cell r="L16">
            <v>3.0760000000000005</v>
          </cell>
          <cell r="M16">
            <v>147.89949999999999</v>
          </cell>
        </row>
        <row r="17">
          <cell r="G17">
            <v>45017</v>
          </cell>
          <cell r="H17">
            <v>44.478874999999995</v>
          </cell>
          <cell r="I17">
            <v>38.024999999999999</v>
          </cell>
          <cell r="J17">
            <v>82.433000000000007</v>
          </cell>
          <cell r="K17">
            <v>3.3239999999999998</v>
          </cell>
          <cell r="L17">
            <v>5.7932500000000005</v>
          </cell>
          <cell r="M17">
            <v>174.054125</v>
          </cell>
        </row>
        <row r="18">
          <cell r="G18">
            <v>45047</v>
          </cell>
          <cell r="H18">
            <v>20.157374999999998</v>
          </cell>
          <cell r="I18">
            <v>21.553999999999998</v>
          </cell>
          <cell r="J18">
            <v>72.4285</v>
          </cell>
          <cell r="K18">
            <v>0</v>
          </cell>
          <cell r="L18">
            <v>4.4157000000000002</v>
          </cell>
          <cell r="M18">
            <v>118.55557499999999</v>
          </cell>
        </row>
        <row r="19">
          <cell r="G19">
            <v>45078</v>
          </cell>
          <cell r="H19">
            <v>1.6943499999999996</v>
          </cell>
          <cell r="I19">
            <v>0</v>
          </cell>
          <cell r="J19">
            <v>4.3536999999999999</v>
          </cell>
          <cell r="K19">
            <v>2.4207999999999998</v>
          </cell>
          <cell r="L19">
            <v>6.2560000000000004E-2</v>
          </cell>
          <cell r="M19">
            <v>8.5314099999999993</v>
          </cell>
        </row>
        <row r="20">
          <cell r="G20">
            <v>45108</v>
          </cell>
          <cell r="H20">
            <v>1.9319999999999997</v>
          </cell>
          <cell r="I20">
            <v>2.3920000000000003</v>
          </cell>
          <cell r="J20">
            <v>15.408799999999999</v>
          </cell>
          <cell r="K20">
            <v>1.5860000000000001</v>
          </cell>
          <cell r="L20">
            <v>1.7874200000000002</v>
          </cell>
          <cell r="M20">
            <v>23.106219999999997</v>
          </cell>
        </row>
        <row r="21">
          <cell r="G21">
            <v>45139</v>
          </cell>
          <cell r="H21">
            <v>0.45149999999999996</v>
          </cell>
          <cell r="I21">
            <v>6.6690000000000005</v>
          </cell>
          <cell r="J21">
            <v>34.798999999999999</v>
          </cell>
          <cell r="K21">
            <v>5.2420000000000009</v>
          </cell>
          <cell r="L21">
            <v>0.28599999999999998</v>
          </cell>
          <cell r="M21">
            <v>47.447500000000005</v>
          </cell>
        </row>
        <row r="22">
          <cell r="G22">
            <v>45170</v>
          </cell>
          <cell r="H22">
            <v>2.6249999999999999E-2</v>
          </cell>
          <cell r="I22">
            <v>21.076249999999998</v>
          </cell>
          <cell r="J22">
            <v>1.6575</v>
          </cell>
          <cell r="K22">
            <v>1.958</v>
          </cell>
          <cell r="L22">
            <v>0.24</v>
          </cell>
          <cell r="M22">
            <v>24.957999999999995</v>
          </cell>
        </row>
        <row r="23">
          <cell r="G23">
            <v>45200</v>
          </cell>
          <cell r="H23">
            <v>37.893625</v>
          </cell>
          <cell r="I23">
            <v>65</v>
          </cell>
          <cell r="J23">
            <v>16.936249999999998</v>
          </cell>
          <cell r="K23">
            <v>30.886000000000003</v>
          </cell>
          <cell r="L23">
            <v>2.3359999999999999</v>
          </cell>
          <cell r="M23">
            <v>153.05187500000002</v>
          </cell>
        </row>
        <row r="24">
          <cell r="G24">
            <v>45231</v>
          </cell>
          <cell r="H24">
            <v>28.325500000000002</v>
          </cell>
          <cell r="I24">
            <v>70.2</v>
          </cell>
          <cell r="J24">
            <v>99.713499999999996</v>
          </cell>
          <cell r="K24">
            <v>11.554000000000002</v>
          </cell>
          <cell r="L24">
            <v>1.83</v>
          </cell>
          <cell r="M24">
            <v>211.62300000000002</v>
          </cell>
        </row>
        <row r="25">
          <cell r="G25">
            <v>45261</v>
          </cell>
          <cell r="H25">
            <v>8.5715000000000003</v>
          </cell>
          <cell r="I25">
            <v>34.138000000000005</v>
          </cell>
          <cell r="J25">
            <v>14.811249999999999</v>
          </cell>
          <cell r="K25">
            <v>1.3440000000000001</v>
          </cell>
          <cell r="L25">
            <v>1.5015000000000001</v>
          </cell>
          <cell r="M25">
            <v>60.366250000000008</v>
          </cell>
        </row>
        <row r="26">
          <cell r="G26">
            <v>45292</v>
          </cell>
          <cell r="H26">
            <v>31.762499999999999</v>
          </cell>
          <cell r="I26">
            <v>21.97</v>
          </cell>
          <cell r="J26">
            <v>63.452500000000001</v>
          </cell>
          <cell r="K26">
            <v>7.71</v>
          </cell>
          <cell r="L26">
            <v>2.718</v>
          </cell>
          <cell r="M26">
            <v>127.613</v>
          </cell>
        </row>
        <row r="27">
          <cell r="G27">
            <v>45323</v>
          </cell>
          <cell r="H27">
            <v>35.984375</v>
          </cell>
          <cell r="I27">
            <v>83.869500000000002</v>
          </cell>
          <cell r="J27">
            <v>125.16674999999999</v>
          </cell>
          <cell r="K27">
            <v>25.997600000000002</v>
          </cell>
          <cell r="L27">
            <v>5.6067500000000008</v>
          </cell>
          <cell r="M27">
            <v>276.62497499999995</v>
          </cell>
        </row>
        <row r="28">
          <cell r="G28">
            <v>45352</v>
          </cell>
          <cell r="H28">
            <v>1.988</v>
          </cell>
          <cell r="I28">
            <v>98.696000000000012</v>
          </cell>
          <cell r="J28">
            <v>36.805</v>
          </cell>
          <cell r="K28">
            <v>14.587400000000001</v>
          </cell>
          <cell r="L28">
            <v>3.4512500000000004</v>
          </cell>
          <cell r="M28">
            <v>155.52764999999999</v>
          </cell>
        </row>
        <row r="29">
          <cell r="G29">
            <v>45383</v>
          </cell>
          <cell r="H29">
            <v>42.640499999999996</v>
          </cell>
          <cell r="I29">
            <v>49.741250000000008</v>
          </cell>
          <cell r="J29">
            <v>36.823700000000002</v>
          </cell>
          <cell r="K29">
            <v>5.5220000000000002</v>
          </cell>
          <cell r="L29">
            <v>1.15625</v>
          </cell>
          <cell r="M29">
            <v>135.8837</v>
          </cell>
        </row>
        <row r="30">
          <cell r="G30">
            <v>45413</v>
          </cell>
          <cell r="H30">
            <v>33.428499999999993</v>
          </cell>
          <cell r="I30">
            <v>53.95</v>
          </cell>
          <cell r="J30">
            <v>21.44125</v>
          </cell>
          <cell r="K30">
            <v>3.3600000000000003</v>
          </cell>
          <cell r="L30">
            <v>2.2990000000000004</v>
          </cell>
          <cell r="M30">
            <v>114.47875000000001</v>
          </cell>
        </row>
        <row r="31">
          <cell r="G31">
            <v>45444</v>
          </cell>
          <cell r="H31">
            <v>13.6465</v>
          </cell>
          <cell r="I31">
            <v>120.83500000000001</v>
          </cell>
          <cell r="J31">
            <v>48.457650000000001</v>
          </cell>
          <cell r="K31">
            <v>7.652000000000001</v>
          </cell>
          <cell r="L31">
            <v>2.0460000000000003</v>
          </cell>
          <cell r="M31">
            <v>192.63715000000002</v>
          </cell>
        </row>
        <row r="32">
          <cell r="G32">
            <v>45474</v>
          </cell>
          <cell r="H32">
            <v>0</v>
          </cell>
          <cell r="I32">
            <v>10.933</v>
          </cell>
          <cell r="J32">
            <v>8.16</v>
          </cell>
          <cell r="K32">
            <v>1.3540000000000001</v>
          </cell>
          <cell r="L32">
            <v>0</v>
          </cell>
          <cell r="M32">
            <v>20.446999999999999</v>
          </cell>
        </row>
        <row r="33">
          <cell r="G33">
            <v>45505</v>
          </cell>
          <cell r="H33">
            <v>0</v>
          </cell>
          <cell r="I33">
            <v>59.751249999999999</v>
          </cell>
          <cell r="J33">
            <v>1.2749999999999999</v>
          </cell>
          <cell r="K33">
            <v>0.18000000000000002</v>
          </cell>
          <cell r="L33">
            <v>0.92200000000000015</v>
          </cell>
          <cell r="M33">
            <v>62.128249999999994</v>
          </cell>
        </row>
        <row r="34">
          <cell r="G34">
            <v>45536</v>
          </cell>
          <cell r="H34">
            <v>0.81374999999999997</v>
          </cell>
          <cell r="I34">
            <v>160.24775</v>
          </cell>
          <cell r="J34">
            <v>45.356000000000002</v>
          </cell>
          <cell r="K34">
            <v>0.31200000000000006</v>
          </cell>
          <cell r="L34">
            <v>1.6785000000000001</v>
          </cell>
          <cell r="M34">
            <v>208.40800000000002</v>
          </cell>
        </row>
        <row r="35">
          <cell r="G35">
            <v>45566</v>
          </cell>
          <cell r="H35">
            <v>0</v>
          </cell>
          <cell r="I35">
            <v>87.330750000000009</v>
          </cell>
          <cell r="J35">
            <v>55.352000000000004</v>
          </cell>
          <cell r="K35">
            <v>1.7570000000000001</v>
          </cell>
          <cell r="L35">
            <v>2.25</v>
          </cell>
          <cell r="M35">
            <v>146.68975</v>
          </cell>
        </row>
        <row r="36">
          <cell r="G36">
            <v>45597</v>
          </cell>
          <cell r="H36">
            <v>0</v>
          </cell>
          <cell r="I36">
            <v>4.2250000000000005</v>
          </cell>
          <cell r="J36">
            <v>39.253</v>
          </cell>
          <cell r="K36">
            <v>4.1700000000000008</v>
          </cell>
          <cell r="L36">
            <v>1.7794999999999999</v>
          </cell>
          <cell r="M36">
            <v>49.427500000000002</v>
          </cell>
        </row>
        <row r="37">
          <cell r="G37">
            <v>45627</v>
          </cell>
          <cell r="H37">
            <v>3.5699999999999994</v>
          </cell>
          <cell r="I37">
            <v>0</v>
          </cell>
          <cell r="J37">
            <v>20.5275</v>
          </cell>
          <cell r="K37">
            <v>3.9933000000000001</v>
          </cell>
          <cell r="L37">
            <v>2.8625000000000003</v>
          </cell>
          <cell r="M37">
            <v>30.953300000000002</v>
          </cell>
        </row>
        <row r="38">
          <cell r="G38">
            <v>45658</v>
          </cell>
          <cell r="H38">
            <v>14.085749999999997</v>
          </cell>
          <cell r="I38">
            <v>56.641000000000005</v>
          </cell>
          <cell r="J38">
            <v>20.051500000000001</v>
          </cell>
          <cell r="K38">
            <v>6.9958</v>
          </cell>
          <cell r="L38">
            <v>0.84050000000000014</v>
          </cell>
          <cell r="M38">
            <v>98.614550000000023</v>
          </cell>
        </row>
        <row r="39">
          <cell r="G39">
            <v>45689</v>
          </cell>
          <cell r="H39">
            <v>33.110175000000005</v>
          </cell>
          <cell r="I39">
            <v>39.662999999999997</v>
          </cell>
          <cell r="J39">
            <v>40.451500000000003</v>
          </cell>
          <cell r="K39">
            <v>12.741400000000002</v>
          </cell>
          <cell r="L39">
            <v>5.6095000000000006</v>
          </cell>
          <cell r="M39">
            <v>131.57557500000001</v>
          </cell>
        </row>
        <row r="40">
          <cell r="G40">
            <v>45717</v>
          </cell>
          <cell r="H40">
            <v>67.738299999999995</v>
          </cell>
          <cell r="I40">
            <v>62.893999999999998</v>
          </cell>
          <cell r="J40">
            <v>70.094399999999993</v>
          </cell>
          <cell r="K40">
            <v>16.747600000000002</v>
          </cell>
          <cell r="L40">
            <v>5.2245000000000008</v>
          </cell>
          <cell r="M40">
            <v>222.69880000000001</v>
          </cell>
        </row>
        <row r="41">
          <cell r="G41">
            <v>45748</v>
          </cell>
          <cell r="H41">
            <v>94.736249999999998</v>
          </cell>
          <cell r="I41">
            <v>137.80000000000001</v>
          </cell>
          <cell r="J41">
            <v>103.92949999999999</v>
          </cell>
          <cell r="K41">
            <v>23.456000000000003</v>
          </cell>
          <cell r="L41">
            <v>4.1310000000000002</v>
          </cell>
          <cell r="M41">
            <v>364.05274999999995</v>
          </cell>
        </row>
        <row r="42">
          <cell r="G42">
            <v>45778</v>
          </cell>
          <cell r="H42">
            <v>61.704999999999998</v>
          </cell>
          <cell r="I42">
            <v>108.95950000000001</v>
          </cell>
          <cell r="J42">
            <v>32.953990000000005</v>
          </cell>
          <cell r="K42">
            <v>16.08192</v>
          </cell>
          <cell r="L42">
            <v>2.5590000000000002</v>
          </cell>
          <cell r="M42">
            <v>222.25941</v>
          </cell>
        </row>
        <row r="43">
          <cell r="G43">
            <v>45809</v>
          </cell>
          <cell r="H43">
            <v>35.909999999999997</v>
          </cell>
          <cell r="I43">
            <v>77.285000000000011</v>
          </cell>
          <cell r="J43">
            <v>12.3505</v>
          </cell>
          <cell r="K43">
            <v>17.644000000000002</v>
          </cell>
          <cell r="L43">
            <v>2.5500000000000003</v>
          </cell>
          <cell r="M43">
            <v>145.73950000000002</v>
          </cell>
        </row>
        <row r="44">
          <cell r="G44">
            <v>45839</v>
          </cell>
          <cell r="H44">
            <v>10.368749999999999</v>
          </cell>
          <cell r="I44">
            <v>45.5</v>
          </cell>
          <cell r="J44">
            <v>8.7805</v>
          </cell>
          <cell r="K44">
            <v>6.9054000000000002</v>
          </cell>
          <cell r="L44">
            <v>2.1</v>
          </cell>
          <cell r="M44">
            <v>73.65464999999999</v>
          </cell>
        </row>
        <row r="45">
          <cell r="G45">
            <v>45870</v>
          </cell>
          <cell r="H45">
            <v>10.368749999999999</v>
          </cell>
          <cell r="I45">
            <v>45.5</v>
          </cell>
          <cell r="J45">
            <v>13.965499999999999</v>
          </cell>
          <cell r="K45">
            <v>4.7750000000000004</v>
          </cell>
          <cell r="L45">
            <v>2.3730000000000002</v>
          </cell>
          <cell r="M45">
            <v>76.982250000000008</v>
          </cell>
        </row>
        <row r="46">
          <cell r="G46">
            <v>45901</v>
          </cell>
          <cell r="H46">
            <v>9.7562499999999996</v>
          </cell>
          <cell r="I46">
            <v>59.02</v>
          </cell>
          <cell r="J46">
            <v>13.123999999999999</v>
          </cell>
          <cell r="K46">
            <v>3.6942000000000004</v>
          </cell>
          <cell r="L46">
            <v>2.2469999999999999</v>
          </cell>
          <cell r="M46">
            <v>87.841449999999995</v>
          </cell>
        </row>
        <row r="47">
          <cell r="G47">
            <v>45931</v>
          </cell>
          <cell r="H47">
            <v>43.993249999999996</v>
          </cell>
          <cell r="I47">
            <v>127.27325</v>
          </cell>
          <cell r="J47">
            <v>114.6905</v>
          </cell>
          <cell r="K47">
            <v>14.875999999999999</v>
          </cell>
          <cell r="L47">
            <v>2.5140000000000002</v>
          </cell>
          <cell r="M47">
            <v>303.34699999999998</v>
          </cell>
        </row>
        <row r="48">
          <cell r="G48">
            <v>45962</v>
          </cell>
          <cell r="H48">
            <v>30.743124999999996</v>
          </cell>
          <cell r="I48">
            <v>155.428</v>
          </cell>
          <cell r="J48">
            <v>68.025499999999994</v>
          </cell>
          <cell r="K48">
            <v>5.1459999999999999</v>
          </cell>
          <cell r="L48">
            <v>2.2600000000000002</v>
          </cell>
          <cell r="M48">
            <v>261.60262499999999</v>
          </cell>
        </row>
        <row r="49">
          <cell r="G49">
            <v>45992</v>
          </cell>
          <cell r="H49">
            <v>30.756249999999998</v>
          </cell>
          <cell r="I49">
            <v>45.5</v>
          </cell>
          <cell r="J49">
            <v>12.478</v>
          </cell>
          <cell r="K49">
            <v>6.2740000000000009</v>
          </cell>
          <cell r="L49">
            <v>2.375</v>
          </cell>
          <cell r="M49">
            <v>97.38324999999999</v>
          </cell>
        </row>
        <row r="50">
          <cell r="G50">
            <v>46023</v>
          </cell>
          <cell r="H50">
            <v>10.5</v>
          </cell>
          <cell r="I50">
            <v>49.555999999999997</v>
          </cell>
          <cell r="J50">
            <v>26.689999999999998</v>
          </cell>
          <cell r="K50">
            <v>3.8340000000000005</v>
          </cell>
          <cell r="L50">
            <v>7.1999999999999995E-2</v>
          </cell>
          <cell r="M50">
            <v>90.652000000000001</v>
          </cell>
        </row>
        <row r="51">
          <cell r="G51">
            <v>46054</v>
          </cell>
          <cell r="H51">
            <v>19.272399999999998</v>
          </cell>
          <cell r="I51">
            <v>45.5</v>
          </cell>
          <cell r="J51">
            <v>58.884599999999992</v>
          </cell>
          <cell r="K51">
            <v>6.7745000000000006</v>
          </cell>
          <cell r="L51">
            <v>8.4000000000000005E-2</v>
          </cell>
          <cell r="M51">
            <v>130.5155</v>
          </cell>
        </row>
        <row r="52">
          <cell r="G52">
            <v>46082</v>
          </cell>
          <cell r="H52">
            <v>18.19125</v>
          </cell>
          <cell r="I52">
            <v>45.5</v>
          </cell>
          <cell r="J52">
            <v>15.878</v>
          </cell>
          <cell r="K52">
            <v>11.3705</v>
          </cell>
          <cell r="L52">
            <v>0</v>
          </cell>
          <cell r="M52">
            <v>90.939750000000004</v>
          </cell>
        </row>
        <row r="53">
          <cell r="G53">
            <v>46113</v>
          </cell>
          <cell r="H53">
            <v>57.826124999999998</v>
          </cell>
          <cell r="I53">
            <v>104.325</v>
          </cell>
          <cell r="J53">
            <v>33.073500000000003</v>
          </cell>
          <cell r="K53">
            <v>2.5162000000000004</v>
          </cell>
          <cell r="L53">
            <v>2.3625000000000003</v>
          </cell>
          <cell r="M53">
            <v>200.10332500000001</v>
          </cell>
        </row>
        <row r="54">
          <cell r="G54">
            <v>46143</v>
          </cell>
          <cell r="H54">
            <v>32.283999999999999</v>
          </cell>
          <cell r="I54">
            <v>37.732500000000002</v>
          </cell>
          <cell r="J54">
            <v>22.916</v>
          </cell>
          <cell r="K54">
            <v>0</v>
          </cell>
          <cell r="L54">
            <v>1.5810000000000002</v>
          </cell>
          <cell r="M54">
            <v>94.513500000000008</v>
          </cell>
        </row>
        <row r="55">
          <cell r="G55">
            <v>46174</v>
          </cell>
          <cell r="H55">
            <v>14.542499999999999</v>
          </cell>
          <cell r="I55">
            <v>0</v>
          </cell>
          <cell r="J55">
            <v>5.5249999999999995</v>
          </cell>
          <cell r="K55">
            <v>0</v>
          </cell>
          <cell r="L55">
            <v>0.32500000000000001</v>
          </cell>
          <cell r="M55">
            <v>20.392499999999998</v>
          </cell>
        </row>
        <row r="56">
          <cell r="G56">
            <v>46204</v>
          </cell>
          <cell r="H56">
            <v>14.122499999999999</v>
          </cell>
          <cell r="I56">
            <v>0</v>
          </cell>
          <cell r="J56">
            <v>5.3040000000000003</v>
          </cell>
          <cell r="K56">
            <v>0</v>
          </cell>
          <cell r="L56">
            <v>0.31200000000000006</v>
          </cell>
          <cell r="M56">
            <v>19.738499999999998</v>
          </cell>
        </row>
        <row r="57">
          <cell r="G57">
            <v>46235</v>
          </cell>
          <cell r="H57">
            <v>0</v>
          </cell>
          <cell r="I57">
            <v>0</v>
          </cell>
          <cell r="J57">
            <v>3.2597499999999999</v>
          </cell>
          <cell r="K57">
            <v>0</v>
          </cell>
          <cell r="L57">
            <v>0.27300000000000002</v>
          </cell>
          <cell r="M57">
            <v>3.5327500000000001</v>
          </cell>
        </row>
        <row r="58">
          <cell r="G58">
            <v>46266</v>
          </cell>
          <cell r="H58">
            <v>0</v>
          </cell>
          <cell r="I58">
            <v>0</v>
          </cell>
          <cell r="J58">
            <v>25.074999999999999</v>
          </cell>
          <cell r="K58">
            <v>0</v>
          </cell>
          <cell r="L58">
            <v>2.1</v>
          </cell>
          <cell r="M58">
            <v>27.175000000000001</v>
          </cell>
        </row>
        <row r="59">
          <cell r="G59">
            <v>46296</v>
          </cell>
          <cell r="H59">
            <v>0</v>
          </cell>
          <cell r="I59">
            <v>38.480000000000004</v>
          </cell>
          <cell r="J59">
            <v>21.526249999999997</v>
          </cell>
          <cell r="K59">
            <v>5.2380000000000004</v>
          </cell>
          <cell r="L59">
            <v>2.5750000000000002</v>
          </cell>
          <cell r="M59">
            <v>67.819250000000011</v>
          </cell>
        </row>
        <row r="60">
          <cell r="G60">
            <v>46327</v>
          </cell>
          <cell r="H60">
            <v>0</v>
          </cell>
          <cell r="I60">
            <v>52</v>
          </cell>
          <cell r="J60">
            <v>5.9924999999999997</v>
          </cell>
          <cell r="K60">
            <v>0.91800000000000004</v>
          </cell>
          <cell r="L60">
            <v>0.86480000000000001</v>
          </cell>
          <cell r="M60">
            <v>59.775300000000001</v>
          </cell>
        </row>
        <row r="61">
          <cell r="G61">
            <v>46357</v>
          </cell>
          <cell r="H61">
            <v>0</v>
          </cell>
          <cell r="I61">
            <v>3.12</v>
          </cell>
          <cell r="J61">
            <v>0</v>
          </cell>
          <cell r="K61">
            <v>0</v>
          </cell>
          <cell r="L61">
            <v>0</v>
          </cell>
          <cell r="M61">
            <v>3.12</v>
          </cell>
        </row>
        <row r="62">
          <cell r="G62">
            <v>46388</v>
          </cell>
          <cell r="H62">
            <v>27.046250000000001</v>
          </cell>
          <cell r="I62">
            <v>0</v>
          </cell>
          <cell r="J62">
            <v>19.826250000000002</v>
          </cell>
          <cell r="K62">
            <v>12.771000000000001</v>
          </cell>
          <cell r="L62">
            <v>2.6815000000000002</v>
          </cell>
          <cell r="M62">
            <v>62.325000000000003</v>
          </cell>
        </row>
        <row r="63">
          <cell r="G63">
            <v>46419</v>
          </cell>
          <cell r="H63">
            <v>34.798399999999994</v>
          </cell>
          <cell r="I63">
            <v>0</v>
          </cell>
          <cell r="J63">
            <v>27.54</v>
          </cell>
          <cell r="K63">
            <v>9.484</v>
          </cell>
          <cell r="L63">
            <v>2.7235</v>
          </cell>
          <cell r="M63">
            <v>74.545899999999989</v>
          </cell>
        </row>
        <row r="64">
          <cell r="G64">
            <v>46447</v>
          </cell>
          <cell r="H64">
            <v>26.153749999999995</v>
          </cell>
          <cell r="I64">
            <v>0</v>
          </cell>
          <cell r="J64">
            <v>4.7642500000000005</v>
          </cell>
          <cell r="K64">
            <v>0.79420000000000002</v>
          </cell>
          <cell r="L64">
            <v>0.39900000000000002</v>
          </cell>
          <cell r="M64">
            <v>32.111199999999997</v>
          </cell>
        </row>
        <row r="65">
          <cell r="G65">
            <v>46478</v>
          </cell>
          <cell r="H65">
            <v>0.80587500000000001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0.80587500000000001</v>
          </cell>
        </row>
        <row r="66">
          <cell r="G66">
            <v>46508</v>
          </cell>
          <cell r="H66">
            <v>8.3719999999999981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8.3719999999999981</v>
          </cell>
        </row>
        <row r="67">
          <cell r="G67">
            <v>46539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</row>
        <row r="68">
          <cell r="G68">
            <v>46569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</row>
        <row r="69">
          <cell r="G69">
            <v>46600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</row>
        <row r="70">
          <cell r="G70">
            <v>46631</v>
          </cell>
          <cell r="H70">
            <v>8.2249999999999996</v>
          </cell>
          <cell r="I70">
            <v>10.692500000000001</v>
          </cell>
          <cell r="J70">
            <v>23.391999999999999</v>
          </cell>
          <cell r="K70">
            <v>0</v>
          </cell>
          <cell r="L70">
            <v>0</v>
          </cell>
          <cell r="M70">
            <v>42.3095</v>
          </cell>
        </row>
        <row r="71">
          <cell r="G71">
            <v>46661</v>
          </cell>
          <cell r="H71">
            <v>58.239999999999995</v>
          </cell>
          <cell r="I71">
            <v>22.75</v>
          </cell>
          <cell r="J71">
            <v>14.110000000000001</v>
          </cell>
          <cell r="K71">
            <v>0</v>
          </cell>
          <cell r="L71">
            <v>0</v>
          </cell>
          <cell r="M71">
            <v>95.1</v>
          </cell>
        </row>
        <row r="72">
          <cell r="G72">
            <v>46692</v>
          </cell>
          <cell r="H72">
            <v>5.7749999999999995</v>
          </cell>
          <cell r="I72">
            <v>7.5075000000000003</v>
          </cell>
          <cell r="J72">
            <v>4.4880000000000004</v>
          </cell>
          <cell r="K72">
            <v>0</v>
          </cell>
          <cell r="L72">
            <v>0</v>
          </cell>
          <cell r="M72">
            <v>17.770499999999998</v>
          </cell>
        </row>
        <row r="73">
          <cell r="G73">
            <v>46722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</row>
        <row r="74">
          <cell r="G74">
            <v>46753</v>
          </cell>
          <cell r="H74">
            <v>6.089999999999999</v>
          </cell>
          <cell r="I74">
            <v>38.171250000000001</v>
          </cell>
          <cell r="J74">
            <v>0</v>
          </cell>
          <cell r="K74">
            <v>2.2040000000000002</v>
          </cell>
          <cell r="L74">
            <v>0</v>
          </cell>
          <cell r="M74">
            <v>46.465249999999997</v>
          </cell>
        </row>
        <row r="75">
          <cell r="G75">
            <v>46784</v>
          </cell>
          <cell r="H75">
            <v>7.6408499999999995</v>
          </cell>
          <cell r="I75">
            <v>105.625</v>
          </cell>
          <cell r="J75">
            <v>0</v>
          </cell>
          <cell r="K75">
            <v>2.2420000000000004</v>
          </cell>
          <cell r="L75">
            <v>0</v>
          </cell>
          <cell r="M75">
            <v>115.50785</v>
          </cell>
        </row>
        <row r="76">
          <cell r="G76">
            <v>46813</v>
          </cell>
          <cell r="H76">
            <v>12.704999999999998</v>
          </cell>
          <cell r="I76">
            <v>42.818750000000001</v>
          </cell>
          <cell r="J76">
            <v>11.360250000000001</v>
          </cell>
          <cell r="K76">
            <v>0</v>
          </cell>
          <cell r="L76">
            <v>0</v>
          </cell>
          <cell r="M76">
            <v>66.884</v>
          </cell>
        </row>
        <row r="77">
          <cell r="G77">
            <v>46844</v>
          </cell>
          <cell r="H77">
            <v>35.063000000000002</v>
          </cell>
          <cell r="I77">
            <v>59.436</v>
          </cell>
          <cell r="J77">
            <v>19.209150000000001</v>
          </cell>
          <cell r="K77">
            <v>3.1040000000000001</v>
          </cell>
          <cell r="L77">
            <v>0</v>
          </cell>
          <cell r="M77">
            <v>116.81214999999999</v>
          </cell>
        </row>
        <row r="78">
          <cell r="G78">
            <v>46874</v>
          </cell>
          <cell r="H78">
            <v>0.42</v>
          </cell>
          <cell r="I78">
            <v>1.0530000000000002</v>
          </cell>
          <cell r="J78">
            <v>0</v>
          </cell>
          <cell r="K78">
            <v>9.6000000000000002E-2</v>
          </cell>
          <cell r="L78">
            <v>0</v>
          </cell>
          <cell r="M78">
            <v>1.5690000000000002</v>
          </cell>
        </row>
        <row r="79">
          <cell r="G79">
            <v>46905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</row>
        <row r="80">
          <cell r="G80">
            <v>46935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</row>
        <row r="81">
          <cell r="G81">
            <v>46966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</row>
        <row r="82">
          <cell r="G82">
            <v>46997</v>
          </cell>
          <cell r="H82">
            <v>3.8482499999999993</v>
          </cell>
          <cell r="I82">
            <v>34.450000000000003</v>
          </cell>
          <cell r="J82">
            <v>3.5997500000000002</v>
          </cell>
          <cell r="K82">
            <v>0</v>
          </cell>
          <cell r="L82">
            <v>0</v>
          </cell>
          <cell r="M82">
            <v>41.898000000000003</v>
          </cell>
        </row>
        <row r="83">
          <cell r="G83">
            <v>47027</v>
          </cell>
          <cell r="H83">
            <v>1.35975</v>
          </cell>
          <cell r="I83">
            <v>42.25</v>
          </cell>
          <cell r="J83">
            <v>1.0752499999999998</v>
          </cell>
          <cell r="K83">
            <v>0</v>
          </cell>
          <cell r="L83">
            <v>0</v>
          </cell>
          <cell r="M83">
            <v>44.684999999999995</v>
          </cell>
        </row>
        <row r="84">
          <cell r="G84">
            <v>47058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</row>
        <row r="85">
          <cell r="G85">
            <v>47088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</row>
        <row r="86">
          <cell r="G86">
            <v>47119</v>
          </cell>
          <cell r="H86">
            <v>0</v>
          </cell>
          <cell r="I86">
            <v>0</v>
          </cell>
          <cell r="J86">
            <v>33.15</v>
          </cell>
          <cell r="K86">
            <v>0</v>
          </cell>
          <cell r="L86">
            <v>0</v>
          </cell>
          <cell r="M86">
            <v>33.15</v>
          </cell>
        </row>
        <row r="87">
          <cell r="G87">
            <v>47150</v>
          </cell>
          <cell r="H87">
            <v>1.5308999999999997</v>
          </cell>
          <cell r="I87">
            <v>0</v>
          </cell>
          <cell r="J87">
            <v>51</v>
          </cell>
          <cell r="K87">
            <v>0</v>
          </cell>
          <cell r="L87">
            <v>0</v>
          </cell>
          <cell r="M87">
            <v>52.530900000000003</v>
          </cell>
        </row>
        <row r="88">
          <cell r="G88">
            <v>47178</v>
          </cell>
          <cell r="H88">
            <v>0</v>
          </cell>
          <cell r="I88">
            <v>0</v>
          </cell>
          <cell r="J88">
            <v>5.0999999999999996</v>
          </cell>
          <cell r="K88">
            <v>0</v>
          </cell>
          <cell r="L88">
            <v>0</v>
          </cell>
          <cell r="M88">
            <v>5.0999999999999996</v>
          </cell>
        </row>
        <row r="89">
          <cell r="G89">
            <v>47209</v>
          </cell>
          <cell r="H89">
            <v>22.925874999999998</v>
          </cell>
          <cell r="I89">
            <v>45.981000000000009</v>
          </cell>
          <cell r="J89">
            <v>6.12</v>
          </cell>
          <cell r="K89">
            <v>0</v>
          </cell>
          <cell r="L89">
            <v>2.6575000000000002</v>
          </cell>
          <cell r="M89">
            <v>77.684375000000017</v>
          </cell>
        </row>
        <row r="90">
          <cell r="G90">
            <v>47239</v>
          </cell>
          <cell r="H90">
            <v>31.027499999999996</v>
          </cell>
          <cell r="I90">
            <v>29.094000000000001</v>
          </cell>
          <cell r="J90">
            <v>5.6099999999999994</v>
          </cell>
          <cell r="K90">
            <v>0</v>
          </cell>
          <cell r="L90">
            <v>1.2237500000000001</v>
          </cell>
          <cell r="M90">
            <v>66.955249999999992</v>
          </cell>
        </row>
        <row r="91">
          <cell r="G91">
            <v>47270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</row>
        <row r="92">
          <cell r="G92">
            <v>47300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</row>
        <row r="93">
          <cell r="G93">
            <v>47331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</row>
        <row r="94">
          <cell r="G94">
            <v>47362</v>
          </cell>
          <cell r="H94">
            <v>0.81374999999999997</v>
          </cell>
          <cell r="I94">
            <v>0</v>
          </cell>
          <cell r="J94">
            <v>0</v>
          </cell>
          <cell r="K94">
            <v>0</v>
          </cell>
          <cell r="L94">
            <v>1.8</v>
          </cell>
          <cell r="M94">
            <v>2.61375</v>
          </cell>
        </row>
        <row r="95">
          <cell r="G95">
            <v>47392</v>
          </cell>
          <cell r="H95">
            <v>2.6249999999999999E-2</v>
          </cell>
          <cell r="I95">
            <v>0</v>
          </cell>
          <cell r="J95">
            <v>0</v>
          </cell>
          <cell r="K95">
            <v>0</v>
          </cell>
          <cell r="L95">
            <v>2.25</v>
          </cell>
          <cell r="M95">
            <v>2.2762500000000001</v>
          </cell>
        </row>
        <row r="96">
          <cell r="G96">
            <v>47423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0.38250000000000006</v>
          </cell>
          <cell r="M96">
            <v>0.38250000000000006</v>
          </cell>
        </row>
        <row r="97">
          <cell r="G97">
            <v>47453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</row>
        <row r="98">
          <cell r="G98">
            <v>47484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</row>
        <row r="99">
          <cell r="G99">
            <v>47515</v>
          </cell>
          <cell r="H99">
            <v>7.0433999999999992</v>
          </cell>
          <cell r="I99">
            <v>0</v>
          </cell>
          <cell r="J99">
            <v>5.3549999999999995</v>
          </cell>
          <cell r="K99">
            <v>0</v>
          </cell>
          <cell r="L99">
            <v>0</v>
          </cell>
          <cell r="M99">
            <v>12.398399999999999</v>
          </cell>
        </row>
        <row r="100">
          <cell r="G100">
            <v>47543</v>
          </cell>
          <cell r="H100">
            <v>3.3074999999999997</v>
          </cell>
          <cell r="I100">
            <v>0</v>
          </cell>
          <cell r="J100">
            <v>3.2130000000000001</v>
          </cell>
          <cell r="K100">
            <v>0</v>
          </cell>
          <cell r="L100">
            <v>0</v>
          </cell>
          <cell r="M100">
            <v>6.5205000000000002</v>
          </cell>
        </row>
        <row r="101">
          <cell r="G101">
            <v>47574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</row>
        <row r="102">
          <cell r="G102">
            <v>47604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</row>
        <row r="103">
          <cell r="G103">
            <v>47635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</row>
        <row r="104">
          <cell r="G104">
            <v>47665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</row>
        <row r="105">
          <cell r="G105">
            <v>47696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</row>
        <row r="106">
          <cell r="G106">
            <v>47727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</row>
        <row r="107">
          <cell r="G107">
            <v>47757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</row>
        <row r="108">
          <cell r="G108">
            <v>47788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</row>
        <row r="109">
          <cell r="G109">
            <v>47818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</row>
        <row r="110">
          <cell r="G110">
            <v>47849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</row>
        <row r="111">
          <cell r="G111">
            <v>47880</v>
          </cell>
          <cell r="H111">
            <v>1.5308999999999997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1.5308999999999997</v>
          </cell>
        </row>
        <row r="112">
          <cell r="G112">
            <v>47908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</row>
        <row r="113">
          <cell r="G113">
            <v>47939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</row>
        <row r="114">
          <cell r="G114">
            <v>47969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</row>
        <row r="115">
          <cell r="G115">
            <v>48000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</row>
        <row r="116">
          <cell r="G116">
            <v>48030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</row>
        <row r="117">
          <cell r="G117">
            <v>48061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</row>
        <row r="118">
          <cell r="G118">
            <v>48092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</row>
        <row r="119">
          <cell r="G119">
            <v>48122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</row>
        <row r="120">
          <cell r="G120">
            <v>48153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</row>
        <row r="121">
          <cell r="G121">
            <v>48214</v>
          </cell>
          <cell r="H121">
            <v>5.46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5.46</v>
          </cell>
        </row>
        <row r="122">
          <cell r="G122">
            <v>48245</v>
          </cell>
          <cell r="H122">
            <v>6.93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6.93</v>
          </cell>
        </row>
        <row r="123">
          <cell r="G123">
            <v>48305</v>
          </cell>
          <cell r="H123">
            <v>9.1980000000000004</v>
          </cell>
          <cell r="I123">
            <v>0</v>
          </cell>
          <cell r="J123">
            <v>7.4459999999999997</v>
          </cell>
          <cell r="K123">
            <v>0</v>
          </cell>
          <cell r="L123">
            <v>0.45625000000000004</v>
          </cell>
          <cell r="M123">
            <v>17.100249999999999</v>
          </cell>
        </row>
        <row r="124">
          <cell r="G124" t="e">
            <v>#REF!</v>
          </cell>
          <cell r="H124" t="e">
            <v>#REF!</v>
          </cell>
          <cell r="I124" t="e">
            <v>#REF!</v>
          </cell>
          <cell r="J124" t="e">
            <v>#REF!</v>
          </cell>
          <cell r="K124" t="e">
            <v>#REF!</v>
          </cell>
          <cell r="L124" t="e">
            <v>#REF!</v>
          </cell>
          <cell r="M124" t="e">
            <v>#REF!</v>
          </cell>
        </row>
        <row r="125">
          <cell r="G125" t="e">
            <v>#REF!</v>
          </cell>
          <cell r="H125" t="e">
            <v>#REF!</v>
          </cell>
          <cell r="I125" t="e">
            <v>#REF!</v>
          </cell>
          <cell r="J125" t="e">
            <v>#REF!</v>
          </cell>
          <cell r="K125" t="e">
            <v>#REF!</v>
          </cell>
          <cell r="L125" t="e">
            <v>#REF!</v>
          </cell>
          <cell r="M125" t="e">
            <v>#REF!</v>
          </cell>
        </row>
        <row r="126">
          <cell r="G126" t="e">
            <v>#REF!</v>
          </cell>
          <cell r="H126" t="e">
            <v>#REF!</v>
          </cell>
          <cell r="I126" t="e">
            <v>#REF!</v>
          </cell>
          <cell r="J126" t="e">
            <v>#REF!</v>
          </cell>
          <cell r="K126" t="e">
            <v>#REF!</v>
          </cell>
          <cell r="L126" t="e">
            <v>#REF!</v>
          </cell>
          <cell r="M126" t="e">
            <v>#REF!</v>
          </cell>
        </row>
        <row r="127">
          <cell r="G127" t="e">
            <v>#REF!</v>
          </cell>
          <cell r="H127" t="e">
            <v>#REF!</v>
          </cell>
          <cell r="I127" t="e">
            <v>#REF!</v>
          </cell>
          <cell r="J127" t="e">
            <v>#REF!</v>
          </cell>
          <cell r="K127" t="e">
            <v>#REF!</v>
          </cell>
          <cell r="L127" t="e">
            <v>#REF!</v>
          </cell>
          <cell r="M127" t="e">
            <v>#REF!</v>
          </cell>
        </row>
        <row r="128">
          <cell r="G128" t="e">
            <v>#REF!</v>
          </cell>
          <cell r="H128" t="e">
            <v>#REF!</v>
          </cell>
          <cell r="I128" t="e">
            <v>#REF!</v>
          </cell>
          <cell r="J128" t="e">
            <v>#REF!</v>
          </cell>
          <cell r="K128" t="e">
            <v>#REF!</v>
          </cell>
          <cell r="L128" t="e">
            <v>#REF!</v>
          </cell>
          <cell r="M128" t="e">
            <v>#REF!</v>
          </cell>
        </row>
        <row r="129">
          <cell r="G129" t="e">
            <v>#REF!</v>
          </cell>
          <cell r="H129" t="e">
            <v>#REF!</v>
          </cell>
          <cell r="I129" t="e">
            <v>#REF!</v>
          </cell>
          <cell r="J129" t="e">
            <v>#REF!</v>
          </cell>
          <cell r="K129" t="e">
            <v>#REF!</v>
          </cell>
          <cell r="L129" t="e">
            <v>#REF!</v>
          </cell>
          <cell r="M129" t="e">
            <v>#REF!</v>
          </cell>
        </row>
        <row r="130">
          <cell r="G130" t="e">
            <v>#REF!</v>
          </cell>
          <cell r="H130" t="e">
            <v>#REF!</v>
          </cell>
          <cell r="I130" t="e">
            <v>#REF!</v>
          </cell>
          <cell r="J130" t="e">
            <v>#REF!</v>
          </cell>
          <cell r="K130" t="e">
            <v>#REF!</v>
          </cell>
          <cell r="L130" t="e">
            <v>#REF!</v>
          </cell>
          <cell r="M130" t="e">
            <v>#REF!</v>
          </cell>
        </row>
        <row r="131">
          <cell r="G131" t="e">
            <v>#REF!</v>
          </cell>
          <cell r="H131" t="e">
            <v>#REF!</v>
          </cell>
          <cell r="I131" t="e">
            <v>#REF!</v>
          </cell>
          <cell r="J131" t="e">
            <v>#REF!</v>
          </cell>
          <cell r="K131" t="e">
            <v>#REF!</v>
          </cell>
          <cell r="L131" t="e">
            <v>#REF!</v>
          </cell>
          <cell r="M131" t="e">
            <v>#REF!</v>
          </cell>
        </row>
        <row r="132">
          <cell r="G132" t="e">
            <v>#REF!</v>
          </cell>
          <cell r="H132" t="e">
            <v>#REF!</v>
          </cell>
          <cell r="I132" t="e">
            <v>#REF!</v>
          </cell>
          <cell r="J132" t="e">
            <v>#REF!</v>
          </cell>
          <cell r="K132" t="e">
            <v>#REF!</v>
          </cell>
          <cell r="L132" t="e">
            <v>#REF!</v>
          </cell>
          <cell r="M132" t="e">
            <v>#REF!</v>
          </cell>
        </row>
        <row r="133">
          <cell r="G133" t="e">
            <v>#REF!</v>
          </cell>
          <cell r="H133" t="e">
            <v>#REF!</v>
          </cell>
          <cell r="I133" t="e">
            <v>#REF!</v>
          </cell>
          <cell r="J133" t="e">
            <v>#REF!</v>
          </cell>
          <cell r="K133" t="e">
            <v>#REF!</v>
          </cell>
          <cell r="L133" t="e">
            <v>#REF!</v>
          </cell>
          <cell r="M133" t="e">
            <v>#REF!</v>
          </cell>
        </row>
        <row r="134">
          <cell r="G134" t="e">
            <v>#REF!</v>
          </cell>
          <cell r="H134" t="e">
            <v>#REF!</v>
          </cell>
          <cell r="I134" t="e">
            <v>#REF!</v>
          </cell>
          <cell r="J134" t="e">
            <v>#REF!</v>
          </cell>
          <cell r="K134" t="e">
            <v>#REF!</v>
          </cell>
          <cell r="L134" t="e">
            <v>#REF!</v>
          </cell>
          <cell r="M134" t="e">
            <v>#REF!</v>
          </cell>
        </row>
        <row r="135">
          <cell r="G135" t="e">
            <v>#REF!</v>
          </cell>
          <cell r="H135" t="e">
            <v>#REF!</v>
          </cell>
          <cell r="I135" t="e">
            <v>#REF!</v>
          </cell>
          <cell r="J135" t="e">
            <v>#REF!</v>
          </cell>
          <cell r="K135" t="e">
            <v>#REF!</v>
          </cell>
          <cell r="L135" t="e">
            <v>#REF!</v>
          </cell>
          <cell r="M135" t="e">
            <v>#REF!</v>
          </cell>
        </row>
        <row r="136">
          <cell r="G136" t="e">
            <v>#REF!</v>
          </cell>
          <cell r="H136" t="e">
            <v>#REF!</v>
          </cell>
          <cell r="I136" t="e">
            <v>#REF!</v>
          </cell>
          <cell r="J136" t="e">
            <v>#REF!</v>
          </cell>
          <cell r="K136" t="e">
            <v>#REF!</v>
          </cell>
          <cell r="L136" t="e">
            <v>#REF!</v>
          </cell>
          <cell r="M136" t="e">
            <v>#REF!</v>
          </cell>
        </row>
        <row r="137">
          <cell r="G137" t="e">
            <v>#REF!</v>
          </cell>
          <cell r="H137" t="e">
            <v>#REF!</v>
          </cell>
          <cell r="I137" t="e">
            <v>#REF!</v>
          </cell>
          <cell r="J137" t="e">
            <v>#REF!</v>
          </cell>
          <cell r="K137" t="e">
            <v>#REF!</v>
          </cell>
          <cell r="L137" t="e">
            <v>#REF!</v>
          </cell>
          <cell r="M137" t="e">
            <v>#REF!</v>
          </cell>
        </row>
        <row r="138">
          <cell r="G138" t="e">
            <v>#REF!</v>
          </cell>
          <cell r="H138" t="e">
            <v>#REF!</v>
          </cell>
          <cell r="I138" t="e">
            <v>#REF!</v>
          </cell>
          <cell r="J138" t="e">
            <v>#REF!</v>
          </cell>
          <cell r="K138" t="e">
            <v>#REF!</v>
          </cell>
          <cell r="L138" t="e">
            <v>#REF!</v>
          </cell>
          <cell r="M138" t="e">
            <v>#REF!</v>
          </cell>
        </row>
        <row r="139">
          <cell r="G139" t="e">
            <v>#REF!</v>
          </cell>
          <cell r="H139" t="e">
            <v>#REF!</v>
          </cell>
          <cell r="I139" t="e">
            <v>#REF!</v>
          </cell>
          <cell r="J139" t="e">
            <v>#REF!</v>
          </cell>
          <cell r="K139" t="e">
            <v>#REF!</v>
          </cell>
          <cell r="L139" t="e">
            <v>#REF!</v>
          </cell>
          <cell r="M139" t="e">
            <v>#REF!</v>
          </cell>
        </row>
        <row r="140">
          <cell r="G140" t="e">
            <v>#REF!</v>
          </cell>
          <cell r="H140" t="e">
            <v>#REF!</v>
          </cell>
          <cell r="I140" t="e">
            <v>#REF!</v>
          </cell>
          <cell r="J140" t="e">
            <v>#REF!</v>
          </cell>
          <cell r="K140" t="e">
            <v>#REF!</v>
          </cell>
          <cell r="L140" t="e">
            <v>#REF!</v>
          </cell>
          <cell r="M140" t="e">
            <v>#REF!</v>
          </cell>
        </row>
        <row r="141">
          <cell r="G141" t="e">
            <v>#REF!</v>
          </cell>
          <cell r="H141" t="e">
            <v>#REF!</v>
          </cell>
          <cell r="I141" t="e">
            <v>#REF!</v>
          </cell>
          <cell r="J141" t="e">
            <v>#REF!</v>
          </cell>
          <cell r="K141" t="e">
            <v>#REF!</v>
          </cell>
          <cell r="L141" t="e">
            <v>#REF!</v>
          </cell>
          <cell r="M141" t="e">
            <v>#REF!</v>
          </cell>
        </row>
        <row r="142">
          <cell r="G142" t="e">
            <v>#REF!</v>
          </cell>
          <cell r="H142" t="e">
            <v>#REF!</v>
          </cell>
          <cell r="I142" t="e">
            <v>#REF!</v>
          </cell>
          <cell r="J142" t="e">
            <v>#REF!</v>
          </cell>
          <cell r="K142" t="e">
            <v>#REF!</v>
          </cell>
          <cell r="L142" t="e">
            <v>#REF!</v>
          </cell>
          <cell r="M142" t="e">
            <v>#REF!</v>
          </cell>
        </row>
        <row r="143">
          <cell r="G143" t="e">
            <v>#REF!</v>
          </cell>
          <cell r="H143" t="e">
            <v>#REF!</v>
          </cell>
          <cell r="I143" t="e">
            <v>#REF!</v>
          </cell>
          <cell r="J143" t="e">
            <v>#REF!</v>
          </cell>
          <cell r="K143" t="e">
            <v>#REF!</v>
          </cell>
          <cell r="L143" t="e">
            <v>#REF!</v>
          </cell>
          <cell r="M143" t="e">
            <v>#REF!</v>
          </cell>
        </row>
        <row r="144">
          <cell r="G144" t="e">
            <v>#REF!</v>
          </cell>
          <cell r="H144" t="e">
            <v>#REF!</v>
          </cell>
          <cell r="I144" t="e">
            <v>#REF!</v>
          </cell>
          <cell r="J144" t="e">
            <v>#REF!</v>
          </cell>
          <cell r="K144" t="e">
            <v>#REF!</v>
          </cell>
          <cell r="L144" t="e">
            <v>#REF!</v>
          </cell>
          <cell r="M144" t="e">
            <v>#REF!</v>
          </cell>
        </row>
        <row r="145">
          <cell r="G145" t="e">
            <v>#REF!</v>
          </cell>
          <cell r="H145" t="e">
            <v>#REF!</v>
          </cell>
          <cell r="I145" t="e">
            <v>#REF!</v>
          </cell>
          <cell r="J145" t="e">
            <v>#REF!</v>
          </cell>
          <cell r="K145" t="e">
            <v>#REF!</v>
          </cell>
          <cell r="L145" t="e">
            <v>#REF!</v>
          </cell>
          <cell r="M145" t="e">
            <v>#REF!</v>
          </cell>
        </row>
        <row r="146">
          <cell r="G146" t="e">
            <v>#REF!</v>
          </cell>
          <cell r="H146" t="e">
            <v>#REF!</v>
          </cell>
          <cell r="I146" t="e">
            <v>#REF!</v>
          </cell>
          <cell r="J146" t="e">
            <v>#REF!</v>
          </cell>
          <cell r="K146" t="e">
            <v>#REF!</v>
          </cell>
          <cell r="L146" t="e">
            <v>#REF!</v>
          </cell>
          <cell r="M146" t="e">
            <v>#REF!</v>
          </cell>
        </row>
        <row r="147">
          <cell r="G147" t="e">
            <v>#REF!</v>
          </cell>
          <cell r="H147" t="e">
            <v>#REF!</v>
          </cell>
          <cell r="I147" t="e">
            <v>#REF!</v>
          </cell>
          <cell r="J147" t="e">
            <v>#REF!</v>
          </cell>
          <cell r="K147" t="e">
            <v>#REF!</v>
          </cell>
          <cell r="L147" t="e">
            <v>#REF!</v>
          </cell>
          <cell r="M147" t="e">
            <v>#REF!</v>
          </cell>
        </row>
        <row r="148">
          <cell r="G148" t="e">
            <v>#REF!</v>
          </cell>
          <cell r="H148" t="e">
            <v>#REF!</v>
          </cell>
          <cell r="I148" t="e">
            <v>#REF!</v>
          </cell>
          <cell r="J148" t="e">
            <v>#REF!</v>
          </cell>
          <cell r="K148" t="e">
            <v>#REF!</v>
          </cell>
          <cell r="L148" t="e">
            <v>#REF!</v>
          </cell>
          <cell r="M148" t="e">
            <v>#REF!</v>
          </cell>
        </row>
        <row r="149">
          <cell r="G149" t="e">
            <v>#REF!</v>
          </cell>
          <cell r="H149" t="e">
            <v>#REF!</v>
          </cell>
          <cell r="I149" t="e">
            <v>#REF!</v>
          </cell>
          <cell r="J149" t="e">
            <v>#REF!</v>
          </cell>
          <cell r="K149" t="e">
            <v>#REF!</v>
          </cell>
          <cell r="L149" t="e">
            <v>#REF!</v>
          </cell>
          <cell r="M149" t="e">
            <v>#REF!</v>
          </cell>
        </row>
        <row r="150">
          <cell r="G150" t="e">
            <v>#REF!</v>
          </cell>
          <cell r="H150" t="e">
            <v>#REF!</v>
          </cell>
          <cell r="I150" t="e">
            <v>#REF!</v>
          </cell>
          <cell r="J150" t="e">
            <v>#REF!</v>
          </cell>
          <cell r="K150" t="e">
            <v>#REF!</v>
          </cell>
          <cell r="L150" t="e">
            <v>#REF!</v>
          </cell>
          <cell r="M150" t="e">
            <v>#REF!</v>
          </cell>
        </row>
        <row r="151">
          <cell r="G151" t="e">
            <v>#REF!</v>
          </cell>
          <cell r="H151" t="e">
            <v>#REF!</v>
          </cell>
          <cell r="I151" t="e">
            <v>#REF!</v>
          </cell>
          <cell r="J151" t="e">
            <v>#REF!</v>
          </cell>
          <cell r="K151" t="e">
            <v>#REF!</v>
          </cell>
          <cell r="L151" t="e">
            <v>#REF!</v>
          </cell>
          <cell r="M151" t="e">
            <v>#REF!</v>
          </cell>
        </row>
        <row r="152">
          <cell r="G152" t="e">
            <v>#REF!</v>
          </cell>
          <cell r="H152" t="e">
            <v>#REF!</v>
          </cell>
          <cell r="I152" t="e">
            <v>#REF!</v>
          </cell>
          <cell r="J152" t="e">
            <v>#REF!</v>
          </cell>
          <cell r="K152" t="e">
            <v>#REF!</v>
          </cell>
          <cell r="L152" t="e">
            <v>#REF!</v>
          </cell>
          <cell r="M152" t="e">
            <v>#REF!</v>
          </cell>
        </row>
        <row r="153">
          <cell r="G153" t="e">
            <v>#REF!</v>
          </cell>
          <cell r="H153" t="e">
            <v>#REF!</v>
          </cell>
          <cell r="I153" t="e">
            <v>#REF!</v>
          </cell>
          <cell r="J153" t="e">
            <v>#REF!</v>
          </cell>
          <cell r="K153" t="e">
            <v>#REF!</v>
          </cell>
          <cell r="L153" t="e">
            <v>#REF!</v>
          </cell>
          <cell r="M153" t="e">
            <v>#REF!</v>
          </cell>
        </row>
        <row r="154">
          <cell r="G154" t="e">
            <v>#REF!</v>
          </cell>
          <cell r="H154" t="e">
            <v>#REF!</v>
          </cell>
          <cell r="I154" t="e">
            <v>#REF!</v>
          </cell>
          <cell r="J154" t="e">
            <v>#REF!</v>
          </cell>
          <cell r="K154" t="e">
            <v>#REF!</v>
          </cell>
          <cell r="L154" t="e">
            <v>#REF!</v>
          </cell>
          <cell r="M154" t="e">
            <v>#REF!</v>
          </cell>
        </row>
        <row r="155">
          <cell r="G155" t="e">
            <v>#REF!</v>
          </cell>
          <cell r="H155" t="e">
            <v>#REF!</v>
          </cell>
          <cell r="I155" t="e">
            <v>#REF!</v>
          </cell>
          <cell r="J155" t="e">
            <v>#REF!</v>
          </cell>
          <cell r="K155" t="e">
            <v>#REF!</v>
          </cell>
          <cell r="L155" t="e">
            <v>#REF!</v>
          </cell>
          <cell r="M155" t="e">
            <v>#REF!</v>
          </cell>
        </row>
        <row r="156">
          <cell r="G156" t="e">
            <v>#REF!</v>
          </cell>
          <cell r="H156" t="e">
            <v>#REF!</v>
          </cell>
          <cell r="I156" t="e">
            <v>#REF!</v>
          </cell>
          <cell r="J156" t="e">
            <v>#REF!</v>
          </cell>
          <cell r="K156" t="e">
            <v>#REF!</v>
          </cell>
          <cell r="L156" t="e">
            <v>#REF!</v>
          </cell>
          <cell r="M156" t="e">
            <v>#REF!</v>
          </cell>
        </row>
        <row r="157">
          <cell r="G157" t="e">
            <v>#REF!</v>
          </cell>
          <cell r="H157" t="e">
            <v>#REF!</v>
          </cell>
          <cell r="I157" t="e">
            <v>#REF!</v>
          </cell>
          <cell r="J157" t="e">
            <v>#REF!</v>
          </cell>
          <cell r="K157" t="e">
            <v>#REF!</v>
          </cell>
          <cell r="L157" t="e">
            <v>#REF!</v>
          </cell>
          <cell r="M157" t="e">
            <v>#REF!</v>
          </cell>
        </row>
        <row r="158">
          <cell r="G158" t="e">
            <v>#REF!</v>
          </cell>
          <cell r="H158" t="e">
            <v>#REF!</v>
          </cell>
          <cell r="I158" t="e">
            <v>#REF!</v>
          </cell>
          <cell r="J158" t="e">
            <v>#REF!</v>
          </cell>
          <cell r="K158" t="e">
            <v>#REF!</v>
          </cell>
          <cell r="L158" t="e">
            <v>#REF!</v>
          </cell>
          <cell r="M158" t="e">
            <v>#REF!</v>
          </cell>
        </row>
        <row r="159">
          <cell r="G159" t="e">
            <v>#REF!</v>
          </cell>
          <cell r="H159" t="e">
            <v>#REF!</v>
          </cell>
          <cell r="I159" t="e">
            <v>#REF!</v>
          </cell>
          <cell r="J159" t="e">
            <v>#REF!</v>
          </cell>
          <cell r="K159" t="e">
            <v>#REF!</v>
          </cell>
          <cell r="L159" t="e">
            <v>#REF!</v>
          </cell>
          <cell r="M159" t="e">
            <v>#REF!</v>
          </cell>
        </row>
        <row r="160">
          <cell r="G160" t="e">
            <v>#REF!</v>
          </cell>
          <cell r="H160" t="e">
            <v>#REF!</v>
          </cell>
          <cell r="I160" t="e">
            <v>#REF!</v>
          </cell>
          <cell r="J160" t="e">
            <v>#REF!</v>
          </cell>
          <cell r="K160" t="e">
            <v>#REF!</v>
          </cell>
          <cell r="L160" t="e">
            <v>#REF!</v>
          </cell>
          <cell r="M160" t="e">
            <v>#REF!</v>
          </cell>
        </row>
        <row r="161">
          <cell r="G161" t="e">
            <v>#REF!</v>
          </cell>
          <cell r="H161" t="e">
            <v>#REF!</v>
          </cell>
          <cell r="I161" t="e">
            <v>#REF!</v>
          </cell>
          <cell r="J161" t="e">
            <v>#REF!</v>
          </cell>
          <cell r="K161" t="e">
            <v>#REF!</v>
          </cell>
          <cell r="L161" t="e">
            <v>#REF!</v>
          </cell>
          <cell r="M161" t="e">
            <v>#REF!</v>
          </cell>
        </row>
        <row r="162">
          <cell r="G162" t="e">
            <v>#REF!</v>
          </cell>
          <cell r="H162" t="e">
            <v>#REF!</v>
          </cell>
          <cell r="I162" t="e">
            <v>#REF!</v>
          </cell>
          <cell r="J162" t="e">
            <v>#REF!</v>
          </cell>
          <cell r="K162" t="e">
            <v>#REF!</v>
          </cell>
          <cell r="L162" t="e">
            <v>#REF!</v>
          </cell>
          <cell r="M162" t="e">
            <v>#REF!</v>
          </cell>
        </row>
        <row r="163">
          <cell r="G163" t="e">
            <v>#REF!</v>
          </cell>
          <cell r="H163" t="e">
            <v>#REF!</v>
          </cell>
          <cell r="I163" t="e">
            <v>#REF!</v>
          </cell>
          <cell r="J163" t="e">
            <v>#REF!</v>
          </cell>
          <cell r="K163" t="e">
            <v>#REF!</v>
          </cell>
          <cell r="L163" t="e">
            <v>#REF!</v>
          </cell>
          <cell r="M163" t="e">
            <v>#REF!</v>
          </cell>
        </row>
        <row r="164">
          <cell r="G164" t="e">
            <v>#REF!</v>
          </cell>
          <cell r="H164" t="e">
            <v>#REF!</v>
          </cell>
          <cell r="I164" t="e">
            <v>#REF!</v>
          </cell>
          <cell r="J164" t="e">
            <v>#REF!</v>
          </cell>
          <cell r="K164" t="e">
            <v>#REF!</v>
          </cell>
          <cell r="L164" t="e">
            <v>#REF!</v>
          </cell>
          <cell r="M164" t="e">
            <v>#REF!</v>
          </cell>
        </row>
        <row r="165">
          <cell r="G165" t="e">
            <v>#REF!</v>
          </cell>
          <cell r="H165" t="e">
            <v>#REF!</v>
          </cell>
          <cell r="I165" t="e">
            <v>#REF!</v>
          </cell>
          <cell r="J165" t="e">
            <v>#REF!</v>
          </cell>
          <cell r="K165" t="e">
            <v>#REF!</v>
          </cell>
          <cell r="L165" t="e">
            <v>#REF!</v>
          </cell>
          <cell r="M165" t="e">
            <v>#REF!</v>
          </cell>
        </row>
        <row r="166">
          <cell r="G166" t="e">
            <v>#REF!</v>
          </cell>
          <cell r="H166" t="e">
            <v>#REF!</v>
          </cell>
          <cell r="I166" t="e">
            <v>#REF!</v>
          </cell>
          <cell r="J166" t="e">
            <v>#REF!</v>
          </cell>
          <cell r="K166" t="e">
            <v>#REF!</v>
          </cell>
          <cell r="L166" t="e">
            <v>#REF!</v>
          </cell>
          <cell r="M166" t="e">
            <v>#REF!</v>
          </cell>
        </row>
        <row r="167">
          <cell r="G167" t="e">
            <v>#REF!</v>
          </cell>
          <cell r="H167" t="e">
            <v>#REF!</v>
          </cell>
          <cell r="I167" t="e">
            <v>#REF!</v>
          </cell>
          <cell r="J167" t="e">
            <v>#REF!</v>
          </cell>
          <cell r="K167" t="e">
            <v>#REF!</v>
          </cell>
          <cell r="L167" t="e">
            <v>#REF!</v>
          </cell>
          <cell r="M167" t="e">
            <v>#REF!</v>
          </cell>
        </row>
        <row r="168">
          <cell r="G168" t="e">
            <v>#REF!</v>
          </cell>
          <cell r="H168" t="e">
            <v>#REF!</v>
          </cell>
          <cell r="I168" t="e">
            <v>#REF!</v>
          </cell>
          <cell r="J168" t="e">
            <v>#REF!</v>
          </cell>
          <cell r="K168" t="e">
            <v>#REF!</v>
          </cell>
          <cell r="L168" t="e">
            <v>#REF!</v>
          </cell>
          <cell r="M168" t="e">
            <v>#REF!</v>
          </cell>
        </row>
        <row r="169">
          <cell r="G169" t="e">
            <v>#REF!</v>
          </cell>
          <cell r="H169" t="e">
            <v>#REF!</v>
          </cell>
          <cell r="I169" t="e">
            <v>#REF!</v>
          </cell>
          <cell r="J169" t="e">
            <v>#REF!</v>
          </cell>
          <cell r="K169" t="e">
            <v>#REF!</v>
          </cell>
          <cell r="L169" t="e">
            <v>#REF!</v>
          </cell>
          <cell r="M169" t="e">
            <v>#REF!</v>
          </cell>
        </row>
        <row r="170">
          <cell r="G170" t="e">
            <v>#REF!</v>
          </cell>
          <cell r="H170" t="e">
            <v>#REF!</v>
          </cell>
          <cell r="I170" t="e">
            <v>#REF!</v>
          </cell>
          <cell r="J170" t="e">
            <v>#REF!</v>
          </cell>
          <cell r="K170" t="e">
            <v>#REF!</v>
          </cell>
          <cell r="L170" t="e">
            <v>#REF!</v>
          </cell>
          <cell r="M170" t="e">
            <v>#REF!</v>
          </cell>
        </row>
        <row r="171">
          <cell r="G171" t="e">
            <v>#REF!</v>
          </cell>
          <cell r="H171" t="e">
            <v>#REF!</v>
          </cell>
          <cell r="I171" t="e">
            <v>#REF!</v>
          </cell>
          <cell r="J171" t="e">
            <v>#REF!</v>
          </cell>
          <cell r="K171" t="e">
            <v>#REF!</v>
          </cell>
          <cell r="L171" t="e">
            <v>#REF!</v>
          </cell>
          <cell r="M171" t="e">
            <v>#REF!</v>
          </cell>
        </row>
        <row r="172">
          <cell r="G172" t="e">
            <v>#REF!</v>
          </cell>
          <cell r="H172" t="e">
            <v>#REF!</v>
          </cell>
          <cell r="I172" t="e">
            <v>#REF!</v>
          </cell>
          <cell r="J172" t="e">
            <v>#REF!</v>
          </cell>
          <cell r="K172" t="e">
            <v>#REF!</v>
          </cell>
          <cell r="L172" t="e">
            <v>#REF!</v>
          </cell>
          <cell r="M172" t="e">
            <v>#REF!</v>
          </cell>
        </row>
        <row r="173">
          <cell r="G173" t="e">
            <v>#REF!</v>
          </cell>
          <cell r="H173" t="e">
            <v>#REF!</v>
          </cell>
          <cell r="I173" t="e">
            <v>#REF!</v>
          </cell>
          <cell r="J173" t="e">
            <v>#REF!</v>
          </cell>
          <cell r="K173" t="e">
            <v>#REF!</v>
          </cell>
          <cell r="L173" t="e">
            <v>#REF!</v>
          </cell>
          <cell r="M173" t="e">
            <v>#REF!</v>
          </cell>
        </row>
        <row r="174">
          <cell r="G174" t="e">
            <v>#REF!</v>
          </cell>
          <cell r="H174" t="e">
            <v>#REF!</v>
          </cell>
          <cell r="I174" t="e">
            <v>#REF!</v>
          </cell>
          <cell r="J174" t="e">
            <v>#REF!</v>
          </cell>
          <cell r="K174" t="e">
            <v>#REF!</v>
          </cell>
          <cell r="L174" t="e">
            <v>#REF!</v>
          </cell>
          <cell r="M174" t="e">
            <v>#REF!</v>
          </cell>
        </row>
        <row r="175">
          <cell r="G175" t="e">
            <v>#REF!</v>
          </cell>
          <cell r="H175" t="e">
            <v>#REF!</v>
          </cell>
          <cell r="I175" t="e">
            <v>#REF!</v>
          </cell>
          <cell r="J175" t="e">
            <v>#REF!</v>
          </cell>
          <cell r="K175" t="e">
            <v>#REF!</v>
          </cell>
          <cell r="L175" t="e">
            <v>#REF!</v>
          </cell>
          <cell r="M175" t="e">
            <v>#REF!</v>
          </cell>
        </row>
        <row r="176">
          <cell r="G176" t="e">
            <v>#REF!</v>
          </cell>
          <cell r="H176" t="e">
            <v>#REF!</v>
          </cell>
          <cell r="I176" t="e">
            <v>#REF!</v>
          </cell>
          <cell r="J176" t="e">
            <v>#REF!</v>
          </cell>
          <cell r="K176" t="e">
            <v>#REF!</v>
          </cell>
          <cell r="L176" t="e">
            <v>#REF!</v>
          </cell>
          <cell r="M176" t="e">
            <v>#REF!</v>
          </cell>
        </row>
        <row r="177">
          <cell r="G177" t="e">
            <v>#REF!</v>
          </cell>
          <cell r="H177" t="e">
            <v>#REF!</v>
          </cell>
          <cell r="I177" t="e">
            <v>#REF!</v>
          </cell>
          <cell r="J177" t="e">
            <v>#REF!</v>
          </cell>
          <cell r="K177" t="e">
            <v>#REF!</v>
          </cell>
          <cell r="L177" t="e">
            <v>#REF!</v>
          </cell>
          <cell r="M177" t="e">
            <v>#REF!</v>
          </cell>
        </row>
        <row r="178">
          <cell r="G178" t="e">
            <v>#REF!</v>
          </cell>
          <cell r="H178" t="e">
            <v>#REF!</v>
          </cell>
          <cell r="I178" t="e">
            <v>#REF!</v>
          </cell>
          <cell r="J178" t="e">
            <v>#REF!</v>
          </cell>
          <cell r="K178" t="e">
            <v>#REF!</v>
          </cell>
          <cell r="L178" t="e">
            <v>#REF!</v>
          </cell>
          <cell r="M178" t="e">
            <v>#REF!</v>
          </cell>
        </row>
        <row r="179">
          <cell r="G179" t="e">
            <v>#REF!</v>
          </cell>
          <cell r="H179" t="e">
            <v>#REF!</v>
          </cell>
          <cell r="I179" t="e">
            <v>#REF!</v>
          </cell>
          <cell r="J179" t="e">
            <v>#REF!</v>
          </cell>
          <cell r="K179" t="e">
            <v>#REF!</v>
          </cell>
          <cell r="L179" t="e">
            <v>#REF!</v>
          </cell>
          <cell r="M179" t="e">
            <v>#REF!</v>
          </cell>
        </row>
        <row r="180">
          <cell r="G180" t="e">
            <v>#REF!</v>
          </cell>
          <cell r="H180" t="e">
            <v>#REF!</v>
          </cell>
          <cell r="I180" t="e">
            <v>#REF!</v>
          </cell>
          <cell r="J180" t="e">
            <v>#REF!</v>
          </cell>
          <cell r="K180" t="e">
            <v>#REF!</v>
          </cell>
          <cell r="L180" t="e">
            <v>#REF!</v>
          </cell>
          <cell r="M180" t="e">
            <v>#REF!</v>
          </cell>
        </row>
        <row r="181">
          <cell r="G181" t="e">
            <v>#REF!</v>
          </cell>
          <cell r="H181" t="e">
            <v>#REF!</v>
          </cell>
          <cell r="I181" t="e">
            <v>#REF!</v>
          </cell>
          <cell r="J181" t="e">
            <v>#REF!</v>
          </cell>
          <cell r="K181" t="e">
            <v>#REF!</v>
          </cell>
          <cell r="L181" t="e">
            <v>#REF!</v>
          </cell>
          <cell r="M181" t="e">
            <v>#REF!</v>
          </cell>
        </row>
        <row r="182">
          <cell r="G182" t="e">
            <v>#REF!</v>
          </cell>
          <cell r="H182" t="e">
            <v>#REF!</v>
          </cell>
          <cell r="I182" t="e">
            <v>#REF!</v>
          </cell>
          <cell r="J182" t="e">
            <v>#REF!</v>
          </cell>
          <cell r="K182" t="e">
            <v>#REF!</v>
          </cell>
          <cell r="L182" t="e">
            <v>#REF!</v>
          </cell>
          <cell r="M182" t="e">
            <v>#REF!</v>
          </cell>
        </row>
        <row r="183">
          <cell r="G183" t="e">
            <v>#REF!</v>
          </cell>
          <cell r="H183" t="e">
            <v>#REF!</v>
          </cell>
          <cell r="I183" t="e">
            <v>#REF!</v>
          </cell>
          <cell r="J183" t="e">
            <v>#REF!</v>
          </cell>
          <cell r="K183" t="e">
            <v>#REF!</v>
          </cell>
          <cell r="L183" t="e">
            <v>#REF!</v>
          </cell>
          <cell r="M183" t="e">
            <v>#REF!</v>
          </cell>
        </row>
        <row r="184">
          <cell r="G184" t="e">
            <v>#REF!</v>
          </cell>
          <cell r="H184" t="e">
            <v>#REF!</v>
          </cell>
          <cell r="I184" t="e">
            <v>#REF!</v>
          </cell>
          <cell r="J184" t="e">
            <v>#REF!</v>
          </cell>
          <cell r="K184" t="e">
            <v>#REF!</v>
          </cell>
          <cell r="L184" t="e">
            <v>#REF!</v>
          </cell>
          <cell r="M184" t="e">
            <v>#REF!</v>
          </cell>
        </row>
        <row r="185">
          <cell r="G185" t="e">
            <v>#REF!</v>
          </cell>
          <cell r="H185" t="e">
            <v>#REF!</v>
          </cell>
          <cell r="I185" t="e">
            <v>#REF!</v>
          </cell>
          <cell r="J185" t="e">
            <v>#REF!</v>
          </cell>
          <cell r="K185" t="e">
            <v>#REF!</v>
          </cell>
          <cell r="L185" t="e">
            <v>#REF!</v>
          </cell>
          <cell r="M185" t="e">
            <v>#REF!</v>
          </cell>
        </row>
        <row r="186">
          <cell r="G186" t="e">
            <v>#REF!</v>
          </cell>
          <cell r="H186" t="e">
            <v>#REF!</v>
          </cell>
          <cell r="I186" t="e">
            <v>#REF!</v>
          </cell>
          <cell r="J186" t="e">
            <v>#REF!</v>
          </cell>
          <cell r="K186" t="e">
            <v>#REF!</v>
          </cell>
          <cell r="L186" t="e">
            <v>#REF!</v>
          </cell>
          <cell r="M186" t="e">
            <v>#REF!</v>
          </cell>
        </row>
        <row r="187">
          <cell r="G187" t="e">
            <v>#REF!</v>
          </cell>
          <cell r="H187" t="e">
            <v>#REF!</v>
          </cell>
          <cell r="I187" t="e">
            <v>#REF!</v>
          </cell>
          <cell r="J187" t="e">
            <v>#REF!</v>
          </cell>
          <cell r="K187" t="e">
            <v>#REF!</v>
          </cell>
          <cell r="L187" t="e">
            <v>#REF!</v>
          </cell>
          <cell r="M187" t="e">
            <v>#REF!</v>
          </cell>
        </row>
        <row r="188">
          <cell r="G188" t="e">
            <v>#REF!</v>
          </cell>
          <cell r="H188" t="e">
            <v>#REF!</v>
          </cell>
          <cell r="I188" t="e">
            <v>#REF!</v>
          </cell>
          <cell r="J188" t="e">
            <v>#REF!</v>
          </cell>
          <cell r="K188" t="e">
            <v>#REF!</v>
          </cell>
          <cell r="L188" t="e">
            <v>#REF!</v>
          </cell>
          <cell r="M188" t="e">
            <v>#REF!</v>
          </cell>
        </row>
        <row r="189">
          <cell r="G189" t="e">
            <v>#REF!</v>
          </cell>
          <cell r="H189" t="e">
            <v>#REF!</v>
          </cell>
          <cell r="I189" t="e">
            <v>#REF!</v>
          </cell>
          <cell r="J189" t="e">
            <v>#REF!</v>
          </cell>
          <cell r="K189" t="e">
            <v>#REF!</v>
          </cell>
          <cell r="L189" t="e">
            <v>#REF!</v>
          </cell>
          <cell r="M189" t="e">
            <v>#REF!</v>
          </cell>
        </row>
        <row r="190">
          <cell r="G190" t="e">
            <v>#REF!</v>
          </cell>
          <cell r="H190" t="e">
            <v>#REF!</v>
          </cell>
          <cell r="I190" t="e">
            <v>#REF!</v>
          </cell>
          <cell r="J190" t="e">
            <v>#REF!</v>
          </cell>
          <cell r="K190" t="e">
            <v>#REF!</v>
          </cell>
          <cell r="L190" t="e">
            <v>#REF!</v>
          </cell>
          <cell r="M190" t="e">
            <v>#REF!</v>
          </cell>
        </row>
        <row r="191">
          <cell r="G191" t="e">
            <v>#REF!</v>
          </cell>
          <cell r="H191" t="e">
            <v>#REF!</v>
          </cell>
          <cell r="I191" t="e">
            <v>#REF!</v>
          </cell>
          <cell r="J191" t="e">
            <v>#REF!</v>
          </cell>
          <cell r="K191" t="e">
            <v>#REF!</v>
          </cell>
          <cell r="L191" t="e">
            <v>#REF!</v>
          </cell>
          <cell r="M191" t="e">
            <v>#REF!</v>
          </cell>
        </row>
        <row r="192">
          <cell r="G192" t="e">
            <v>#REF!</v>
          </cell>
          <cell r="H192" t="e">
            <v>#REF!</v>
          </cell>
          <cell r="I192" t="e">
            <v>#REF!</v>
          </cell>
          <cell r="J192" t="e">
            <v>#REF!</v>
          </cell>
          <cell r="K192" t="e">
            <v>#REF!</v>
          </cell>
          <cell r="L192" t="e">
            <v>#REF!</v>
          </cell>
          <cell r="M192" t="e">
            <v>#REF!</v>
          </cell>
        </row>
        <row r="193">
          <cell r="G193" t="e">
            <v>#REF!</v>
          </cell>
          <cell r="H193" t="e">
            <v>#REF!</v>
          </cell>
          <cell r="I193" t="e">
            <v>#REF!</v>
          </cell>
          <cell r="J193" t="e">
            <v>#REF!</v>
          </cell>
          <cell r="K193" t="e">
            <v>#REF!</v>
          </cell>
          <cell r="L193" t="e">
            <v>#REF!</v>
          </cell>
          <cell r="M193" t="e">
            <v>#REF!</v>
          </cell>
        </row>
        <row r="194">
          <cell r="G194" t="e">
            <v>#REF!</v>
          </cell>
          <cell r="H194" t="e">
            <v>#REF!</v>
          </cell>
          <cell r="I194" t="e">
            <v>#REF!</v>
          </cell>
          <cell r="J194" t="e">
            <v>#REF!</v>
          </cell>
          <cell r="K194" t="e">
            <v>#REF!</v>
          </cell>
          <cell r="L194" t="e">
            <v>#REF!</v>
          </cell>
          <cell r="M194" t="e">
            <v>#REF!</v>
          </cell>
        </row>
        <row r="195">
          <cell r="G195" t="e">
            <v>#REF!</v>
          </cell>
          <cell r="H195" t="e">
            <v>#REF!</v>
          </cell>
          <cell r="I195" t="e">
            <v>#REF!</v>
          </cell>
          <cell r="J195" t="e">
            <v>#REF!</v>
          </cell>
          <cell r="K195" t="e">
            <v>#REF!</v>
          </cell>
          <cell r="L195" t="e">
            <v>#REF!</v>
          </cell>
          <cell r="M195" t="e">
            <v>#REF!</v>
          </cell>
        </row>
        <row r="196">
          <cell r="G196" t="e">
            <v>#REF!</v>
          </cell>
          <cell r="H196" t="e">
            <v>#REF!</v>
          </cell>
          <cell r="I196" t="e">
            <v>#REF!</v>
          </cell>
          <cell r="J196" t="e">
            <v>#REF!</v>
          </cell>
          <cell r="K196" t="e">
            <v>#REF!</v>
          </cell>
          <cell r="L196" t="e">
            <v>#REF!</v>
          </cell>
          <cell r="M196" t="e">
            <v>#REF!</v>
          </cell>
        </row>
        <row r="197">
          <cell r="G197" t="e">
            <v>#REF!</v>
          </cell>
          <cell r="H197" t="e">
            <v>#REF!</v>
          </cell>
          <cell r="I197" t="e">
            <v>#REF!</v>
          </cell>
          <cell r="J197" t="e">
            <v>#REF!</v>
          </cell>
          <cell r="K197" t="e">
            <v>#REF!</v>
          </cell>
          <cell r="L197" t="e">
            <v>#REF!</v>
          </cell>
          <cell r="M197" t="e">
            <v>#REF!</v>
          </cell>
        </row>
        <row r="198">
          <cell r="G198" t="e">
            <v>#REF!</v>
          </cell>
          <cell r="H198" t="e">
            <v>#REF!</v>
          </cell>
          <cell r="I198" t="e">
            <v>#REF!</v>
          </cell>
          <cell r="J198" t="e">
            <v>#REF!</v>
          </cell>
          <cell r="K198" t="e">
            <v>#REF!</v>
          </cell>
          <cell r="L198" t="e">
            <v>#REF!</v>
          </cell>
          <cell r="M198" t="e">
            <v>#REF!</v>
          </cell>
        </row>
        <row r="199">
          <cell r="G199" t="e">
            <v>#REF!</v>
          </cell>
          <cell r="H199" t="e">
            <v>#REF!</v>
          </cell>
          <cell r="I199" t="e">
            <v>#REF!</v>
          </cell>
          <cell r="J199" t="e">
            <v>#REF!</v>
          </cell>
          <cell r="K199" t="e">
            <v>#REF!</v>
          </cell>
          <cell r="L199" t="e">
            <v>#REF!</v>
          </cell>
          <cell r="M199" t="e">
            <v>#REF!</v>
          </cell>
        </row>
        <row r="200">
          <cell r="G200" t="e">
            <v>#REF!</v>
          </cell>
          <cell r="H200" t="e">
            <v>#REF!</v>
          </cell>
          <cell r="I200" t="e">
            <v>#REF!</v>
          </cell>
          <cell r="J200" t="e">
            <v>#REF!</v>
          </cell>
          <cell r="K200" t="e">
            <v>#REF!</v>
          </cell>
          <cell r="L200" t="e">
            <v>#REF!</v>
          </cell>
          <cell r="M200" t="e">
            <v>#REF!</v>
          </cell>
        </row>
        <row r="201">
          <cell r="G201" t="e">
            <v>#REF!</v>
          </cell>
          <cell r="H201" t="e">
            <v>#REF!</v>
          </cell>
          <cell r="I201" t="e">
            <v>#REF!</v>
          </cell>
          <cell r="J201" t="e">
            <v>#REF!</v>
          </cell>
          <cell r="K201" t="e">
            <v>#REF!</v>
          </cell>
          <cell r="L201" t="e">
            <v>#REF!</v>
          </cell>
          <cell r="M201" t="e">
            <v>#REF!</v>
          </cell>
        </row>
        <row r="202">
          <cell r="G202" t="e">
            <v>#REF!</v>
          </cell>
          <cell r="H202" t="e">
            <v>#REF!</v>
          </cell>
          <cell r="I202" t="e">
            <v>#REF!</v>
          </cell>
          <cell r="J202" t="e">
            <v>#REF!</v>
          </cell>
          <cell r="K202" t="e">
            <v>#REF!</v>
          </cell>
          <cell r="L202" t="e">
            <v>#REF!</v>
          </cell>
          <cell r="M202" t="e">
            <v>#REF!</v>
          </cell>
        </row>
        <row r="203">
          <cell r="G203" t="e">
            <v>#REF!</v>
          </cell>
          <cell r="H203" t="e">
            <v>#REF!</v>
          </cell>
          <cell r="I203" t="e">
            <v>#REF!</v>
          </cell>
          <cell r="J203" t="e">
            <v>#REF!</v>
          </cell>
          <cell r="K203" t="e">
            <v>#REF!</v>
          </cell>
          <cell r="L203" t="e">
            <v>#REF!</v>
          </cell>
          <cell r="M203" t="e">
            <v>#REF!</v>
          </cell>
        </row>
        <row r="204">
          <cell r="G204" t="e">
            <v>#REF!</v>
          </cell>
          <cell r="H204" t="e">
            <v>#REF!</v>
          </cell>
          <cell r="I204" t="e">
            <v>#REF!</v>
          </cell>
          <cell r="J204" t="e">
            <v>#REF!</v>
          </cell>
          <cell r="K204" t="e">
            <v>#REF!</v>
          </cell>
          <cell r="L204" t="e">
            <v>#REF!</v>
          </cell>
          <cell r="M204" t="e">
            <v>#REF!</v>
          </cell>
        </row>
        <row r="205">
          <cell r="G205" t="e">
            <v>#REF!</v>
          </cell>
          <cell r="H205" t="e">
            <v>#REF!</v>
          </cell>
          <cell r="I205" t="e">
            <v>#REF!</v>
          </cell>
          <cell r="J205" t="e">
            <v>#REF!</v>
          </cell>
          <cell r="K205" t="e">
            <v>#REF!</v>
          </cell>
          <cell r="L205" t="e">
            <v>#REF!</v>
          </cell>
          <cell r="M205" t="e">
            <v>#REF!</v>
          </cell>
        </row>
        <row r="206">
          <cell r="G206" t="e">
            <v>#REF!</v>
          </cell>
          <cell r="H206" t="e">
            <v>#REF!</v>
          </cell>
          <cell r="I206" t="e">
            <v>#REF!</v>
          </cell>
          <cell r="J206" t="e">
            <v>#REF!</v>
          </cell>
          <cell r="K206" t="e">
            <v>#REF!</v>
          </cell>
          <cell r="L206" t="e">
            <v>#REF!</v>
          </cell>
          <cell r="M206" t="e">
            <v>#REF!</v>
          </cell>
        </row>
        <row r="207">
          <cell r="G207" t="e">
            <v>#REF!</v>
          </cell>
          <cell r="H207" t="e">
            <v>#REF!</v>
          </cell>
          <cell r="I207" t="e">
            <v>#REF!</v>
          </cell>
          <cell r="J207" t="e">
            <v>#REF!</v>
          </cell>
          <cell r="K207" t="e">
            <v>#REF!</v>
          </cell>
          <cell r="L207" t="e">
            <v>#REF!</v>
          </cell>
          <cell r="M207" t="e">
            <v>#REF!</v>
          </cell>
        </row>
        <row r="208">
          <cell r="G208" t="e">
            <v>#REF!</v>
          </cell>
          <cell r="H208" t="e">
            <v>#REF!</v>
          </cell>
          <cell r="I208" t="e">
            <v>#REF!</v>
          </cell>
          <cell r="J208" t="e">
            <v>#REF!</v>
          </cell>
          <cell r="K208" t="e">
            <v>#REF!</v>
          </cell>
          <cell r="L208" t="e">
            <v>#REF!</v>
          </cell>
          <cell r="M208" t="e">
            <v>#REF!</v>
          </cell>
        </row>
        <row r="209">
          <cell r="G209" t="e">
            <v>#REF!</v>
          </cell>
          <cell r="H209" t="e">
            <v>#REF!</v>
          </cell>
          <cell r="I209" t="e">
            <v>#REF!</v>
          </cell>
          <cell r="J209" t="e">
            <v>#REF!</v>
          </cell>
          <cell r="K209" t="e">
            <v>#REF!</v>
          </cell>
          <cell r="L209" t="e">
            <v>#REF!</v>
          </cell>
          <cell r="M209" t="e">
            <v>#REF!</v>
          </cell>
        </row>
        <row r="210">
          <cell r="G210" t="e">
            <v>#REF!</v>
          </cell>
          <cell r="H210" t="e">
            <v>#REF!</v>
          </cell>
          <cell r="I210" t="e">
            <v>#REF!</v>
          </cell>
          <cell r="J210" t="e">
            <v>#REF!</v>
          </cell>
          <cell r="K210" t="e">
            <v>#REF!</v>
          </cell>
          <cell r="L210" t="e">
            <v>#REF!</v>
          </cell>
          <cell r="M210" t="e">
            <v>#REF!</v>
          </cell>
        </row>
        <row r="211">
          <cell r="G211" t="e">
            <v>#REF!</v>
          </cell>
          <cell r="H211" t="e">
            <v>#REF!</v>
          </cell>
          <cell r="I211" t="e">
            <v>#REF!</v>
          </cell>
          <cell r="J211" t="e">
            <v>#REF!</v>
          </cell>
          <cell r="K211" t="e">
            <v>#REF!</v>
          </cell>
          <cell r="L211" t="e">
            <v>#REF!</v>
          </cell>
          <cell r="M211" t="e">
            <v>#REF!</v>
          </cell>
        </row>
        <row r="212">
          <cell r="G212" t="e">
            <v>#REF!</v>
          </cell>
          <cell r="H212" t="e">
            <v>#REF!</v>
          </cell>
          <cell r="I212" t="e">
            <v>#REF!</v>
          </cell>
          <cell r="J212" t="e">
            <v>#REF!</v>
          </cell>
          <cell r="K212" t="e">
            <v>#REF!</v>
          </cell>
          <cell r="L212" t="e">
            <v>#REF!</v>
          </cell>
          <cell r="M212" t="e">
            <v>#REF!</v>
          </cell>
        </row>
        <row r="213">
          <cell r="G213" t="e">
            <v>#REF!</v>
          </cell>
          <cell r="H213" t="e">
            <v>#REF!</v>
          </cell>
          <cell r="I213" t="e">
            <v>#REF!</v>
          </cell>
          <cell r="J213" t="e">
            <v>#REF!</v>
          </cell>
          <cell r="K213" t="e">
            <v>#REF!</v>
          </cell>
          <cell r="L213" t="e">
            <v>#REF!</v>
          </cell>
          <cell r="M213" t="e">
            <v>#REF!</v>
          </cell>
        </row>
        <row r="214">
          <cell r="G214" t="e">
            <v>#REF!</v>
          </cell>
          <cell r="H214" t="e">
            <v>#REF!</v>
          </cell>
          <cell r="I214" t="e">
            <v>#REF!</v>
          </cell>
          <cell r="J214" t="e">
            <v>#REF!</v>
          </cell>
          <cell r="K214" t="e">
            <v>#REF!</v>
          </cell>
          <cell r="L214" t="e">
            <v>#REF!</v>
          </cell>
          <cell r="M214" t="e">
            <v>#REF!</v>
          </cell>
        </row>
        <row r="215">
          <cell r="G215" t="e">
            <v>#REF!</v>
          </cell>
          <cell r="H215" t="e">
            <v>#REF!</v>
          </cell>
          <cell r="I215" t="e">
            <v>#REF!</v>
          </cell>
          <cell r="J215" t="e">
            <v>#REF!</v>
          </cell>
          <cell r="K215" t="e">
            <v>#REF!</v>
          </cell>
          <cell r="L215" t="e">
            <v>#REF!</v>
          </cell>
          <cell r="M215" t="e">
            <v>#REF!</v>
          </cell>
        </row>
        <row r="216">
          <cell r="G216" t="e">
            <v>#REF!</v>
          </cell>
          <cell r="H216" t="e">
            <v>#REF!</v>
          </cell>
          <cell r="I216" t="e">
            <v>#REF!</v>
          </cell>
          <cell r="J216" t="e">
            <v>#REF!</v>
          </cell>
          <cell r="K216" t="e">
            <v>#REF!</v>
          </cell>
          <cell r="L216" t="e">
            <v>#REF!</v>
          </cell>
          <cell r="M216" t="e">
            <v>#REF!</v>
          </cell>
        </row>
        <row r="217">
          <cell r="G217" t="e">
            <v>#REF!</v>
          </cell>
          <cell r="H217" t="e">
            <v>#REF!</v>
          </cell>
          <cell r="I217" t="e">
            <v>#REF!</v>
          </cell>
          <cell r="J217" t="e">
            <v>#REF!</v>
          </cell>
          <cell r="K217" t="e">
            <v>#REF!</v>
          </cell>
          <cell r="L217" t="e">
            <v>#REF!</v>
          </cell>
          <cell r="M217" t="e">
            <v>#REF!</v>
          </cell>
        </row>
        <row r="218">
          <cell r="G218" t="e">
            <v>#REF!</v>
          </cell>
          <cell r="H218" t="e">
            <v>#REF!</v>
          </cell>
          <cell r="I218" t="e">
            <v>#REF!</v>
          </cell>
          <cell r="J218" t="e">
            <v>#REF!</v>
          </cell>
          <cell r="K218" t="e">
            <v>#REF!</v>
          </cell>
          <cell r="L218" t="e">
            <v>#REF!</v>
          </cell>
          <cell r="M218" t="e">
            <v>#REF!</v>
          </cell>
        </row>
        <row r="219">
          <cell r="G219" t="e">
            <v>#REF!</v>
          </cell>
          <cell r="H219" t="e">
            <v>#REF!</v>
          </cell>
          <cell r="I219" t="e">
            <v>#REF!</v>
          </cell>
          <cell r="J219" t="e">
            <v>#REF!</v>
          </cell>
          <cell r="K219" t="e">
            <v>#REF!</v>
          </cell>
          <cell r="L219" t="e">
            <v>#REF!</v>
          </cell>
          <cell r="M219" t="e">
            <v>#REF!</v>
          </cell>
        </row>
        <row r="220">
          <cell r="G220" t="e">
            <v>#REF!</v>
          </cell>
          <cell r="H220" t="e">
            <v>#REF!</v>
          </cell>
          <cell r="I220" t="e">
            <v>#REF!</v>
          </cell>
          <cell r="J220" t="e">
            <v>#REF!</v>
          </cell>
          <cell r="K220" t="e">
            <v>#REF!</v>
          </cell>
          <cell r="L220" t="e">
            <v>#REF!</v>
          </cell>
          <cell r="M220" t="e">
            <v>#REF!</v>
          </cell>
        </row>
        <row r="221">
          <cell r="G221" t="e">
            <v>#REF!</v>
          </cell>
          <cell r="H221" t="e">
            <v>#REF!</v>
          </cell>
          <cell r="I221" t="e">
            <v>#REF!</v>
          </cell>
          <cell r="J221" t="e">
            <v>#REF!</v>
          </cell>
          <cell r="K221" t="e">
            <v>#REF!</v>
          </cell>
          <cell r="L221" t="e">
            <v>#REF!</v>
          </cell>
          <cell r="M221" t="e">
            <v>#REF!</v>
          </cell>
        </row>
        <row r="222">
          <cell r="G222" t="e">
            <v>#REF!</v>
          </cell>
          <cell r="H222" t="e">
            <v>#REF!</v>
          </cell>
          <cell r="I222" t="e">
            <v>#REF!</v>
          </cell>
          <cell r="J222" t="e">
            <v>#REF!</v>
          </cell>
          <cell r="K222" t="e">
            <v>#REF!</v>
          </cell>
          <cell r="L222" t="e">
            <v>#REF!</v>
          </cell>
          <cell r="M222" t="e">
            <v>#REF!</v>
          </cell>
        </row>
        <row r="223">
          <cell r="G223" t="e">
            <v>#REF!</v>
          </cell>
          <cell r="H223" t="e">
            <v>#REF!</v>
          </cell>
          <cell r="I223" t="e">
            <v>#REF!</v>
          </cell>
          <cell r="J223" t="e">
            <v>#REF!</v>
          </cell>
          <cell r="K223" t="e">
            <v>#REF!</v>
          </cell>
          <cell r="L223" t="e">
            <v>#REF!</v>
          </cell>
          <cell r="M223" t="e">
            <v>#REF!</v>
          </cell>
        </row>
        <row r="224">
          <cell r="G224" t="e">
            <v>#REF!</v>
          </cell>
          <cell r="H224" t="e">
            <v>#REF!</v>
          </cell>
          <cell r="I224" t="e">
            <v>#REF!</v>
          </cell>
          <cell r="J224" t="e">
            <v>#REF!</v>
          </cell>
          <cell r="K224" t="e">
            <v>#REF!</v>
          </cell>
          <cell r="L224" t="e">
            <v>#REF!</v>
          </cell>
          <cell r="M224" t="e">
            <v>#REF!</v>
          </cell>
        </row>
        <row r="225">
          <cell r="G225" t="e">
            <v>#REF!</v>
          </cell>
          <cell r="H225" t="e">
            <v>#REF!</v>
          </cell>
          <cell r="I225" t="e">
            <v>#REF!</v>
          </cell>
          <cell r="J225" t="e">
            <v>#REF!</v>
          </cell>
          <cell r="K225" t="e">
            <v>#REF!</v>
          </cell>
          <cell r="L225" t="e">
            <v>#REF!</v>
          </cell>
          <cell r="M225" t="e">
            <v>#REF!</v>
          </cell>
        </row>
        <row r="226">
          <cell r="G226" t="e">
            <v>#REF!</v>
          </cell>
          <cell r="H226" t="e">
            <v>#REF!</v>
          </cell>
          <cell r="I226" t="e">
            <v>#REF!</v>
          </cell>
          <cell r="J226" t="e">
            <v>#REF!</v>
          </cell>
          <cell r="K226" t="e">
            <v>#REF!</v>
          </cell>
          <cell r="L226" t="e">
            <v>#REF!</v>
          </cell>
          <cell r="M226" t="e">
            <v>#REF!</v>
          </cell>
        </row>
        <row r="227">
          <cell r="G227" t="e">
            <v>#REF!</v>
          </cell>
          <cell r="H227" t="e">
            <v>#REF!</v>
          </cell>
          <cell r="I227" t="e">
            <v>#REF!</v>
          </cell>
          <cell r="J227" t="e">
            <v>#REF!</v>
          </cell>
          <cell r="K227" t="e">
            <v>#REF!</v>
          </cell>
          <cell r="L227" t="e">
            <v>#REF!</v>
          </cell>
          <cell r="M227" t="e">
            <v>#REF!</v>
          </cell>
        </row>
        <row r="228">
          <cell r="G228" t="e">
            <v>#REF!</v>
          </cell>
          <cell r="H228" t="e">
            <v>#REF!</v>
          </cell>
          <cell r="I228" t="e">
            <v>#REF!</v>
          </cell>
          <cell r="J228" t="e">
            <v>#REF!</v>
          </cell>
          <cell r="K228" t="e">
            <v>#REF!</v>
          </cell>
          <cell r="L228" t="e">
            <v>#REF!</v>
          </cell>
          <cell r="M228" t="e">
            <v>#REF!</v>
          </cell>
        </row>
        <row r="229">
          <cell r="G229" t="e">
            <v>#REF!</v>
          </cell>
          <cell r="H229" t="e">
            <v>#REF!</v>
          </cell>
          <cell r="I229" t="e">
            <v>#REF!</v>
          </cell>
          <cell r="J229" t="e">
            <v>#REF!</v>
          </cell>
          <cell r="K229" t="e">
            <v>#REF!</v>
          </cell>
          <cell r="L229" t="e">
            <v>#REF!</v>
          </cell>
          <cell r="M229" t="e">
            <v>#REF!</v>
          </cell>
        </row>
        <row r="230">
          <cell r="G230" t="e">
            <v>#REF!</v>
          </cell>
          <cell r="H230" t="e">
            <v>#REF!</v>
          </cell>
          <cell r="I230" t="e">
            <v>#REF!</v>
          </cell>
          <cell r="J230" t="e">
            <v>#REF!</v>
          </cell>
          <cell r="K230" t="e">
            <v>#REF!</v>
          </cell>
          <cell r="L230" t="e">
            <v>#REF!</v>
          </cell>
          <cell r="M230" t="e">
            <v>#REF!</v>
          </cell>
        </row>
        <row r="231">
          <cell r="G231" t="e">
            <v>#REF!</v>
          </cell>
          <cell r="H231" t="e">
            <v>#REF!</v>
          </cell>
          <cell r="I231" t="e">
            <v>#REF!</v>
          </cell>
          <cell r="J231" t="e">
            <v>#REF!</v>
          </cell>
          <cell r="K231" t="e">
            <v>#REF!</v>
          </cell>
          <cell r="L231" t="e">
            <v>#REF!</v>
          </cell>
          <cell r="M231" t="e">
            <v>#REF!</v>
          </cell>
        </row>
        <row r="232">
          <cell r="G232" t="e">
            <v>#REF!</v>
          </cell>
          <cell r="H232" t="e">
            <v>#REF!</v>
          </cell>
          <cell r="I232" t="e">
            <v>#REF!</v>
          </cell>
          <cell r="J232" t="e">
            <v>#REF!</v>
          </cell>
          <cell r="K232" t="e">
            <v>#REF!</v>
          </cell>
          <cell r="L232" t="e">
            <v>#REF!</v>
          </cell>
          <cell r="M232" t="e">
            <v>#REF!</v>
          </cell>
        </row>
        <row r="233">
          <cell r="G233" t="e">
            <v>#REF!</v>
          </cell>
          <cell r="H233" t="e">
            <v>#REF!</v>
          </cell>
          <cell r="I233" t="e">
            <v>#REF!</v>
          </cell>
          <cell r="J233" t="e">
            <v>#REF!</v>
          </cell>
          <cell r="K233" t="e">
            <v>#REF!</v>
          </cell>
          <cell r="L233" t="e">
            <v>#REF!</v>
          </cell>
          <cell r="M233" t="e">
            <v>#REF!</v>
          </cell>
        </row>
        <row r="234">
          <cell r="G234" t="e">
            <v>#REF!</v>
          </cell>
          <cell r="H234" t="e">
            <v>#REF!</v>
          </cell>
          <cell r="I234" t="e">
            <v>#REF!</v>
          </cell>
          <cell r="J234" t="e">
            <v>#REF!</v>
          </cell>
          <cell r="K234" t="e">
            <v>#REF!</v>
          </cell>
          <cell r="L234" t="e">
            <v>#REF!</v>
          </cell>
          <cell r="M234" t="e">
            <v>#REF!</v>
          </cell>
        </row>
        <row r="235">
          <cell r="G235" t="e">
            <v>#REF!</v>
          </cell>
          <cell r="H235" t="e">
            <v>#REF!</v>
          </cell>
          <cell r="I235" t="e">
            <v>#REF!</v>
          </cell>
          <cell r="J235" t="e">
            <v>#REF!</v>
          </cell>
          <cell r="K235" t="e">
            <v>#REF!</v>
          </cell>
          <cell r="L235" t="e">
            <v>#REF!</v>
          </cell>
          <cell r="M235" t="e">
            <v>#REF!</v>
          </cell>
        </row>
        <row r="236">
          <cell r="G236" t="e">
            <v>#REF!</v>
          </cell>
          <cell r="H236" t="e">
            <v>#REF!</v>
          </cell>
          <cell r="I236" t="e">
            <v>#REF!</v>
          </cell>
          <cell r="J236" t="e">
            <v>#REF!</v>
          </cell>
          <cell r="K236" t="e">
            <v>#REF!</v>
          </cell>
          <cell r="L236" t="e">
            <v>#REF!</v>
          </cell>
          <cell r="M236" t="e">
            <v>#REF!</v>
          </cell>
        </row>
        <row r="237">
          <cell r="G237" t="e">
            <v>#REF!</v>
          </cell>
          <cell r="H237" t="e">
            <v>#REF!</v>
          </cell>
          <cell r="I237" t="e">
            <v>#REF!</v>
          </cell>
          <cell r="J237" t="e">
            <v>#REF!</v>
          </cell>
          <cell r="K237" t="e">
            <v>#REF!</v>
          </cell>
          <cell r="L237" t="e">
            <v>#REF!</v>
          </cell>
          <cell r="M237" t="e">
            <v>#REF!</v>
          </cell>
        </row>
        <row r="238">
          <cell r="G238" t="e">
            <v>#REF!</v>
          </cell>
          <cell r="H238" t="e">
            <v>#REF!</v>
          </cell>
          <cell r="I238" t="e">
            <v>#REF!</v>
          </cell>
          <cell r="J238" t="e">
            <v>#REF!</v>
          </cell>
          <cell r="K238" t="e">
            <v>#REF!</v>
          </cell>
          <cell r="L238" t="e">
            <v>#REF!</v>
          </cell>
          <cell r="M238" t="e">
            <v>#REF!</v>
          </cell>
        </row>
        <row r="239">
          <cell r="G239" t="e">
            <v>#REF!</v>
          </cell>
          <cell r="H239" t="e">
            <v>#REF!</v>
          </cell>
          <cell r="I239" t="e">
            <v>#REF!</v>
          </cell>
          <cell r="J239" t="e">
            <v>#REF!</v>
          </cell>
          <cell r="K239" t="e">
            <v>#REF!</v>
          </cell>
          <cell r="L239" t="e">
            <v>#REF!</v>
          </cell>
          <cell r="M239" t="e">
            <v>#REF!</v>
          </cell>
        </row>
        <row r="240">
          <cell r="G240" t="e">
            <v>#REF!</v>
          </cell>
          <cell r="H240" t="e">
            <v>#REF!</v>
          </cell>
          <cell r="I240" t="e">
            <v>#REF!</v>
          </cell>
          <cell r="J240" t="e">
            <v>#REF!</v>
          </cell>
          <cell r="K240" t="e">
            <v>#REF!</v>
          </cell>
          <cell r="L240" t="e">
            <v>#REF!</v>
          </cell>
          <cell r="M240" t="e">
            <v>#REF!</v>
          </cell>
        </row>
        <row r="241">
          <cell r="G241" t="e">
            <v>#REF!</v>
          </cell>
          <cell r="H241" t="e">
            <v>#REF!</v>
          </cell>
          <cell r="I241" t="e">
            <v>#REF!</v>
          </cell>
          <cell r="J241" t="e">
            <v>#REF!</v>
          </cell>
          <cell r="K241" t="e">
            <v>#REF!</v>
          </cell>
          <cell r="L241" t="e">
            <v>#REF!</v>
          </cell>
          <cell r="M241" t="e">
            <v>#REF!</v>
          </cell>
        </row>
        <row r="242">
          <cell r="G242" t="e">
            <v>#REF!</v>
          </cell>
          <cell r="H242" t="e">
            <v>#REF!</v>
          </cell>
          <cell r="I242" t="e">
            <v>#REF!</v>
          </cell>
          <cell r="J242" t="e">
            <v>#REF!</v>
          </cell>
          <cell r="K242" t="e">
            <v>#REF!</v>
          </cell>
          <cell r="L242" t="e">
            <v>#REF!</v>
          </cell>
          <cell r="M242" t="e">
            <v>#REF!</v>
          </cell>
        </row>
        <row r="243">
          <cell r="G243" t="e">
            <v>#REF!</v>
          </cell>
          <cell r="H243" t="e">
            <v>#REF!</v>
          </cell>
          <cell r="I243" t="e">
            <v>#REF!</v>
          </cell>
          <cell r="J243" t="e">
            <v>#REF!</v>
          </cell>
          <cell r="K243" t="e">
            <v>#REF!</v>
          </cell>
          <cell r="L243" t="e">
            <v>#REF!</v>
          </cell>
          <cell r="M243" t="e">
            <v>#REF!</v>
          </cell>
        </row>
        <row r="244">
          <cell r="G244" t="e">
            <v>#REF!</v>
          </cell>
          <cell r="H244" t="e">
            <v>#REF!</v>
          </cell>
          <cell r="I244" t="e">
            <v>#REF!</v>
          </cell>
          <cell r="J244" t="e">
            <v>#REF!</v>
          </cell>
          <cell r="K244" t="e">
            <v>#REF!</v>
          </cell>
          <cell r="L244" t="e">
            <v>#REF!</v>
          </cell>
          <cell r="M244" t="e">
            <v>#REF!</v>
          </cell>
        </row>
        <row r="245">
          <cell r="G245" t="e">
            <v>#REF!</v>
          </cell>
          <cell r="H245" t="e">
            <v>#REF!</v>
          </cell>
          <cell r="I245" t="e">
            <v>#REF!</v>
          </cell>
          <cell r="J245" t="e">
            <v>#REF!</v>
          </cell>
          <cell r="K245" t="e">
            <v>#REF!</v>
          </cell>
          <cell r="L245" t="e">
            <v>#REF!</v>
          </cell>
          <cell r="M245" t="e">
            <v>#REF!</v>
          </cell>
        </row>
        <row r="246">
          <cell r="G246" t="e">
            <v>#REF!</v>
          </cell>
          <cell r="H246" t="e">
            <v>#REF!</v>
          </cell>
          <cell r="I246" t="e">
            <v>#REF!</v>
          </cell>
          <cell r="J246" t="e">
            <v>#REF!</v>
          </cell>
          <cell r="K246" t="e">
            <v>#REF!</v>
          </cell>
          <cell r="L246" t="e">
            <v>#REF!</v>
          </cell>
          <cell r="M246" t="e">
            <v>#REF!</v>
          </cell>
        </row>
        <row r="247">
          <cell r="G247" t="e">
            <v>#REF!</v>
          </cell>
          <cell r="H247" t="e">
            <v>#REF!</v>
          </cell>
          <cell r="I247" t="e">
            <v>#REF!</v>
          </cell>
          <cell r="J247" t="e">
            <v>#REF!</v>
          </cell>
          <cell r="K247" t="e">
            <v>#REF!</v>
          </cell>
          <cell r="L247" t="e">
            <v>#REF!</v>
          </cell>
          <cell r="M247" t="e">
            <v>#REF!</v>
          </cell>
        </row>
        <row r="248">
          <cell r="G248" t="e">
            <v>#REF!</v>
          </cell>
          <cell r="H248" t="e">
            <v>#REF!</v>
          </cell>
          <cell r="I248" t="e">
            <v>#REF!</v>
          </cell>
          <cell r="J248" t="e">
            <v>#REF!</v>
          </cell>
          <cell r="K248" t="e">
            <v>#REF!</v>
          </cell>
          <cell r="L248" t="e">
            <v>#REF!</v>
          </cell>
          <cell r="M248" t="e">
            <v>#REF!</v>
          </cell>
        </row>
        <row r="249">
          <cell r="G249" t="e">
            <v>#REF!</v>
          </cell>
          <cell r="H249" t="e">
            <v>#REF!</v>
          </cell>
          <cell r="I249" t="e">
            <v>#REF!</v>
          </cell>
          <cell r="J249" t="e">
            <v>#REF!</v>
          </cell>
          <cell r="K249" t="e">
            <v>#REF!</v>
          </cell>
          <cell r="L249" t="e">
            <v>#REF!</v>
          </cell>
          <cell r="M249" t="e">
            <v>#REF!</v>
          </cell>
        </row>
        <row r="250">
          <cell r="G250" t="e">
            <v>#REF!</v>
          </cell>
          <cell r="H250" t="e">
            <v>#REF!</v>
          </cell>
          <cell r="I250" t="e">
            <v>#REF!</v>
          </cell>
          <cell r="J250" t="e">
            <v>#REF!</v>
          </cell>
          <cell r="K250" t="e">
            <v>#REF!</v>
          </cell>
          <cell r="L250" t="e">
            <v>#REF!</v>
          </cell>
          <cell r="M250" t="e">
            <v>#REF!</v>
          </cell>
        </row>
        <row r="251">
          <cell r="G251" t="e">
            <v>#REF!</v>
          </cell>
          <cell r="H251" t="e">
            <v>#REF!</v>
          </cell>
          <cell r="I251" t="e">
            <v>#REF!</v>
          </cell>
          <cell r="J251" t="e">
            <v>#REF!</v>
          </cell>
          <cell r="K251" t="e">
            <v>#REF!</v>
          </cell>
          <cell r="L251" t="e">
            <v>#REF!</v>
          </cell>
          <cell r="M251" t="e">
            <v>#REF!</v>
          </cell>
        </row>
        <row r="252">
          <cell r="G252" t="e">
            <v>#REF!</v>
          </cell>
          <cell r="H252" t="e">
            <v>#REF!</v>
          </cell>
          <cell r="I252" t="e">
            <v>#REF!</v>
          </cell>
          <cell r="J252" t="e">
            <v>#REF!</v>
          </cell>
          <cell r="K252" t="e">
            <v>#REF!</v>
          </cell>
          <cell r="L252" t="e">
            <v>#REF!</v>
          </cell>
          <cell r="M252" t="e">
            <v>#REF!</v>
          </cell>
        </row>
        <row r="253">
          <cell r="G253" t="e">
            <v>#REF!</v>
          </cell>
          <cell r="H253" t="e">
            <v>#REF!</v>
          </cell>
          <cell r="I253" t="e">
            <v>#REF!</v>
          </cell>
          <cell r="J253" t="e">
            <v>#REF!</v>
          </cell>
          <cell r="K253" t="e">
            <v>#REF!</v>
          </cell>
          <cell r="L253" t="e">
            <v>#REF!</v>
          </cell>
          <cell r="M253" t="e">
            <v>#REF!</v>
          </cell>
        </row>
        <row r="254">
          <cell r="G254" t="e">
            <v>#REF!</v>
          </cell>
          <cell r="H254" t="e">
            <v>#REF!</v>
          </cell>
          <cell r="I254" t="e">
            <v>#REF!</v>
          </cell>
          <cell r="J254" t="e">
            <v>#REF!</v>
          </cell>
          <cell r="K254" t="e">
            <v>#REF!</v>
          </cell>
          <cell r="L254" t="e">
            <v>#REF!</v>
          </cell>
          <cell r="M254" t="e">
            <v>#REF!</v>
          </cell>
        </row>
        <row r="255">
          <cell r="G255" t="e">
            <v>#REF!</v>
          </cell>
          <cell r="H255" t="e">
            <v>#REF!</v>
          </cell>
          <cell r="I255" t="e">
            <v>#REF!</v>
          </cell>
          <cell r="J255" t="e">
            <v>#REF!</v>
          </cell>
          <cell r="K255" t="e">
            <v>#REF!</v>
          </cell>
          <cell r="L255" t="e">
            <v>#REF!</v>
          </cell>
          <cell r="M255" t="e">
            <v>#REF!</v>
          </cell>
        </row>
        <row r="256">
          <cell r="G256" t="e">
            <v>#REF!</v>
          </cell>
          <cell r="H256" t="e">
            <v>#REF!</v>
          </cell>
          <cell r="I256" t="e">
            <v>#REF!</v>
          </cell>
          <cell r="J256" t="e">
            <v>#REF!</v>
          </cell>
          <cell r="K256" t="e">
            <v>#REF!</v>
          </cell>
          <cell r="L256" t="e">
            <v>#REF!</v>
          </cell>
          <cell r="M256" t="e">
            <v>#REF!</v>
          </cell>
        </row>
        <row r="257">
          <cell r="G257" t="e">
            <v>#REF!</v>
          </cell>
          <cell r="H257" t="e">
            <v>#REF!</v>
          </cell>
          <cell r="I257" t="e">
            <v>#REF!</v>
          </cell>
          <cell r="J257" t="e">
            <v>#REF!</v>
          </cell>
          <cell r="K257" t="e">
            <v>#REF!</v>
          </cell>
          <cell r="L257" t="e">
            <v>#REF!</v>
          </cell>
          <cell r="M257" t="e">
            <v>#REF!</v>
          </cell>
        </row>
        <row r="258">
          <cell r="G258" t="e">
            <v>#REF!</v>
          </cell>
          <cell r="H258" t="e">
            <v>#REF!</v>
          </cell>
          <cell r="I258" t="e">
            <v>#REF!</v>
          </cell>
          <cell r="J258" t="e">
            <v>#REF!</v>
          </cell>
          <cell r="K258" t="e">
            <v>#REF!</v>
          </cell>
          <cell r="L258" t="e">
            <v>#REF!</v>
          </cell>
          <cell r="M258" t="e">
            <v>#REF!</v>
          </cell>
        </row>
        <row r="259">
          <cell r="G259" t="e">
            <v>#REF!</v>
          </cell>
          <cell r="H259" t="e">
            <v>#REF!</v>
          </cell>
          <cell r="I259" t="e">
            <v>#REF!</v>
          </cell>
          <cell r="J259" t="e">
            <v>#REF!</v>
          </cell>
          <cell r="K259" t="e">
            <v>#REF!</v>
          </cell>
          <cell r="L259" t="e">
            <v>#REF!</v>
          </cell>
          <cell r="M259" t="e">
            <v>#REF!</v>
          </cell>
        </row>
        <row r="260">
          <cell r="G260" t="e">
            <v>#REF!</v>
          </cell>
          <cell r="H260" t="e">
            <v>#REF!</v>
          </cell>
          <cell r="I260" t="e">
            <v>#REF!</v>
          </cell>
          <cell r="J260" t="e">
            <v>#REF!</v>
          </cell>
          <cell r="K260" t="e">
            <v>#REF!</v>
          </cell>
          <cell r="L260" t="e">
            <v>#REF!</v>
          </cell>
          <cell r="M260" t="e">
            <v>#REF!</v>
          </cell>
        </row>
        <row r="261">
          <cell r="G261" t="e">
            <v>#REF!</v>
          </cell>
          <cell r="H261" t="e">
            <v>#REF!</v>
          </cell>
          <cell r="I261" t="e">
            <v>#REF!</v>
          </cell>
          <cell r="J261" t="e">
            <v>#REF!</v>
          </cell>
          <cell r="K261" t="e">
            <v>#REF!</v>
          </cell>
          <cell r="L261" t="e">
            <v>#REF!</v>
          </cell>
          <cell r="M261" t="e">
            <v>#REF!</v>
          </cell>
        </row>
        <row r="262">
          <cell r="G262" t="e">
            <v>#REF!</v>
          </cell>
          <cell r="H262" t="e">
            <v>#REF!</v>
          </cell>
          <cell r="I262" t="e">
            <v>#REF!</v>
          </cell>
          <cell r="J262" t="e">
            <v>#REF!</v>
          </cell>
          <cell r="K262" t="e">
            <v>#REF!</v>
          </cell>
          <cell r="L262" t="e">
            <v>#REF!</v>
          </cell>
          <cell r="M262" t="e">
            <v>#REF!</v>
          </cell>
        </row>
        <row r="263">
          <cell r="G263" t="e">
            <v>#REF!</v>
          </cell>
          <cell r="H263" t="e">
            <v>#REF!</v>
          </cell>
          <cell r="I263" t="e">
            <v>#REF!</v>
          </cell>
          <cell r="J263" t="e">
            <v>#REF!</v>
          </cell>
          <cell r="K263" t="e">
            <v>#REF!</v>
          </cell>
          <cell r="L263" t="e">
            <v>#REF!</v>
          </cell>
          <cell r="M263" t="e">
            <v>#REF!</v>
          </cell>
        </row>
        <row r="264">
          <cell r="G264" t="e">
            <v>#REF!</v>
          </cell>
          <cell r="H264" t="e">
            <v>#REF!</v>
          </cell>
          <cell r="I264" t="e">
            <v>#REF!</v>
          </cell>
          <cell r="J264" t="e">
            <v>#REF!</v>
          </cell>
          <cell r="K264" t="e">
            <v>#REF!</v>
          </cell>
          <cell r="L264" t="e">
            <v>#REF!</v>
          </cell>
          <cell r="M264" t="e">
            <v>#REF!</v>
          </cell>
        </row>
        <row r="265">
          <cell r="G265" t="e">
            <v>#REF!</v>
          </cell>
          <cell r="H265" t="e">
            <v>#REF!</v>
          </cell>
          <cell r="I265" t="e">
            <v>#REF!</v>
          </cell>
          <cell r="J265" t="e">
            <v>#REF!</v>
          </cell>
          <cell r="K265" t="e">
            <v>#REF!</v>
          </cell>
          <cell r="L265" t="e">
            <v>#REF!</v>
          </cell>
          <cell r="M265" t="e">
            <v>#REF!</v>
          </cell>
        </row>
        <row r="266">
          <cell r="G266" t="e">
            <v>#REF!</v>
          </cell>
          <cell r="H266" t="e">
            <v>#REF!</v>
          </cell>
          <cell r="I266" t="e">
            <v>#REF!</v>
          </cell>
          <cell r="J266" t="e">
            <v>#REF!</v>
          </cell>
          <cell r="K266" t="e">
            <v>#REF!</v>
          </cell>
          <cell r="L266" t="e">
            <v>#REF!</v>
          </cell>
          <cell r="M266" t="e">
            <v>#REF!</v>
          </cell>
        </row>
        <row r="267">
          <cell r="G267" t="e">
            <v>#REF!</v>
          </cell>
          <cell r="H267" t="e">
            <v>#REF!</v>
          </cell>
          <cell r="I267" t="e">
            <v>#REF!</v>
          </cell>
          <cell r="J267" t="e">
            <v>#REF!</v>
          </cell>
          <cell r="K267" t="e">
            <v>#REF!</v>
          </cell>
          <cell r="L267" t="e">
            <v>#REF!</v>
          </cell>
          <cell r="M267" t="e">
            <v>#REF!</v>
          </cell>
        </row>
        <row r="268">
          <cell r="G268" t="e">
            <v>#REF!</v>
          </cell>
          <cell r="H268" t="e">
            <v>#REF!</v>
          </cell>
          <cell r="I268" t="e">
            <v>#REF!</v>
          </cell>
          <cell r="J268" t="e">
            <v>#REF!</v>
          </cell>
          <cell r="K268" t="e">
            <v>#REF!</v>
          </cell>
          <cell r="L268" t="e">
            <v>#REF!</v>
          </cell>
          <cell r="M268" t="e">
            <v>#REF!</v>
          </cell>
        </row>
        <row r="269">
          <cell r="G269" t="e">
            <v>#REF!</v>
          </cell>
          <cell r="H269" t="e">
            <v>#REF!</v>
          </cell>
          <cell r="I269" t="e">
            <v>#REF!</v>
          </cell>
          <cell r="J269" t="e">
            <v>#REF!</v>
          </cell>
          <cell r="K269" t="e">
            <v>#REF!</v>
          </cell>
          <cell r="L269" t="e">
            <v>#REF!</v>
          </cell>
          <cell r="M269" t="e">
            <v>#REF!</v>
          </cell>
        </row>
        <row r="270">
          <cell r="G270" t="e">
            <v>#REF!</v>
          </cell>
          <cell r="H270" t="e">
            <v>#REF!</v>
          </cell>
          <cell r="I270" t="e">
            <v>#REF!</v>
          </cell>
          <cell r="J270" t="e">
            <v>#REF!</v>
          </cell>
          <cell r="K270" t="e">
            <v>#REF!</v>
          </cell>
          <cell r="L270" t="e">
            <v>#REF!</v>
          </cell>
          <cell r="M270" t="e">
            <v>#REF!</v>
          </cell>
        </row>
        <row r="271">
          <cell r="G271" t="e">
            <v>#REF!</v>
          </cell>
          <cell r="H271" t="e">
            <v>#REF!</v>
          </cell>
          <cell r="I271" t="e">
            <v>#REF!</v>
          </cell>
          <cell r="J271" t="e">
            <v>#REF!</v>
          </cell>
          <cell r="K271" t="e">
            <v>#REF!</v>
          </cell>
          <cell r="L271" t="e">
            <v>#REF!</v>
          </cell>
          <cell r="M271" t="e">
            <v>#REF!</v>
          </cell>
        </row>
        <row r="272">
          <cell r="G272" t="e">
            <v>#REF!</v>
          </cell>
          <cell r="H272" t="e">
            <v>#REF!</v>
          </cell>
          <cell r="I272" t="e">
            <v>#REF!</v>
          </cell>
          <cell r="J272" t="e">
            <v>#REF!</v>
          </cell>
          <cell r="K272" t="e">
            <v>#REF!</v>
          </cell>
          <cell r="L272" t="e">
            <v>#REF!</v>
          </cell>
          <cell r="M272" t="e">
            <v>#REF!</v>
          </cell>
        </row>
        <row r="273">
          <cell r="G273" t="e">
            <v>#REF!</v>
          </cell>
          <cell r="H273" t="e">
            <v>#REF!</v>
          </cell>
          <cell r="I273" t="e">
            <v>#REF!</v>
          </cell>
          <cell r="J273" t="e">
            <v>#REF!</v>
          </cell>
          <cell r="K273" t="e">
            <v>#REF!</v>
          </cell>
          <cell r="L273" t="e">
            <v>#REF!</v>
          </cell>
          <cell r="M273" t="e">
            <v>#REF!</v>
          </cell>
        </row>
        <row r="274">
          <cell r="G274" t="e">
            <v>#REF!</v>
          </cell>
          <cell r="H274" t="e">
            <v>#REF!</v>
          </cell>
          <cell r="I274" t="e">
            <v>#REF!</v>
          </cell>
          <cell r="J274" t="e">
            <v>#REF!</v>
          </cell>
          <cell r="K274" t="e">
            <v>#REF!</v>
          </cell>
          <cell r="L274" t="e">
            <v>#REF!</v>
          </cell>
          <cell r="M274" t="e">
            <v>#REF!</v>
          </cell>
        </row>
        <row r="275">
          <cell r="G275" t="e">
            <v>#REF!</v>
          </cell>
          <cell r="H275" t="e">
            <v>#REF!</v>
          </cell>
          <cell r="I275" t="e">
            <v>#REF!</v>
          </cell>
          <cell r="J275" t="e">
            <v>#REF!</v>
          </cell>
          <cell r="K275" t="e">
            <v>#REF!</v>
          </cell>
          <cell r="L275" t="e">
            <v>#REF!</v>
          </cell>
          <cell r="M275" t="e">
            <v>#REF!</v>
          </cell>
        </row>
        <row r="276">
          <cell r="G276" t="e">
            <v>#REF!</v>
          </cell>
          <cell r="H276" t="e">
            <v>#REF!</v>
          </cell>
          <cell r="I276" t="e">
            <v>#REF!</v>
          </cell>
          <cell r="J276" t="e">
            <v>#REF!</v>
          </cell>
          <cell r="K276" t="e">
            <v>#REF!</v>
          </cell>
          <cell r="L276" t="e">
            <v>#REF!</v>
          </cell>
          <cell r="M276" t="e">
            <v>#REF!</v>
          </cell>
        </row>
        <row r="277">
          <cell r="G277" t="e">
            <v>#REF!</v>
          </cell>
          <cell r="H277" t="e">
            <v>#REF!</v>
          </cell>
          <cell r="I277" t="e">
            <v>#REF!</v>
          </cell>
          <cell r="J277" t="e">
            <v>#REF!</v>
          </cell>
          <cell r="K277" t="e">
            <v>#REF!</v>
          </cell>
          <cell r="L277" t="e">
            <v>#REF!</v>
          </cell>
          <cell r="M277" t="e">
            <v>#REF!</v>
          </cell>
        </row>
        <row r="278">
          <cell r="G278" t="e">
            <v>#REF!</v>
          </cell>
          <cell r="H278" t="e">
            <v>#REF!</v>
          </cell>
          <cell r="I278" t="e">
            <v>#REF!</v>
          </cell>
          <cell r="J278" t="e">
            <v>#REF!</v>
          </cell>
          <cell r="K278" t="e">
            <v>#REF!</v>
          </cell>
          <cell r="L278" t="e">
            <v>#REF!</v>
          </cell>
          <cell r="M278" t="e">
            <v>#REF!</v>
          </cell>
        </row>
        <row r="279">
          <cell r="G279" t="e">
            <v>#REF!</v>
          </cell>
          <cell r="H279" t="e">
            <v>#REF!</v>
          </cell>
          <cell r="I279" t="e">
            <v>#REF!</v>
          </cell>
          <cell r="J279" t="e">
            <v>#REF!</v>
          </cell>
          <cell r="K279" t="e">
            <v>#REF!</v>
          </cell>
          <cell r="L279" t="e">
            <v>#REF!</v>
          </cell>
          <cell r="M279" t="e">
            <v>#REF!</v>
          </cell>
        </row>
        <row r="280">
          <cell r="G280" t="e">
            <v>#REF!</v>
          </cell>
          <cell r="H280" t="e">
            <v>#REF!</v>
          </cell>
          <cell r="I280" t="e">
            <v>#REF!</v>
          </cell>
          <cell r="J280" t="e">
            <v>#REF!</v>
          </cell>
          <cell r="K280" t="e">
            <v>#REF!</v>
          </cell>
          <cell r="L280" t="e">
            <v>#REF!</v>
          </cell>
          <cell r="M280" t="e">
            <v>#REF!</v>
          </cell>
        </row>
        <row r="281">
          <cell r="G281" t="e">
            <v>#REF!</v>
          </cell>
          <cell r="H281" t="e">
            <v>#REF!</v>
          </cell>
          <cell r="I281" t="e">
            <v>#REF!</v>
          </cell>
          <cell r="J281" t="e">
            <v>#REF!</v>
          </cell>
          <cell r="K281" t="e">
            <v>#REF!</v>
          </cell>
          <cell r="L281" t="e">
            <v>#REF!</v>
          </cell>
          <cell r="M281" t="e">
            <v>#REF!</v>
          </cell>
        </row>
        <row r="282">
          <cell r="G282" t="e">
            <v>#REF!</v>
          </cell>
          <cell r="H282" t="e">
            <v>#REF!</v>
          </cell>
          <cell r="I282" t="e">
            <v>#REF!</v>
          </cell>
          <cell r="J282" t="e">
            <v>#REF!</v>
          </cell>
          <cell r="K282" t="e">
            <v>#REF!</v>
          </cell>
          <cell r="L282" t="e">
            <v>#REF!</v>
          </cell>
          <cell r="M282" t="e">
            <v>#REF!</v>
          </cell>
        </row>
        <row r="283">
          <cell r="G283" t="e">
            <v>#REF!</v>
          </cell>
          <cell r="H283" t="e">
            <v>#REF!</v>
          </cell>
          <cell r="I283" t="e">
            <v>#REF!</v>
          </cell>
          <cell r="J283" t="e">
            <v>#REF!</v>
          </cell>
          <cell r="K283" t="e">
            <v>#REF!</v>
          </cell>
          <cell r="L283" t="e">
            <v>#REF!</v>
          </cell>
          <cell r="M283" t="e">
            <v>#REF!</v>
          </cell>
        </row>
        <row r="284">
          <cell r="G284" t="e">
            <v>#REF!</v>
          </cell>
          <cell r="H284" t="e">
            <v>#REF!</v>
          </cell>
          <cell r="I284" t="e">
            <v>#REF!</v>
          </cell>
          <cell r="J284" t="e">
            <v>#REF!</v>
          </cell>
          <cell r="K284" t="e">
            <v>#REF!</v>
          </cell>
          <cell r="L284" t="e">
            <v>#REF!</v>
          </cell>
          <cell r="M284" t="e">
            <v>#REF!</v>
          </cell>
        </row>
        <row r="285">
          <cell r="G285" t="e">
            <v>#REF!</v>
          </cell>
          <cell r="H285" t="e">
            <v>#REF!</v>
          </cell>
          <cell r="I285" t="e">
            <v>#REF!</v>
          </cell>
          <cell r="J285" t="e">
            <v>#REF!</v>
          </cell>
          <cell r="K285" t="e">
            <v>#REF!</v>
          </cell>
          <cell r="L285" t="e">
            <v>#REF!</v>
          </cell>
          <cell r="M285" t="e">
            <v>#REF!</v>
          </cell>
        </row>
        <row r="286">
          <cell r="G286" t="e">
            <v>#REF!</v>
          </cell>
          <cell r="H286" t="e">
            <v>#REF!</v>
          </cell>
          <cell r="I286" t="e">
            <v>#REF!</v>
          </cell>
          <cell r="J286" t="e">
            <v>#REF!</v>
          </cell>
          <cell r="K286" t="e">
            <v>#REF!</v>
          </cell>
          <cell r="L286" t="e">
            <v>#REF!</v>
          </cell>
          <cell r="M286" t="e">
            <v>#REF!</v>
          </cell>
        </row>
        <row r="287">
          <cell r="G287" t="e">
            <v>#REF!</v>
          </cell>
          <cell r="H287" t="e">
            <v>#REF!</v>
          </cell>
          <cell r="I287" t="e">
            <v>#REF!</v>
          </cell>
          <cell r="J287" t="e">
            <v>#REF!</v>
          </cell>
          <cell r="K287" t="e">
            <v>#REF!</v>
          </cell>
          <cell r="L287" t="e">
            <v>#REF!</v>
          </cell>
          <cell r="M287" t="e">
            <v>#REF!</v>
          </cell>
        </row>
        <row r="288">
          <cell r="G288" t="e">
            <v>#REF!</v>
          </cell>
          <cell r="H288" t="e">
            <v>#REF!</v>
          </cell>
          <cell r="I288" t="e">
            <v>#REF!</v>
          </cell>
          <cell r="J288" t="e">
            <v>#REF!</v>
          </cell>
          <cell r="K288" t="e">
            <v>#REF!</v>
          </cell>
          <cell r="L288" t="e">
            <v>#REF!</v>
          </cell>
          <cell r="M288" t="e">
            <v>#REF!</v>
          </cell>
        </row>
        <row r="289">
          <cell r="G289" t="e">
            <v>#REF!</v>
          </cell>
          <cell r="H289" t="e">
            <v>#REF!</v>
          </cell>
          <cell r="I289" t="e">
            <v>#REF!</v>
          </cell>
          <cell r="J289" t="e">
            <v>#REF!</v>
          </cell>
          <cell r="K289" t="e">
            <v>#REF!</v>
          </cell>
          <cell r="L289" t="e">
            <v>#REF!</v>
          </cell>
          <cell r="M289" t="e">
            <v>#REF!</v>
          </cell>
        </row>
        <row r="290">
          <cell r="G290" t="e">
            <v>#REF!</v>
          </cell>
          <cell r="H290" t="e">
            <v>#REF!</v>
          </cell>
          <cell r="I290" t="e">
            <v>#REF!</v>
          </cell>
          <cell r="J290" t="e">
            <v>#REF!</v>
          </cell>
          <cell r="K290" t="e">
            <v>#REF!</v>
          </cell>
          <cell r="L290" t="e">
            <v>#REF!</v>
          </cell>
          <cell r="M290" t="e">
            <v>#REF!</v>
          </cell>
        </row>
        <row r="291">
          <cell r="G291" t="e">
            <v>#REF!</v>
          </cell>
          <cell r="H291" t="e">
            <v>#REF!</v>
          </cell>
          <cell r="I291" t="e">
            <v>#REF!</v>
          </cell>
          <cell r="J291" t="e">
            <v>#REF!</v>
          </cell>
          <cell r="K291" t="e">
            <v>#REF!</v>
          </cell>
          <cell r="L291" t="e">
            <v>#REF!</v>
          </cell>
          <cell r="M291" t="e">
            <v>#REF!</v>
          </cell>
        </row>
        <row r="292">
          <cell r="G292" t="e">
            <v>#REF!</v>
          </cell>
          <cell r="H292" t="e">
            <v>#REF!</v>
          </cell>
          <cell r="I292" t="e">
            <v>#REF!</v>
          </cell>
          <cell r="J292" t="e">
            <v>#REF!</v>
          </cell>
          <cell r="K292" t="e">
            <v>#REF!</v>
          </cell>
          <cell r="L292" t="e">
            <v>#REF!</v>
          </cell>
          <cell r="M292" t="e">
            <v>#REF!</v>
          </cell>
        </row>
        <row r="293">
          <cell r="G293" t="e">
            <v>#REF!</v>
          </cell>
          <cell r="H293" t="e">
            <v>#REF!</v>
          </cell>
          <cell r="I293" t="e">
            <v>#REF!</v>
          </cell>
          <cell r="J293" t="e">
            <v>#REF!</v>
          </cell>
          <cell r="K293" t="e">
            <v>#REF!</v>
          </cell>
          <cell r="L293" t="e">
            <v>#REF!</v>
          </cell>
          <cell r="M293" t="e">
            <v>#REF!</v>
          </cell>
        </row>
        <row r="294">
          <cell r="G294" t="e">
            <v>#REF!</v>
          </cell>
          <cell r="H294" t="e">
            <v>#REF!</v>
          </cell>
          <cell r="I294" t="e">
            <v>#REF!</v>
          </cell>
          <cell r="J294" t="e">
            <v>#REF!</v>
          </cell>
          <cell r="K294" t="e">
            <v>#REF!</v>
          </cell>
          <cell r="L294" t="e">
            <v>#REF!</v>
          </cell>
          <cell r="M294" t="e">
            <v>#REF!</v>
          </cell>
        </row>
        <row r="295">
          <cell r="G295" t="e">
            <v>#REF!</v>
          </cell>
          <cell r="H295" t="e">
            <v>#REF!</v>
          </cell>
          <cell r="I295" t="e">
            <v>#REF!</v>
          </cell>
          <cell r="J295" t="e">
            <v>#REF!</v>
          </cell>
          <cell r="K295" t="e">
            <v>#REF!</v>
          </cell>
          <cell r="L295" t="e">
            <v>#REF!</v>
          </cell>
          <cell r="M295" t="e">
            <v>#REF!</v>
          </cell>
        </row>
        <row r="296">
          <cell r="G296" t="e">
            <v>#REF!</v>
          </cell>
          <cell r="H296" t="e">
            <v>#REF!</v>
          </cell>
          <cell r="I296" t="e">
            <v>#REF!</v>
          </cell>
          <cell r="J296" t="e">
            <v>#REF!</v>
          </cell>
          <cell r="K296" t="e">
            <v>#REF!</v>
          </cell>
          <cell r="L296" t="e">
            <v>#REF!</v>
          </cell>
          <cell r="M296" t="e">
            <v>#REF!</v>
          </cell>
        </row>
        <row r="297">
          <cell r="G297" t="e">
            <v>#REF!</v>
          </cell>
          <cell r="H297" t="e">
            <v>#REF!</v>
          </cell>
          <cell r="I297" t="e">
            <v>#REF!</v>
          </cell>
          <cell r="J297" t="e">
            <v>#REF!</v>
          </cell>
          <cell r="K297" t="e">
            <v>#REF!</v>
          </cell>
          <cell r="L297" t="e">
            <v>#REF!</v>
          </cell>
          <cell r="M297" t="e">
            <v>#REF!</v>
          </cell>
        </row>
        <row r="298">
          <cell r="G298" t="e">
            <v>#REF!</v>
          </cell>
          <cell r="H298" t="e">
            <v>#REF!</v>
          </cell>
          <cell r="I298" t="e">
            <v>#REF!</v>
          </cell>
          <cell r="J298" t="e">
            <v>#REF!</v>
          </cell>
          <cell r="K298" t="e">
            <v>#REF!</v>
          </cell>
          <cell r="L298" t="e">
            <v>#REF!</v>
          </cell>
          <cell r="M298" t="e">
            <v>#REF!</v>
          </cell>
        </row>
        <row r="299">
          <cell r="G299" t="e">
            <v>#REF!</v>
          </cell>
          <cell r="H299" t="e">
            <v>#REF!</v>
          </cell>
          <cell r="I299" t="e">
            <v>#REF!</v>
          </cell>
          <cell r="J299" t="e">
            <v>#REF!</v>
          </cell>
          <cell r="K299" t="e">
            <v>#REF!</v>
          </cell>
          <cell r="L299" t="e">
            <v>#REF!</v>
          </cell>
          <cell r="M299" t="e">
            <v>#REF!</v>
          </cell>
        </row>
        <row r="300">
          <cell r="G300" t="e">
            <v>#REF!</v>
          </cell>
          <cell r="H300" t="e">
            <v>#REF!</v>
          </cell>
          <cell r="I300" t="e">
            <v>#REF!</v>
          </cell>
          <cell r="J300" t="e">
            <v>#REF!</v>
          </cell>
          <cell r="K300" t="e">
            <v>#REF!</v>
          </cell>
          <cell r="L300" t="e">
            <v>#REF!</v>
          </cell>
          <cell r="M300" t="e">
            <v>#REF!</v>
          </cell>
        </row>
        <row r="301">
          <cell r="G301" t="e">
            <v>#REF!</v>
          </cell>
          <cell r="H301" t="e">
            <v>#REF!</v>
          </cell>
          <cell r="I301" t="e">
            <v>#REF!</v>
          </cell>
          <cell r="J301" t="e">
            <v>#REF!</v>
          </cell>
          <cell r="K301" t="e">
            <v>#REF!</v>
          </cell>
          <cell r="L301" t="e">
            <v>#REF!</v>
          </cell>
          <cell r="M301" t="e">
            <v>#REF!</v>
          </cell>
        </row>
        <row r="302">
          <cell r="G302" t="e">
            <v>#REF!</v>
          </cell>
          <cell r="H302" t="e">
            <v>#REF!</v>
          </cell>
          <cell r="I302" t="e">
            <v>#REF!</v>
          </cell>
          <cell r="J302" t="e">
            <v>#REF!</v>
          </cell>
          <cell r="K302" t="e">
            <v>#REF!</v>
          </cell>
          <cell r="L302" t="e">
            <v>#REF!</v>
          </cell>
          <cell r="M302" t="e">
            <v>#REF!</v>
          </cell>
        </row>
        <row r="303">
          <cell r="G303" t="e">
            <v>#REF!</v>
          </cell>
          <cell r="H303" t="e">
            <v>#REF!</v>
          </cell>
          <cell r="I303" t="e">
            <v>#REF!</v>
          </cell>
          <cell r="J303" t="e">
            <v>#REF!</v>
          </cell>
          <cell r="K303" t="e">
            <v>#REF!</v>
          </cell>
          <cell r="L303" t="e">
            <v>#REF!</v>
          </cell>
          <cell r="M303" t="e">
            <v>#REF!</v>
          </cell>
        </row>
        <row r="304">
          <cell r="G304" t="e">
            <v>#REF!</v>
          </cell>
          <cell r="H304" t="e">
            <v>#REF!</v>
          </cell>
          <cell r="I304" t="e">
            <v>#REF!</v>
          </cell>
          <cell r="J304" t="e">
            <v>#REF!</v>
          </cell>
          <cell r="K304" t="e">
            <v>#REF!</v>
          </cell>
          <cell r="L304" t="e">
            <v>#REF!</v>
          </cell>
          <cell r="M304" t="e">
            <v>#REF!</v>
          </cell>
        </row>
        <row r="305">
          <cell r="G305" t="e">
            <v>#REF!</v>
          </cell>
          <cell r="H305" t="e">
            <v>#REF!</v>
          </cell>
          <cell r="I305" t="e">
            <v>#REF!</v>
          </cell>
          <cell r="J305" t="e">
            <v>#REF!</v>
          </cell>
          <cell r="K305" t="e">
            <v>#REF!</v>
          </cell>
          <cell r="L305" t="e">
            <v>#REF!</v>
          </cell>
          <cell r="M305" t="e">
            <v>#REF!</v>
          </cell>
        </row>
        <row r="306">
          <cell r="G306" t="e">
            <v>#REF!</v>
          </cell>
          <cell r="H306" t="e">
            <v>#REF!</v>
          </cell>
          <cell r="I306" t="e">
            <v>#REF!</v>
          </cell>
          <cell r="J306" t="e">
            <v>#REF!</v>
          </cell>
          <cell r="K306" t="e">
            <v>#REF!</v>
          </cell>
          <cell r="L306" t="e">
            <v>#REF!</v>
          </cell>
          <cell r="M306" t="e">
            <v>#REF!</v>
          </cell>
        </row>
        <row r="307">
          <cell r="G307" t="e">
            <v>#REF!</v>
          </cell>
          <cell r="H307" t="e">
            <v>#REF!</v>
          </cell>
          <cell r="I307" t="e">
            <v>#REF!</v>
          </cell>
          <cell r="J307" t="e">
            <v>#REF!</v>
          </cell>
          <cell r="K307" t="e">
            <v>#REF!</v>
          </cell>
          <cell r="L307" t="e">
            <v>#REF!</v>
          </cell>
          <cell r="M307" t="e">
            <v>#REF!</v>
          </cell>
        </row>
        <row r="308">
          <cell r="G308" t="e">
            <v>#REF!</v>
          </cell>
          <cell r="H308" t="e">
            <v>#REF!</v>
          </cell>
          <cell r="I308" t="e">
            <v>#REF!</v>
          </cell>
          <cell r="J308" t="e">
            <v>#REF!</v>
          </cell>
          <cell r="K308" t="e">
            <v>#REF!</v>
          </cell>
          <cell r="L308" t="e">
            <v>#REF!</v>
          </cell>
          <cell r="M308" t="e">
            <v>#REF!</v>
          </cell>
        </row>
        <row r="309">
          <cell r="G309" t="e">
            <v>#REF!</v>
          </cell>
          <cell r="H309" t="e">
            <v>#REF!</v>
          </cell>
          <cell r="I309" t="e">
            <v>#REF!</v>
          </cell>
          <cell r="J309" t="e">
            <v>#REF!</v>
          </cell>
          <cell r="K309" t="e">
            <v>#REF!</v>
          </cell>
          <cell r="L309" t="e">
            <v>#REF!</v>
          </cell>
          <cell r="M309" t="e">
            <v>#REF!</v>
          </cell>
        </row>
        <row r="310">
          <cell r="G310" t="e">
            <v>#REF!</v>
          </cell>
          <cell r="H310" t="e">
            <v>#REF!</v>
          </cell>
          <cell r="I310" t="e">
            <v>#REF!</v>
          </cell>
          <cell r="J310" t="e">
            <v>#REF!</v>
          </cell>
          <cell r="K310" t="e">
            <v>#REF!</v>
          </cell>
          <cell r="L310" t="e">
            <v>#REF!</v>
          </cell>
          <cell r="M310" t="e">
            <v>#REF!</v>
          </cell>
        </row>
        <row r="311">
          <cell r="G311" t="e">
            <v>#REF!</v>
          </cell>
          <cell r="H311" t="e">
            <v>#REF!</v>
          </cell>
          <cell r="I311" t="e">
            <v>#REF!</v>
          </cell>
          <cell r="J311" t="e">
            <v>#REF!</v>
          </cell>
          <cell r="K311" t="e">
            <v>#REF!</v>
          </cell>
          <cell r="L311" t="e">
            <v>#REF!</v>
          </cell>
          <cell r="M311" t="e">
            <v>#REF!</v>
          </cell>
        </row>
        <row r="312">
          <cell r="G312" t="e">
            <v>#REF!</v>
          </cell>
          <cell r="H312" t="e">
            <v>#REF!</v>
          </cell>
          <cell r="I312" t="e">
            <v>#REF!</v>
          </cell>
          <cell r="J312" t="e">
            <v>#REF!</v>
          </cell>
          <cell r="K312" t="e">
            <v>#REF!</v>
          </cell>
          <cell r="L312" t="e">
            <v>#REF!</v>
          </cell>
          <cell r="M312" t="e">
            <v>#REF!</v>
          </cell>
        </row>
        <row r="313">
          <cell r="G313" t="e">
            <v>#REF!</v>
          </cell>
          <cell r="H313" t="e">
            <v>#REF!</v>
          </cell>
          <cell r="I313" t="e">
            <v>#REF!</v>
          </cell>
          <cell r="J313" t="e">
            <v>#REF!</v>
          </cell>
          <cell r="K313" t="e">
            <v>#REF!</v>
          </cell>
          <cell r="L313" t="e">
            <v>#REF!</v>
          </cell>
          <cell r="M313" t="e">
            <v>#REF!</v>
          </cell>
        </row>
        <row r="314">
          <cell r="G314" t="e">
            <v>#REF!</v>
          </cell>
          <cell r="H314" t="e">
            <v>#REF!</v>
          </cell>
          <cell r="I314" t="e">
            <v>#REF!</v>
          </cell>
          <cell r="J314" t="e">
            <v>#REF!</v>
          </cell>
          <cell r="K314" t="e">
            <v>#REF!</v>
          </cell>
          <cell r="L314" t="e">
            <v>#REF!</v>
          </cell>
          <cell r="M314" t="e">
            <v>#REF!</v>
          </cell>
        </row>
        <row r="315">
          <cell r="G315" t="e">
            <v>#REF!</v>
          </cell>
          <cell r="H315" t="e">
            <v>#REF!</v>
          </cell>
          <cell r="I315" t="e">
            <v>#REF!</v>
          </cell>
          <cell r="J315" t="e">
            <v>#REF!</v>
          </cell>
          <cell r="K315" t="e">
            <v>#REF!</v>
          </cell>
          <cell r="L315" t="e">
            <v>#REF!</v>
          </cell>
          <cell r="M315" t="e">
            <v>#REF!</v>
          </cell>
        </row>
        <row r="316">
          <cell r="G316" t="e">
            <v>#REF!</v>
          </cell>
          <cell r="H316" t="e">
            <v>#REF!</v>
          </cell>
          <cell r="I316" t="e">
            <v>#REF!</v>
          </cell>
          <cell r="J316" t="e">
            <v>#REF!</v>
          </cell>
          <cell r="K316" t="e">
            <v>#REF!</v>
          </cell>
          <cell r="L316" t="e">
            <v>#REF!</v>
          </cell>
          <cell r="M316" t="e">
            <v>#REF!</v>
          </cell>
        </row>
        <row r="317">
          <cell r="G317" t="e">
            <v>#REF!</v>
          </cell>
          <cell r="H317" t="e">
            <v>#REF!</v>
          </cell>
          <cell r="I317" t="e">
            <v>#REF!</v>
          </cell>
          <cell r="J317" t="e">
            <v>#REF!</v>
          </cell>
          <cell r="K317" t="e">
            <v>#REF!</v>
          </cell>
          <cell r="L317" t="e">
            <v>#REF!</v>
          </cell>
          <cell r="M317" t="e">
            <v>#REF!</v>
          </cell>
        </row>
        <row r="318">
          <cell r="G318" t="e">
            <v>#REF!</v>
          </cell>
          <cell r="H318" t="e">
            <v>#REF!</v>
          </cell>
          <cell r="I318" t="e">
            <v>#REF!</v>
          </cell>
          <cell r="J318" t="e">
            <v>#REF!</v>
          </cell>
          <cell r="K318" t="e">
            <v>#REF!</v>
          </cell>
          <cell r="L318" t="e">
            <v>#REF!</v>
          </cell>
          <cell r="M318" t="e">
            <v>#REF!</v>
          </cell>
        </row>
        <row r="319">
          <cell r="G319" t="e">
            <v>#REF!</v>
          </cell>
          <cell r="H319" t="e">
            <v>#REF!</v>
          </cell>
          <cell r="I319" t="e">
            <v>#REF!</v>
          </cell>
          <cell r="J319" t="e">
            <v>#REF!</v>
          </cell>
          <cell r="K319" t="e">
            <v>#REF!</v>
          </cell>
          <cell r="L319" t="e">
            <v>#REF!</v>
          </cell>
          <cell r="M319" t="e">
            <v>#REF!</v>
          </cell>
        </row>
        <row r="320">
          <cell r="G320" t="e">
            <v>#REF!</v>
          </cell>
          <cell r="H320" t="e">
            <v>#REF!</v>
          </cell>
          <cell r="I320" t="e">
            <v>#REF!</v>
          </cell>
          <cell r="J320" t="e">
            <v>#REF!</v>
          </cell>
          <cell r="K320" t="e">
            <v>#REF!</v>
          </cell>
          <cell r="L320" t="e">
            <v>#REF!</v>
          </cell>
          <cell r="M320" t="e">
            <v>#REF!</v>
          </cell>
        </row>
        <row r="321">
          <cell r="G321" t="e">
            <v>#REF!</v>
          </cell>
          <cell r="H321" t="e">
            <v>#REF!</v>
          </cell>
          <cell r="I321" t="e">
            <v>#REF!</v>
          </cell>
          <cell r="J321" t="e">
            <v>#REF!</v>
          </cell>
          <cell r="K321" t="e">
            <v>#REF!</v>
          </cell>
          <cell r="L321" t="e">
            <v>#REF!</v>
          </cell>
          <cell r="M321" t="e">
            <v>#REF!</v>
          </cell>
        </row>
        <row r="322">
          <cell r="G322" t="e">
            <v>#REF!</v>
          </cell>
          <cell r="H322" t="e">
            <v>#REF!</v>
          </cell>
          <cell r="I322" t="e">
            <v>#REF!</v>
          </cell>
          <cell r="J322" t="e">
            <v>#REF!</v>
          </cell>
          <cell r="K322" t="e">
            <v>#REF!</v>
          </cell>
          <cell r="L322" t="e">
            <v>#REF!</v>
          </cell>
          <cell r="M322" t="e">
            <v>#REF!</v>
          </cell>
        </row>
        <row r="323">
          <cell r="G323" t="e">
            <v>#REF!</v>
          </cell>
          <cell r="H323" t="e">
            <v>#REF!</v>
          </cell>
          <cell r="I323" t="e">
            <v>#REF!</v>
          </cell>
          <cell r="J323" t="e">
            <v>#REF!</v>
          </cell>
          <cell r="K323" t="e">
            <v>#REF!</v>
          </cell>
          <cell r="L323" t="e">
            <v>#REF!</v>
          </cell>
          <cell r="M323" t="e">
            <v>#REF!</v>
          </cell>
        </row>
        <row r="324">
          <cell r="G324" t="e">
            <v>#REF!</v>
          </cell>
          <cell r="H324" t="e">
            <v>#REF!</v>
          </cell>
          <cell r="I324" t="e">
            <v>#REF!</v>
          </cell>
          <cell r="J324" t="e">
            <v>#REF!</v>
          </cell>
          <cell r="K324" t="e">
            <v>#REF!</v>
          </cell>
          <cell r="L324" t="e">
            <v>#REF!</v>
          </cell>
          <cell r="M324" t="e">
            <v>#REF!</v>
          </cell>
        </row>
        <row r="325">
          <cell r="G325" t="e">
            <v>#REF!</v>
          </cell>
          <cell r="H325" t="e">
            <v>#REF!</v>
          </cell>
          <cell r="I325" t="e">
            <v>#REF!</v>
          </cell>
          <cell r="J325" t="e">
            <v>#REF!</v>
          </cell>
          <cell r="K325" t="e">
            <v>#REF!</v>
          </cell>
          <cell r="L325" t="e">
            <v>#REF!</v>
          </cell>
          <cell r="M325" t="e">
            <v>#REF!</v>
          </cell>
        </row>
        <row r="326">
          <cell r="G326" t="e">
            <v>#REF!</v>
          </cell>
          <cell r="H326" t="e">
            <v>#REF!</v>
          </cell>
          <cell r="I326" t="e">
            <v>#REF!</v>
          </cell>
          <cell r="J326" t="e">
            <v>#REF!</v>
          </cell>
          <cell r="K326" t="e">
            <v>#REF!</v>
          </cell>
          <cell r="L326" t="e">
            <v>#REF!</v>
          </cell>
          <cell r="M326" t="e">
            <v>#REF!</v>
          </cell>
        </row>
        <row r="327">
          <cell r="G327" t="e">
            <v>#REF!</v>
          </cell>
          <cell r="H327" t="e">
            <v>#REF!</v>
          </cell>
          <cell r="I327" t="e">
            <v>#REF!</v>
          </cell>
          <cell r="J327" t="e">
            <v>#REF!</v>
          </cell>
          <cell r="K327" t="e">
            <v>#REF!</v>
          </cell>
          <cell r="L327" t="e">
            <v>#REF!</v>
          </cell>
          <cell r="M327" t="e">
            <v>#REF!</v>
          </cell>
        </row>
        <row r="328">
          <cell r="G328" t="e">
            <v>#REF!</v>
          </cell>
          <cell r="H328" t="e">
            <v>#REF!</v>
          </cell>
          <cell r="I328" t="e">
            <v>#REF!</v>
          </cell>
          <cell r="J328" t="e">
            <v>#REF!</v>
          </cell>
          <cell r="K328" t="e">
            <v>#REF!</v>
          </cell>
          <cell r="L328" t="e">
            <v>#REF!</v>
          </cell>
          <cell r="M328" t="e">
            <v>#REF!</v>
          </cell>
        </row>
        <row r="329">
          <cell r="G329" t="e">
            <v>#REF!</v>
          </cell>
          <cell r="H329" t="e">
            <v>#REF!</v>
          </cell>
          <cell r="I329" t="e">
            <v>#REF!</v>
          </cell>
          <cell r="J329" t="e">
            <v>#REF!</v>
          </cell>
          <cell r="K329" t="e">
            <v>#REF!</v>
          </cell>
          <cell r="L329" t="e">
            <v>#REF!</v>
          </cell>
          <cell r="M329" t="e">
            <v>#REF!</v>
          </cell>
        </row>
        <row r="330">
          <cell r="G330" t="e">
            <v>#REF!</v>
          </cell>
          <cell r="H330" t="e">
            <v>#REF!</v>
          </cell>
          <cell r="I330" t="e">
            <v>#REF!</v>
          </cell>
          <cell r="J330" t="e">
            <v>#REF!</v>
          </cell>
          <cell r="K330" t="e">
            <v>#REF!</v>
          </cell>
          <cell r="L330" t="e">
            <v>#REF!</v>
          </cell>
          <cell r="M330" t="e">
            <v>#REF!</v>
          </cell>
        </row>
        <row r="331">
          <cell r="G331" t="e">
            <v>#REF!</v>
          </cell>
          <cell r="H331" t="e">
            <v>#REF!</v>
          </cell>
          <cell r="I331" t="e">
            <v>#REF!</v>
          </cell>
          <cell r="J331" t="e">
            <v>#REF!</v>
          </cell>
          <cell r="K331" t="e">
            <v>#REF!</v>
          </cell>
          <cell r="L331" t="e">
            <v>#REF!</v>
          </cell>
          <cell r="M331" t="e">
            <v>#REF!</v>
          </cell>
        </row>
        <row r="332">
          <cell r="G332" t="e">
            <v>#REF!</v>
          </cell>
          <cell r="H332" t="e">
            <v>#REF!</v>
          </cell>
          <cell r="I332" t="e">
            <v>#REF!</v>
          </cell>
          <cell r="J332" t="e">
            <v>#REF!</v>
          </cell>
          <cell r="K332" t="e">
            <v>#REF!</v>
          </cell>
          <cell r="L332" t="e">
            <v>#REF!</v>
          </cell>
          <cell r="M332" t="e">
            <v>#REF!</v>
          </cell>
        </row>
        <row r="333">
          <cell r="G333" t="e">
            <v>#REF!</v>
          </cell>
          <cell r="H333" t="e">
            <v>#REF!</v>
          </cell>
          <cell r="I333" t="e">
            <v>#REF!</v>
          </cell>
          <cell r="J333" t="e">
            <v>#REF!</v>
          </cell>
          <cell r="K333" t="e">
            <v>#REF!</v>
          </cell>
          <cell r="L333" t="e">
            <v>#REF!</v>
          </cell>
          <cell r="M333" t="e">
            <v>#REF!</v>
          </cell>
        </row>
        <row r="334">
          <cell r="G334" t="e">
            <v>#REF!</v>
          </cell>
          <cell r="H334" t="e">
            <v>#REF!</v>
          </cell>
          <cell r="I334" t="e">
            <v>#REF!</v>
          </cell>
          <cell r="J334" t="e">
            <v>#REF!</v>
          </cell>
          <cell r="K334" t="e">
            <v>#REF!</v>
          </cell>
          <cell r="L334" t="e">
            <v>#REF!</v>
          </cell>
          <cell r="M334" t="e">
            <v>#REF!</v>
          </cell>
        </row>
        <row r="335">
          <cell r="G335" t="e">
            <v>#REF!</v>
          </cell>
          <cell r="H335" t="e">
            <v>#REF!</v>
          </cell>
          <cell r="I335" t="e">
            <v>#REF!</v>
          </cell>
          <cell r="J335" t="e">
            <v>#REF!</v>
          </cell>
          <cell r="K335" t="e">
            <v>#REF!</v>
          </cell>
          <cell r="L335" t="e">
            <v>#REF!</v>
          </cell>
          <cell r="M335" t="e">
            <v>#REF!</v>
          </cell>
        </row>
        <row r="336">
          <cell r="G336" t="e">
            <v>#REF!</v>
          </cell>
          <cell r="H336" t="e">
            <v>#REF!</v>
          </cell>
          <cell r="I336" t="e">
            <v>#REF!</v>
          </cell>
          <cell r="J336" t="e">
            <v>#REF!</v>
          </cell>
          <cell r="K336" t="e">
            <v>#REF!</v>
          </cell>
          <cell r="L336" t="e">
            <v>#REF!</v>
          </cell>
          <cell r="M336" t="e">
            <v>#REF!</v>
          </cell>
        </row>
        <row r="337">
          <cell r="G337" t="e">
            <v>#REF!</v>
          </cell>
          <cell r="H337" t="e">
            <v>#REF!</v>
          </cell>
          <cell r="I337" t="e">
            <v>#REF!</v>
          </cell>
          <cell r="J337" t="e">
            <v>#REF!</v>
          </cell>
          <cell r="K337" t="e">
            <v>#REF!</v>
          </cell>
          <cell r="L337" t="e">
            <v>#REF!</v>
          </cell>
          <cell r="M337" t="e">
            <v>#REF!</v>
          </cell>
        </row>
        <row r="338">
          <cell r="G338">
            <v>48335</v>
          </cell>
          <cell r="H338">
            <v>5.2919999999999998</v>
          </cell>
          <cell r="I338">
            <v>0</v>
          </cell>
          <cell r="J338">
            <v>4.2839999999999998</v>
          </cell>
          <cell r="K338">
            <v>0</v>
          </cell>
          <cell r="L338">
            <v>0.26250000000000001</v>
          </cell>
          <cell r="M338">
            <v>9.8384999999999998</v>
          </cell>
        </row>
      </sheetData>
      <sheetData sheetId="5" refreshError="1"/>
      <sheetData sheetId="6">
        <row r="1">
          <cell r="H1" t="str">
            <v>CDU Mogas Offline</v>
          </cell>
          <cell r="I1" t="str">
            <v>FCC Mogas Offline</v>
          </cell>
          <cell r="J1" t="str">
            <v>Ref Mogas Offline</v>
          </cell>
          <cell r="K1" t="str">
            <v>Coker Mogas Offline</v>
          </cell>
          <cell r="L1" t="str">
            <v>HDC Mogas Offline</v>
          </cell>
          <cell r="M1" t="str">
            <v>Total Mogas Offline</v>
          </cell>
        </row>
        <row r="2">
          <cell r="G2">
            <v>44562</v>
          </cell>
          <cell r="H2">
            <v>3.5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3.5</v>
          </cell>
        </row>
        <row r="3">
          <cell r="G3">
            <v>44593</v>
          </cell>
          <cell r="H3">
            <v>4.6025</v>
          </cell>
          <cell r="I3">
            <v>2.4569999999999999</v>
          </cell>
          <cell r="J3">
            <v>0</v>
          </cell>
          <cell r="K3">
            <v>0</v>
          </cell>
          <cell r="L3">
            <v>0</v>
          </cell>
          <cell r="M3">
            <v>7.0594999999999999</v>
          </cell>
        </row>
        <row r="4">
          <cell r="G4">
            <v>44621</v>
          </cell>
          <cell r="H4">
            <v>42.524999999999999</v>
          </cell>
          <cell r="I4">
            <v>35.945</v>
          </cell>
          <cell r="J4">
            <v>0</v>
          </cell>
          <cell r="K4">
            <v>3.1960000000000002</v>
          </cell>
          <cell r="L4">
            <v>0</v>
          </cell>
          <cell r="M4">
            <v>81.665999999999997</v>
          </cell>
        </row>
        <row r="5">
          <cell r="G5">
            <v>44652</v>
          </cell>
          <cell r="H5">
            <v>30.327500000000001</v>
          </cell>
          <cell r="I5">
            <v>57.453500000000005</v>
          </cell>
          <cell r="J5">
            <v>13.209</v>
          </cell>
          <cell r="K5">
            <v>5.62812</v>
          </cell>
          <cell r="L5">
            <v>0</v>
          </cell>
          <cell r="M5">
            <v>106.61812</v>
          </cell>
        </row>
        <row r="6">
          <cell r="G6">
            <v>44682</v>
          </cell>
          <cell r="H6">
            <v>31.499999999999996</v>
          </cell>
          <cell r="I6">
            <v>35.75</v>
          </cell>
          <cell r="J6">
            <v>35.699999999999996</v>
          </cell>
          <cell r="K6">
            <v>8.8323999999999998</v>
          </cell>
          <cell r="L6">
            <v>0</v>
          </cell>
          <cell r="M6">
            <v>111.7824</v>
          </cell>
        </row>
        <row r="7">
          <cell r="G7">
            <v>44713</v>
          </cell>
          <cell r="H7">
            <v>31.499999999999996</v>
          </cell>
          <cell r="I7">
            <v>35.75</v>
          </cell>
          <cell r="J7">
            <v>35.699999999999996</v>
          </cell>
          <cell r="K7">
            <v>7.3000000000000007</v>
          </cell>
          <cell r="L7">
            <v>0</v>
          </cell>
          <cell r="M7">
            <v>110.24999999999999</v>
          </cell>
        </row>
        <row r="8">
          <cell r="G8">
            <v>44743</v>
          </cell>
          <cell r="H8">
            <v>45.330249999999992</v>
          </cell>
          <cell r="I8">
            <v>31.866250000000001</v>
          </cell>
          <cell r="J8">
            <v>17.135999999999999</v>
          </cell>
          <cell r="K8">
            <v>4.8040000000000012</v>
          </cell>
          <cell r="L8">
            <v>0</v>
          </cell>
          <cell r="M8">
            <v>99.136499999999984</v>
          </cell>
        </row>
        <row r="9">
          <cell r="G9">
            <v>44774</v>
          </cell>
          <cell r="H9">
            <v>50.022000000000006</v>
          </cell>
          <cell r="I9">
            <v>33.436</v>
          </cell>
          <cell r="J9">
            <v>0</v>
          </cell>
          <cell r="K9">
            <v>1.54</v>
          </cell>
          <cell r="L9">
            <v>0</v>
          </cell>
          <cell r="M9">
            <v>84.998000000000005</v>
          </cell>
        </row>
        <row r="10">
          <cell r="G10">
            <v>44805</v>
          </cell>
          <cell r="H10">
            <v>13.65875</v>
          </cell>
          <cell r="I10">
            <v>37.57</v>
          </cell>
          <cell r="J10">
            <v>0</v>
          </cell>
          <cell r="K10">
            <v>6.5</v>
          </cell>
          <cell r="L10">
            <v>0</v>
          </cell>
          <cell r="M10">
            <v>57.728749999999998</v>
          </cell>
        </row>
        <row r="11">
          <cell r="G11">
            <v>44835</v>
          </cell>
          <cell r="H11">
            <v>24.045874999999999</v>
          </cell>
          <cell r="I11">
            <v>74.303449999999998</v>
          </cell>
          <cell r="J11">
            <v>0</v>
          </cell>
          <cell r="K11">
            <v>2.31</v>
          </cell>
          <cell r="L11">
            <v>0</v>
          </cell>
          <cell r="M11">
            <v>100.659325</v>
          </cell>
        </row>
        <row r="12">
          <cell r="G12">
            <v>44866</v>
          </cell>
          <cell r="H12">
            <v>4.6025</v>
          </cell>
          <cell r="I12">
            <v>49.914149999999999</v>
          </cell>
          <cell r="J12">
            <v>0</v>
          </cell>
          <cell r="K12">
            <v>0.91</v>
          </cell>
          <cell r="L12">
            <v>0</v>
          </cell>
          <cell r="M12">
            <v>55.426649999999995</v>
          </cell>
        </row>
        <row r="13">
          <cell r="G13">
            <v>44896</v>
          </cell>
          <cell r="H13">
            <v>6.58</v>
          </cell>
          <cell r="I13">
            <v>5.1350000000000007</v>
          </cell>
          <cell r="J13">
            <v>0</v>
          </cell>
          <cell r="K13">
            <v>0</v>
          </cell>
          <cell r="L13">
            <v>0</v>
          </cell>
          <cell r="M13">
            <v>11.715</v>
          </cell>
        </row>
        <row r="14">
          <cell r="G14">
            <v>44927</v>
          </cell>
          <cell r="H14">
            <v>21.4025</v>
          </cell>
          <cell r="I14">
            <v>51.35</v>
          </cell>
          <cell r="J14">
            <v>38.25</v>
          </cell>
          <cell r="K14">
            <v>0</v>
          </cell>
          <cell r="L14">
            <v>1.6</v>
          </cell>
          <cell r="M14">
            <v>112.60249999999999</v>
          </cell>
        </row>
        <row r="15">
          <cell r="G15">
            <v>44958</v>
          </cell>
          <cell r="H15">
            <v>18.899999999999999</v>
          </cell>
          <cell r="I15">
            <v>51.35</v>
          </cell>
          <cell r="J15">
            <v>38.25</v>
          </cell>
          <cell r="K15">
            <v>0.15600000000000003</v>
          </cell>
          <cell r="L15">
            <v>1.6</v>
          </cell>
          <cell r="M15">
            <v>110.256</v>
          </cell>
        </row>
        <row r="16">
          <cell r="G16">
            <v>44986</v>
          </cell>
          <cell r="H16">
            <v>33.317374999999998</v>
          </cell>
          <cell r="I16">
            <v>21.567</v>
          </cell>
          <cell r="J16">
            <v>69.878500000000003</v>
          </cell>
          <cell r="K16">
            <v>8.668000000000001</v>
          </cell>
          <cell r="L16">
            <v>0.67200000000000004</v>
          </cell>
          <cell r="M16">
            <v>134.10287500000001</v>
          </cell>
        </row>
        <row r="17">
          <cell r="G17">
            <v>45017</v>
          </cell>
          <cell r="H17">
            <v>54.660375000000002</v>
          </cell>
          <cell r="I17">
            <v>2.964</v>
          </cell>
          <cell r="J17">
            <v>83.907750000000007</v>
          </cell>
          <cell r="K17">
            <v>10.621000000000002</v>
          </cell>
          <cell r="L17">
            <v>0</v>
          </cell>
          <cell r="M17">
            <v>152.15312500000002</v>
          </cell>
        </row>
        <row r="18">
          <cell r="G18">
            <v>45047</v>
          </cell>
          <cell r="H18">
            <v>16.950499999999998</v>
          </cell>
          <cell r="I18">
            <v>2.3400000000000003</v>
          </cell>
          <cell r="J18">
            <v>34.182749999999999</v>
          </cell>
          <cell r="K18">
            <v>0</v>
          </cell>
          <cell r="L18">
            <v>0</v>
          </cell>
          <cell r="M18">
            <v>53.473249999999993</v>
          </cell>
        </row>
        <row r="19">
          <cell r="G19">
            <v>45078</v>
          </cell>
          <cell r="H19">
            <v>3.5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3.5</v>
          </cell>
        </row>
        <row r="20">
          <cell r="G20">
            <v>45108</v>
          </cell>
          <cell r="H20">
            <v>9.3064999999999998</v>
          </cell>
          <cell r="I20">
            <v>4.9009999999999998</v>
          </cell>
          <cell r="J20">
            <v>4.6834999999999996</v>
          </cell>
          <cell r="K20">
            <v>0</v>
          </cell>
          <cell r="L20">
            <v>0</v>
          </cell>
          <cell r="M20">
            <v>18.890999999999998</v>
          </cell>
        </row>
        <row r="21">
          <cell r="G21">
            <v>45139</v>
          </cell>
          <cell r="H21">
            <v>3.5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3.5</v>
          </cell>
        </row>
        <row r="22">
          <cell r="G22">
            <v>45170</v>
          </cell>
          <cell r="H22">
            <v>60.390312499999993</v>
          </cell>
          <cell r="I22">
            <v>44.2</v>
          </cell>
          <cell r="J22">
            <v>62.39</v>
          </cell>
          <cell r="K22">
            <v>9.3949600000000011</v>
          </cell>
          <cell r="L22">
            <v>1.7600000000000002</v>
          </cell>
          <cell r="M22">
            <v>178.13527249999999</v>
          </cell>
        </row>
        <row r="23">
          <cell r="G23">
            <v>45200</v>
          </cell>
          <cell r="H23">
            <v>75.820937499999999</v>
          </cell>
          <cell r="I23">
            <v>46.410000000000004</v>
          </cell>
          <cell r="J23">
            <v>81.463999999999999</v>
          </cell>
          <cell r="K23">
            <v>16.480160000000001</v>
          </cell>
          <cell r="L23">
            <v>1.8480000000000001</v>
          </cell>
          <cell r="M23">
            <v>222.02309750000003</v>
          </cell>
        </row>
        <row r="24">
          <cell r="G24">
            <v>45231</v>
          </cell>
          <cell r="H24">
            <v>23.012499999999999</v>
          </cell>
          <cell r="I24">
            <v>0</v>
          </cell>
          <cell r="J24">
            <v>7.8199999999999994</v>
          </cell>
          <cell r="K24">
            <v>0.80600000000000005</v>
          </cell>
          <cell r="L24">
            <v>0</v>
          </cell>
          <cell r="M24">
            <v>31.638500000000001</v>
          </cell>
        </row>
        <row r="25">
          <cell r="G25">
            <v>45261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</row>
        <row r="26">
          <cell r="G26">
            <v>45292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</row>
        <row r="27">
          <cell r="G27">
            <v>45323</v>
          </cell>
          <cell r="H27">
            <v>7.2432499999999997</v>
          </cell>
          <cell r="I27">
            <v>4.2314999999999996</v>
          </cell>
          <cell r="J27">
            <v>19.21</v>
          </cell>
          <cell r="K27">
            <v>0</v>
          </cell>
          <cell r="L27">
            <v>0.11200000000000002</v>
          </cell>
          <cell r="M27">
            <v>30.796749999999999</v>
          </cell>
        </row>
        <row r="28">
          <cell r="G28">
            <v>45352</v>
          </cell>
          <cell r="H28">
            <v>50.032499999999992</v>
          </cell>
          <cell r="I28">
            <v>11.466000000000001</v>
          </cell>
          <cell r="J28">
            <v>39.716250000000002</v>
          </cell>
          <cell r="K28">
            <v>0</v>
          </cell>
          <cell r="L28">
            <v>1.6</v>
          </cell>
          <cell r="M28">
            <v>102.81474999999999</v>
          </cell>
        </row>
        <row r="29">
          <cell r="G29">
            <v>45383</v>
          </cell>
          <cell r="H29">
            <v>65.276749999999993</v>
          </cell>
          <cell r="I29">
            <v>63.7</v>
          </cell>
          <cell r="J29">
            <v>18.487500000000001</v>
          </cell>
          <cell r="K29">
            <v>4.3028400000000007</v>
          </cell>
          <cell r="L29">
            <v>0.84800000000000009</v>
          </cell>
          <cell r="M29">
            <v>152.61509000000001</v>
          </cell>
        </row>
        <row r="30">
          <cell r="G30">
            <v>45413</v>
          </cell>
          <cell r="H30">
            <v>23.143749999999997</v>
          </cell>
          <cell r="I30">
            <v>43.316000000000003</v>
          </cell>
          <cell r="J30">
            <v>4.6282499999999995</v>
          </cell>
          <cell r="K30">
            <v>0</v>
          </cell>
          <cell r="L30">
            <v>0</v>
          </cell>
          <cell r="M30">
            <v>71.087999999999994</v>
          </cell>
        </row>
        <row r="31">
          <cell r="G31">
            <v>45444</v>
          </cell>
          <cell r="H31">
            <v>10.241</v>
          </cell>
          <cell r="I31">
            <v>11.83</v>
          </cell>
          <cell r="J31">
            <v>22.533499999999997</v>
          </cell>
          <cell r="K31">
            <v>0</v>
          </cell>
          <cell r="L31">
            <v>0</v>
          </cell>
          <cell r="M31">
            <v>44.604499999999994</v>
          </cell>
        </row>
        <row r="32">
          <cell r="G32">
            <v>45474</v>
          </cell>
          <cell r="H32">
            <v>13.299999999999999</v>
          </cell>
          <cell r="I32">
            <v>16.900000000000002</v>
          </cell>
          <cell r="J32">
            <v>11.049999999999999</v>
          </cell>
          <cell r="K32">
            <v>1.7504999999999999</v>
          </cell>
          <cell r="L32">
            <v>0</v>
          </cell>
          <cell r="M32">
            <v>43.000500000000002</v>
          </cell>
        </row>
        <row r="33">
          <cell r="G33">
            <v>45505</v>
          </cell>
          <cell r="H33">
            <v>1.3299999999999998</v>
          </cell>
          <cell r="I33">
            <v>1.6900000000000002</v>
          </cell>
          <cell r="J33">
            <v>1.105</v>
          </cell>
          <cell r="K33">
            <v>0.86564000000000019</v>
          </cell>
          <cell r="L33">
            <v>0</v>
          </cell>
          <cell r="M33">
            <v>4.99064</v>
          </cell>
        </row>
        <row r="34">
          <cell r="G34">
            <v>45536</v>
          </cell>
          <cell r="H34">
            <v>51.875319999999988</v>
          </cell>
          <cell r="I34">
            <v>45.714500000000001</v>
          </cell>
          <cell r="J34">
            <v>40.171000000000006</v>
          </cell>
          <cell r="K34">
            <v>3.5750000000000002</v>
          </cell>
          <cell r="L34">
            <v>0</v>
          </cell>
          <cell r="M34">
            <v>141.33581999999998</v>
          </cell>
        </row>
        <row r="35">
          <cell r="G35">
            <v>45566</v>
          </cell>
          <cell r="H35">
            <v>83.069000000000003</v>
          </cell>
          <cell r="I35">
            <v>76.375</v>
          </cell>
          <cell r="J35">
            <v>109.88799999999999</v>
          </cell>
          <cell r="K35">
            <v>8.4120000000000008</v>
          </cell>
          <cell r="L35">
            <v>0</v>
          </cell>
          <cell r="M35">
            <v>277.74399999999997</v>
          </cell>
        </row>
        <row r="36">
          <cell r="G36">
            <v>45597</v>
          </cell>
          <cell r="H36">
            <v>38.279499999999999</v>
          </cell>
          <cell r="I36">
            <v>17.875</v>
          </cell>
          <cell r="J36">
            <v>28.683249999999997</v>
          </cell>
          <cell r="K36">
            <v>2.0500000000000003</v>
          </cell>
          <cell r="L36">
            <v>0</v>
          </cell>
          <cell r="M36">
            <v>86.887749999999997</v>
          </cell>
        </row>
        <row r="37">
          <cell r="G37">
            <v>45658</v>
          </cell>
          <cell r="H37">
            <v>6.8512499999999994</v>
          </cell>
          <cell r="I37">
            <v>3.9520000000000004</v>
          </cell>
          <cell r="J37">
            <v>15.852499999999999</v>
          </cell>
          <cell r="K37">
            <v>1.78308</v>
          </cell>
          <cell r="L37">
            <v>0</v>
          </cell>
          <cell r="M37">
            <v>28.438829999999996</v>
          </cell>
        </row>
        <row r="38">
          <cell r="G38">
            <v>45689</v>
          </cell>
          <cell r="H38">
            <v>36.365000000000002</v>
          </cell>
          <cell r="I38">
            <v>20.8</v>
          </cell>
          <cell r="J38">
            <v>24.947500000000002</v>
          </cell>
          <cell r="K38">
            <v>4.4266800000000002</v>
          </cell>
          <cell r="L38">
            <v>0</v>
          </cell>
          <cell r="M38">
            <v>86.539180000000016</v>
          </cell>
        </row>
        <row r="39">
          <cell r="G39">
            <v>45717</v>
          </cell>
          <cell r="H39">
            <v>80.807124999999999</v>
          </cell>
          <cell r="I39">
            <v>65.594749999999991</v>
          </cell>
          <cell r="J39">
            <v>58.14</v>
          </cell>
          <cell r="K39">
            <v>8.8800000000000008</v>
          </cell>
          <cell r="L39">
            <v>0</v>
          </cell>
          <cell r="M39">
            <v>213.421875</v>
          </cell>
        </row>
        <row r="40">
          <cell r="G40">
            <v>45748</v>
          </cell>
          <cell r="H40">
            <v>117.0299375</v>
          </cell>
          <cell r="I40">
            <v>131.42675</v>
          </cell>
          <cell r="J40">
            <v>122.52154999999999</v>
          </cell>
          <cell r="K40">
            <v>13.301</v>
          </cell>
          <cell r="L40">
            <v>0.9275000000000001</v>
          </cell>
          <cell r="M40">
            <v>385.20673749999997</v>
          </cell>
        </row>
        <row r="41">
          <cell r="G41">
            <v>45778</v>
          </cell>
          <cell r="H41">
            <v>21.026249999999997</v>
          </cell>
          <cell r="I41">
            <v>77.14200000000001</v>
          </cell>
          <cell r="J41">
            <v>64.914500000000004</v>
          </cell>
          <cell r="K41">
            <v>0</v>
          </cell>
          <cell r="L41">
            <v>1.75</v>
          </cell>
          <cell r="M41">
            <v>164.83275</v>
          </cell>
        </row>
        <row r="42">
          <cell r="G42">
            <v>45809</v>
          </cell>
          <cell r="H42">
            <v>2.5024999999999999</v>
          </cell>
          <cell r="I42">
            <v>12.285</v>
          </cell>
          <cell r="J42">
            <v>33.064999999999998</v>
          </cell>
          <cell r="K42">
            <v>0</v>
          </cell>
          <cell r="L42">
            <v>0.875</v>
          </cell>
          <cell r="M42">
            <v>48.727499999999999</v>
          </cell>
        </row>
        <row r="43">
          <cell r="G43">
            <v>45839</v>
          </cell>
          <cell r="H43">
            <v>11.271749999999999</v>
          </cell>
          <cell r="I43">
            <v>8.1120000000000001</v>
          </cell>
          <cell r="J43">
            <v>7.2675000000000001</v>
          </cell>
          <cell r="K43">
            <v>0</v>
          </cell>
          <cell r="L43">
            <v>0</v>
          </cell>
          <cell r="M43">
            <v>26.651249999999997</v>
          </cell>
        </row>
        <row r="44">
          <cell r="G44">
            <v>45870</v>
          </cell>
          <cell r="H44">
            <v>25.427500000000002</v>
          </cell>
          <cell r="I44">
            <v>16.900000000000002</v>
          </cell>
          <cell r="J44">
            <v>16.149999999999999</v>
          </cell>
          <cell r="K44">
            <v>0</v>
          </cell>
          <cell r="L44">
            <v>0</v>
          </cell>
          <cell r="M44">
            <v>58.477499999999999</v>
          </cell>
        </row>
        <row r="45">
          <cell r="G45">
            <v>45901</v>
          </cell>
          <cell r="H45">
            <v>50.861999999999995</v>
          </cell>
          <cell r="I45">
            <v>45.123000000000005</v>
          </cell>
          <cell r="J45">
            <v>9.5455000000000005</v>
          </cell>
          <cell r="K45">
            <v>0</v>
          </cell>
          <cell r="L45">
            <v>0</v>
          </cell>
          <cell r="M45">
            <v>105.5305</v>
          </cell>
        </row>
        <row r="46">
          <cell r="G46">
            <v>45931</v>
          </cell>
          <cell r="H46">
            <v>53.865000000000002</v>
          </cell>
          <cell r="I46">
            <v>84.5</v>
          </cell>
          <cell r="J46">
            <v>31.875</v>
          </cell>
          <cell r="K46">
            <v>4.5108000000000006</v>
          </cell>
          <cell r="L46">
            <v>0</v>
          </cell>
          <cell r="M46">
            <v>174.7508</v>
          </cell>
        </row>
        <row r="47">
          <cell r="G47">
            <v>45962</v>
          </cell>
          <cell r="H47">
            <v>10.43</v>
          </cell>
          <cell r="I47">
            <v>43.517500000000005</v>
          </cell>
          <cell r="J47">
            <v>36.634999999999998</v>
          </cell>
          <cell r="K47">
            <v>1.3800000000000001</v>
          </cell>
          <cell r="L47">
            <v>0</v>
          </cell>
          <cell r="M47">
            <v>91.962500000000006</v>
          </cell>
        </row>
        <row r="48">
          <cell r="G48">
            <v>46054</v>
          </cell>
          <cell r="H48">
            <v>10.43</v>
          </cell>
          <cell r="I48">
            <v>18.473000000000003</v>
          </cell>
          <cell r="J48">
            <v>0</v>
          </cell>
          <cell r="K48">
            <v>3.7700000000000005</v>
          </cell>
          <cell r="L48">
            <v>0</v>
          </cell>
          <cell r="M48">
            <v>32.673000000000002</v>
          </cell>
        </row>
        <row r="49">
          <cell r="G49">
            <v>46082</v>
          </cell>
          <cell r="H49">
            <v>76.256249999999994</v>
          </cell>
          <cell r="I49">
            <v>68.991</v>
          </cell>
          <cell r="J49">
            <v>17.535500000000003</v>
          </cell>
          <cell r="K49">
            <v>19.12</v>
          </cell>
          <cell r="L49">
            <v>0.63800000000000001</v>
          </cell>
          <cell r="M49">
            <v>182.54075000000003</v>
          </cell>
        </row>
        <row r="50">
          <cell r="G50">
            <v>46113</v>
          </cell>
          <cell r="H50">
            <v>82.25</v>
          </cell>
          <cell r="I50">
            <v>40.950000000000003</v>
          </cell>
          <cell r="J50">
            <v>33.609000000000002</v>
          </cell>
          <cell r="K50">
            <v>19</v>
          </cell>
          <cell r="L50">
            <v>2.2000000000000002</v>
          </cell>
          <cell r="M50">
            <v>178.00899999999999</v>
          </cell>
        </row>
        <row r="51">
          <cell r="G51">
            <v>46143</v>
          </cell>
          <cell r="H51">
            <v>40.86249999999999</v>
          </cell>
          <cell r="I51">
            <v>4.9009999999999998</v>
          </cell>
          <cell r="J51">
            <v>21.547499999999999</v>
          </cell>
          <cell r="K51">
            <v>6.08</v>
          </cell>
          <cell r="L51">
            <v>1.4300000000000002</v>
          </cell>
          <cell r="M51">
            <v>74.820999999999998</v>
          </cell>
        </row>
        <row r="52">
          <cell r="G52">
            <v>46204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</row>
        <row r="53">
          <cell r="G53">
            <v>46266</v>
          </cell>
          <cell r="H53">
            <v>37.115749999999991</v>
          </cell>
          <cell r="I53">
            <v>44.804500000000004</v>
          </cell>
          <cell r="J53">
            <v>47.6</v>
          </cell>
          <cell r="K53">
            <v>8.7039999999999988</v>
          </cell>
          <cell r="L53">
            <v>2.17</v>
          </cell>
          <cell r="M53">
            <v>140.39425</v>
          </cell>
        </row>
        <row r="54">
          <cell r="G54">
            <v>46296</v>
          </cell>
          <cell r="H54">
            <v>49.701749999999997</v>
          </cell>
          <cell r="I54">
            <v>73.001500000000007</v>
          </cell>
          <cell r="J54">
            <v>43.655999999999999</v>
          </cell>
          <cell r="K54">
            <v>9.1883999999999997</v>
          </cell>
          <cell r="L54">
            <v>1.0114999999999998</v>
          </cell>
          <cell r="M54">
            <v>176.55915000000002</v>
          </cell>
        </row>
        <row r="55">
          <cell r="G55">
            <v>46327</v>
          </cell>
          <cell r="H55">
            <v>28.349999999999998</v>
          </cell>
          <cell r="I55">
            <v>25.35</v>
          </cell>
          <cell r="J55">
            <v>31.45</v>
          </cell>
          <cell r="K55">
            <v>8.2000000000000011</v>
          </cell>
          <cell r="L55">
            <v>0</v>
          </cell>
          <cell r="M55">
            <v>93.350000000000009</v>
          </cell>
        </row>
        <row r="56">
          <cell r="G56">
            <v>46419</v>
          </cell>
          <cell r="H56">
            <v>11.864999999999998</v>
          </cell>
          <cell r="I56">
            <v>23.035999999999998</v>
          </cell>
          <cell r="J56">
            <v>6.375</v>
          </cell>
          <cell r="K56">
            <v>0</v>
          </cell>
          <cell r="L56">
            <v>0</v>
          </cell>
          <cell r="M56">
            <v>41.275999999999996</v>
          </cell>
        </row>
        <row r="57">
          <cell r="G57">
            <v>46447</v>
          </cell>
          <cell r="H57">
            <v>27.859999999999996</v>
          </cell>
          <cell r="I57">
            <v>26.468</v>
          </cell>
          <cell r="J57">
            <v>32.087499999999999</v>
          </cell>
          <cell r="K57">
            <v>2.2100000000000004</v>
          </cell>
          <cell r="L57">
            <v>0</v>
          </cell>
          <cell r="M57">
            <v>88.625499999999988</v>
          </cell>
        </row>
        <row r="58">
          <cell r="G58">
            <v>46478</v>
          </cell>
          <cell r="H58">
            <v>65.21374999999999</v>
          </cell>
          <cell r="I58">
            <v>61.789000000000001</v>
          </cell>
          <cell r="J58">
            <v>14.875</v>
          </cell>
          <cell r="K58">
            <v>18.693999999999999</v>
          </cell>
          <cell r="L58">
            <v>0</v>
          </cell>
          <cell r="M58">
            <v>160.57174999999998</v>
          </cell>
        </row>
        <row r="59">
          <cell r="G59">
            <v>46508</v>
          </cell>
          <cell r="H59">
            <v>48.824999999999996</v>
          </cell>
          <cell r="I59">
            <v>45.227000000000004</v>
          </cell>
          <cell r="J59">
            <v>0</v>
          </cell>
          <cell r="K59">
            <v>12.786000000000001</v>
          </cell>
          <cell r="L59">
            <v>0</v>
          </cell>
          <cell r="M59">
            <v>106.83799999999999</v>
          </cell>
        </row>
        <row r="60">
          <cell r="G60">
            <v>46631</v>
          </cell>
          <cell r="H60">
            <v>95.93412499999998</v>
          </cell>
          <cell r="I60">
            <v>102.375</v>
          </cell>
          <cell r="J60">
            <v>71.144999999999982</v>
          </cell>
          <cell r="K60">
            <v>18.972000000000001</v>
          </cell>
          <cell r="L60">
            <v>0.55800000000000005</v>
          </cell>
          <cell r="M60">
            <v>288.98412499999995</v>
          </cell>
        </row>
        <row r="61">
          <cell r="G61">
            <v>46661</v>
          </cell>
          <cell r="H61">
            <v>44.034375000000004</v>
          </cell>
          <cell r="I61">
            <v>72.461999999999989</v>
          </cell>
          <cell r="J61">
            <v>65.024999999999991</v>
          </cell>
          <cell r="K61">
            <v>1.2240000000000002</v>
          </cell>
          <cell r="L61">
            <v>0.33</v>
          </cell>
          <cell r="M61">
            <v>183.07537499999998</v>
          </cell>
        </row>
        <row r="62">
          <cell r="G62">
            <v>46692</v>
          </cell>
          <cell r="H62">
            <v>0</v>
          </cell>
          <cell r="I62">
            <v>0</v>
          </cell>
          <cell r="J62">
            <v>1.53</v>
          </cell>
          <cell r="K62">
            <v>0</v>
          </cell>
          <cell r="L62">
            <v>0</v>
          </cell>
          <cell r="M62">
            <v>1.53</v>
          </cell>
        </row>
        <row r="63">
          <cell r="G63">
            <v>46813</v>
          </cell>
          <cell r="H63">
            <v>19.88</v>
          </cell>
          <cell r="I63">
            <v>25.3825</v>
          </cell>
          <cell r="J63">
            <v>24.139999999999997</v>
          </cell>
          <cell r="K63">
            <v>5.1830000000000007</v>
          </cell>
          <cell r="L63">
            <v>2.0680000000000001</v>
          </cell>
          <cell r="M63">
            <v>76.653500000000008</v>
          </cell>
        </row>
        <row r="64">
          <cell r="G64">
            <v>46844</v>
          </cell>
          <cell r="H64">
            <v>18.042499999999997</v>
          </cell>
          <cell r="I64">
            <v>24.6831</v>
          </cell>
          <cell r="J64">
            <v>19.38</v>
          </cell>
          <cell r="K64">
            <v>3.1390000000000002</v>
          </cell>
          <cell r="L64">
            <v>1.54</v>
          </cell>
          <cell r="M64">
            <v>66.784599999999998</v>
          </cell>
        </row>
        <row r="65">
          <cell r="G65">
            <v>46874</v>
          </cell>
          <cell r="H65">
            <v>5.2307499999999996</v>
          </cell>
          <cell r="I65">
            <v>6.3083799999999997</v>
          </cell>
          <cell r="J65">
            <v>4.1479999999999997</v>
          </cell>
          <cell r="K65">
            <v>0</v>
          </cell>
          <cell r="L65">
            <v>0</v>
          </cell>
          <cell r="M65">
            <v>15.68713</v>
          </cell>
        </row>
        <row r="66">
          <cell r="G66">
            <v>46997</v>
          </cell>
          <cell r="H66">
            <v>35.563499999999998</v>
          </cell>
          <cell r="I66">
            <v>85.764250000000004</v>
          </cell>
          <cell r="J66">
            <v>14.726249999999999</v>
          </cell>
          <cell r="K66">
            <v>5.2860000000000005</v>
          </cell>
          <cell r="L66">
            <v>0</v>
          </cell>
          <cell r="M66">
            <v>141.34</v>
          </cell>
        </row>
        <row r="67">
          <cell r="G67">
            <v>47027</v>
          </cell>
          <cell r="H67">
            <v>24.279499999999999</v>
          </cell>
          <cell r="I67">
            <v>76.579750000000004</v>
          </cell>
          <cell r="J67">
            <v>7.4587500000000002</v>
          </cell>
          <cell r="K67">
            <v>1.9020000000000001</v>
          </cell>
          <cell r="L67">
            <v>0</v>
          </cell>
          <cell r="M67">
            <v>110.22</v>
          </cell>
        </row>
        <row r="68">
          <cell r="G68">
            <v>47058</v>
          </cell>
          <cell r="H68">
            <v>5.0837500000000002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5.0837500000000002</v>
          </cell>
        </row>
        <row r="69">
          <cell r="G69">
            <v>47150</v>
          </cell>
          <cell r="H69">
            <v>9.3187499999999996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9.3187499999999996</v>
          </cell>
        </row>
        <row r="70">
          <cell r="G70">
            <v>47178</v>
          </cell>
          <cell r="H70">
            <v>25.56925</v>
          </cell>
          <cell r="I70">
            <v>0</v>
          </cell>
          <cell r="J70">
            <v>0</v>
          </cell>
          <cell r="K70">
            <v>0</v>
          </cell>
          <cell r="L70">
            <v>1.552</v>
          </cell>
          <cell r="M70">
            <v>27.12125</v>
          </cell>
        </row>
        <row r="71">
          <cell r="G71">
            <v>47209</v>
          </cell>
          <cell r="H71">
            <v>7.6999999999999993</v>
          </cell>
          <cell r="I71">
            <v>0</v>
          </cell>
          <cell r="J71">
            <v>0</v>
          </cell>
          <cell r="K71">
            <v>0</v>
          </cell>
          <cell r="L71">
            <v>1.4475</v>
          </cell>
          <cell r="M71">
            <v>9.1474999999999991</v>
          </cell>
        </row>
        <row r="72">
          <cell r="G72">
            <v>47239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1.3475000000000001</v>
          </cell>
          <cell r="M72">
            <v>1.3475000000000001</v>
          </cell>
        </row>
        <row r="73">
          <cell r="G73">
            <v>47270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</row>
        <row r="74">
          <cell r="G74">
            <v>47300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</row>
        <row r="75">
          <cell r="G75">
            <v>47331</v>
          </cell>
          <cell r="H75">
            <v>0</v>
          </cell>
          <cell r="I75">
            <v>1.6575</v>
          </cell>
          <cell r="J75">
            <v>0</v>
          </cell>
          <cell r="K75">
            <v>0</v>
          </cell>
          <cell r="L75">
            <v>0</v>
          </cell>
        </row>
        <row r="76">
          <cell r="G76">
            <v>47362</v>
          </cell>
          <cell r="H76">
            <v>14.174999999999999</v>
          </cell>
          <cell r="I76">
            <v>74.75</v>
          </cell>
          <cell r="J76">
            <v>10.199999999999999</v>
          </cell>
          <cell r="K76">
            <v>0</v>
          </cell>
          <cell r="L76">
            <v>0</v>
          </cell>
        </row>
        <row r="77">
          <cell r="G77">
            <v>47392</v>
          </cell>
          <cell r="H77">
            <v>18.19125</v>
          </cell>
          <cell r="I77">
            <v>33.865000000000002</v>
          </cell>
          <cell r="J77">
            <v>13.09</v>
          </cell>
          <cell r="K77">
            <v>0</v>
          </cell>
          <cell r="L77">
            <v>0</v>
          </cell>
        </row>
        <row r="78">
          <cell r="G78">
            <v>47423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</row>
        <row r="79">
          <cell r="G79">
            <v>47543</v>
          </cell>
          <cell r="H79">
            <v>40.591249999999995</v>
          </cell>
          <cell r="I79">
            <v>35.41525</v>
          </cell>
          <cell r="J79">
            <v>39.440000000000005</v>
          </cell>
          <cell r="K79">
            <v>2.75</v>
          </cell>
          <cell r="L79">
            <v>0.82500000000000007</v>
          </cell>
        </row>
        <row r="80">
          <cell r="G80">
            <v>47574</v>
          </cell>
          <cell r="H80">
            <v>10.267249999999999</v>
          </cell>
          <cell r="I80">
            <v>7.5328499999999989</v>
          </cell>
          <cell r="J80">
            <v>7.3440000000000003</v>
          </cell>
          <cell r="K80">
            <v>1.35</v>
          </cell>
          <cell r="L80">
            <v>0.40500000000000003</v>
          </cell>
        </row>
        <row r="81">
          <cell r="G81">
            <v>47665</v>
          </cell>
          <cell r="H81">
            <v>17.81325</v>
          </cell>
          <cell r="I81">
            <v>14.703000000000001</v>
          </cell>
          <cell r="J81">
            <v>14.050500000000001</v>
          </cell>
          <cell r="K81">
            <v>0</v>
          </cell>
          <cell r="L81">
            <v>0</v>
          </cell>
        </row>
        <row r="82">
          <cell r="G82">
            <v>47696</v>
          </cell>
          <cell r="H82">
            <v>48.474999999999994</v>
          </cell>
          <cell r="I82">
            <v>16.900000000000002</v>
          </cell>
          <cell r="J82">
            <v>16.149999999999999</v>
          </cell>
          <cell r="K82">
            <v>0</v>
          </cell>
          <cell r="L82">
            <v>0</v>
          </cell>
        </row>
        <row r="83">
          <cell r="G83">
            <v>47727</v>
          </cell>
          <cell r="H83">
            <v>74.443249999999992</v>
          </cell>
          <cell r="I83">
            <v>60.0015</v>
          </cell>
          <cell r="J83">
            <v>2.1122500000000004</v>
          </cell>
          <cell r="K83">
            <v>16.931999999999999</v>
          </cell>
          <cell r="L83">
            <v>0</v>
          </cell>
        </row>
        <row r="84">
          <cell r="G84">
            <v>47757</v>
          </cell>
          <cell r="H84">
            <v>44.519999999999996</v>
          </cell>
          <cell r="I84">
            <v>45.188000000000002</v>
          </cell>
          <cell r="J84">
            <v>32.725000000000001</v>
          </cell>
          <cell r="K84">
            <v>20.400000000000002</v>
          </cell>
          <cell r="L84">
            <v>0</v>
          </cell>
        </row>
        <row r="85">
          <cell r="G85">
            <v>47788</v>
          </cell>
          <cell r="H85">
            <v>5.46</v>
          </cell>
          <cell r="I85">
            <v>0</v>
          </cell>
          <cell r="J85">
            <v>0</v>
          </cell>
          <cell r="K85">
            <v>2.6520000000000001</v>
          </cell>
          <cell r="L85">
            <v>0</v>
          </cell>
        </row>
        <row r="86">
          <cell r="G86">
            <v>47880</v>
          </cell>
          <cell r="H86">
            <v>0</v>
          </cell>
          <cell r="I86">
            <v>0</v>
          </cell>
          <cell r="J86">
            <v>0</v>
          </cell>
          <cell r="K86">
            <v>13</v>
          </cell>
          <cell r="L86">
            <v>0</v>
          </cell>
        </row>
        <row r="87">
          <cell r="G87">
            <v>47908</v>
          </cell>
          <cell r="H87">
            <v>0</v>
          </cell>
          <cell r="I87">
            <v>0</v>
          </cell>
          <cell r="J87">
            <v>0</v>
          </cell>
          <cell r="K87">
            <v>2.99</v>
          </cell>
          <cell r="L87">
            <v>0</v>
          </cell>
        </row>
        <row r="88">
          <cell r="G88">
            <v>47939</v>
          </cell>
          <cell r="H88">
            <v>11.97</v>
          </cell>
          <cell r="I88">
            <v>15.209999999999999</v>
          </cell>
          <cell r="J88">
            <v>9.9449999999999985</v>
          </cell>
          <cell r="K88">
            <v>0</v>
          </cell>
          <cell r="L88">
            <v>0</v>
          </cell>
        </row>
        <row r="89">
          <cell r="G89">
            <v>47969</v>
          </cell>
          <cell r="H89">
            <v>7.7139999999999995</v>
          </cell>
          <cell r="I89">
            <v>9.8019999999999996</v>
          </cell>
          <cell r="J89">
            <v>6.4089999999999998</v>
          </cell>
          <cell r="K89">
            <v>0</v>
          </cell>
          <cell r="L89">
            <v>0</v>
          </cell>
        </row>
        <row r="90">
          <cell r="G90">
            <v>48122</v>
          </cell>
          <cell r="H90">
            <v>5.9412500000000001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</row>
        <row r="91">
          <cell r="G91">
            <v>48214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</row>
        <row r="92">
          <cell r="G92" t="e">
            <v>#REF!</v>
          </cell>
          <cell r="H92" t="e">
            <v>#REF!</v>
          </cell>
          <cell r="I92" t="e">
            <v>#REF!</v>
          </cell>
          <cell r="J92" t="e">
            <v>#REF!</v>
          </cell>
          <cell r="K92" t="e">
            <v>#REF!</v>
          </cell>
          <cell r="L92" t="e">
            <v>#REF!</v>
          </cell>
        </row>
        <row r="93">
          <cell r="G93" t="e">
            <v>#REF!</v>
          </cell>
          <cell r="H93" t="e">
            <v>#REF!</v>
          </cell>
          <cell r="I93" t="e">
            <v>#REF!</v>
          </cell>
          <cell r="J93" t="e">
            <v>#REF!</v>
          </cell>
          <cell r="K93" t="e">
            <v>#REF!</v>
          </cell>
          <cell r="L93" t="e">
            <v>#REF!</v>
          </cell>
        </row>
        <row r="94">
          <cell r="G94" t="e">
            <v>#REF!</v>
          </cell>
          <cell r="H94" t="e">
            <v>#REF!</v>
          </cell>
          <cell r="I94" t="e">
            <v>#REF!</v>
          </cell>
          <cell r="J94" t="e">
            <v>#REF!</v>
          </cell>
          <cell r="K94" t="e">
            <v>#REF!</v>
          </cell>
          <cell r="L94" t="e">
            <v>#REF!</v>
          </cell>
        </row>
        <row r="95">
          <cell r="G95" t="e">
            <v>#REF!</v>
          </cell>
          <cell r="H95" t="e">
            <v>#REF!</v>
          </cell>
          <cell r="I95" t="e">
            <v>#REF!</v>
          </cell>
          <cell r="J95" t="e">
            <v>#REF!</v>
          </cell>
          <cell r="K95" t="e">
            <v>#REF!</v>
          </cell>
          <cell r="L95" t="e">
            <v>#REF!</v>
          </cell>
        </row>
        <row r="96">
          <cell r="G96">
            <v>50526</v>
          </cell>
          <cell r="H96">
            <v>6.9160000000000004</v>
          </cell>
          <cell r="I96">
            <v>8.7880000000000003</v>
          </cell>
          <cell r="J96">
            <v>5.7459999999999996</v>
          </cell>
          <cell r="K96">
            <v>0</v>
          </cell>
          <cell r="L96">
            <v>0</v>
          </cell>
        </row>
      </sheetData>
      <sheetData sheetId="7">
        <row r="1">
          <cell r="H1" t="str">
            <v>CDU Mogas Offline</v>
          </cell>
          <cell r="I1" t="str">
            <v>FCC Mogas Offline</v>
          </cell>
          <cell r="J1" t="str">
            <v>Ref Mogas Offline</v>
          </cell>
          <cell r="K1" t="str">
            <v>Coker Mogas Offline</v>
          </cell>
          <cell r="L1" t="str">
            <v>HDC Mogas Offline</v>
          </cell>
          <cell r="M1" t="str">
            <v>Total Mogas Offline</v>
          </cell>
        </row>
        <row r="2">
          <cell r="G2">
            <v>44562</v>
          </cell>
          <cell r="H2">
            <v>15.098999999999998</v>
          </cell>
          <cell r="I2">
            <v>13.689</v>
          </cell>
          <cell r="J2">
            <v>29.682000000000002</v>
          </cell>
          <cell r="K2">
            <v>2.726</v>
          </cell>
          <cell r="L2">
            <v>0.52200000000000002</v>
          </cell>
          <cell r="M2">
            <v>61.717999999999996</v>
          </cell>
        </row>
        <row r="3">
          <cell r="G3">
            <v>44593</v>
          </cell>
          <cell r="H3">
            <v>43.855699999999992</v>
          </cell>
          <cell r="I3">
            <v>35.1</v>
          </cell>
          <cell r="J3">
            <v>24.683999999999997</v>
          </cell>
          <cell r="K3">
            <v>7.958000000000002</v>
          </cell>
          <cell r="L3">
            <v>1.4220000000000002</v>
          </cell>
          <cell r="M3">
            <v>113.01969999999999</v>
          </cell>
        </row>
        <row r="4">
          <cell r="G4">
            <v>44621</v>
          </cell>
          <cell r="H4">
            <v>8.5399999999999991</v>
          </cell>
          <cell r="I4">
            <v>58.253000000000007</v>
          </cell>
          <cell r="J4">
            <v>5.3549999999999995</v>
          </cell>
          <cell r="K4">
            <v>0</v>
          </cell>
          <cell r="L4">
            <v>4.1250000000000002E-2</v>
          </cell>
          <cell r="M4">
            <v>72.189250000000015</v>
          </cell>
        </row>
        <row r="5">
          <cell r="G5">
            <v>44652</v>
          </cell>
          <cell r="H5">
            <v>33.599999999999994</v>
          </cell>
          <cell r="I5">
            <v>31.772000000000002</v>
          </cell>
          <cell r="J5">
            <v>13.09</v>
          </cell>
          <cell r="K5">
            <v>0</v>
          </cell>
          <cell r="L5">
            <v>1.375</v>
          </cell>
          <cell r="M5">
            <v>79.837000000000003</v>
          </cell>
        </row>
        <row r="6">
          <cell r="G6">
            <v>44682</v>
          </cell>
          <cell r="H6">
            <v>46.322499999999998</v>
          </cell>
          <cell r="I6">
            <v>5.2</v>
          </cell>
          <cell r="J6">
            <v>11.049999999999999</v>
          </cell>
          <cell r="K6">
            <v>0</v>
          </cell>
          <cell r="L6">
            <v>1.155</v>
          </cell>
          <cell r="M6">
            <v>63.727499999999999</v>
          </cell>
        </row>
        <row r="7">
          <cell r="G7">
            <v>44713</v>
          </cell>
          <cell r="H7">
            <v>33.521250000000002</v>
          </cell>
          <cell r="I7">
            <v>6.5</v>
          </cell>
          <cell r="J7">
            <v>20.302249999999997</v>
          </cell>
          <cell r="K7">
            <v>3.35</v>
          </cell>
          <cell r="L7">
            <v>2.3130000000000002</v>
          </cell>
          <cell r="M7">
            <v>65.986499999999992</v>
          </cell>
        </row>
        <row r="8">
          <cell r="G8">
            <v>44743</v>
          </cell>
          <cell r="H8">
            <v>42</v>
          </cell>
          <cell r="I8">
            <v>5.2</v>
          </cell>
          <cell r="J8">
            <v>40.098749999999995</v>
          </cell>
          <cell r="K8">
            <v>0</v>
          </cell>
          <cell r="L8">
            <v>3</v>
          </cell>
          <cell r="M8">
            <v>90.298749999999998</v>
          </cell>
        </row>
        <row r="9">
          <cell r="G9">
            <v>44774</v>
          </cell>
          <cell r="H9">
            <v>2.52</v>
          </cell>
          <cell r="I9">
            <v>0</v>
          </cell>
          <cell r="J9">
            <v>1.4279999999999999</v>
          </cell>
          <cell r="K9">
            <v>0</v>
          </cell>
          <cell r="L9">
            <v>0.18000000000000002</v>
          </cell>
          <cell r="M9">
            <v>4.1280000000000001</v>
          </cell>
        </row>
        <row r="10">
          <cell r="G10">
            <v>44805</v>
          </cell>
          <cell r="H10">
            <v>25.546500000000002</v>
          </cell>
          <cell r="I10">
            <v>18.8825</v>
          </cell>
          <cell r="J10">
            <v>29.303750000000001</v>
          </cell>
          <cell r="K10">
            <v>5.3760000000000012</v>
          </cell>
          <cell r="L10">
            <v>0</v>
          </cell>
          <cell r="M10">
            <v>79.108750000000015</v>
          </cell>
        </row>
        <row r="11">
          <cell r="G11">
            <v>44835</v>
          </cell>
          <cell r="H11">
            <v>45.01</v>
          </cell>
          <cell r="I11">
            <v>21.385000000000002</v>
          </cell>
          <cell r="J11">
            <v>22.703500000000002</v>
          </cell>
          <cell r="K11">
            <v>17.416</v>
          </cell>
          <cell r="L11">
            <v>0</v>
          </cell>
          <cell r="M11">
            <v>106.5145</v>
          </cell>
        </row>
        <row r="12">
          <cell r="G12">
            <v>44866</v>
          </cell>
          <cell r="H12">
            <v>3.2759999999999998</v>
          </cell>
          <cell r="I12">
            <v>0</v>
          </cell>
          <cell r="J12">
            <v>24.82</v>
          </cell>
          <cell r="K12">
            <v>4.7519999999999998</v>
          </cell>
          <cell r="L12">
            <v>0</v>
          </cell>
          <cell r="M12">
            <v>32.847999999999999</v>
          </cell>
        </row>
        <row r="13">
          <cell r="G13">
            <v>44927</v>
          </cell>
          <cell r="H13">
            <v>14.367499999999998</v>
          </cell>
          <cell r="I13">
            <v>39.162500000000001</v>
          </cell>
          <cell r="J13">
            <v>6.5194999999999999</v>
          </cell>
          <cell r="K13">
            <v>9.4260000000000002</v>
          </cell>
          <cell r="L13">
            <v>1.179</v>
          </cell>
          <cell r="M13">
            <v>70.654499999999999</v>
          </cell>
        </row>
        <row r="14">
          <cell r="G14">
            <v>44958</v>
          </cell>
          <cell r="H14">
            <v>40.732999999999997</v>
          </cell>
          <cell r="I14">
            <v>74.424999999999997</v>
          </cell>
          <cell r="J14">
            <v>17.773499999999999</v>
          </cell>
          <cell r="K14">
            <v>4.612000000000001</v>
          </cell>
          <cell r="L14">
            <v>4.0512500000000005</v>
          </cell>
          <cell r="M14">
            <v>141.59474999999998</v>
          </cell>
        </row>
        <row r="15">
          <cell r="G15">
            <v>44986</v>
          </cell>
          <cell r="H15">
            <v>18.810749999999999</v>
          </cell>
          <cell r="I15">
            <v>30.758000000000006</v>
          </cell>
          <cell r="J15">
            <v>0.75224999999999997</v>
          </cell>
          <cell r="K15">
            <v>0</v>
          </cell>
          <cell r="L15">
            <v>0.75600000000000001</v>
          </cell>
          <cell r="M15">
            <v>51.077000000000005</v>
          </cell>
        </row>
        <row r="16">
          <cell r="G16">
            <v>45017</v>
          </cell>
          <cell r="H16">
            <v>37.303874999999998</v>
          </cell>
          <cell r="I16">
            <v>38.024999999999999</v>
          </cell>
          <cell r="J16">
            <v>50.553750000000001</v>
          </cell>
          <cell r="K16">
            <v>0.91999999999999993</v>
          </cell>
          <cell r="L16">
            <v>4.6407499999999997</v>
          </cell>
          <cell r="M16">
            <v>131.443375</v>
          </cell>
        </row>
        <row r="17">
          <cell r="G17">
            <v>45047</v>
          </cell>
          <cell r="H17">
            <v>20.157374999999998</v>
          </cell>
          <cell r="I17">
            <v>21.553999999999998</v>
          </cell>
          <cell r="J17">
            <v>25.97175</v>
          </cell>
          <cell r="K17">
            <v>0</v>
          </cell>
          <cell r="L17">
            <v>2.4632000000000001</v>
          </cell>
          <cell r="M17">
            <v>70.14632499999999</v>
          </cell>
        </row>
        <row r="18">
          <cell r="G18">
            <v>45078</v>
          </cell>
          <cell r="H18">
            <v>0</v>
          </cell>
          <cell r="I18">
            <v>0</v>
          </cell>
          <cell r="J18">
            <v>2.1165000000000003</v>
          </cell>
          <cell r="K18">
            <v>0</v>
          </cell>
          <cell r="L18">
            <v>0</v>
          </cell>
          <cell r="M18">
            <v>2.1165000000000003</v>
          </cell>
        </row>
        <row r="19">
          <cell r="G19">
            <v>45139</v>
          </cell>
          <cell r="H19">
            <v>0</v>
          </cell>
          <cell r="I19">
            <v>0</v>
          </cell>
          <cell r="J19">
            <v>7.48</v>
          </cell>
          <cell r="K19">
            <v>0</v>
          </cell>
          <cell r="L19">
            <v>0</v>
          </cell>
          <cell r="M19">
            <v>7.48</v>
          </cell>
        </row>
        <row r="20">
          <cell r="G20">
            <v>45170</v>
          </cell>
          <cell r="H20">
            <v>2.6249999999999999E-2</v>
          </cell>
          <cell r="I20">
            <v>14.950000000000001</v>
          </cell>
          <cell r="J20">
            <v>0</v>
          </cell>
          <cell r="K20">
            <v>0</v>
          </cell>
          <cell r="L20">
            <v>0</v>
          </cell>
          <cell r="M20">
            <v>14.97625</v>
          </cell>
        </row>
        <row r="21">
          <cell r="G21">
            <v>45200</v>
          </cell>
          <cell r="H21">
            <v>30.005499999999998</v>
          </cell>
          <cell r="I21">
            <v>65</v>
          </cell>
          <cell r="J21">
            <v>0</v>
          </cell>
          <cell r="K21">
            <v>12.784000000000001</v>
          </cell>
          <cell r="L21">
            <v>0</v>
          </cell>
          <cell r="M21">
            <v>107.7895</v>
          </cell>
        </row>
        <row r="22">
          <cell r="G22">
            <v>45231</v>
          </cell>
          <cell r="H22">
            <v>15.45425</v>
          </cell>
          <cell r="I22">
            <v>65</v>
          </cell>
          <cell r="J22">
            <v>30.599999999999998</v>
          </cell>
          <cell r="K22">
            <v>1.36</v>
          </cell>
          <cell r="L22">
            <v>0</v>
          </cell>
          <cell r="M22">
            <v>112.41425</v>
          </cell>
        </row>
        <row r="23">
          <cell r="G23">
            <v>45261</v>
          </cell>
          <cell r="H23">
            <v>0</v>
          </cell>
          <cell r="I23">
            <v>14.950000000000001</v>
          </cell>
          <cell r="J23">
            <v>0</v>
          </cell>
          <cell r="K23">
            <v>0</v>
          </cell>
          <cell r="L23">
            <v>0</v>
          </cell>
          <cell r="M23">
            <v>14.950000000000001</v>
          </cell>
        </row>
        <row r="24">
          <cell r="G24">
            <v>45292</v>
          </cell>
          <cell r="H24">
            <v>26.162499999999998</v>
          </cell>
          <cell r="I24">
            <v>21.97</v>
          </cell>
          <cell r="J24">
            <v>18.232499999999998</v>
          </cell>
          <cell r="K24">
            <v>5.07</v>
          </cell>
          <cell r="L24">
            <v>0</v>
          </cell>
          <cell r="M24">
            <v>71.435000000000002</v>
          </cell>
        </row>
        <row r="25">
          <cell r="G25">
            <v>45323</v>
          </cell>
          <cell r="H25">
            <v>21.192499999999999</v>
          </cell>
          <cell r="I25">
            <v>21.079499999999999</v>
          </cell>
          <cell r="J25">
            <v>37.264000000000003</v>
          </cell>
          <cell r="K25">
            <v>4.1940000000000008</v>
          </cell>
          <cell r="L25">
            <v>1.0957500000000002</v>
          </cell>
          <cell r="M25">
            <v>84.825749999999999</v>
          </cell>
        </row>
        <row r="26">
          <cell r="G26">
            <v>45352</v>
          </cell>
          <cell r="H26">
            <v>1.988</v>
          </cell>
          <cell r="I26">
            <v>71.090500000000006</v>
          </cell>
          <cell r="J26">
            <v>22.439999999999998</v>
          </cell>
          <cell r="K26">
            <v>5.2712000000000003</v>
          </cell>
          <cell r="L26">
            <v>2.2137500000000001</v>
          </cell>
          <cell r="M26">
            <v>103.00345000000002</v>
          </cell>
        </row>
        <row r="27">
          <cell r="G27">
            <v>45383</v>
          </cell>
          <cell r="H27">
            <v>37.607499999999995</v>
          </cell>
          <cell r="I27">
            <v>15.275</v>
          </cell>
          <cell r="J27">
            <v>20.612500000000001</v>
          </cell>
          <cell r="K27">
            <v>1.5660000000000001</v>
          </cell>
          <cell r="L27">
            <v>0.65375000000000005</v>
          </cell>
          <cell r="M27">
            <v>75.714749999999995</v>
          </cell>
        </row>
        <row r="28">
          <cell r="G28">
            <v>45413</v>
          </cell>
          <cell r="H28">
            <v>32.598999999999997</v>
          </cell>
          <cell r="I28">
            <v>50.44</v>
          </cell>
          <cell r="J28">
            <v>13.791250000000002</v>
          </cell>
          <cell r="K28">
            <v>2.8600000000000003</v>
          </cell>
          <cell r="L28">
            <v>1.155</v>
          </cell>
          <cell r="M28">
            <v>100.84524999999999</v>
          </cell>
        </row>
        <row r="29">
          <cell r="G29">
            <v>45444</v>
          </cell>
          <cell r="H29">
            <v>2.8402499999999997</v>
          </cell>
          <cell r="I29">
            <v>80.275000000000006</v>
          </cell>
          <cell r="J29">
            <v>13.012649999999999</v>
          </cell>
          <cell r="K29">
            <v>3.6520000000000006</v>
          </cell>
          <cell r="L29">
            <v>0</v>
          </cell>
          <cell r="M29">
            <v>99.779899999999998</v>
          </cell>
        </row>
        <row r="30">
          <cell r="G30">
            <v>45474</v>
          </cell>
          <cell r="H30">
            <v>0</v>
          </cell>
          <cell r="I30">
            <v>9.879999999999999</v>
          </cell>
          <cell r="J30">
            <v>0</v>
          </cell>
          <cell r="K30">
            <v>0</v>
          </cell>
          <cell r="L30">
            <v>0</v>
          </cell>
          <cell r="M30">
            <v>9.879999999999999</v>
          </cell>
        </row>
        <row r="31">
          <cell r="G31">
            <v>45505</v>
          </cell>
          <cell r="H31">
            <v>0</v>
          </cell>
          <cell r="I31">
            <v>38.723750000000003</v>
          </cell>
          <cell r="J31">
            <v>0</v>
          </cell>
          <cell r="K31">
            <v>0</v>
          </cell>
          <cell r="L31">
            <v>0</v>
          </cell>
          <cell r="M31">
            <v>38.723750000000003</v>
          </cell>
        </row>
        <row r="32">
          <cell r="G32">
            <v>45536</v>
          </cell>
          <cell r="H32">
            <v>0</v>
          </cell>
          <cell r="I32">
            <v>50.050000000000004</v>
          </cell>
          <cell r="J32">
            <v>0</v>
          </cell>
          <cell r="K32">
            <v>0</v>
          </cell>
          <cell r="L32">
            <v>0</v>
          </cell>
          <cell r="M32">
            <v>50.050000000000004</v>
          </cell>
        </row>
        <row r="33">
          <cell r="G33">
            <v>45566</v>
          </cell>
          <cell r="H33">
            <v>0</v>
          </cell>
          <cell r="I33">
            <v>34.033999999999999</v>
          </cell>
          <cell r="J33">
            <v>4.3520000000000003</v>
          </cell>
          <cell r="K33">
            <v>0.95700000000000007</v>
          </cell>
          <cell r="L33">
            <v>0</v>
          </cell>
          <cell r="M33">
            <v>39.342999999999996</v>
          </cell>
        </row>
        <row r="34">
          <cell r="G34">
            <v>45597</v>
          </cell>
          <cell r="H34">
            <v>0</v>
          </cell>
          <cell r="I34">
            <v>4.2250000000000005</v>
          </cell>
          <cell r="J34">
            <v>6.3919999999999995</v>
          </cell>
          <cell r="K34">
            <v>1.6500000000000001</v>
          </cell>
          <cell r="L34">
            <v>0</v>
          </cell>
          <cell r="M34">
            <v>12.267000000000001</v>
          </cell>
        </row>
        <row r="35">
          <cell r="G35">
            <v>45627</v>
          </cell>
          <cell r="H35">
            <v>0</v>
          </cell>
          <cell r="I35">
            <v>0</v>
          </cell>
          <cell r="J35">
            <v>0</v>
          </cell>
          <cell r="K35">
            <v>0.46529999999999999</v>
          </cell>
          <cell r="L35">
            <v>0</v>
          </cell>
          <cell r="M35">
            <v>0.46529999999999999</v>
          </cell>
        </row>
        <row r="36">
          <cell r="G36">
            <v>45658</v>
          </cell>
          <cell r="H36">
            <v>0.47599999999999998</v>
          </cell>
          <cell r="I36">
            <v>56.641000000000005</v>
          </cell>
          <cell r="J36">
            <v>0</v>
          </cell>
          <cell r="K36">
            <v>0.15180000000000002</v>
          </cell>
          <cell r="L36">
            <v>0</v>
          </cell>
          <cell r="M36">
            <v>57.268800000000006</v>
          </cell>
        </row>
        <row r="37">
          <cell r="G37">
            <v>45689</v>
          </cell>
          <cell r="H37">
            <v>1.3607999999999998</v>
          </cell>
          <cell r="I37">
            <v>33.228000000000002</v>
          </cell>
          <cell r="J37">
            <v>0</v>
          </cell>
          <cell r="K37">
            <v>1.4674</v>
          </cell>
          <cell r="L37">
            <v>0</v>
          </cell>
          <cell r="M37">
            <v>36.056199999999997</v>
          </cell>
        </row>
        <row r="38">
          <cell r="G38">
            <v>45717</v>
          </cell>
          <cell r="H38">
            <v>10.92</v>
          </cell>
          <cell r="I38">
            <v>17.329000000000001</v>
          </cell>
          <cell r="J38">
            <v>9.9143999999999988</v>
          </cell>
          <cell r="K38">
            <v>1.3156000000000001</v>
          </cell>
          <cell r="L38">
            <v>0</v>
          </cell>
          <cell r="M38">
            <v>39.479000000000006</v>
          </cell>
        </row>
        <row r="39">
          <cell r="G39">
            <v>45748</v>
          </cell>
          <cell r="H39">
            <v>22.049999999999997</v>
          </cell>
          <cell r="I39">
            <v>27.3</v>
          </cell>
          <cell r="J39">
            <v>20.655000000000001</v>
          </cell>
          <cell r="K39">
            <v>0.50600000000000001</v>
          </cell>
          <cell r="L39">
            <v>0</v>
          </cell>
          <cell r="M39">
            <v>70.510999999999996</v>
          </cell>
        </row>
        <row r="40">
          <cell r="G40">
            <v>45778</v>
          </cell>
          <cell r="H40">
            <v>5.3269999999999991</v>
          </cell>
          <cell r="I40">
            <v>16.016000000000002</v>
          </cell>
          <cell r="J40">
            <v>20.035350000000001</v>
          </cell>
          <cell r="K40">
            <v>0</v>
          </cell>
          <cell r="L40">
            <v>0</v>
          </cell>
          <cell r="M40">
            <v>41.378349999999998</v>
          </cell>
        </row>
        <row r="41">
          <cell r="G41">
            <v>45839</v>
          </cell>
          <cell r="H41">
            <v>0</v>
          </cell>
          <cell r="I41">
            <v>0</v>
          </cell>
          <cell r="J41">
            <v>0</v>
          </cell>
          <cell r="K41">
            <v>0.96140000000000014</v>
          </cell>
          <cell r="L41">
            <v>0</v>
          </cell>
          <cell r="M41">
            <v>0.96140000000000014</v>
          </cell>
        </row>
        <row r="42">
          <cell r="G42">
            <v>45870</v>
          </cell>
          <cell r="H42">
            <v>0</v>
          </cell>
          <cell r="I42">
            <v>0</v>
          </cell>
          <cell r="J42">
            <v>0</v>
          </cell>
          <cell r="K42">
            <v>1.7710000000000001</v>
          </cell>
          <cell r="L42">
            <v>0</v>
          </cell>
          <cell r="M42">
            <v>1.7710000000000001</v>
          </cell>
        </row>
        <row r="43">
          <cell r="G43">
            <v>45901</v>
          </cell>
          <cell r="H43">
            <v>0</v>
          </cell>
          <cell r="I43">
            <v>13.520000000000001</v>
          </cell>
          <cell r="J43">
            <v>4.3434999999999997</v>
          </cell>
          <cell r="K43">
            <v>0.69019999999999992</v>
          </cell>
          <cell r="L43">
            <v>0</v>
          </cell>
          <cell r="M43">
            <v>18.553700000000003</v>
          </cell>
        </row>
        <row r="44">
          <cell r="G44">
            <v>45931</v>
          </cell>
          <cell r="H44">
            <v>17.891999999999999</v>
          </cell>
          <cell r="I44">
            <v>67.600000000000009</v>
          </cell>
          <cell r="J44">
            <v>31.45</v>
          </cell>
          <cell r="K44">
            <v>4.8000000000000007</v>
          </cell>
          <cell r="L44">
            <v>0.41399999999999998</v>
          </cell>
          <cell r="M44">
            <v>122.15600000000001</v>
          </cell>
        </row>
        <row r="45">
          <cell r="G45">
            <v>45962</v>
          </cell>
          <cell r="H45">
            <v>3.78</v>
          </cell>
          <cell r="I45">
            <v>56.107999999999997</v>
          </cell>
          <cell r="J45">
            <v>18.445</v>
          </cell>
          <cell r="K45">
            <v>1.4400000000000002</v>
          </cell>
          <cell r="L45">
            <v>0</v>
          </cell>
          <cell r="M45">
            <v>79.772999999999996</v>
          </cell>
        </row>
        <row r="46">
          <cell r="G46">
            <v>46023</v>
          </cell>
          <cell r="H46">
            <v>0</v>
          </cell>
          <cell r="I46">
            <v>0</v>
          </cell>
          <cell r="J46">
            <v>14.79</v>
          </cell>
          <cell r="K46">
            <v>3.8340000000000005</v>
          </cell>
          <cell r="L46">
            <v>0</v>
          </cell>
          <cell r="M46">
            <v>18.623999999999999</v>
          </cell>
        </row>
        <row r="47">
          <cell r="G47">
            <v>46054</v>
          </cell>
          <cell r="H47">
            <v>8.7723999999999993</v>
          </cell>
          <cell r="I47">
            <v>0</v>
          </cell>
          <cell r="J47">
            <v>19.104599999999998</v>
          </cell>
          <cell r="K47">
            <v>4.4745000000000008</v>
          </cell>
          <cell r="L47">
            <v>0</v>
          </cell>
          <cell r="M47">
            <v>32.351499999999994</v>
          </cell>
        </row>
        <row r="48">
          <cell r="G48">
            <v>46082</v>
          </cell>
          <cell r="H48">
            <v>5.0749999999999993</v>
          </cell>
          <cell r="I48">
            <v>0</v>
          </cell>
          <cell r="J48">
            <v>14.45</v>
          </cell>
          <cell r="K48">
            <v>5.2785000000000002</v>
          </cell>
          <cell r="L48">
            <v>0</v>
          </cell>
          <cell r="M48">
            <v>24.8035</v>
          </cell>
        </row>
        <row r="49">
          <cell r="G49">
            <v>46113</v>
          </cell>
          <cell r="H49">
            <v>10.337249999999997</v>
          </cell>
          <cell r="I49">
            <v>0</v>
          </cell>
          <cell r="J49">
            <v>33.073500000000003</v>
          </cell>
          <cell r="K49">
            <v>0.14399999999999999</v>
          </cell>
          <cell r="L49">
            <v>2.3625000000000003</v>
          </cell>
          <cell r="M49">
            <v>45.917249999999996</v>
          </cell>
        </row>
        <row r="50">
          <cell r="G50">
            <v>46143</v>
          </cell>
          <cell r="H50">
            <v>18.861499999999996</v>
          </cell>
          <cell r="I50">
            <v>0</v>
          </cell>
          <cell r="J50">
            <v>21.148000000000003</v>
          </cell>
          <cell r="K50">
            <v>0</v>
          </cell>
          <cell r="L50">
            <v>1.425</v>
          </cell>
          <cell r="M50">
            <v>41.4345</v>
          </cell>
        </row>
        <row r="51">
          <cell r="G51">
            <v>46174</v>
          </cell>
          <cell r="H51">
            <v>11.016249999999999</v>
          </cell>
          <cell r="I51">
            <v>0</v>
          </cell>
          <cell r="J51">
            <v>4.0884999999999998</v>
          </cell>
          <cell r="K51">
            <v>0</v>
          </cell>
          <cell r="L51">
            <v>0.24049999999999999</v>
          </cell>
          <cell r="M51">
            <v>15.34525</v>
          </cell>
        </row>
        <row r="52">
          <cell r="G52">
            <v>46204</v>
          </cell>
          <cell r="H52">
            <v>17.648749999999996</v>
          </cell>
          <cell r="I52">
            <v>0</v>
          </cell>
          <cell r="J52">
            <v>6.7404999999999999</v>
          </cell>
          <cell r="K52">
            <v>0</v>
          </cell>
          <cell r="L52">
            <v>0.39650000000000002</v>
          </cell>
          <cell r="M52">
            <v>24.785749999999997</v>
          </cell>
        </row>
        <row r="53">
          <cell r="G53">
            <v>46235</v>
          </cell>
          <cell r="H53">
            <v>0</v>
          </cell>
          <cell r="I53">
            <v>0</v>
          </cell>
          <cell r="J53">
            <v>3.2597499999999999</v>
          </cell>
          <cell r="K53">
            <v>0</v>
          </cell>
          <cell r="L53">
            <v>0.27300000000000002</v>
          </cell>
          <cell r="M53">
            <v>3.5327500000000001</v>
          </cell>
        </row>
        <row r="54">
          <cell r="G54">
            <v>46266</v>
          </cell>
          <cell r="H54">
            <v>0</v>
          </cell>
          <cell r="I54">
            <v>0</v>
          </cell>
          <cell r="J54">
            <v>25.074999999999999</v>
          </cell>
          <cell r="K54">
            <v>0</v>
          </cell>
          <cell r="L54">
            <v>2.1</v>
          </cell>
          <cell r="M54">
            <v>27.175000000000001</v>
          </cell>
        </row>
        <row r="55">
          <cell r="G55">
            <v>46296</v>
          </cell>
          <cell r="H55">
            <v>0</v>
          </cell>
          <cell r="I55">
            <v>38.480000000000004</v>
          </cell>
          <cell r="J55">
            <v>21.526249999999997</v>
          </cell>
          <cell r="K55">
            <v>5.2380000000000004</v>
          </cell>
          <cell r="L55">
            <v>2.5750000000000002</v>
          </cell>
          <cell r="M55">
            <v>67.819250000000011</v>
          </cell>
        </row>
        <row r="56">
          <cell r="G56">
            <v>46327</v>
          </cell>
          <cell r="H56">
            <v>0</v>
          </cell>
          <cell r="I56">
            <v>52</v>
          </cell>
          <cell r="J56">
            <v>5.9924999999999997</v>
          </cell>
          <cell r="K56">
            <v>0.91800000000000004</v>
          </cell>
          <cell r="L56">
            <v>0.86480000000000001</v>
          </cell>
          <cell r="M56">
            <v>59.775300000000001</v>
          </cell>
        </row>
        <row r="57">
          <cell r="G57">
            <v>46357</v>
          </cell>
          <cell r="H57">
            <v>0</v>
          </cell>
          <cell r="I57">
            <v>3.12</v>
          </cell>
          <cell r="J57">
            <v>0</v>
          </cell>
          <cell r="K57">
            <v>0</v>
          </cell>
          <cell r="L57">
            <v>0</v>
          </cell>
          <cell r="M57">
            <v>3.12</v>
          </cell>
        </row>
        <row r="58">
          <cell r="G58">
            <v>46388</v>
          </cell>
          <cell r="H58">
            <v>27.046250000000001</v>
          </cell>
          <cell r="I58">
            <v>0</v>
          </cell>
          <cell r="J58">
            <v>19.826250000000002</v>
          </cell>
          <cell r="K58">
            <v>12.771000000000001</v>
          </cell>
          <cell r="L58">
            <v>2.6815000000000002</v>
          </cell>
          <cell r="M58">
            <v>62.325000000000003</v>
          </cell>
        </row>
        <row r="59">
          <cell r="G59">
            <v>46419</v>
          </cell>
          <cell r="H59">
            <v>34.798399999999994</v>
          </cell>
          <cell r="I59">
            <v>0</v>
          </cell>
          <cell r="J59">
            <v>27.54</v>
          </cell>
          <cell r="K59">
            <v>9.484</v>
          </cell>
          <cell r="L59">
            <v>2.7235</v>
          </cell>
          <cell r="M59">
            <v>74.545899999999989</v>
          </cell>
        </row>
        <row r="60">
          <cell r="G60">
            <v>46447</v>
          </cell>
          <cell r="H60">
            <v>26.153749999999995</v>
          </cell>
          <cell r="I60">
            <v>0</v>
          </cell>
          <cell r="J60">
            <v>4.7642500000000005</v>
          </cell>
          <cell r="K60">
            <v>0.79420000000000002</v>
          </cell>
          <cell r="L60">
            <v>0.39900000000000002</v>
          </cell>
          <cell r="M60">
            <v>32.111199999999997</v>
          </cell>
        </row>
        <row r="61">
          <cell r="G61">
            <v>46478</v>
          </cell>
          <cell r="H61">
            <v>0.80587500000000001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0.80587500000000001</v>
          </cell>
        </row>
        <row r="62">
          <cell r="G62">
            <v>46508</v>
          </cell>
          <cell r="H62">
            <v>8.3719999999999981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8.3719999999999981</v>
          </cell>
        </row>
        <row r="63">
          <cell r="G63">
            <v>46539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</row>
        <row r="64">
          <cell r="G64">
            <v>46569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</row>
        <row r="65">
          <cell r="G65">
            <v>46600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</row>
        <row r="66">
          <cell r="G66">
            <v>46631</v>
          </cell>
          <cell r="H66">
            <v>8.2249999999999996</v>
          </cell>
          <cell r="I66">
            <v>10.692500000000001</v>
          </cell>
          <cell r="J66">
            <v>23.391999999999999</v>
          </cell>
          <cell r="K66">
            <v>0</v>
          </cell>
          <cell r="L66">
            <v>0</v>
          </cell>
          <cell r="M66">
            <v>42.3095</v>
          </cell>
        </row>
        <row r="67">
          <cell r="G67">
            <v>46661</v>
          </cell>
          <cell r="H67">
            <v>58.239999999999995</v>
          </cell>
          <cell r="I67">
            <v>22.75</v>
          </cell>
          <cell r="J67">
            <v>14.110000000000001</v>
          </cell>
          <cell r="K67">
            <v>0</v>
          </cell>
          <cell r="L67">
            <v>0</v>
          </cell>
          <cell r="M67">
            <v>95.1</v>
          </cell>
        </row>
        <row r="68">
          <cell r="G68">
            <v>46692</v>
          </cell>
          <cell r="H68">
            <v>5.7749999999999995</v>
          </cell>
          <cell r="I68">
            <v>7.5075000000000003</v>
          </cell>
          <cell r="J68">
            <v>4.4880000000000004</v>
          </cell>
          <cell r="K68">
            <v>0</v>
          </cell>
          <cell r="L68">
            <v>0</v>
          </cell>
          <cell r="M68">
            <v>17.770499999999998</v>
          </cell>
        </row>
        <row r="69">
          <cell r="G69">
            <v>46722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</row>
        <row r="70">
          <cell r="G70">
            <v>46753</v>
          </cell>
          <cell r="H70">
            <v>6.089999999999999</v>
          </cell>
          <cell r="I70">
            <v>38.171250000000001</v>
          </cell>
          <cell r="J70">
            <v>0</v>
          </cell>
          <cell r="K70">
            <v>2.2040000000000002</v>
          </cell>
          <cell r="L70">
            <v>0</v>
          </cell>
          <cell r="M70">
            <v>46.465249999999997</v>
          </cell>
        </row>
        <row r="71">
          <cell r="G71">
            <v>46784</v>
          </cell>
          <cell r="H71">
            <v>7.6408499999999995</v>
          </cell>
          <cell r="I71">
            <v>105.625</v>
          </cell>
          <cell r="J71">
            <v>0</v>
          </cell>
          <cell r="K71">
            <v>2.2420000000000004</v>
          </cell>
          <cell r="L71">
            <v>0</v>
          </cell>
          <cell r="M71">
            <v>115.50785</v>
          </cell>
        </row>
        <row r="72">
          <cell r="G72">
            <v>46813</v>
          </cell>
          <cell r="H72">
            <v>12.704999999999998</v>
          </cell>
          <cell r="I72">
            <v>42.818750000000001</v>
          </cell>
          <cell r="J72">
            <v>11.360250000000001</v>
          </cell>
          <cell r="K72">
            <v>0</v>
          </cell>
          <cell r="L72">
            <v>0</v>
          </cell>
          <cell r="M72">
            <v>66.884</v>
          </cell>
        </row>
        <row r="73">
          <cell r="G73">
            <v>46844</v>
          </cell>
          <cell r="H73">
            <v>35.063000000000002</v>
          </cell>
          <cell r="I73">
            <v>59.436</v>
          </cell>
          <cell r="J73">
            <v>19.209150000000001</v>
          </cell>
          <cell r="K73">
            <v>3.1040000000000001</v>
          </cell>
          <cell r="L73">
            <v>0</v>
          </cell>
          <cell r="M73">
            <v>116.81214999999999</v>
          </cell>
        </row>
        <row r="74">
          <cell r="G74">
            <v>46874</v>
          </cell>
          <cell r="H74">
            <v>0.42</v>
          </cell>
          <cell r="I74">
            <v>1.0530000000000002</v>
          </cell>
          <cell r="J74">
            <v>0</v>
          </cell>
          <cell r="K74">
            <v>9.6000000000000002E-2</v>
          </cell>
          <cell r="L74">
            <v>0</v>
          </cell>
          <cell r="M74">
            <v>1.5690000000000002</v>
          </cell>
        </row>
        <row r="75">
          <cell r="G75">
            <v>46905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</row>
        <row r="76">
          <cell r="G76">
            <v>46935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</row>
        <row r="77">
          <cell r="G77">
            <v>46966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</row>
        <row r="78">
          <cell r="G78">
            <v>46997</v>
          </cell>
          <cell r="H78">
            <v>3.8482499999999993</v>
          </cell>
          <cell r="I78">
            <v>34.450000000000003</v>
          </cell>
          <cell r="J78">
            <v>3.5997500000000002</v>
          </cell>
          <cell r="K78">
            <v>0</v>
          </cell>
          <cell r="L78">
            <v>0</v>
          </cell>
        </row>
        <row r="79">
          <cell r="G79">
            <v>47027</v>
          </cell>
          <cell r="H79">
            <v>1.35975</v>
          </cell>
          <cell r="I79">
            <v>42.25</v>
          </cell>
          <cell r="J79">
            <v>1.0752499999999998</v>
          </cell>
          <cell r="K79">
            <v>0</v>
          </cell>
          <cell r="L79">
            <v>0</v>
          </cell>
        </row>
        <row r="80">
          <cell r="G80">
            <v>47058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</row>
        <row r="81">
          <cell r="G81">
            <v>47088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</row>
        <row r="82">
          <cell r="G82">
            <v>47119</v>
          </cell>
          <cell r="H82">
            <v>0</v>
          </cell>
          <cell r="I82">
            <v>0</v>
          </cell>
          <cell r="J82">
            <v>33.15</v>
          </cell>
          <cell r="K82">
            <v>0</v>
          </cell>
          <cell r="L82">
            <v>0</v>
          </cell>
        </row>
        <row r="83">
          <cell r="G83">
            <v>47150</v>
          </cell>
          <cell r="H83">
            <v>1.5308999999999997</v>
          </cell>
          <cell r="I83">
            <v>0</v>
          </cell>
          <cell r="J83">
            <v>51</v>
          </cell>
          <cell r="K83">
            <v>0</v>
          </cell>
          <cell r="L83">
            <v>0</v>
          </cell>
        </row>
        <row r="84">
          <cell r="G84">
            <v>47178</v>
          </cell>
          <cell r="H84">
            <v>0</v>
          </cell>
          <cell r="I84">
            <v>0</v>
          </cell>
          <cell r="J84">
            <v>5.0999999999999996</v>
          </cell>
          <cell r="K84">
            <v>0</v>
          </cell>
          <cell r="L84">
            <v>0</v>
          </cell>
        </row>
        <row r="85">
          <cell r="G85">
            <v>47209</v>
          </cell>
          <cell r="H85">
            <v>22.925874999999998</v>
          </cell>
          <cell r="I85">
            <v>45.981000000000009</v>
          </cell>
          <cell r="J85">
            <v>6.12</v>
          </cell>
          <cell r="K85">
            <v>0</v>
          </cell>
          <cell r="L85">
            <v>2.6575000000000002</v>
          </cell>
        </row>
        <row r="86">
          <cell r="G86">
            <v>47239</v>
          </cell>
          <cell r="H86">
            <v>31.027499999999996</v>
          </cell>
          <cell r="I86">
            <v>29.094000000000001</v>
          </cell>
          <cell r="J86">
            <v>5.6099999999999994</v>
          </cell>
          <cell r="K86">
            <v>0</v>
          </cell>
          <cell r="L86">
            <v>1.2237500000000001</v>
          </cell>
        </row>
        <row r="87">
          <cell r="G87">
            <v>47270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</row>
        <row r="88">
          <cell r="G88">
            <v>47300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</row>
        <row r="89">
          <cell r="G89">
            <v>47331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</row>
        <row r="90">
          <cell r="G90">
            <v>47362</v>
          </cell>
          <cell r="H90">
            <v>0.81374999999999997</v>
          </cell>
          <cell r="I90">
            <v>0</v>
          </cell>
          <cell r="J90">
            <v>0</v>
          </cell>
          <cell r="K90">
            <v>0</v>
          </cell>
          <cell r="L90">
            <v>1.8</v>
          </cell>
        </row>
        <row r="91">
          <cell r="G91">
            <v>47392</v>
          </cell>
          <cell r="H91">
            <v>2.6249999999999999E-2</v>
          </cell>
          <cell r="I91">
            <v>0</v>
          </cell>
          <cell r="J91">
            <v>0</v>
          </cell>
          <cell r="K91">
            <v>0</v>
          </cell>
          <cell r="L91">
            <v>2.25</v>
          </cell>
        </row>
        <row r="92">
          <cell r="G92" t="e">
            <v>#REF!</v>
          </cell>
          <cell r="H92" t="e">
            <v>#REF!</v>
          </cell>
          <cell r="I92" t="e">
            <v>#REF!</v>
          </cell>
          <cell r="J92" t="e">
            <v>#REF!</v>
          </cell>
          <cell r="K92" t="e">
            <v>#REF!</v>
          </cell>
          <cell r="L92" t="e">
            <v>#REF!</v>
          </cell>
        </row>
        <row r="93">
          <cell r="G93" t="e">
            <v>#REF!</v>
          </cell>
          <cell r="H93" t="e">
            <v>#REF!</v>
          </cell>
          <cell r="I93" t="e">
            <v>#REF!</v>
          </cell>
          <cell r="J93" t="e">
            <v>#REF!</v>
          </cell>
          <cell r="K93" t="e">
            <v>#REF!</v>
          </cell>
          <cell r="L93" t="e">
            <v>#REF!</v>
          </cell>
        </row>
        <row r="94">
          <cell r="G94" t="e">
            <v>#REF!</v>
          </cell>
          <cell r="H94" t="e">
            <v>#REF!</v>
          </cell>
          <cell r="I94" t="e">
            <v>#REF!</v>
          </cell>
          <cell r="J94" t="e">
            <v>#REF!</v>
          </cell>
          <cell r="K94" t="e">
            <v>#REF!</v>
          </cell>
          <cell r="L94" t="e">
            <v>#REF!</v>
          </cell>
        </row>
        <row r="95">
          <cell r="G95" t="e">
            <v>#REF!</v>
          </cell>
          <cell r="H95" t="e">
            <v>#REF!</v>
          </cell>
          <cell r="I95" t="e">
            <v>#REF!</v>
          </cell>
          <cell r="J95" t="e">
            <v>#REF!</v>
          </cell>
          <cell r="K95" t="e">
            <v>#REF!</v>
          </cell>
          <cell r="L95" t="e">
            <v>#REF!</v>
          </cell>
        </row>
        <row r="96">
          <cell r="G96">
            <v>48335</v>
          </cell>
          <cell r="H96">
            <v>5.2919999999999998</v>
          </cell>
          <cell r="I96">
            <v>0</v>
          </cell>
          <cell r="J96">
            <v>4.2839999999999998</v>
          </cell>
          <cell r="K96">
            <v>0</v>
          </cell>
          <cell r="L96">
            <v>0.26250000000000001</v>
          </cell>
        </row>
      </sheetData>
      <sheetData sheetId="8">
        <row r="1">
          <cell r="H1" t="str">
            <v>CDU Mogas Offline</v>
          </cell>
          <cell r="I1" t="str">
            <v>FCC Mogas Offline</v>
          </cell>
          <cell r="J1" t="str">
            <v>Ref Mogas Offline</v>
          </cell>
          <cell r="K1" t="str">
            <v>Coker Mogas Offline</v>
          </cell>
          <cell r="L1" t="str">
            <v>HDC Mogas Offline</v>
          </cell>
          <cell r="M1" t="str">
            <v>Total Mogas Offline</v>
          </cell>
        </row>
        <row r="2">
          <cell r="G2">
            <v>44562</v>
          </cell>
          <cell r="H2">
            <v>58.719499999999989</v>
          </cell>
          <cell r="I2">
            <v>148.87112500000001</v>
          </cell>
          <cell r="J2">
            <v>60.949249999999999</v>
          </cell>
          <cell r="K2">
            <v>15.836000000000002</v>
          </cell>
          <cell r="L2">
            <v>1.4215</v>
          </cell>
          <cell r="M2">
            <v>285.79737499999999</v>
          </cell>
        </row>
        <row r="3">
          <cell r="G3">
            <v>44593</v>
          </cell>
          <cell r="H3">
            <v>86.421999999999997</v>
          </cell>
          <cell r="I3">
            <v>226.39500000000001</v>
          </cell>
          <cell r="J3">
            <v>84.702499999999986</v>
          </cell>
          <cell r="K3">
            <v>21.76</v>
          </cell>
          <cell r="L3">
            <v>6.6065000000000005</v>
          </cell>
          <cell r="M3">
            <v>425.88599999999997</v>
          </cell>
        </row>
        <row r="4">
          <cell r="G4">
            <v>44621</v>
          </cell>
          <cell r="H4">
            <v>67.740749999999991</v>
          </cell>
          <cell r="I4">
            <v>208.71500000000003</v>
          </cell>
          <cell r="J4">
            <v>79.152000000000001</v>
          </cell>
          <cell r="K4">
            <v>9</v>
          </cell>
          <cell r="L4">
            <v>0</v>
          </cell>
          <cell r="M4">
            <v>364.60775000000001</v>
          </cell>
        </row>
        <row r="5">
          <cell r="G5">
            <v>44652</v>
          </cell>
          <cell r="H5">
            <v>76.380499999999998</v>
          </cell>
          <cell r="I5">
            <v>123.69500000000001</v>
          </cell>
          <cell r="J5">
            <v>106.488</v>
          </cell>
          <cell r="K5">
            <v>0.65</v>
          </cell>
          <cell r="L5">
            <v>3.375</v>
          </cell>
          <cell r="M5">
            <v>310.58849999999995</v>
          </cell>
        </row>
        <row r="6">
          <cell r="G6">
            <v>44682</v>
          </cell>
          <cell r="H6">
            <v>72.05449999999999</v>
          </cell>
          <cell r="I6">
            <v>85.988500000000002</v>
          </cell>
          <cell r="J6">
            <v>73.907499999999999</v>
          </cell>
          <cell r="K6">
            <v>1.6</v>
          </cell>
          <cell r="L6">
            <v>2.0350000000000001</v>
          </cell>
          <cell r="M6">
            <v>235.5855</v>
          </cell>
        </row>
        <row r="7">
          <cell r="G7">
            <v>44713</v>
          </cell>
          <cell r="H7">
            <v>53.241999999999997</v>
          </cell>
          <cell r="I7">
            <v>67.600000000000009</v>
          </cell>
          <cell r="J7">
            <v>37.910000000000004</v>
          </cell>
          <cell r="K7">
            <v>0</v>
          </cell>
          <cell r="L7">
            <v>0</v>
          </cell>
          <cell r="M7">
            <v>158.75200000000001</v>
          </cell>
        </row>
        <row r="8">
          <cell r="G8">
            <v>44743</v>
          </cell>
          <cell r="H8">
            <v>52.393249999999995</v>
          </cell>
          <cell r="I8">
            <v>74.424999999999997</v>
          </cell>
          <cell r="J8">
            <v>51</v>
          </cell>
          <cell r="K8">
            <v>0</v>
          </cell>
          <cell r="L8">
            <v>0</v>
          </cell>
          <cell r="M8">
            <v>177.81824999999998</v>
          </cell>
        </row>
        <row r="9">
          <cell r="G9">
            <v>44774</v>
          </cell>
          <cell r="H9">
            <v>67.672499999999999</v>
          </cell>
          <cell r="I9">
            <v>67.600000000000009</v>
          </cell>
          <cell r="J9">
            <v>47.055999999999997</v>
          </cell>
          <cell r="K9">
            <v>3.3060000000000005</v>
          </cell>
          <cell r="L9">
            <v>0.68250000000000011</v>
          </cell>
          <cell r="M9">
            <v>186.31700000000004</v>
          </cell>
        </row>
        <row r="10">
          <cell r="G10">
            <v>44805</v>
          </cell>
          <cell r="H10">
            <v>90.009499999999974</v>
          </cell>
          <cell r="I10">
            <v>67.600000000000009</v>
          </cell>
          <cell r="J10">
            <v>66.215000000000003</v>
          </cell>
          <cell r="K10">
            <v>1.7010000000000003</v>
          </cell>
          <cell r="L10">
            <v>1.7100000000000002</v>
          </cell>
          <cell r="M10">
            <v>227.23549999999997</v>
          </cell>
        </row>
        <row r="11">
          <cell r="G11">
            <v>44835</v>
          </cell>
          <cell r="H11">
            <v>201.64812499999999</v>
          </cell>
          <cell r="I11">
            <v>119.4375</v>
          </cell>
          <cell r="J11">
            <v>136.75224999999998</v>
          </cell>
          <cell r="K11">
            <v>7.5750000000000002</v>
          </cell>
          <cell r="L11">
            <v>1.74</v>
          </cell>
          <cell r="M11">
            <v>467.15287499999994</v>
          </cell>
        </row>
        <row r="12">
          <cell r="G12">
            <v>44866</v>
          </cell>
          <cell r="H12">
            <v>74.723249999999993</v>
          </cell>
          <cell r="I12">
            <v>93.535000000000011</v>
          </cell>
          <cell r="J12">
            <v>73.967000000000013</v>
          </cell>
          <cell r="K12">
            <v>0</v>
          </cell>
          <cell r="L12">
            <v>0</v>
          </cell>
          <cell r="M12">
            <v>242.22525000000002</v>
          </cell>
        </row>
        <row r="13">
          <cell r="G13">
            <v>44896</v>
          </cell>
          <cell r="H13">
            <v>67.825799999999987</v>
          </cell>
          <cell r="I13">
            <v>94.0745</v>
          </cell>
          <cell r="J13">
            <v>56.958500000000001</v>
          </cell>
          <cell r="K13">
            <v>3.3060000000000005</v>
          </cell>
          <cell r="L13">
            <v>0</v>
          </cell>
          <cell r="M13">
            <v>222.16479999999999</v>
          </cell>
        </row>
        <row r="14">
          <cell r="G14">
            <v>44927</v>
          </cell>
          <cell r="H14">
            <v>117.5475</v>
          </cell>
          <cell r="I14">
            <v>182.76309999999998</v>
          </cell>
          <cell r="J14">
            <v>79.963750000000005</v>
          </cell>
          <cell r="K14">
            <v>16.773000000000003</v>
          </cell>
          <cell r="L14">
            <v>1.6875</v>
          </cell>
          <cell r="M14">
            <v>398.73484999999999</v>
          </cell>
        </row>
        <row r="15">
          <cell r="G15">
            <v>44958</v>
          </cell>
          <cell r="H15">
            <v>204.02724999999998</v>
          </cell>
          <cell r="I15">
            <v>222.69000000000003</v>
          </cell>
          <cell r="J15">
            <v>191.8365</v>
          </cell>
          <cell r="K15">
            <v>24.876000000000001</v>
          </cell>
          <cell r="L15">
            <v>1.2150000000000001</v>
          </cell>
          <cell r="M15">
            <v>644.64475000000004</v>
          </cell>
        </row>
        <row r="16">
          <cell r="G16">
            <v>44986</v>
          </cell>
          <cell r="H16">
            <v>162.59687499999998</v>
          </cell>
          <cell r="I16">
            <v>141.04350000000002</v>
          </cell>
          <cell r="J16">
            <v>145.99175</v>
          </cell>
          <cell r="K16">
            <v>31.342000000000002</v>
          </cell>
          <cell r="L16">
            <v>2.9550000000000001</v>
          </cell>
          <cell r="M16">
            <v>483.92912499999994</v>
          </cell>
        </row>
        <row r="17">
          <cell r="G17">
            <v>45017</v>
          </cell>
          <cell r="H17">
            <v>94.285624999999996</v>
          </cell>
          <cell r="I17">
            <v>137.78050000000002</v>
          </cell>
          <cell r="J17">
            <v>98.820999999999998</v>
          </cell>
          <cell r="K17">
            <v>29.120999999999999</v>
          </cell>
          <cell r="L17">
            <v>2.14</v>
          </cell>
          <cell r="M17">
            <v>362.14812499999994</v>
          </cell>
        </row>
        <row r="18">
          <cell r="G18">
            <v>45047</v>
          </cell>
          <cell r="H18">
            <v>75.321014999999989</v>
          </cell>
          <cell r="I18">
            <v>116.779</v>
          </cell>
          <cell r="J18">
            <v>60.785199999999996</v>
          </cell>
          <cell r="K18">
            <v>8.4580000000000002</v>
          </cell>
          <cell r="L18">
            <v>0.92500000000000004</v>
          </cell>
          <cell r="M18">
            <v>262.268215</v>
          </cell>
        </row>
        <row r="19">
          <cell r="G19">
            <v>45078</v>
          </cell>
          <cell r="H19">
            <v>19.592999999999996</v>
          </cell>
          <cell r="I19">
            <v>29.327999999999999</v>
          </cell>
          <cell r="J19">
            <v>10.342799999999999</v>
          </cell>
          <cell r="K19">
            <v>0.44800000000000006</v>
          </cell>
          <cell r="L19">
            <v>6.4750000000000002E-2</v>
          </cell>
          <cell r="M19">
            <v>59.776549999999986</v>
          </cell>
        </row>
        <row r="20">
          <cell r="G20">
            <v>45108</v>
          </cell>
          <cell r="H20">
            <v>0</v>
          </cell>
          <cell r="I20">
            <v>1.1505000000000001</v>
          </cell>
          <cell r="J20">
            <v>0</v>
          </cell>
          <cell r="K20">
            <v>0</v>
          </cell>
          <cell r="L20">
            <v>0</v>
          </cell>
          <cell r="M20">
            <v>1.1505000000000001</v>
          </cell>
        </row>
        <row r="21">
          <cell r="G21">
            <v>45139</v>
          </cell>
          <cell r="H21">
            <v>3.15</v>
          </cell>
          <cell r="I21">
            <v>25.298000000000002</v>
          </cell>
          <cell r="J21">
            <v>30.599999999999998</v>
          </cell>
          <cell r="K21">
            <v>0</v>
          </cell>
          <cell r="L21">
            <v>0</v>
          </cell>
          <cell r="M21">
            <v>59.048000000000002</v>
          </cell>
        </row>
        <row r="22">
          <cell r="G22">
            <v>45170</v>
          </cell>
          <cell r="H22">
            <v>68.848500000000001</v>
          </cell>
          <cell r="I22">
            <v>65.585000000000008</v>
          </cell>
          <cell r="J22">
            <v>2.6264999999999996</v>
          </cell>
          <cell r="K22">
            <v>16.145999999999997</v>
          </cell>
          <cell r="L22">
            <v>0.30000000000000004</v>
          </cell>
          <cell r="M22">
            <v>153.506</v>
          </cell>
        </row>
        <row r="23">
          <cell r="G23">
            <v>45200</v>
          </cell>
          <cell r="H23">
            <v>172.50799999999998</v>
          </cell>
          <cell r="I23">
            <v>140.96550000000002</v>
          </cell>
          <cell r="J23">
            <v>148.56299999999999</v>
          </cell>
          <cell r="K23">
            <v>10.584000000000001</v>
          </cell>
          <cell r="L23">
            <v>1.5</v>
          </cell>
          <cell r="M23">
            <v>474.12049999999999</v>
          </cell>
        </row>
        <row r="24">
          <cell r="G24">
            <v>45231</v>
          </cell>
          <cell r="H24">
            <v>65.278499999999994</v>
          </cell>
          <cell r="I24">
            <v>65.97175</v>
          </cell>
          <cell r="J24">
            <v>101.1245</v>
          </cell>
          <cell r="K24">
            <v>0</v>
          </cell>
          <cell r="L24">
            <v>0.60000000000000009</v>
          </cell>
          <cell r="M24">
            <v>232.97475</v>
          </cell>
        </row>
        <row r="25">
          <cell r="G25">
            <v>45261</v>
          </cell>
          <cell r="H25">
            <v>0.73499999999999999</v>
          </cell>
          <cell r="I25">
            <v>22.035</v>
          </cell>
          <cell r="J25">
            <v>5.95</v>
          </cell>
          <cell r="K25">
            <v>1.6676400000000002</v>
          </cell>
          <cell r="L25">
            <v>0</v>
          </cell>
          <cell r="M25">
            <v>30.387639999999998</v>
          </cell>
        </row>
        <row r="26">
          <cell r="G26">
            <v>45292</v>
          </cell>
          <cell r="H26">
            <v>138.18524999999997</v>
          </cell>
          <cell r="I26">
            <v>97.4285</v>
          </cell>
          <cell r="J26">
            <v>120.29625</v>
          </cell>
          <cell r="K26">
            <v>22.811600000000002</v>
          </cell>
          <cell r="L26">
            <v>1.5675000000000001</v>
          </cell>
          <cell r="M26">
            <v>380.28909999999996</v>
          </cell>
        </row>
        <row r="27">
          <cell r="G27">
            <v>45323</v>
          </cell>
          <cell r="H27">
            <v>197.30199999999999</v>
          </cell>
          <cell r="I27">
            <v>246.34350000000001</v>
          </cell>
          <cell r="J27">
            <v>235.84950000000001</v>
          </cell>
          <cell r="K27">
            <v>34.604000000000006</v>
          </cell>
          <cell r="L27">
            <v>5.8125</v>
          </cell>
          <cell r="M27">
            <v>719.91150000000005</v>
          </cell>
        </row>
        <row r="28">
          <cell r="G28">
            <v>45352</v>
          </cell>
          <cell r="H28">
            <v>86.488500000000002</v>
          </cell>
          <cell r="I28">
            <v>102.31975</v>
          </cell>
          <cell r="J28">
            <v>130.86599999999999</v>
          </cell>
          <cell r="K28">
            <v>26.758000000000006</v>
          </cell>
          <cell r="L28">
            <v>1.254</v>
          </cell>
          <cell r="M28">
            <v>347.68624999999997</v>
          </cell>
        </row>
        <row r="29">
          <cell r="G29">
            <v>45383</v>
          </cell>
          <cell r="H29">
            <v>63.56</v>
          </cell>
          <cell r="I29">
            <v>32.776249999999997</v>
          </cell>
          <cell r="J29">
            <v>69.606499999999997</v>
          </cell>
          <cell r="K29">
            <v>17.838000000000001</v>
          </cell>
          <cell r="L29">
            <v>0.48449999999999999</v>
          </cell>
          <cell r="M29">
            <v>184.26524999999998</v>
          </cell>
        </row>
        <row r="30">
          <cell r="G30">
            <v>45413</v>
          </cell>
          <cell r="H30">
            <v>17.053749999999997</v>
          </cell>
          <cell r="I30">
            <v>3.25</v>
          </cell>
          <cell r="J30">
            <v>74.009500000000003</v>
          </cell>
          <cell r="K30">
            <v>9.418000000000001</v>
          </cell>
          <cell r="L30">
            <v>2.7645</v>
          </cell>
          <cell r="M30">
            <v>106.49575</v>
          </cell>
        </row>
        <row r="31">
          <cell r="G31">
            <v>45444</v>
          </cell>
          <cell r="H31">
            <v>30.952249999999999</v>
          </cell>
          <cell r="I31">
            <v>39</v>
          </cell>
          <cell r="J31">
            <v>26.282</v>
          </cell>
          <cell r="K31">
            <v>13.980000000000002</v>
          </cell>
          <cell r="L31">
            <v>1.8100000000000003</v>
          </cell>
          <cell r="M31">
            <v>112.02424999999999</v>
          </cell>
        </row>
        <row r="32">
          <cell r="G32">
            <v>45474</v>
          </cell>
          <cell r="H32">
            <v>28.384999999999994</v>
          </cell>
          <cell r="I32">
            <v>3.8415000000000004</v>
          </cell>
          <cell r="J32">
            <v>5.6524999999999999</v>
          </cell>
          <cell r="K32">
            <v>4.62</v>
          </cell>
          <cell r="L32">
            <v>0.26825000000000004</v>
          </cell>
          <cell r="M32">
            <v>42.76724999999999</v>
          </cell>
        </row>
        <row r="33">
          <cell r="G33">
            <v>45505</v>
          </cell>
          <cell r="H33">
            <v>35.008749999999999</v>
          </cell>
          <cell r="I33">
            <v>47.917999999999999</v>
          </cell>
          <cell r="J33">
            <v>28.254000000000001</v>
          </cell>
          <cell r="K33">
            <v>0</v>
          </cell>
          <cell r="L33">
            <v>0</v>
          </cell>
          <cell r="M33">
            <v>111.18075</v>
          </cell>
        </row>
        <row r="34">
          <cell r="G34">
            <v>45536</v>
          </cell>
          <cell r="H34">
            <v>39.579749999999997</v>
          </cell>
          <cell r="I34">
            <v>98.022600000000011</v>
          </cell>
          <cell r="J34">
            <v>49.110874999999993</v>
          </cell>
          <cell r="K34">
            <v>0.54600000000000004</v>
          </cell>
          <cell r="L34">
            <v>3.8670000000000004</v>
          </cell>
          <cell r="M34">
            <v>191.12622499999998</v>
          </cell>
        </row>
        <row r="35">
          <cell r="G35">
            <v>45566</v>
          </cell>
          <cell r="H35">
            <v>54.062749999999987</v>
          </cell>
          <cell r="I35">
            <v>91.016250000000014</v>
          </cell>
          <cell r="J35">
            <v>136.09859999999998</v>
          </cell>
          <cell r="K35">
            <v>4.2</v>
          </cell>
          <cell r="L35">
            <v>5.1720000000000006</v>
          </cell>
          <cell r="M35">
            <v>290.5496</v>
          </cell>
        </row>
        <row r="36">
          <cell r="G36">
            <v>45597</v>
          </cell>
          <cell r="H36">
            <v>43.315999999999995</v>
          </cell>
          <cell r="I36">
            <v>59.615400000000008</v>
          </cell>
          <cell r="J36">
            <v>68.816424999999995</v>
          </cell>
          <cell r="K36">
            <v>2.8140000000000001</v>
          </cell>
          <cell r="L36">
            <v>0.9900000000000001</v>
          </cell>
          <cell r="M36">
            <v>175.55182499999998</v>
          </cell>
        </row>
        <row r="37">
          <cell r="G37">
            <v>45627</v>
          </cell>
          <cell r="H37">
            <v>6.0759999999999996</v>
          </cell>
          <cell r="I37">
            <v>8.8725000000000005</v>
          </cell>
          <cell r="J37">
            <v>3.0939999999999999</v>
          </cell>
          <cell r="K37">
            <v>0</v>
          </cell>
          <cell r="L37">
            <v>0</v>
          </cell>
          <cell r="M37">
            <v>18.0425</v>
          </cell>
        </row>
        <row r="38">
          <cell r="G38">
            <v>45658</v>
          </cell>
          <cell r="H38">
            <v>125.18187500000001</v>
          </cell>
          <cell r="I38">
            <v>37.335999999999999</v>
          </cell>
          <cell r="J38">
            <v>50.843600000000002</v>
          </cell>
          <cell r="K38">
            <v>6.4645000000000001</v>
          </cell>
          <cell r="L38">
            <v>1.4400000000000002</v>
          </cell>
          <cell r="M38">
            <v>221.265975</v>
          </cell>
        </row>
        <row r="39">
          <cell r="G39">
            <v>45689</v>
          </cell>
          <cell r="H39">
            <v>123.169375</v>
          </cell>
          <cell r="I39">
            <v>82.19250000000001</v>
          </cell>
          <cell r="J39">
            <v>87.006</v>
          </cell>
          <cell r="K39">
            <v>30.160000000000004</v>
          </cell>
          <cell r="L39">
            <v>2.0850000000000004</v>
          </cell>
          <cell r="M39">
            <v>324.61287500000003</v>
          </cell>
        </row>
        <row r="40">
          <cell r="G40">
            <v>45717</v>
          </cell>
          <cell r="H40">
            <v>25.479999999999997</v>
          </cell>
          <cell r="I40">
            <v>73.554000000000002</v>
          </cell>
          <cell r="J40">
            <v>46.120999999999995</v>
          </cell>
          <cell r="K40">
            <v>12.451999999999998</v>
          </cell>
          <cell r="L40">
            <v>0.47699999999999998</v>
          </cell>
          <cell r="M40">
            <v>158.08399999999997</v>
          </cell>
        </row>
        <row r="41">
          <cell r="G41">
            <v>45748</v>
          </cell>
          <cell r="H41">
            <v>43.277499999999996</v>
          </cell>
          <cell r="I41">
            <v>37.440000000000005</v>
          </cell>
          <cell r="J41">
            <v>18.411000000000001</v>
          </cell>
          <cell r="K41">
            <v>0</v>
          </cell>
          <cell r="L41">
            <v>1.2000000000000002</v>
          </cell>
          <cell r="M41">
            <v>100.32850000000001</v>
          </cell>
        </row>
        <row r="42">
          <cell r="G42">
            <v>45778</v>
          </cell>
          <cell r="H42">
            <v>19.451249999999998</v>
          </cell>
          <cell r="I42">
            <v>0</v>
          </cell>
          <cell r="J42">
            <v>0</v>
          </cell>
          <cell r="K42">
            <v>3.7119999999999997</v>
          </cell>
          <cell r="L42">
            <v>0</v>
          </cell>
          <cell r="M42">
            <v>23.163249999999998</v>
          </cell>
        </row>
        <row r="43">
          <cell r="G43">
            <v>45809</v>
          </cell>
          <cell r="H43">
            <v>13.125</v>
          </cell>
          <cell r="I43">
            <v>0</v>
          </cell>
          <cell r="J43">
            <v>0</v>
          </cell>
          <cell r="K43">
            <v>6.4</v>
          </cell>
          <cell r="L43">
            <v>0</v>
          </cell>
          <cell r="M43">
            <v>19.524999999999999</v>
          </cell>
        </row>
        <row r="44">
          <cell r="G44">
            <v>45839</v>
          </cell>
          <cell r="H44">
            <v>8.75</v>
          </cell>
          <cell r="I44">
            <v>0.97500000000000009</v>
          </cell>
          <cell r="J44">
            <v>0</v>
          </cell>
          <cell r="K44">
            <v>0.38400000000000001</v>
          </cell>
          <cell r="L44">
            <v>0</v>
          </cell>
          <cell r="M44">
            <v>10.109</v>
          </cell>
        </row>
        <row r="45">
          <cell r="G45">
            <v>45870</v>
          </cell>
          <cell r="H45">
            <v>8.75</v>
          </cell>
          <cell r="I45">
            <v>40.456000000000003</v>
          </cell>
          <cell r="J45">
            <v>19.379999999999995</v>
          </cell>
          <cell r="K45">
            <v>0</v>
          </cell>
          <cell r="L45">
            <v>1.375</v>
          </cell>
          <cell r="M45">
            <v>69.960999999999999</v>
          </cell>
        </row>
        <row r="46">
          <cell r="G46">
            <v>45901</v>
          </cell>
          <cell r="H46">
            <v>90.841624999999993</v>
          </cell>
          <cell r="I46">
            <v>78.064999999999998</v>
          </cell>
          <cell r="J46">
            <v>45.393399999999993</v>
          </cell>
          <cell r="K46">
            <v>14.097000000000001</v>
          </cell>
          <cell r="L46">
            <v>0.65549999999999997</v>
          </cell>
          <cell r="M46">
            <v>229.05252499999997</v>
          </cell>
        </row>
        <row r="47">
          <cell r="G47">
            <v>45931</v>
          </cell>
          <cell r="H47">
            <v>145.16512499999999</v>
          </cell>
          <cell r="I47">
            <v>88.595000000000013</v>
          </cell>
          <cell r="J47">
            <v>101.56309999999999</v>
          </cell>
          <cell r="K47">
            <v>30.561000000000003</v>
          </cell>
          <cell r="L47">
            <v>6</v>
          </cell>
          <cell r="M47">
            <v>371.88422499999996</v>
          </cell>
        </row>
        <row r="48">
          <cell r="G48">
            <v>45962</v>
          </cell>
          <cell r="H48">
            <v>96.498499999999993</v>
          </cell>
          <cell r="I48">
            <v>47.345999999999997</v>
          </cell>
          <cell r="J48">
            <v>40.644449999999999</v>
          </cell>
          <cell r="K48">
            <v>21.192000000000004</v>
          </cell>
          <cell r="L48">
            <v>2.8605</v>
          </cell>
          <cell r="M48">
            <v>208.54145</v>
          </cell>
        </row>
        <row r="49">
          <cell r="G49">
            <v>45992</v>
          </cell>
          <cell r="H49">
            <v>10.951499999999999</v>
          </cell>
          <cell r="I49">
            <v>0</v>
          </cell>
          <cell r="J49">
            <v>0</v>
          </cell>
          <cell r="K49">
            <v>1.4400000000000002</v>
          </cell>
          <cell r="L49">
            <v>0.192</v>
          </cell>
          <cell r="M49">
            <v>12.583499999999999</v>
          </cell>
        </row>
        <row r="50">
          <cell r="G50">
            <v>46023</v>
          </cell>
          <cell r="H50">
            <v>49.827749999999988</v>
          </cell>
          <cell r="I50">
            <v>109.3625</v>
          </cell>
          <cell r="J50">
            <v>23.175249999999998</v>
          </cell>
          <cell r="K50">
            <v>1.03</v>
          </cell>
          <cell r="L50">
            <v>2.2189999999999999</v>
          </cell>
          <cell r="M50">
            <v>185.61449999999999</v>
          </cell>
        </row>
        <row r="51">
          <cell r="G51">
            <v>46054</v>
          </cell>
          <cell r="H51">
            <v>105.68285</v>
          </cell>
          <cell r="I51">
            <v>178.81500000000003</v>
          </cell>
          <cell r="J51">
            <v>32.418999999999997</v>
          </cell>
          <cell r="K51">
            <v>10.3</v>
          </cell>
          <cell r="L51">
            <v>2.4660000000000002</v>
          </cell>
          <cell r="M51">
            <v>329.68285000000003</v>
          </cell>
        </row>
        <row r="52">
          <cell r="G52">
            <v>46082</v>
          </cell>
          <cell r="H52">
            <v>32.986975000000001</v>
          </cell>
          <cell r="I52">
            <v>46.627749999999999</v>
          </cell>
          <cell r="J52">
            <v>34.254999999999995</v>
          </cell>
          <cell r="K52">
            <v>0.309</v>
          </cell>
          <cell r="L52">
            <v>3.0342500000000001</v>
          </cell>
          <cell r="M52">
            <v>117.21297499999999</v>
          </cell>
        </row>
        <row r="53">
          <cell r="G53">
            <v>46113</v>
          </cell>
          <cell r="H53">
            <v>17.480749999999997</v>
          </cell>
          <cell r="I53">
            <v>22.912500000000001</v>
          </cell>
          <cell r="J53">
            <v>4.1055000000000001</v>
          </cell>
          <cell r="K53">
            <v>0</v>
          </cell>
          <cell r="L53">
            <v>0</v>
          </cell>
          <cell r="M53">
            <v>44.498749999999994</v>
          </cell>
        </row>
        <row r="54">
          <cell r="G54">
            <v>46143</v>
          </cell>
          <cell r="H54">
            <v>28.603750000000002</v>
          </cell>
          <cell r="I54">
            <v>11.696750000000002</v>
          </cell>
          <cell r="J54">
            <v>0</v>
          </cell>
          <cell r="K54">
            <v>0</v>
          </cell>
          <cell r="L54">
            <v>0</v>
          </cell>
          <cell r="M54">
            <v>40.3005</v>
          </cell>
        </row>
        <row r="55">
          <cell r="G55">
            <v>46174</v>
          </cell>
          <cell r="H55">
            <v>7.621249999999999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7.621249999999999</v>
          </cell>
        </row>
        <row r="56">
          <cell r="G56">
            <v>46204</v>
          </cell>
          <cell r="H56">
            <v>12.7211</v>
          </cell>
          <cell r="I56">
            <v>0</v>
          </cell>
          <cell r="J56">
            <v>0</v>
          </cell>
          <cell r="K56">
            <v>5</v>
          </cell>
          <cell r="L56">
            <v>0</v>
          </cell>
          <cell r="M56">
            <v>17.7211</v>
          </cell>
        </row>
        <row r="57">
          <cell r="G57">
            <v>46235</v>
          </cell>
          <cell r="H57">
            <v>5.669999999999999</v>
          </cell>
          <cell r="I57">
            <v>0</v>
          </cell>
          <cell r="J57">
            <v>4.8194999999999997</v>
          </cell>
          <cell r="K57">
            <v>0</v>
          </cell>
          <cell r="L57">
            <v>2.67</v>
          </cell>
          <cell r="M57">
            <v>13.1595</v>
          </cell>
        </row>
        <row r="58">
          <cell r="G58">
            <v>46266</v>
          </cell>
          <cell r="H58">
            <v>32.261249999999997</v>
          </cell>
          <cell r="I58">
            <v>0</v>
          </cell>
          <cell r="J58">
            <v>44.2425</v>
          </cell>
          <cell r="K58">
            <v>12.840000000000002</v>
          </cell>
          <cell r="L58">
            <v>3.1875</v>
          </cell>
          <cell r="M58">
            <v>92.53125</v>
          </cell>
        </row>
        <row r="59">
          <cell r="G59">
            <v>46296</v>
          </cell>
          <cell r="H59">
            <v>51.741900000000001</v>
          </cell>
          <cell r="I59">
            <v>11.375</v>
          </cell>
          <cell r="J59">
            <v>74.256</v>
          </cell>
          <cell r="K59">
            <v>11.040000000000001</v>
          </cell>
          <cell r="L59">
            <v>0</v>
          </cell>
          <cell r="M59">
            <v>148.41290000000001</v>
          </cell>
        </row>
        <row r="60">
          <cell r="G60">
            <v>46327</v>
          </cell>
          <cell r="H60">
            <v>9.1524999999999981</v>
          </cell>
          <cell r="I60">
            <v>5.3462500000000004</v>
          </cell>
          <cell r="J60">
            <v>20.442499999999999</v>
          </cell>
          <cell r="K60">
            <v>1.8</v>
          </cell>
          <cell r="L60">
            <v>0</v>
          </cell>
          <cell r="M60">
            <v>36.741249999999994</v>
          </cell>
        </row>
        <row r="61">
          <cell r="G61">
            <v>46388</v>
          </cell>
          <cell r="H61">
            <v>50.036875000000002</v>
          </cell>
          <cell r="I61">
            <v>163.13700000000003</v>
          </cell>
          <cell r="J61">
            <v>4.93</v>
          </cell>
          <cell r="K61">
            <v>0</v>
          </cell>
          <cell r="L61">
            <v>0.46400000000000008</v>
          </cell>
          <cell r="M61">
            <v>218.56787500000004</v>
          </cell>
        </row>
        <row r="62">
          <cell r="G62">
            <v>46419</v>
          </cell>
          <cell r="H62">
            <v>65.511250000000004</v>
          </cell>
          <cell r="I62">
            <v>253.32937500000003</v>
          </cell>
          <cell r="J62">
            <v>14.755999999999998</v>
          </cell>
          <cell r="K62">
            <v>3.6</v>
          </cell>
          <cell r="L62">
            <v>2.15</v>
          </cell>
          <cell r="M62">
            <v>339.34662500000002</v>
          </cell>
        </row>
        <row r="63">
          <cell r="G63">
            <v>46447</v>
          </cell>
          <cell r="H63">
            <v>82.069749999999999</v>
          </cell>
          <cell r="I63">
            <v>223.79825000000002</v>
          </cell>
          <cell r="J63">
            <v>85.314499999999995</v>
          </cell>
          <cell r="K63">
            <v>6.98</v>
          </cell>
          <cell r="L63">
            <v>3.3774999999999999</v>
          </cell>
          <cell r="M63">
            <v>401.54000000000008</v>
          </cell>
        </row>
        <row r="64">
          <cell r="G64">
            <v>46478</v>
          </cell>
          <cell r="H64">
            <v>31.312749999999998</v>
          </cell>
          <cell r="I64">
            <v>74.88</v>
          </cell>
          <cell r="J64">
            <v>44.973499999999994</v>
          </cell>
          <cell r="K64">
            <v>3.1500000000000004</v>
          </cell>
          <cell r="L64">
            <v>1.9575</v>
          </cell>
          <cell r="M64">
            <v>156.27375000000001</v>
          </cell>
        </row>
        <row r="65">
          <cell r="G65">
            <v>46508</v>
          </cell>
          <cell r="H65">
            <v>0</v>
          </cell>
          <cell r="I65">
            <v>0</v>
          </cell>
          <cell r="J65">
            <v>0</v>
          </cell>
          <cell r="K65">
            <v>11.280000000000001</v>
          </cell>
          <cell r="L65">
            <v>0</v>
          </cell>
          <cell r="M65">
            <v>11.280000000000001</v>
          </cell>
        </row>
        <row r="66">
          <cell r="G66">
            <v>46539</v>
          </cell>
          <cell r="H66">
            <v>16.799999999999997</v>
          </cell>
          <cell r="I66">
            <v>44.2</v>
          </cell>
          <cell r="J66">
            <v>0</v>
          </cell>
          <cell r="K66">
            <v>0.84000000000000008</v>
          </cell>
          <cell r="L66">
            <v>0</v>
          </cell>
          <cell r="M66">
            <v>61.84</v>
          </cell>
        </row>
        <row r="67">
          <cell r="G67">
            <v>46569</v>
          </cell>
          <cell r="H67">
            <v>16.799999999999997</v>
          </cell>
          <cell r="I67">
            <v>44.2</v>
          </cell>
          <cell r="J67">
            <v>0</v>
          </cell>
          <cell r="K67">
            <v>0</v>
          </cell>
          <cell r="L67">
            <v>0</v>
          </cell>
          <cell r="M67">
            <v>61</v>
          </cell>
        </row>
        <row r="68">
          <cell r="G68">
            <v>46600</v>
          </cell>
          <cell r="H68">
            <v>4.8719999999999999</v>
          </cell>
          <cell r="I68">
            <v>12.818</v>
          </cell>
          <cell r="J68">
            <v>0</v>
          </cell>
          <cell r="K68">
            <v>0</v>
          </cell>
          <cell r="L68">
            <v>0</v>
          </cell>
          <cell r="M68">
            <v>17.689999999999998</v>
          </cell>
        </row>
        <row r="69">
          <cell r="G69">
            <v>46631</v>
          </cell>
          <cell r="H69">
            <v>175.59324999999998</v>
          </cell>
          <cell r="I69">
            <v>0</v>
          </cell>
          <cell r="J69">
            <v>0</v>
          </cell>
          <cell r="K69">
            <v>23.594999999999999</v>
          </cell>
          <cell r="L69">
            <v>3.1349999999999998</v>
          </cell>
          <cell r="M69">
            <v>202.32324999999997</v>
          </cell>
        </row>
        <row r="70">
          <cell r="G70">
            <v>46661</v>
          </cell>
          <cell r="H70">
            <v>200.59549999999999</v>
          </cell>
          <cell r="I70">
            <v>27.169999999999998</v>
          </cell>
          <cell r="J70">
            <v>12.76275</v>
          </cell>
          <cell r="K70">
            <v>19.560000000000002</v>
          </cell>
          <cell r="L70">
            <v>2.19</v>
          </cell>
          <cell r="M70">
            <v>262.27825000000001</v>
          </cell>
        </row>
        <row r="71">
          <cell r="G71">
            <v>46692</v>
          </cell>
          <cell r="H71">
            <v>43.907500000000006</v>
          </cell>
          <cell r="I71">
            <v>28.158000000000001</v>
          </cell>
          <cell r="J71">
            <v>11.071249999999999</v>
          </cell>
          <cell r="K71">
            <v>2.27</v>
          </cell>
          <cell r="L71">
            <v>0.64500000000000002</v>
          </cell>
          <cell r="M71">
            <v>86.051749999999998</v>
          </cell>
        </row>
        <row r="72">
          <cell r="G72">
            <v>46753</v>
          </cell>
          <cell r="H72">
            <v>41.749749999999999</v>
          </cell>
          <cell r="I72">
            <v>35.425000000000004</v>
          </cell>
          <cell r="J72">
            <v>18.419499999999999</v>
          </cell>
          <cell r="K72">
            <v>4.84</v>
          </cell>
          <cell r="L72">
            <v>0.23399999999999999</v>
          </cell>
          <cell r="M72">
            <v>100.66825</v>
          </cell>
        </row>
        <row r="73">
          <cell r="G73">
            <v>46784</v>
          </cell>
          <cell r="H73">
            <v>93.134824999999992</v>
          </cell>
          <cell r="I73">
            <v>100.16500000000001</v>
          </cell>
          <cell r="J73">
            <v>41.344000000000001</v>
          </cell>
          <cell r="K73">
            <v>5.4560000000000004</v>
          </cell>
          <cell r="L73">
            <v>0.60000000000000009</v>
          </cell>
          <cell r="M73">
            <v>240.69982499999998</v>
          </cell>
        </row>
        <row r="74">
          <cell r="G74">
            <v>46813</v>
          </cell>
          <cell r="H74">
            <v>56.734824999999987</v>
          </cell>
          <cell r="I74">
            <v>58.662500000000001</v>
          </cell>
          <cell r="J74">
            <v>42.223749999999995</v>
          </cell>
          <cell r="K74">
            <v>6.4</v>
          </cell>
          <cell r="L74">
            <v>1.2910000000000001</v>
          </cell>
          <cell r="M74">
            <v>165.31207499999999</v>
          </cell>
        </row>
        <row r="75">
          <cell r="G75">
            <v>46844</v>
          </cell>
          <cell r="H75">
            <v>47.917624999999994</v>
          </cell>
          <cell r="I75">
            <v>0</v>
          </cell>
          <cell r="J75">
            <v>28.532799999999998</v>
          </cell>
          <cell r="K75">
            <v>0.44800000000000006</v>
          </cell>
          <cell r="L75">
            <v>6.4750000000000002E-2</v>
          </cell>
          <cell r="M75">
            <v>76.963174999999993</v>
          </cell>
        </row>
        <row r="76">
          <cell r="G76">
            <v>46874</v>
          </cell>
          <cell r="H76">
            <v>36.618749999999999</v>
          </cell>
          <cell r="I76">
            <v>54.287999999999997</v>
          </cell>
          <cell r="J76">
            <v>26.384</v>
          </cell>
          <cell r="K76">
            <v>0</v>
          </cell>
          <cell r="L76">
            <v>0</v>
          </cell>
          <cell r="M76">
            <v>117.29074999999999</v>
          </cell>
        </row>
        <row r="77">
          <cell r="G77">
            <v>46905</v>
          </cell>
          <cell r="H77">
            <v>4.7249999999999996</v>
          </cell>
          <cell r="I77">
            <v>6.24</v>
          </cell>
          <cell r="J77">
            <v>0</v>
          </cell>
          <cell r="K77">
            <v>0</v>
          </cell>
          <cell r="L77">
            <v>0</v>
          </cell>
          <cell r="M77">
            <v>10.965</v>
          </cell>
        </row>
        <row r="78">
          <cell r="G78">
            <v>46935</v>
          </cell>
          <cell r="H78">
            <v>0</v>
          </cell>
          <cell r="I78">
            <v>71.5</v>
          </cell>
          <cell r="J78">
            <v>0</v>
          </cell>
          <cell r="K78">
            <v>0</v>
          </cell>
          <cell r="L78">
            <v>0</v>
          </cell>
          <cell r="M78">
            <v>71.5</v>
          </cell>
        </row>
        <row r="79">
          <cell r="G79">
            <v>46966</v>
          </cell>
          <cell r="H79">
            <v>0</v>
          </cell>
          <cell r="I79">
            <v>9.2949999999999999</v>
          </cell>
          <cell r="J79">
            <v>0</v>
          </cell>
          <cell r="K79">
            <v>0</v>
          </cell>
          <cell r="L79">
            <v>0</v>
          </cell>
          <cell r="M79">
            <v>9.2949999999999999</v>
          </cell>
        </row>
        <row r="80">
          <cell r="G80">
            <v>46997</v>
          </cell>
          <cell r="H80">
            <v>66.179749999999984</v>
          </cell>
          <cell r="I80">
            <v>28.275000000000002</v>
          </cell>
          <cell r="J80">
            <v>38.454000000000001</v>
          </cell>
          <cell r="K80">
            <v>5.9160000000000004</v>
          </cell>
          <cell r="L80">
            <v>2.8774999999999999</v>
          </cell>
          <cell r="M80">
            <v>141.70224999999999</v>
          </cell>
        </row>
        <row r="81">
          <cell r="G81">
            <v>47027</v>
          </cell>
          <cell r="H81">
            <v>54.346249999999998</v>
          </cell>
          <cell r="I81">
            <v>121.82625000000002</v>
          </cell>
          <cell r="J81">
            <v>35.802</v>
          </cell>
          <cell r="K81">
            <v>5.508</v>
          </cell>
          <cell r="L81">
            <v>2.8375000000000004</v>
          </cell>
          <cell r="M81">
            <v>220.32000000000002</v>
          </cell>
        </row>
        <row r="82">
          <cell r="G82">
            <v>47058</v>
          </cell>
          <cell r="H82">
            <v>32.348749999999995</v>
          </cell>
          <cell r="I82">
            <v>49.643750000000004</v>
          </cell>
          <cell r="J82">
            <v>0</v>
          </cell>
          <cell r="K82">
            <v>0</v>
          </cell>
          <cell r="L82">
            <v>0</v>
          </cell>
          <cell r="M82">
            <v>81.992500000000007</v>
          </cell>
        </row>
        <row r="83">
          <cell r="G83">
            <v>47088</v>
          </cell>
          <cell r="H83">
            <v>19.914999999999999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19.914999999999999</v>
          </cell>
        </row>
        <row r="84">
          <cell r="G84">
            <v>47119</v>
          </cell>
          <cell r="H84">
            <v>161.20562499999997</v>
          </cell>
          <cell r="I84">
            <v>83.830500000000001</v>
          </cell>
          <cell r="J84">
            <v>42.890999999999998</v>
          </cell>
          <cell r="K84">
            <v>16</v>
          </cell>
          <cell r="L84">
            <v>1.3050000000000002</v>
          </cell>
          <cell r="M84">
            <v>305.232125</v>
          </cell>
        </row>
        <row r="85">
          <cell r="G85">
            <v>47150</v>
          </cell>
          <cell r="H85">
            <v>104.890625</v>
          </cell>
          <cell r="I85">
            <v>117.26</v>
          </cell>
          <cell r="J85">
            <v>5.423</v>
          </cell>
          <cell r="K85">
            <v>6.1400000000000006</v>
          </cell>
          <cell r="L85">
            <v>0.16500000000000001</v>
          </cell>
          <cell r="M85">
            <v>233.87862499999997</v>
          </cell>
        </row>
        <row r="86">
          <cell r="G86">
            <v>47178</v>
          </cell>
          <cell r="H86">
            <v>60.383749999999999</v>
          </cell>
          <cell r="I86">
            <v>19.798999999999999</v>
          </cell>
          <cell r="J86">
            <v>7.0125000000000002</v>
          </cell>
          <cell r="K86">
            <v>3.4849999999999994</v>
          </cell>
          <cell r="L86">
            <v>0</v>
          </cell>
          <cell r="M86">
            <v>90.680250000000001</v>
          </cell>
        </row>
        <row r="87">
          <cell r="G87">
            <v>47209</v>
          </cell>
          <cell r="H87">
            <v>14.992249999999997</v>
          </cell>
          <cell r="I87">
            <v>21.164000000000001</v>
          </cell>
          <cell r="J87">
            <v>9.8175000000000008</v>
          </cell>
          <cell r="K87">
            <v>0.69000000000000006</v>
          </cell>
          <cell r="L87">
            <v>0</v>
          </cell>
          <cell r="M87">
            <v>46.66375</v>
          </cell>
        </row>
        <row r="88">
          <cell r="G88">
            <v>47239</v>
          </cell>
          <cell r="H88">
            <v>0</v>
          </cell>
          <cell r="I88">
            <v>57.2</v>
          </cell>
          <cell r="J88">
            <v>22.95</v>
          </cell>
          <cell r="K88">
            <v>7.9200000000000008</v>
          </cell>
          <cell r="L88">
            <v>0</v>
          </cell>
          <cell r="M88">
            <v>88.070000000000007</v>
          </cell>
        </row>
        <row r="89">
          <cell r="G89">
            <v>47270</v>
          </cell>
          <cell r="H89">
            <v>0</v>
          </cell>
          <cell r="I89">
            <v>17.16</v>
          </cell>
          <cell r="J89">
            <v>14.535</v>
          </cell>
          <cell r="K89">
            <v>5.016</v>
          </cell>
          <cell r="L89">
            <v>0</v>
          </cell>
          <cell r="M89">
            <v>36.710999999999999</v>
          </cell>
        </row>
        <row r="90">
          <cell r="G90">
            <v>47331</v>
          </cell>
          <cell r="H90">
            <v>0.84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0.84</v>
          </cell>
        </row>
        <row r="91">
          <cell r="G91">
            <v>47362</v>
          </cell>
          <cell r="H91">
            <v>29.4</v>
          </cell>
          <cell r="I91">
            <v>0</v>
          </cell>
          <cell r="J91">
            <v>0</v>
          </cell>
          <cell r="K91">
            <v>8.64</v>
          </cell>
          <cell r="L91">
            <v>0</v>
          </cell>
          <cell r="M91">
            <v>38.04</v>
          </cell>
        </row>
        <row r="92">
          <cell r="G92">
            <v>47392</v>
          </cell>
          <cell r="H92">
            <v>78.015000000000001</v>
          </cell>
          <cell r="I92">
            <v>13.731250000000001</v>
          </cell>
          <cell r="J92">
            <v>7.1824999999999992</v>
          </cell>
          <cell r="K92">
            <v>2.052</v>
          </cell>
          <cell r="L92">
            <v>0</v>
          </cell>
          <cell r="M92">
            <v>100.98075000000001</v>
          </cell>
        </row>
        <row r="93">
          <cell r="G93">
            <v>47423</v>
          </cell>
          <cell r="H93">
            <v>24.849999999999998</v>
          </cell>
          <cell r="I93">
            <v>21.125</v>
          </cell>
          <cell r="J93">
            <v>11.049999999999999</v>
          </cell>
          <cell r="K93">
            <v>0</v>
          </cell>
          <cell r="L93">
            <v>0</v>
          </cell>
          <cell r="M93">
            <v>57.024999999999991</v>
          </cell>
        </row>
        <row r="94">
          <cell r="G94">
            <v>47453</v>
          </cell>
          <cell r="H94">
            <v>0.43049999999999999</v>
          </cell>
          <cell r="I94">
            <v>0.63375000000000004</v>
          </cell>
          <cell r="J94">
            <v>0.33150000000000002</v>
          </cell>
          <cell r="K94">
            <v>0</v>
          </cell>
          <cell r="L94">
            <v>0</v>
          </cell>
          <cell r="M94">
            <v>1.39575</v>
          </cell>
        </row>
        <row r="95">
          <cell r="G95">
            <v>47484</v>
          </cell>
          <cell r="H95">
            <v>16.537499999999998</v>
          </cell>
          <cell r="I95">
            <v>139.1</v>
          </cell>
          <cell r="J95">
            <v>1.53</v>
          </cell>
          <cell r="K95">
            <v>0</v>
          </cell>
          <cell r="L95">
            <v>3.75</v>
          </cell>
          <cell r="M95">
            <v>160.91749999999999</v>
          </cell>
        </row>
        <row r="96">
          <cell r="G96">
            <v>47515</v>
          </cell>
          <cell r="H96">
            <v>95.375</v>
          </cell>
          <cell r="I96">
            <v>46.604999999999997</v>
          </cell>
          <cell r="J96">
            <v>0</v>
          </cell>
          <cell r="K96">
            <v>0</v>
          </cell>
          <cell r="L96">
            <v>0.15000000000000002</v>
          </cell>
          <cell r="M96">
            <v>142.13</v>
          </cell>
        </row>
        <row r="97">
          <cell r="G97">
            <v>47543</v>
          </cell>
          <cell r="H97">
            <v>58.516499999999994</v>
          </cell>
          <cell r="I97">
            <v>19.5</v>
          </cell>
          <cell r="J97">
            <v>0</v>
          </cell>
          <cell r="K97">
            <v>7.7</v>
          </cell>
          <cell r="L97">
            <v>0</v>
          </cell>
          <cell r="M97">
            <v>85.716499999999996</v>
          </cell>
        </row>
        <row r="98">
          <cell r="G98">
            <v>47574</v>
          </cell>
          <cell r="H98">
            <v>3.64175</v>
          </cell>
          <cell r="I98">
            <v>10.335000000000001</v>
          </cell>
          <cell r="J98">
            <v>0</v>
          </cell>
          <cell r="K98">
            <v>2.8970000000000002</v>
          </cell>
          <cell r="L98">
            <v>0</v>
          </cell>
          <cell r="M98">
            <v>16.873750000000001</v>
          </cell>
        </row>
        <row r="99">
          <cell r="G99">
            <v>47727</v>
          </cell>
          <cell r="H99">
            <v>40.695374999999999</v>
          </cell>
          <cell r="I99">
            <v>67.989999999999995</v>
          </cell>
          <cell r="J99">
            <v>0</v>
          </cell>
          <cell r="K99">
            <v>0</v>
          </cell>
          <cell r="L99">
            <v>0</v>
          </cell>
          <cell r="M99">
            <v>108.68537499999999</v>
          </cell>
        </row>
        <row r="100">
          <cell r="G100">
            <v>47757</v>
          </cell>
          <cell r="H100">
            <v>110.668775</v>
          </cell>
          <cell r="I100">
            <v>100.70450000000001</v>
          </cell>
          <cell r="J100">
            <v>3.927</v>
          </cell>
          <cell r="K100">
            <v>0</v>
          </cell>
          <cell r="L100">
            <v>0</v>
          </cell>
          <cell r="M100">
            <v>215.300275</v>
          </cell>
        </row>
        <row r="101">
          <cell r="G101">
            <v>47788</v>
          </cell>
          <cell r="H101">
            <v>63.218749999999993</v>
          </cell>
          <cell r="I101">
            <v>11.1111</v>
          </cell>
          <cell r="J101">
            <v>6.825499999999999</v>
          </cell>
          <cell r="K101">
            <v>0</v>
          </cell>
          <cell r="L101">
            <v>0</v>
          </cell>
          <cell r="M101">
            <v>81.155349999999999</v>
          </cell>
        </row>
        <row r="102">
          <cell r="G102">
            <v>47849</v>
          </cell>
          <cell r="H102">
            <v>10.5</v>
          </cell>
          <cell r="I102">
            <v>64.61</v>
          </cell>
          <cell r="J102">
            <v>0</v>
          </cell>
          <cell r="K102">
            <v>0</v>
          </cell>
          <cell r="L102">
            <v>0</v>
          </cell>
          <cell r="M102">
            <v>75.11</v>
          </cell>
        </row>
        <row r="103">
          <cell r="G103">
            <v>47880</v>
          </cell>
          <cell r="H103">
            <v>19.46875</v>
          </cell>
          <cell r="I103">
            <v>91</v>
          </cell>
          <cell r="J103">
            <v>0</v>
          </cell>
          <cell r="K103">
            <v>0</v>
          </cell>
          <cell r="L103">
            <v>0</v>
          </cell>
          <cell r="M103">
            <v>110.46875</v>
          </cell>
        </row>
        <row r="104">
          <cell r="G104">
            <v>47908</v>
          </cell>
          <cell r="H104">
            <v>24.806249999999999</v>
          </cell>
          <cell r="I104">
            <v>64.61</v>
          </cell>
          <cell r="J104">
            <v>0</v>
          </cell>
          <cell r="K104">
            <v>0</v>
          </cell>
          <cell r="L104">
            <v>0</v>
          </cell>
          <cell r="M104">
            <v>89.416249999999991</v>
          </cell>
        </row>
        <row r="105">
          <cell r="G105">
            <v>47939</v>
          </cell>
          <cell r="H105">
            <v>55.158249999999995</v>
          </cell>
          <cell r="I105">
            <v>8.6125000000000007</v>
          </cell>
          <cell r="J105">
            <v>9.4604999999999997</v>
          </cell>
          <cell r="K105">
            <v>0</v>
          </cell>
          <cell r="L105">
            <v>0</v>
          </cell>
          <cell r="M105">
            <v>73.231249999999989</v>
          </cell>
        </row>
        <row r="106">
          <cell r="G106">
            <v>47969</v>
          </cell>
          <cell r="H106">
            <v>39.97</v>
          </cell>
          <cell r="I106">
            <v>16.25</v>
          </cell>
          <cell r="J106">
            <v>17.849999999999998</v>
          </cell>
          <cell r="K106">
            <v>0</v>
          </cell>
          <cell r="L106">
            <v>0</v>
          </cell>
          <cell r="M106">
            <v>74.069999999999993</v>
          </cell>
        </row>
        <row r="107">
          <cell r="G107">
            <v>48000</v>
          </cell>
          <cell r="H107">
            <v>6.3874999999999993</v>
          </cell>
          <cell r="I107">
            <v>8.125</v>
          </cell>
          <cell r="J107">
            <v>8.9249999999999989</v>
          </cell>
          <cell r="K107">
            <v>0</v>
          </cell>
          <cell r="L107">
            <v>0</v>
          </cell>
          <cell r="M107">
            <v>23.4375</v>
          </cell>
        </row>
        <row r="108">
          <cell r="G108">
            <v>48092</v>
          </cell>
          <cell r="H108">
            <v>25.882499999999993</v>
          </cell>
          <cell r="I108">
            <v>13.289250000000001</v>
          </cell>
          <cell r="J108">
            <v>8.1344999999999992</v>
          </cell>
          <cell r="K108">
            <v>0</v>
          </cell>
          <cell r="L108">
            <v>0</v>
          </cell>
          <cell r="M108">
            <v>47.306249999999991</v>
          </cell>
        </row>
        <row r="109">
          <cell r="G109">
            <v>48122</v>
          </cell>
          <cell r="H109">
            <v>8.6274999999999995</v>
          </cell>
          <cell r="I109">
            <v>4.4297500000000003</v>
          </cell>
          <cell r="J109">
            <v>2.7115</v>
          </cell>
          <cell r="K109">
            <v>0</v>
          </cell>
          <cell r="L109">
            <v>0</v>
          </cell>
          <cell r="M109">
            <v>15.768750000000001</v>
          </cell>
        </row>
        <row r="110">
          <cell r="G110">
            <v>48214</v>
          </cell>
          <cell r="H110">
            <v>12.731249999999999</v>
          </cell>
          <cell r="I110">
            <v>18.59975</v>
          </cell>
          <cell r="J110">
            <v>0</v>
          </cell>
          <cell r="K110">
            <v>0</v>
          </cell>
          <cell r="L110">
            <v>0</v>
          </cell>
          <cell r="M110">
            <v>31.331</v>
          </cell>
        </row>
        <row r="111">
          <cell r="G111">
            <v>49980</v>
          </cell>
          <cell r="H111">
            <v>5.7574999999999994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5.7574999999999994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11.3"/>
      <sheetName val="11.9"/>
      <sheetName val="11.17"/>
      <sheetName val="12.6"/>
      <sheetName val="12.15"/>
      <sheetName val="12.22"/>
      <sheetName val="12.29"/>
      <sheetName val="1.5"/>
      <sheetName val="1.5 (2)"/>
      <sheetName val="1.12 "/>
      <sheetName val="1.12 with CPL"/>
      <sheetName val="1.19 with Freeze"/>
      <sheetName val="1.26"/>
      <sheetName val="2.2"/>
      <sheetName val="2.5"/>
      <sheetName val="2.19"/>
      <sheetName val="2.26"/>
      <sheetName val="3.4"/>
      <sheetName val="3.4 (2)"/>
      <sheetName val="3.11"/>
      <sheetName val="4.1"/>
      <sheetName val="4.8"/>
      <sheetName val="4.17"/>
      <sheetName val="5.10"/>
      <sheetName val="5.13"/>
      <sheetName val="6.5"/>
      <sheetName val="6.10"/>
      <sheetName val="6.14"/>
      <sheetName val="6.19"/>
      <sheetName val="6.25"/>
      <sheetName val="7.3"/>
      <sheetName val="7.5"/>
      <sheetName val="7.10"/>
      <sheetName val="7.15 (Joliet 6 wks)"/>
      <sheetName val="7.17 no BTR"/>
      <sheetName val="7.17"/>
      <sheetName val="7.23"/>
      <sheetName val="7.26"/>
      <sheetName val="7.30 (copy)"/>
      <sheetName val="Sheet4"/>
      <sheetName val="Sheet3"/>
      <sheetName val="7.30"/>
      <sheetName val="8.9"/>
      <sheetName val="8.13"/>
      <sheetName val="8.20"/>
      <sheetName val="8.28"/>
      <sheetName val="8.30"/>
      <sheetName val="9.3"/>
      <sheetName val="9.3 (Jun Monthly)"/>
      <sheetName val="9.3 (July Monthly)"/>
      <sheetName val="9.10"/>
      <sheetName val="9.16"/>
      <sheetName val="Cognos_Office_Connection_Cache"/>
      <sheetName val="9.23"/>
      <sheetName val="9.30"/>
      <sheetName val="10.7"/>
      <sheetName val="10.14"/>
      <sheetName val="10.21"/>
      <sheetName val="10.28"/>
      <sheetName val="10.28 (Aug Sep Monthly)"/>
      <sheetName val="11.4"/>
      <sheetName val="11.11"/>
      <sheetName val="11.18"/>
      <sheetName val="11.25"/>
      <sheetName val="12.2"/>
      <sheetName val="12.9"/>
      <sheetName val="12.16"/>
      <sheetName val="1.2"/>
      <sheetName val="1.13"/>
      <sheetName val="12.2-VGO"/>
      <sheetName val="12.9 Monthlies"/>
      <sheetName val="1.20"/>
      <sheetName val="1.27"/>
      <sheetName val="2.3 (dec monthly)"/>
      <sheetName val="2.10"/>
      <sheetName val="2.17"/>
      <sheetName val="2.24"/>
      <sheetName val="3.3"/>
      <sheetName val="3.10"/>
      <sheetName val="3.17"/>
      <sheetName val="3.24"/>
      <sheetName val="3.31"/>
      <sheetName val="4.7"/>
      <sheetName val="4.14"/>
      <sheetName val="4.21"/>
      <sheetName val="4.28"/>
      <sheetName val="5.5"/>
      <sheetName val="5.12"/>
      <sheetName val="5.19"/>
      <sheetName val="5.27"/>
      <sheetName val="6.2"/>
      <sheetName val="6.9"/>
      <sheetName val="6.16"/>
      <sheetName val="6.23"/>
      <sheetName val="7.7"/>
      <sheetName val="Daily USGC names"/>
      <sheetName val="Sheet6"/>
      <sheetName val="Dailytracking"/>
      <sheetName val="PBF Paulsboro"/>
      <sheetName val="Gas Prod per PADD"/>
      <sheetName val="Sheet5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>
        <row r="1">
          <cell r="A1" t="str">
            <v>PADD</v>
          </cell>
          <cell r="B1" t="str">
            <v>Winter</v>
          </cell>
          <cell r="C1" t="str">
            <v>Summer</v>
          </cell>
        </row>
        <row r="2">
          <cell r="A2">
            <v>1</v>
          </cell>
          <cell r="B2">
            <v>480</v>
          </cell>
          <cell r="C2">
            <v>450</v>
          </cell>
        </row>
        <row r="3">
          <cell r="A3">
            <v>2</v>
          </cell>
          <cell r="B3">
            <v>2400</v>
          </cell>
          <cell r="C3">
            <v>2180</v>
          </cell>
        </row>
        <row r="4">
          <cell r="A4">
            <v>3</v>
          </cell>
          <cell r="B4">
            <v>4600</v>
          </cell>
          <cell r="C4">
            <v>4380</v>
          </cell>
        </row>
        <row r="5">
          <cell r="A5">
            <v>4</v>
          </cell>
          <cell r="B5">
            <v>340</v>
          </cell>
          <cell r="C5">
            <v>315</v>
          </cell>
        </row>
        <row r="6">
          <cell r="A6">
            <v>5</v>
          </cell>
          <cell r="B6">
            <v>1350</v>
          </cell>
          <cell r="C6">
            <v>1300</v>
          </cell>
        </row>
      </sheetData>
      <sheetData sheetId="101"/>
      <sheetData sheetId="102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Metcalf, Patrick" id="{63D9545E-901E-454F-A20F-4131B6FC3A8D}" userId="S-1-5-21-1417001333-343818398-1801674531-1273331" providerId="AD"/>
  <person displayName="Hathorn, James E" id="{95DBF590-A477-46F8-BE86-9FAD0C7E296F}" userId="S::james.e.hathorn@exxonmobil.com::f285c1e9-53ea-4656-a416-e4232fd96bcd" providerId="AD"/>
  <person displayName="Grady, Kaitlyn Teresa" id="{15201DD0-F250-4263-8BC4-FC3304249538}" userId="S::kaitlyn.t.grady@exxonmobil.com::b305bf87-bc56-42fd-b5c9-69129d3b5ed2" providerId="AD"/>
  <person displayName="Arango Castaneda, Erika L" id="{54744C53-0888-4741-BF8F-47AFFBF588AC}" userId="S::erika.l.arangocastaneda@exxonmobil.com::83713a32-d709-4fc0-9f13-65a42cb00705" providerId="AD"/>
</personList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2026%20Outage%20Capacity%20Percent%20Loss%20by%20PADD_Changing%20CDU%20yields%20v2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2026%20Outage%20Capacity%20Percent%20Loss%20by%20PADD_Changing%20CDU%20yields%20v2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thorn, James E" refreshedDate="45865.704431597223" createdVersion="8" refreshedVersion="8" minRefreshableVersion="3" recordCount="1443" xr:uid="{60997421-B14D-4B07-99FA-795720D3CA09}">
  <cacheSource type="worksheet">
    <worksheetSource ref="A2:L10373" sheet="Raw 2025" r:id="rId2"/>
  </cacheSource>
  <cacheFields count="15">
    <cacheField name="PADD" numFmtId="0">
      <sharedItems containsString="0" containsBlank="1" containsNumber="1" containsInteger="1" minValue="1" maxValue="5" count="6">
        <n v="3"/>
        <n v="5"/>
        <n v="1"/>
        <n v="2"/>
        <n v="4"/>
        <m/>
      </sharedItems>
    </cacheField>
    <cacheField name="Region" numFmtId="0">
      <sharedItems containsBlank="1"/>
    </cacheField>
    <cacheField name="Country" numFmtId="0">
      <sharedItems containsBlank="1"/>
    </cacheField>
    <cacheField name="Company" numFmtId="0">
      <sharedItems containsBlank="1"/>
    </cacheField>
    <cacheField name="Refinery" numFmtId="0">
      <sharedItems containsBlank="1" count="139">
        <s v="Texas City Refinery (Bay Plant)"/>
        <s v="Texas City Refinery"/>
        <s v="Saint Charles Refinery"/>
        <s v="Port Arthur Refinery (Valero)"/>
        <s v="Port Arthur Refinery (Motiva)"/>
        <s v="Lake Charles Refinery (CITGO)"/>
        <s v="Javelina Refinery Off-Gas Processing Plant"/>
        <s v="Geismar Olefins"/>
        <s v="Garyville Refinery"/>
        <s v="Corpus Christi Refinery - East"/>
        <s v="Chalmette Refinery"/>
        <s v="Baytown Refinery"/>
        <s v="Baton Rouge Refinery"/>
        <s v="Baton Rouge Chemicals (BRCP)"/>
        <s v="Los Angeles Carson Refinery"/>
        <s v="Wilmington Refinery"/>
        <s v="Paulsboro Refinery (PBF)"/>
        <s v="Bayway Refinery"/>
        <s v="Ponca City Refinery"/>
        <s v="Coffeyville Refinery"/>
        <s v="Houston Refinery (Houston Refining)"/>
        <s v="El Paso South Refinery"/>
        <s v="Deer Park Refinery"/>
        <s v="Corpus Christi Olefins"/>
        <s v="Corpus Christi Condensate Splitter (Magellan)"/>
        <s v="Borger Refinery"/>
        <s v="Beaumont Refinery"/>
        <s v="Galveston Bay Refinery (GBR)"/>
        <s v="Salt Lake City Refinery (Marathon)"/>
        <s v="North Salt Lake Refinery"/>
        <s v="Los Angeles Wilmington Refinery"/>
        <s v="Delaware City Refinery"/>
        <s v="Wynnewood Refinery"/>
        <s v="Toledo Refinery (PBF)"/>
        <s v="Robinson Refinery"/>
        <s v="Memphis Refinery"/>
        <s v="Sweeny Refinery"/>
        <s v="Smackover Refinery"/>
        <s v="Pascagoula Refinery"/>
        <s v="Pasadena Refinery"/>
        <s v="Alvin Chocolate Bayou Olefins"/>
        <s v="Salt Lake City Refinery (Chevron)"/>
        <s v="Bakersfield Refinery (Kern Oil)"/>
        <s v="Puget Sound Refinery"/>
        <s v="Toledo Refinery "/>
        <s v="Mount Vernon Refinery"/>
        <s v="Mandan Refinery"/>
        <s v="Lemont"/>
        <s v="Joliet Refinery"/>
        <s v="Dow Sabine River Works"/>
        <s v="Bill Greehey Refinery-East"/>
        <s v="Woods Cross Refinery (HF Sinclair)"/>
        <s v="Cherry Point Refinery"/>
        <s v="El Segundo Refinery"/>
        <s v="Martinez Refinery (PBF)"/>
        <s v="Valdez Refinery"/>
        <s v="Corpus Christi Refinery - West (CITGO)"/>
        <s v="Buckeye Texas Processing EF90 Corpus Christi Facility (BTP)"/>
        <s v="Evanston Refinery (Silver Eagle)"/>
        <s v="North Pole Refinery (Petro Star)"/>
        <s v="Richmond Refinery"/>
        <s v="Smethport Waxes"/>
        <s v="McKee Refinery"/>
        <s v="Lake Charles Olefins"/>
        <s v="Tuscaloosa Refinery"/>
        <s v="Pine Bend Refinery"/>
        <s v="Longview Chemical"/>
        <s v="PAR Montana Billings Refinery"/>
        <s v="Trainer Refinery"/>
        <s v="Whiting Refinery"/>
        <s v="Tulsa East Refinery (Fuels) (East)"/>
        <s v="Lima Refinery"/>
        <s v="El Dorado Refinery (HF Sinclair)"/>
        <s v="Detroit Refinery"/>
        <s v="Sulphur Petrochemicals"/>
        <s v="Princeton Refinery"/>
        <s v="Meraux Refinery"/>
        <s v="Port Arthur Olefins and Aromatics"/>
        <s v="Norco Refinery"/>
        <s v="Lake Charles Refinery (Phillips 66)"/>
        <s v="Sinclair Refinery"/>
        <s v="Mobile Refinery (Vertex)"/>
        <s v="Lake Charles Refinery (Calcasieu)"/>
        <s v="Krotz Springs Refinery"/>
        <s v="Deer Park Petrochemical"/>
        <s v="Benicia Refinery"/>
        <s v="Corpus Christi Refinery - West (Flint Hills)"/>
        <s v="Three Rivers Refinery"/>
        <s v="Corpus Christi Refinery - East (CITGO)"/>
        <s v="Sandersville Refinery"/>
        <s v="Anacortes Refinery"/>
        <s v="Bakersfield Refinery (San Joaquin)"/>
        <s v="Torrance Refinery"/>
        <s v="Bradford Refinery"/>
        <s v="Congo Refinery"/>
        <s v="Ardmore Refinery"/>
        <s v="McPherson Refinery"/>
        <s v="Wood River Refinery"/>
        <s v="Toledo Refinery (Cenovus)"/>
        <s v="Houston Fractionation Refinery"/>
        <s v="San Antonio Refinery"/>
        <s v="Los Angeles Refinery â€“ Carson (Marathon)"/>
        <s v="Los Angeles Refinery â€“ Wilmington (Marathon)"/>
        <s v="Lemont Refinery"/>
        <s v="Sweeny Old Ocean Ethylene"/>
        <s v="Great Falls Refinery"/>
        <s v="Par East Refinery"/>
        <s v="Galveston Bunkers"/>
        <s v="Canton Refinery"/>
        <s v="Catlettsburg Refinery 1 - South"/>
        <s v="Port Arthur"/>
        <s v="Port Arthur Refinery (TotalEnergies)"/>
        <s v="Vicksburg Refinery"/>
        <s v="Los Angeles Refinery â€“ Carson (P66)"/>
        <s v="Eagle Springs Refinery"/>
        <s v="Tacoma Refinery"/>
        <s v="VALERO - MEMPHIS"/>
        <s v="Valero Corpus Christi West - Bill Greehey Refinery - West"/>
        <s v="MARATHON - GARYVILLE"/>
        <s v="MARATHON PETROLEUM - TEXAS CITY (GALVESTON BAY)"/>
        <s v="HOUSTON REFINERY (VALERO)"/>
        <s v="VALERO - THREE RIVERS"/>
        <s v="EXXON - BATON ROUGE"/>
        <s v="EXXONMOBIL - BAYTOWN"/>
        <s v="EL DORADO REFINERY (DELEK)"/>
        <s v="BIG SPRINGS - ALON"/>
        <s v="EXXONMOBIL - BEAUMONT"/>
        <s v="PORT ALLEN REFINERY"/>
        <s v="LITTLE AMERICA REFINING COMPANY - CASPER"/>
        <s v="PAR PETROLEUM - NEWCASTLE"/>
        <s v="SUNCOR - DENVER"/>
        <s v="WYOMING REFINING - EVANSTON"/>
        <s v="LOS ANGELES REFINERY - WILMINGTON (MARATHON)"/>
        <s v="LOS ANGELES REFINERY - CARSON (MARATHON)"/>
        <s v="Par Pacific Tacoma"/>
        <s v="MARATHON PETROLEUM - ANACORTES"/>
        <s v="PETRO STAR INC. - Valdez"/>
        <s v="PETRO STAR INC. - NORTH POLE"/>
        <m/>
      </sharedItems>
    </cacheField>
    <cacheField name="Unit" numFmtId="0">
      <sharedItems containsBlank="1" count="16">
        <s v="Reformer"/>
        <s v="HDS"/>
        <s v="CDU"/>
        <s v="CCU"/>
        <s v="Alky"/>
        <s v="HDC"/>
        <s v="Coker"/>
        <s v="Steam Cracker"/>
        <s v="VDU"/>
        <s v="Isom"/>
        <s v="Other"/>
        <s v="LPG"/>
        <s v="FCC"/>
        <s v="REF"/>
        <s v="Naphtha Hydrotreater (Reformer Feed)"/>
        <m/>
      </sharedItems>
    </cacheField>
    <cacheField name="Date*" numFmtId="14">
      <sharedItems containsNonDate="0" containsDate="1" containsString="0" containsBlank="1" minDate="2024-01-01T00:00:00" maxDate="2026-12-02T00:00:00" count="37"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  <d v="2026-04-01T00:00:00"/>
        <d v="2026-02-01T00:00:00"/>
        <d v="2026-03-01T00:00:00"/>
        <d v="2026-05-01T00:00:00"/>
        <d v="2026-09-01T00:00:00"/>
        <d v="2026-10-01T00:00:00"/>
        <d v="2026-11-01T00:00:00"/>
        <d v="2026-01-01T00:00:00"/>
        <d v="2026-06-01T00:00:00"/>
        <d v="2026-07-01T00:00:00"/>
        <d v="2026-08-01T00:00:00"/>
        <d v="2026-12-01T00:00:00"/>
        <m/>
      </sharedItems>
      <fieldGroup par="14"/>
    </cacheField>
    <cacheField name="End Date Year" numFmtId="0">
      <sharedItems containsString="0" containsBlank="1" containsNumber="1" containsInteger="1" minValue="2024" maxValue="2026"/>
    </cacheField>
    <cacheField name="% Offline (5 Year Historical Outage Table)" numFmtId="0">
      <sharedItems containsString="0" containsBlank="1" containsNumber="1" minValue="0" maxValue="3"/>
    </cacheField>
    <cacheField name="Total Unit Capacity Offline" numFmtId="0">
      <sharedItems containsDate="1" containsString="0" containsBlank="1" containsMixedTypes="1" minDate="1899-12-31T00:00:00" maxDate="1899-12-31T04:01:03"/>
    </cacheField>
    <cacheField name="Gasoline Production Offline (KBD)" numFmtId="0">
      <sharedItems containsString="0" containsBlank="1" containsNumber="1" minValue="0" maxValue="79.258064516129039"/>
    </cacheField>
    <cacheField name="Comments" numFmtId="0">
      <sharedItems containsBlank="1" containsMixedTypes="1" containsNumber="1" containsInteger="1" minValue="0" maxValue="0"/>
    </cacheField>
    <cacheField name="Months (Date*)" numFmtId="0" databaseField="0">
      <fieldGroup base="6">
        <rangePr groupBy="months" startDate="2024-01-01T00:00:00" endDate="2026-12-02T00:00:00"/>
        <groupItems count="14">
          <s v="&lt;1/1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2/2026"/>
        </groupItems>
      </fieldGroup>
    </cacheField>
    <cacheField name="Quarters (Date*)" numFmtId="0" databaseField="0">
      <fieldGroup base="6">
        <rangePr groupBy="quarters" startDate="2024-01-01T00:00:00" endDate="2026-12-02T00:00:00"/>
        <groupItems count="6">
          <s v="&lt;1/1/2024"/>
          <s v="Qtr1"/>
          <s v="Qtr2"/>
          <s v="Qtr3"/>
          <s v="Qtr4"/>
          <s v="&gt;12/2/2026"/>
        </groupItems>
      </fieldGroup>
    </cacheField>
    <cacheField name="Years (Date*)" numFmtId="0" databaseField="0">
      <fieldGroup base="6">
        <rangePr groupBy="years" startDate="2024-01-01T00:00:00" endDate="2026-12-02T00:00:00"/>
        <groupItems count="5">
          <s v="&lt;1/1/2024"/>
          <s v="2024"/>
          <s v="2025"/>
          <s v="2026"/>
          <s v="&gt;12/2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thorn, James E" refreshedDate="45865.855423611109" createdVersion="8" refreshedVersion="8" minRefreshableVersion="3" recordCount="1443" xr:uid="{2A29AFD3-4C12-41B6-B2DE-C0A38F154388}">
  <cacheSource type="worksheet">
    <worksheetSource ref="A2:L10373" sheet="Raw 2025" r:id="rId2"/>
  </cacheSource>
  <cacheFields count="15">
    <cacheField name="PADD" numFmtId="0">
      <sharedItems containsString="0" containsBlank="1" containsNumber="1" containsInteger="1" minValue="1" maxValue="5" count="6">
        <n v="3"/>
        <n v="5"/>
        <n v="1"/>
        <n v="2"/>
        <n v="4"/>
        <m/>
      </sharedItems>
    </cacheField>
    <cacheField name="Region" numFmtId="0">
      <sharedItems containsBlank="1"/>
    </cacheField>
    <cacheField name="Country" numFmtId="0">
      <sharedItems containsBlank="1"/>
    </cacheField>
    <cacheField name="Company" numFmtId="0">
      <sharedItems containsBlank="1"/>
    </cacheField>
    <cacheField name="Refinery" numFmtId="0">
      <sharedItems containsBlank="1" count="139">
        <s v="Texas City Refinery (Bay Plant)"/>
        <s v="Texas City Refinery"/>
        <s v="Saint Charles Refinery"/>
        <s v="Port Arthur Refinery (Valero)"/>
        <s v="Port Arthur Refinery (Motiva)"/>
        <s v="Lake Charles Refinery (CITGO)"/>
        <s v="Javelina Refinery Off-Gas Processing Plant"/>
        <s v="Geismar Olefins"/>
        <s v="Garyville Refinery"/>
        <s v="Corpus Christi Refinery - East"/>
        <s v="Chalmette Refinery"/>
        <s v="Baytown Refinery"/>
        <s v="Baton Rouge Refinery"/>
        <s v="Baton Rouge Chemicals (BRCP)"/>
        <s v="Los Angeles Carson Refinery"/>
        <s v="Wilmington Refinery"/>
        <s v="Paulsboro Refinery (PBF)"/>
        <s v="Bayway Refinery"/>
        <s v="Ponca City Refinery"/>
        <s v="Coffeyville Refinery"/>
        <s v="Houston Refinery (Houston Refining)"/>
        <s v="El Paso South Refinery"/>
        <s v="Deer Park Refinery"/>
        <s v="Corpus Christi Olefins"/>
        <s v="Corpus Christi Condensate Splitter (Magellan)"/>
        <s v="Borger Refinery"/>
        <s v="Beaumont Refinery"/>
        <s v="Galveston Bay Refinery (GBR)"/>
        <s v="Salt Lake City Refinery (Marathon)"/>
        <s v="North Salt Lake Refinery"/>
        <s v="Los Angeles Wilmington Refinery"/>
        <s v="Delaware City Refinery"/>
        <s v="Wynnewood Refinery"/>
        <s v="Toledo Refinery (PBF)"/>
        <s v="Robinson Refinery"/>
        <s v="Memphis Refinery"/>
        <s v="Sweeny Refinery"/>
        <s v="Smackover Refinery"/>
        <s v="Pascagoula Refinery"/>
        <s v="Pasadena Refinery"/>
        <s v="Alvin Chocolate Bayou Olefins"/>
        <s v="Salt Lake City Refinery (Chevron)"/>
        <s v="Bakersfield Refinery (Kern Oil)"/>
        <s v="Puget Sound Refinery"/>
        <s v="Toledo Refinery "/>
        <s v="Mount Vernon Refinery"/>
        <s v="Mandan Refinery"/>
        <s v="Lemont"/>
        <s v="Joliet Refinery"/>
        <s v="Dow Sabine River Works"/>
        <s v="Bill Greehey Refinery-East"/>
        <s v="Woods Cross Refinery (HF Sinclair)"/>
        <s v="Cherry Point Refinery"/>
        <s v="El Segundo Refinery"/>
        <s v="Martinez Refinery (PBF)"/>
        <s v="Valdez Refinery"/>
        <s v="Corpus Christi Refinery - West (CITGO)"/>
        <s v="Buckeye Texas Processing EF90 Corpus Christi Facility (BTP)"/>
        <s v="Evanston Refinery (Silver Eagle)"/>
        <s v="North Pole Refinery (Petro Star)"/>
        <s v="Richmond Refinery"/>
        <s v="Smethport Waxes"/>
        <s v="McKee Refinery"/>
        <s v="Lake Charles Olefins"/>
        <s v="Tuscaloosa Refinery"/>
        <s v="Pine Bend Refinery"/>
        <s v="Longview Chemical"/>
        <s v="PAR Montana Billings Refinery"/>
        <s v="Trainer Refinery"/>
        <s v="Whiting Refinery"/>
        <s v="Tulsa East Refinery (Fuels) (East)"/>
        <s v="Lima Refinery"/>
        <s v="El Dorado Refinery (HF Sinclair)"/>
        <s v="Detroit Refinery"/>
        <s v="Sulphur Petrochemicals"/>
        <s v="Princeton Refinery"/>
        <s v="Meraux Refinery"/>
        <s v="Port Arthur Olefins and Aromatics"/>
        <s v="Norco Refinery"/>
        <s v="Lake Charles Refinery (Phillips 66)"/>
        <s v="Sinclair Refinery"/>
        <s v="Mobile Refinery (Vertex)"/>
        <s v="Lake Charles Refinery (Calcasieu)"/>
        <s v="Krotz Springs Refinery"/>
        <s v="Deer Park Petrochemical"/>
        <s v="Benicia Refinery"/>
        <s v="Corpus Christi Refinery - West (Flint Hills)"/>
        <s v="Three Rivers Refinery"/>
        <s v="Corpus Christi Refinery - East (CITGO)"/>
        <s v="Sandersville Refinery"/>
        <s v="Anacortes Refinery"/>
        <s v="Bakersfield Refinery (San Joaquin)"/>
        <s v="Torrance Refinery"/>
        <s v="Bradford Refinery"/>
        <s v="Congo Refinery"/>
        <s v="Ardmore Refinery"/>
        <s v="McPherson Refinery"/>
        <s v="Wood River Refinery"/>
        <s v="Toledo Refinery (Cenovus)"/>
        <s v="Houston Fractionation Refinery"/>
        <s v="San Antonio Refinery"/>
        <s v="Los Angeles Refinery â€“ Carson (Marathon)"/>
        <s v="Los Angeles Refinery â€“ Wilmington (Marathon)"/>
        <s v="Lemont Refinery"/>
        <s v="Sweeny Old Ocean Ethylene"/>
        <s v="Great Falls Refinery"/>
        <s v="Par East Refinery"/>
        <s v="Galveston Bunkers"/>
        <s v="Canton Refinery"/>
        <s v="Catlettsburg Refinery 1 - South"/>
        <s v="Port Arthur"/>
        <s v="Port Arthur Refinery (TotalEnergies)"/>
        <s v="Vicksburg Refinery"/>
        <s v="Los Angeles Refinery â€“ Carson (P66)"/>
        <s v="Eagle Springs Refinery"/>
        <s v="Tacoma Refinery"/>
        <s v="VALERO - MEMPHIS"/>
        <s v="Valero Corpus Christi West - Bill Greehey Refinery - West"/>
        <s v="MARATHON - GARYVILLE"/>
        <s v="MARATHON PETROLEUM - TEXAS CITY (GALVESTON BAY)"/>
        <s v="HOUSTON REFINERY (VALERO)"/>
        <s v="VALERO - THREE RIVERS"/>
        <s v="EXXON - BATON ROUGE"/>
        <s v="EXXONMOBIL - BAYTOWN"/>
        <s v="EL DORADO REFINERY (DELEK)"/>
        <s v="BIG SPRINGS - ALON"/>
        <s v="EXXONMOBIL - BEAUMONT"/>
        <s v="PORT ALLEN REFINERY"/>
        <s v="LITTLE AMERICA REFINING COMPANY - CASPER"/>
        <s v="PAR PETROLEUM - NEWCASTLE"/>
        <s v="SUNCOR - DENVER"/>
        <s v="WYOMING REFINING - EVANSTON"/>
        <s v="LOS ANGELES REFINERY - WILMINGTON (MARATHON)"/>
        <s v="LOS ANGELES REFINERY - CARSON (MARATHON)"/>
        <s v="Par Pacific Tacoma"/>
        <s v="MARATHON PETROLEUM - ANACORTES"/>
        <s v="PETRO STAR INC. - Valdez"/>
        <s v="PETRO STAR INC. - NORTH POLE"/>
        <m/>
      </sharedItems>
    </cacheField>
    <cacheField name="Unit" numFmtId="0">
      <sharedItems containsBlank="1" count="16">
        <s v="Reformer"/>
        <s v="HDS"/>
        <s v="CDU"/>
        <s v="CCU"/>
        <s v="Alky"/>
        <s v="HDC"/>
        <s v="Coker"/>
        <s v="Steam Cracker"/>
        <s v="VDU"/>
        <s v="Isom"/>
        <s v="Other"/>
        <s v="LPG"/>
        <s v="FCC"/>
        <s v="REF"/>
        <s v="Naphtha Hydrotreater (Reformer Feed)"/>
        <m/>
      </sharedItems>
    </cacheField>
    <cacheField name="Date*" numFmtId="14">
      <sharedItems containsNonDate="0" containsDate="1" containsString="0" containsBlank="1" minDate="2024-01-01T00:00:00" maxDate="2026-12-02T00:00:00" count="37"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  <d v="2026-04-01T00:00:00"/>
        <d v="2026-02-01T00:00:00"/>
        <d v="2026-03-01T00:00:00"/>
        <d v="2026-05-01T00:00:00"/>
        <d v="2026-09-01T00:00:00"/>
        <d v="2026-10-01T00:00:00"/>
        <d v="2026-11-01T00:00:00"/>
        <d v="2026-01-01T00:00:00"/>
        <d v="2026-06-01T00:00:00"/>
        <d v="2026-07-01T00:00:00"/>
        <d v="2026-08-01T00:00:00"/>
        <d v="2026-12-01T00:00:00"/>
        <m/>
      </sharedItems>
      <fieldGroup par="14"/>
    </cacheField>
    <cacheField name="End Date Year" numFmtId="0">
      <sharedItems containsString="0" containsBlank="1" containsNumber="1" containsInteger="1" minValue="2024" maxValue="2026"/>
    </cacheField>
    <cacheField name="% Offline (5 Year Historical Outage Table)" numFmtId="0">
      <sharedItems containsString="0" containsBlank="1" containsNumber="1" minValue="0" maxValue="3"/>
    </cacheField>
    <cacheField name="Total Unit Capacity Offline" numFmtId="0">
      <sharedItems containsDate="1" containsString="0" containsBlank="1" containsMixedTypes="1" minDate="1899-12-31T00:00:00" maxDate="1899-12-31T04:01:03"/>
    </cacheField>
    <cacheField name="Gasoline Production Offline (KBD)" numFmtId="0">
      <sharedItems containsString="0" containsBlank="1" containsNumber="1" minValue="0" maxValue="79.258064516129039"/>
    </cacheField>
    <cacheField name="Comments" numFmtId="0">
      <sharedItems containsBlank="1" containsMixedTypes="1" containsNumber="1" containsInteger="1" minValue="0" maxValue="0"/>
    </cacheField>
    <cacheField name="Months (Date*)" numFmtId="0" databaseField="0">
      <fieldGroup base="6">
        <rangePr groupBy="months" startDate="2024-01-01T00:00:00" endDate="2026-12-02T00:00:00"/>
        <groupItems count="14">
          <s v="&lt;1/1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2/2026"/>
        </groupItems>
      </fieldGroup>
    </cacheField>
    <cacheField name="Quarters (Date*)" numFmtId="0" databaseField="0">
      <fieldGroup base="6">
        <rangePr groupBy="quarters" startDate="2024-01-01T00:00:00" endDate="2026-12-02T00:00:00"/>
        <groupItems count="6">
          <s v="&lt;1/1/2024"/>
          <s v="Qtr1"/>
          <s v="Qtr2"/>
          <s v="Qtr3"/>
          <s v="Qtr4"/>
          <s v="&gt;12/2/2026"/>
        </groupItems>
      </fieldGroup>
    </cacheField>
    <cacheField name="Years (Date*)" numFmtId="0" databaseField="0">
      <fieldGroup base="6">
        <rangePr groupBy="years" startDate="2024-01-01T00:00:00" endDate="2026-12-02T00:00:00"/>
        <groupItems count="5">
          <s v="&lt;1/1/2024"/>
          <s v="2024"/>
          <s v="2025"/>
          <s v="2026"/>
          <s v="&gt;12/2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43">
  <r>
    <x v="0"/>
    <s v="NA"/>
    <s v="U.S.A."/>
    <s v="Marathon Petroleum Corporation"/>
    <x v="0"/>
    <x v="0"/>
    <x v="0"/>
    <n v="2024"/>
    <n v="1"/>
    <m/>
    <n v="4.661290322580645"/>
    <s v="TA 1/14-2/10"/>
  </r>
  <r>
    <x v="0"/>
    <s v="NA"/>
    <s v="U.S.A."/>
    <s v="Marathon Petroleum Corporation"/>
    <x v="0"/>
    <x v="1"/>
    <x v="0"/>
    <n v="2024"/>
    <n v="1"/>
    <m/>
    <n v="0"/>
    <s v="TA 1/14-2/10"/>
  </r>
  <r>
    <x v="0"/>
    <s v="NA"/>
    <s v="U.S.A."/>
    <s v="Marathon Petroleum Corporation"/>
    <x v="0"/>
    <x v="2"/>
    <x v="0"/>
    <n v="2024"/>
    <n v="1"/>
    <m/>
    <n v="3.6741935483870969"/>
    <s v="TA 1/14-2/10"/>
  </r>
  <r>
    <x v="0"/>
    <s v="NA"/>
    <s v="U.S.A."/>
    <s v="Marathon Petroleum Corporation"/>
    <x v="0"/>
    <x v="3"/>
    <x v="0"/>
    <n v="2024"/>
    <n v="1"/>
    <m/>
    <n v="16.04032258064516"/>
    <s v="TA 1/14-2/10"/>
  </r>
  <r>
    <x v="0"/>
    <s v="NA"/>
    <s v="U.S.A."/>
    <s v="Marathon Petroleum Corporation"/>
    <x v="0"/>
    <x v="4"/>
    <x v="0"/>
    <n v="2024"/>
    <n v="1"/>
    <m/>
    <n v="6.580645161290323"/>
    <s v="TA 1/14-2/10"/>
  </r>
  <r>
    <x v="0"/>
    <s v="NA"/>
    <s v="U.S.A."/>
    <s v="Valero Refining Company"/>
    <x v="1"/>
    <x v="3"/>
    <x v="0"/>
    <n v="2024"/>
    <n v="1"/>
    <m/>
    <n v="16.890322580645162"/>
    <s v="Updated timing from 1/5-3/16 to 1/20-2/23 on 12/21/23"/>
  </r>
  <r>
    <x v="0"/>
    <s v="NA"/>
    <s v="U.S.A."/>
    <s v="Valero Refining Company"/>
    <x v="1"/>
    <x v="4"/>
    <x v="0"/>
    <n v="2024"/>
    <n v="1"/>
    <m/>
    <n v="4.258064516129032"/>
    <s v="Updated timing from 1/5-3/16 to 1/20-2/23 on 12/21/23"/>
  </r>
  <r>
    <x v="0"/>
    <s v="NA"/>
    <s v="U.S.A."/>
    <s v="Valero Refining Company"/>
    <x v="2"/>
    <x v="5"/>
    <x v="0"/>
    <n v="2024"/>
    <n v="1"/>
    <m/>
    <n v="0.67741935483870963"/>
    <s v="Moved from Feb/Mar to Jan for 30 days. 1/24-2/23"/>
  </r>
  <r>
    <x v="0"/>
    <s v="NA"/>
    <s v="U.S.A."/>
    <s v="Valero Refining Company"/>
    <x v="2"/>
    <x v="6"/>
    <x v="0"/>
    <n v="2024"/>
    <n v="1"/>
    <m/>
    <n v="2.7096774193548385"/>
    <s v="Moved from Feb/Mar to Jan for 30 days. 1/24-2/23"/>
  </r>
  <r>
    <x v="0"/>
    <s v="NA"/>
    <s v="U.S.A."/>
    <s v="Valero Refining Company"/>
    <x v="2"/>
    <x v="2"/>
    <x v="0"/>
    <n v="2024"/>
    <n v="1"/>
    <m/>
    <n v="11.29032258064516"/>
    <s v="Moved from Feb/Mar to Jan for 30 days. 1/24-2/23"/>
  </r>
  <r>
    <x v="0"/>
    <s v="NA"/>
    <s v="U.S.A."/>
    <s v="Valero Refining Company"/>
    <x v="3"/>
    <x v="0"/>
    <x v="0"/>
    <n v="2024"/>
    <n v="1"/>
    <m/>
    <n v="21.93548387096774"/>
    <s v="Major Turnaround. Jan 15 - Mar 10"/>
  </r>
  <r>
    <x v="0"/>
    <s v="NA"/>
    <s v="U.S.A."/>
    <s v="Valero Refining Company"/>
    <x v="3"/>
    <x v="5"/>
    <x v="0"/>
    <n v="2024"/>
    <n v="1"/>
    <m/>
    <n v="2.064516129032258"/>
    <s v="HDC was added to TA 1/15-2/19, and resume to full rates in Mar"/>
  </r>
  <r>
    <x v="0"/>
    <s v="NA"/>
    <s v="U.S.A."/>
    <s v="Valero Refining Company"/>
    <x v="3"/>
    <x v="6"/>
    <x v="0"/>
    <n v="2024"/>
    <n v="1"/>
    <m/>
    <n v="5.161290322580645"/>
    <s v="Major Turnaround. Jan 15 - Mar 10"/>
  </r>
  <r>
    <x v="0"/>
    <s v="NA"/>
    <s v="U.S.A."/>
    <s v="Valero Refining Company"/>
    <x v="3"/>
    <x v="2"/>
    <x v="0"/>
    <n v="2024"/>
    <n v="1"/>
    <m/>
    <n v="10.838709677419354"/>
    <s v="Major Turnaround. Jan 15 - Mar 10"/>
  </r>
  <r>
    <x v="0"/>
    <s v="NA"/>
    <s v="U.S.A."/>
    <s v="Motiva Enterprises LLC"/>
    <x v="4"/>
    <x v="6"/>
    <x v="0"/>
    <n v="2024"/>
    <n v="1"/>
    <m/>
    <n v="24.483870967741936"/>
    <s v="TA that pulled up from Oct to Jan&amp; mid Feb 1/8 - 2/11"/>
  </r>
  <r>
    <x v="0"/>
    <s v="NA"/>
    <s v="U.S.A."/>
    <s v="Motiva Enterprises LLC"/>
    <x v="4"/>
    <x v="2"/>
    <x v="0"/>
    <n v="2024"/>
    <n v="1"/>
    <m/>
    <n v="62.137096774193552"/>
    <s v="TA that pulled up from Oct to Jan&amp; mid Feb 1/8 - 2/11"/>
  </r>
  <r>
    <x v="0"/>
    <s v="NA"/>
    <s v="U.S.A."/>
    <s v="Motiva Enterprises LLC"/>
    <x v="4"/>
    <x v="1"/>
    <x v="0"/>
    <n v="2024"/>
    <n v="1"/>
    <m/>
    <n v="0"/>
    <s v="Moved to 2025 with FCC and Alky"/>
  </r>
  <r>
    <x v="0"/>
    <s v="NA"/>
    <s v="U.S.A."/>
    <s v="CITGO Petroleum Corporation"/>
    <x v="5"/>
    <x v="0"/>
    <x v="0"/>
    <n v="2024"/>
    <n v="1"/>
    <m/>
    <n v="5.9225806451612906"/>
    <s v="Planned TAR moved up from March to Jan. Reformer A 1/19-2/4"/>
  </r>
  <r>
    <x v="0"/>
    <s v="NA"/>
    <s v="U.S.A."/>
    <s v="CITGO Petroleum Corporation"/>
    <x v="5"/>
    <x v="2"/>
    <x v="0"/>
    <n v="2024"/>
    <n v="1"/>
    <m/>
    <n v="2.903225806451613"/>
    <s v="Planned maintenance Moved to Jan from Mar (1/19-2/18). Topper C sour/sweet"/>
  </r>
  <r>
    <x v="0"/>
    <s v="NA"/>
    <s v="U.S.A."/>
    <s v="CITGO Petroleum Corporation"/>
    <x v="5"/>
    <x v="3"/>
    <x v="0"/>
    <n v="2024"/>
    <n v="1"/>
    <m/>
    <n v="12.580645161290322"/>
    <s v="Planned maintenance Moved to Jan from Mar (1/19-3/17)"/>
  </r>
  <r>
    <x v="0"/>
    <s v="NA"/>
    <s v="U.S.A."/>
    <s v="HEP Javelina Company LLC"/>
    <x v="6"/>
    <x v="7"/>
    <x v="0"/>
    <n v="2024"/>
    <n v="1"/>
    <m/>
    <n v="0"/>
    <n v="0"/>
  </r>
  <r>
    <x v="0"/>
    <s v="NA"/>
    <s v="U.S.A."/>
    <s v="NOVA Chemicals Corporation"/>
    <x v="7"/>
    <x v="7"/>
    <x v="0"/>
    <n v="2024"/>
    <n v="1"/>
    <m/>
    <n v="0"/>
    <n v="0"/>
  </r>
  <r>
    <x v="0"/>
    <s v="NA"/>
    <s v="U.S.A."/>
    <s v="Marathon Petroleum Corporation"/>
    <x v="8"/>
    <x v="2"/>
    <x v="0"/>
    <n v="2024"/>
    <n v="1"/>
    <m/>
    <n v="21.29032258064516"/>
    <s v="Estimated start Jan 19 to Mar 3"/>
  </r>
  <r>
    <x v="0"/>
    <s v="NA"/>
    <s v="U.S.A."/>
    <s v="Marathon Petroleum Corporation"/>
    <x v="8"/>
    <x v="5"/>
    <x v="0"/>
    <n v="2024"/>
    <n v="1"/>
    <m/>
    <n v="2.2064516129032259"/>
    <s v="Estimated start Jan 19 to Mar 3"/>
  </r>
  <r>
    <x v="0"/>
    <s v="NA"/>
    <s v="U.S.A."/>
    <s v="Marathon Petroleum Corporation"/>
    <x v="8"/>
    <x v="6"/>
    <x v="0"/>
    <n v="2024"/>
    <n v="1"/>
    <m/>
    <n v="1.3548387096774193"/>
    <s v="Estimated start Jan 19 to Mar 3"/>
  </r>
  <r>
    <x v="0"/>
    <s v="NA"/>
    <s v="U.S.A."/>
    <s v="Flint Hills Resources LLC"/>
    <x v="9"/>
    <x v="1"/>
    <x v="0"/>
    <n v="2024"/>
    <n v="1"/>
    <m/>
    <n v="0"/>
    <s v="Maintenance moved from September, 2023 to September, 2024. Then moved to Jan 2024"/>
  </r>
  <r>
    <x v="0"/>
    <s v="NA"/>
    <s v="U.S.A."/>
    <s v="Flint Hills Resources LLC"/>
    <x v="9"/>
    <x v="5"/>
    <x v="0"/>
    <n v="2024"/>
    <n v="1"/>
    <m/>
    <n v="0.9"/>
    <s v="Maintenance moved from September, 2023 to September, 2024. Then moved to Jan 2024 (1/5/24 - 2/9/2024)"/>
  </r>
  <r>
    <x v="0"/>
    <s v="NA"/>
    <s v="U.S.A."/>
    <s v="Flint Hills Resources LLC"/>
    <x v="9"/>
    <x v="2"/>
    <x v="0"/>
    <n v="2024"/>
    <n v="1"/>
    <m/>
    <n v="14.048387096774194"/>
    <s v="Maintenance moved from September, 2023 to September, 2024. Then moved to Jan 2024 "/>
  </r>
  <r>
    <x v="0"/>
    <s v="NA"/>
    <s v="U.S.A."/>
    <s v="Flint Hills Resources LLC"/>
    <x v="9"/>
    <x v="3"/>
    <x v="0"/>
    <n v="2024"/>
    <n v="1"/>
    <m/>
    <n v="27.258064516129036"/>
    <s v="Maintenance moved from September, 2023 to September, 2024. Then moved to Jan 2024"/>
  </r>
  <r>
    <x v="0"/>
    <s v="NA"/>
    <s v="U.S.A."/>
    <s v="Chalmette Refining LLC"/>
    <x v="10"/>
    <x v="2"/>
    <x v="0"/>
    <n v="2024"/>
    <n v="1"/>
    <m/>
    <n v="12.701612903225806"/>
    <s v="Confirmation of 105kbd Crude unit dopwn mid Jan for 28 days"/>
  </r>
  <r>
    <x v="0"/>
    <s v="NA"/>
    <s v="U.S.A."/>
    <s v="ExxonMobil Corporation"/>
    <x v="11"/>
    <x v="0"/>
    <x v="0"/>
    <n v="2024"/>
    <n v="1"/>
    <m/>
    <n v="28.516129032258064"/>
    <s v="Ta 1/15 - 3/7 includes reformer, naphtha hydrotreater and LE distillation"/>
  </r>
  <r>
    <x v="0"/>
    <s v="NA"/>
    <s v="U.S.A."/>
    <s v="ExxonMobil Corporation"/>
    <x v="12"/>
    <x v="2"/>
    <x v="0"/>
    <n v="2024"/>
    <n v="0"/>
    <m/>
    <n v="0"/>
    <s v="Morgan-Email"/>
  </r>
  <r>
    <x v="0"/>
    <s v="NA"/>
    <s v="U.S.A."/>
    <s v="ExxonMobil Corporation"/>
    <x v="12"/>
    <x v="3"/>
    <x v="0"/>
    <n v="2024"/>
    <n v="1"/>
    <m/>
    <n v="20.032258064516128"/>
    <s v="Confirmed 1/22-2/24"/>
  </r>
  <r>
    <x v="0"/>
    <s v="NA"/>
    <s v="U.S.A."/>
    <s v="ExxonMobil Chemical Company"/>
    <x v="13"/>
    <x v="7"/>
    <x v="0"/>
    <n v="2024"/>
    <n v="1"/>
    <m/>
    <n v="0"/>
    <s v="Confirmed this event will be performed in tandem with the Baton Rouge Refinery 1Q24 event."/>
  </r>
  <r>
    <x v="1"/>
    <s v="NA"/>
    <s v="U.S.A."/>
    <s v="Marathon Petroleum Corporation"/>
    <x v="14"/>
    <x v="5"/>
    <x v="0"/>
    <n v="2024"/>
    <n v="1"/>
    <m/>
    <n v="1.3177419354838711"/>
    <s v="TA had been delayed to 2025, now reporting 1/12-2/10 for 160kb Crude 1 and 40kb Crude 4, 43kb Hydrocracker, 22kb Diesel Hydrotreater "/>
  </r>
  <r>
    <x v="1"/>
    <s v="NA"/>
    <s v="U.S.A."/>
    <s v="Marathon Petroleum Corporation"/>
    <x v="14"/>
    <x v="2"/>
    <x v="0"/>
    <n v="2024"/>
    <n v="1"/>
    <m/>
    <n v="31.870967741935484"/>
    <s v="TA had been delayed to 2025, now reporting 1/12-2/10 for 160kb Crude 1 and 40kb Crude 4, 43kb Hydrocracker, 22kb Diesel Hydrotreater "/>
  </r>
  <r>
    <x v="1"/>
    <s v="NA"/>
    <s v="U.S.A."/>
    <s v="Valero Refining Company"/>
    <x v="15"/>
    <x v="1"/>
    <x v="0"/>
    <n v="2024"/>
    <n v="1"/>
    <m/>
    <n v="0"/>
    <s v="*"/>
  </r>
  <r>
    <x v="2"/>
    <s v="NA"/>
    <s v="U.S.A."/>
    <s v="Paulsboro Refining Company"/>
    <x v="16"/>
    <x v="2"/>
    <x v="1"/>
    <n v="2024"/>
    <n v="1"/>
    <n v="110"/>
    <n v="0"/>
    <s v="Moved from 2/1 start to 4/1-5/23"/>
  </r>
  <r>
    <x v="2"/>
    <s v="NA"/>
    <s v="U.S.A."/>
    <s v="Phillips 66"/>
    <x v="17"/>
    <x v="2"/>
    <x v="1"/>
    <n v="2025"/>
    <n v="1"/>
    <m/>
    <n v="0"/>
    <s v="Confirmed Event for Fall 2024. Exact date and duration unknown. Moved from Sep '24: 9/13-11/2 to Feb '25: 2/7-3/29"/>
  </r>
  <r>
    <x v="3"/>
    <s v="NA"/>
    <s v="U.S.A."/>
    <s v="Phillips 66"/>
    <x v="18"/>
    <x v="0"/>
    <x v="1"/>
    <n v="2024"/>
    <n v="1"/>
    <m/>
    <n v="13.6"/>
    <s v="Scheduled for Feb 2024"/>
  </r>
  <r>
    <x v="3"/>
    <s v="NA"/>
    <s v="U.S.A."/>
    <s v="Phillips 66"/>
    <x v="18"/>
    <x v="1"/>
    <x v="1"/>
    <n v="2024"/>
    <n v="1"/>
    <m/>
    <n v="0"/>
    <s v="Scheduled for Feb 2024"/>
  </r>
  <r>
    <x v="3"/>
    <s v="NA"/>
    <s v="U.S.A."/>
    <s v="Coffeyville Resources Refining &amp; Marketing LLC"/>
    <x v="19"/>
    <x v="8"/>
    <x v="1"/>
    <n v="2024"/>
    <n v="1"/>
    <m/>
    <n v="0"/>
    <n v="0"/>
  </r>
  <r>
    <x v="3"/>
    <s v="NA"/>
    <s v="U.S.A."/>
    <s v="Coffeyville Resources Refining &amp; Marketing LLC"/>
    <x v="19"/>
    <x v="0"/>
    <x v="1"/>
    <n v="2024"/>
    <n v="1"/>
    <m/>
    <n v="0"/>
    <n v="0"/>
  </r>
  <r>
    <x v="3"/>
    <s v="NA"/>
    <s v="U.S.A."/>
    <s v="Coffeyville Resources Refining &amp; Marketing LLC"/>
    <x v="19"/>
    <x v="9"/>
    <x v="1"/>
    <n v="2024"/>
    <n v="1"/>
    <m/>
    <n v="0"/>
    <n v="0"/>
  </r>
  <r>
    <x v="3"/>
    <s v="NA"/>
    <s v="U.S.A."/>
    <s v="Coffeyville Resources Refining &amp; Marketing LLC"/>
    <x v="19"/>
    <x v="1"/>
    <x v="1"/>
    <n v="2024"/>
    <n v="1"/>
    <m/>
    <n v="0"/>
    <n v="0"/>
  </r>
  <r>
    <x v="3"/>
    <s v="NA"/>
    <s v="U.S.A."/>
    <s v="Coffeyville Resources Refining &amp; Marketing LLC"/>
    <x v="19"/>
    <x v="6"/>
    <x v="1"/>
    <n v="2024"/>
    <n v="1"/>
    <m/>
    <n v="0"/>
    <n v="0"/>
  </r>
  <r>
    <x v="3"/>
    <s v="NA"/>
    <s v="U.S.A."/>
    <s v="Coffeyville Resources Refining &amp; Marketing LLC"/>
    <x v="19"/>
    <x v="2"/>
    <x v="1"/>
    <n v="2024"/>
    <n v="1"/>
    <m/>
    <n v="0"/>
    <n v="0"/>
  </r>
  <r>
    <x v="3"/>
    <s v="NA"/>
    <s v="U.S.A."/>
    <s v="Coffeyville Resources Refining &amp; Marketing LLC"/>
    <x v="19"/>
    <x v="3"/>
    <x v="1"/>
    <n v="2024"/>
    <n v="1"/>
    <m/>
    <n v="0"/>
    <n v="0"/>
  </r>
  <r>
    <x v="3"/>
    <s v="NA"/>
    <s v="U.S.A."/>
    <s v="Coffeyville Resources Refining &amp; Marketing LLC"/>
    <x v="19"/>
    <x v="4"/>
    <x v="1"/>
    <n v="2024"/>
    <n v="1"/>
    <m/>
    <n v="0"/>
    <n v="0"/>
  </r>
  <r>
    <x v="0"/>
    <s v="NA"/>
    <s v="U.S.A."/>
    <s v="Marathon Petroleum Corporation"/>
    <x v="0"/>
    <x v="0"/>
    <x v="1"/>
    <n v="2024"/>
    <n v="1"/>
    <m/>
    <n v="8.5"/>
    <s v="TA 1/14-2/10. SU delayed until mid march"/>
  </r>
  <r>
    <x v="0"/>
    <s v="NA"/>
    <s v="U.S.A."/>
    <s v="Marathon Petroleum Corporation"/>
    <x v="0"/>
    <x v="1"/>
    <x v="1"/>
    <n v="2024"/>
    <n v="1"/>
    <m/>
    <n v="0"/>
    <s v="TA 1/14-2/10. SU delayed until mid march"/>
  </r>
  <r>
    <x v="0"/>
    <s v="NA"/>
    <s v="U.S.A."/>
    <s v="Marathon Petroleum Corporation"/>
    <x v="0"/>
    <x v="2"/>
    <x v="1"/>
    <n v="2024"/>
    <n v="1"/>
    <m/>
    <n v="6.7"/>
    <s v="TA 1/14-2/10. SU delayed until mid march"/>
  </r>
  <r>
    <x v="0"/>
    <s v="NA"/>
    <s v="U.S.A."/>
    <s v="Marathon Petroleum Corporation"/>
    <x v="0"/>
    <x v="3"/>
    <x v="1"/>
    <n v="2024"/>
    <n v="1"/>
    <m/>
    <n v="29.25"/>
    <s v="TA 1/14-2/10. SU delayed until mid march"/>
  </r>
  <r>
    <x v="0"/>
    <s v="NA"/>
    <s v="U.S.A."/>
    <s v="Marathon Petroleum Corporation"/>
    <x v="0"/>
    <x v="4"/>
    <x v="1"/>
    <n v="2024"/>
    <n v="1"/>
    <m/>
    <n v="12"/>
    <s v="TA 1/14-2/10. SU delayed until mid march"/>
  </r>
  <r>
    <x v="0"/>
    <s v="NA"/>
    <s v="U.S.A."/>
    <s v="Valero Refining Company"/>
    <x v="1"/>
    <x v="3"/>
    <x v="1"/>
    <n v="2024"/>
    <n v="1"/>
    <m/>
    <n v="37.751724137931035"/>
    <s v="Updated timing from 1/5-3/16 to 1/20-2/23 on 12/21/23"/>
  </r>
  <r>
    <x v="0"/>
    <s v="NA"/>
    <s v="U.S.A."/>
    <s v="Valero Refining Company"/>
    <x v="1"/>
    <x v="4"/>
    <x v="1"/>
    <n v="2024"/>
    <n v="1"/>
    <m/>
    <n v="9.5172413793103452"/>
    <s v="Updated timing from 1/5-3/16 to 1/20-2/23 on 12/21/23"/>
  </r>
  <r>
    <x v="0"/>
    <s v="NA"/>
    <s v="U.S.A."/>
    <s v="Valero Refining Company"/>
    <x v="2"/>
    <x v="5"/>
    <x v="1"/>
    <n v="2024"/>
    <n v="1"/>
    <m/>
    <n v="2.3793103448275863"/>
    <s v="Moved from Feb/Mar to Jan for 30 days. 1/24-2/23"/>
  </r>
  <r>
    <x v="0"/>
    <s v="NA"/>
    <s v="U.S.A."/>
    <s v="Valero Refining Company"/>
    <x v="2"/>
    <x v="6"/>
    <x v="1"/>
    <n v="2024"/>
    <n v="1"/>
    <m/>
    <n v="9.5172413793103452"/>
    <s v="Moved from Feb/Mar to Jan for 30 days. 1/24-2/23"/>
  </r>
  <r>
    <x v="0"/>
    <s v="NA"/>
    <s v="U.S.A."/>
    <s v="Valero Refining Company"/>
    <x v="2"/>
    <x v="2"/>
    <x v="1"/>
    <n v="2024"/>
    <n v="1"/>
    <m/>
    <n v="39.655172413793103"/>
    <s v="Moved from Feb/Mar to Jan for 30 days. 1/24-2/23"/>
  </r>
  <r>
    <x v="0"/>
    <s v="NA"/>
    <s v="U.S.A."/>
    <s v="Valero Refining Company"/>
    <x v="3"/>
    <x v="0"/>
    <x v="1"/>
    <n v="2024"/>
    <n v="1"/>
    <m/>
    <n v="42.5"/>
    <s v="Major Turnaround. Jan 15 - Mar 10"/>
  </r>
  <r>
    <x v="0"/>
    <s v="NA"/>
    <s v="U.S.A."/>
    <s v="Valero Refining Company"/>
    <x v="3"/>
    <x v="5"/>
    <x v="1"/>
    <n v="2024"/>
    <n v="1"/>
    <m/>
    <n v="2.6206896551724137"/>
    <s v="HDC was added to TA 1/15-2/19, and resume to full rates in Mar"/>
  </r>
  <r>
    <x v="0"/>
    <s v="NA"/>
    <s v="U.S.A."/>
    <s v="Valero Refining Company"/>
    <x v="3"/>
    <x v="6"/>
    <x v="1"/>
    <n v="2024"/>
    <n v="1"/>
    <m/>
    <n v="22"/>
    <s v="Major Turnaround. Jan 15 - Mar 10"/>
  </r>
  <r>
    <x v="0"/>
    <s v="NA"/>
    <s v="U.S.A."/>
    <s v="Valero Refining Company"/>
    <x v="3"/>
    <x v="2"/>
    <x v="1"/>
    <n v="2024"/>
    <n v="1"/>
    <m/>
    <n v="21"/>
    <s v="Major Turnaround. Jan 15 - Mar 10"/>
  </r>
  <r>
    <x v="0"/>
    <s v="NA"/>
    <s v="U.S.A."/>
    <s v="Motiva Enterprises LLC"/>
    <x v="4"/>
    <x v="6"/>
    <x v="1"/>
    <n v="2024"/>
    <n v="1"/>
    <m/>
    <n v="12.517241379310345"/>
    <s v="TA that pulled up from Oct to Jan&amp; mid Feb 1/8 - 2/11"/>
  </r>
  <r>
    <x v="0"/>
    <s v="NA"/>
    <s v="U.S.A."/>
    <s v="Motiva Enterprises LLC"/>
    <x v="4"/>
    <x v="2"/>
    <x v="1"/>
    <n v="2024"/>
    <n v="1"/>
    <m/>
    <n v="31.767241379310345"/>
    <s v="TA that pulled up from Oct to Jan&amp; mid Feb 1/8 - 2/11"/>
  </r>
  <r>
    <x v="0"/>
    <s v="NA"/>
    <s v="U.S.A."/>
    <s v="Motiva Enterprises LLC"/>
    <x v="4"/>
    <x v="1"/>
    <x v="1"/>
    <n v="2024"/>
    <n v="1"/>
    <m/>
    <n v="0"/>
    <s v="Moved to 2025 with FCC and Alky"/>
  </r>
  <r>
    <x v="0"/>
    <s v="NA"/>
    <s v="U.S.A."/>
    <s v="CITGO Petroleum Corporation"/>
    <x v="5"/>
    <x v="0"/>
    <x v="1"/>
    <n v="2024"/>
    <n v="1"/>
    <m/>
    <n v="1.9741935483870967"/>
    <s v="Planned TAR moved up from March to Jan. Reformer A"/>
  </r>
  <r>
    <x v="0"/>
    <s v="NA"/>
    <s v="U.S.A."/>
    <s v="CITGO Petroleum Corporation"/>
    <x v="5"/>
    <x v="2"/>
    <x v="1"/>
    <n v="2024"/>
    <n v="1"/>
    <m/>
    <n v="4.8413793103448279"/>
    <s v="Planned maintenance moved (2/16-3/17)"/>
  </r>
  <r>
    <x v="0"/>
    <s v="NA"/>
    <s v="U.S.A."/>
    <s v="CITGO Petroleum Corporation"/>
    <x v="5"/>
    <x v="3"/>
    <x v="1"/>
    <n v="2024"/>
    <n v="1"/>
    <m/>
    <n v="32.5"/>
    <s v="Planned maintenance Moved to Jan from Mar (1/19-3/17)"/>
  </r>
  <r>
    <x v="0"/>
    <s v="NA"/>
    <s v="U.S.A."/>
    <s v="CITGO Petroleum Corporation"/>
    <x v="5"/>
    <x v="0"/>
    <x v="1"/>
    <n v="2024"/>
    <n v="1"/>
    <m/>
    <n v="15.827586206896552"/>
    <s v="Planned TAR moved up from March to Jan. Reformer B 2/5-2/18"/>
  </r>
  <r>
    <x v="0"/>
    <s v="NA"/>
    <s v="U.S.A."/>
    <s v="CITGO Petroleum Corporation"/>
    <x v="5"/>
    <x v="2"/>
    <x v="1"/>
    <n v="2024"/>
    <n v="1"/>
    <m/>
    <n v="4.6551724137931032"/>
    <s v="Planned maintenance Moved to Jan from Mar (1/19-2/18). Topper C sour/sweet"/>
  </r>
  <r>
    <x v="0"/>
    <s v="NA"/>
    <s v="U.S.A."/>
    <s v="Houston Refining LP"/>
    <x v="20"/>
    <x v="6"/>
    <x v="1"/>
    <n v="2024"/>
    <n v="1"/>
    <m/>
    <n v="5.88"/>
    <s v="Planned maintenance."/>
  </r>
  <r>
    <x v="0"/>
    <s v="NA"/>
    <s v="U.S.A."/>
    <s v="Houston Refining LP"/>
    <x v="20"/>
    <x v="2"/>
    <x v="1"/>
    <n v="2024"/>
    <n v="1"/>
    <m/>
    <n v="17.5"/>
    <s v="Planned maintenance."/>
  </r>
  <r>
    <x v="0"/>
    <s v="NA"/>
    <s v="U.S.A."/>
    <s v="NOVA Chemicals Corporation"/>
    <x v="7"/>
    <x v="7"/>
    <x v="1"/>
    <n v="2024"/>
    <n v="1"/>
    <m/>
    <n v="0"/>
    <n v="0"/>
  </r>
  <r>
    <x v="0"/>
    <s v="NA"/>
    <s v="U.S.A."/>
    <s v="Marathon Petroleum Corporation"/>
    <x v="8"/>
    <x v="5"/>
    <x v="1"/>
    <n v="2024"/>
    <n v="1"/>
    <m/>
    <n v="5.7"/>
    <s v="Estimated start Jan 19 to Mar 3"/>
  </r>
  <r>
    <x v="0"/>
    <s v="NA"/>
    <s v="U.S.A."/>
    <s v="Marathon Petroleum Corporation"/>
    <x v="8"/>
    <x v="6"/>
    <x v="1"/>
    <n v="2024"/>
    <n v="1"/>
    <m/>
    <n v="3.5"/>
    <s v="Estimated start Jan 19 to Mar 3"/>
  </r>
  <r>
    <x v="0"/>
    <s v="NA"/>
    <s v="U.S.A."/>
    <s v="Marathon Petroleum Corporation"/>
    <x v="8"/>
    <x v="2"/>
    <x v="1"/>
    <n v="2024"/>
    <n v="1"/>
    <m/>
    <n v="27.5"/>
    <s v="Estimated start Jan 19 to Mar 3"/>
  </r>
  <r>
    <x v="0"/>
    <s v="NA"/>
    <s v="U.S.A."/>
    <s v="Marathon Petroleum Corporation"/>
    <x v="21"/>
    <x v="2"/>
    <x v="1"/>
    <n v="2024"/>
    <n v="1"/>
    <m/>
    <n v="4.2206896551724142"/>
    <s v="Pulled up from 2026 to 2/12-3/3"/>
  </r>
  <r>
    <x v="0"/>
    <s v="NA"/>
    <s v="U.S.A."/>
    <s v="Marathon Petroleum Corporation"/>
    <x v="21"/>
    <x v="3"/>
    <x v="1"/>
    <n v="2024"/>
    <n v="1"/>
    <m/>
    <n v="11.05"/>
    <s v="Pulled up from 2026 to 2/12-3/3"/>
  </r>
  <r>
    <x v="0"/>
    <s v="NA"/>
    <s v="U.S.A."/>
    <s v="Marathon Petroleum Corporation"/>
    <x v="21"/>
    <x v="4"/>
    <x v="1"/>
    <n v="2024"/>
    <n v="1"/>
    <m/>
    <n v="2.9310344827586206"/>
    <s v="Pulled up from 2026 to 2/12-3/3"/>
  </r>
  <r>
    <x v="0"/>
    <s v="NA"/>
    <s v="U.S.A."/>
    <s v="Deer Park Refining LP"/>
    <x v="22"/>
    <x v="0"/>
    <x v="1"/>
    <n v="2024"/>
    <n v="1"/>
    <m/>
    <n v="12.310344827586208"/>
    <s v="Short maintenance Jan 31-feb 13"/>
  </r>
  <r>
    <x v="0"/>
    <s v="NA"/>
    <s v="U.S.A."/>
    <s v="Flint Hills Resources LLC"/>
    <x v="9"/>
    <x v="1"/>
    <x v="1"/>
    <n v="2024"/>
    <n v="1"/>
    <m/>
    <n v="0"/>
    <s v="Maintenance moved from September, 2023 to September, 2024. Then moved to Jan 2024"/>
  </r>
  <r>
    <x v="0"/>
    <s v="NA"/>
    <s v="U.S.A."/>
    <s v="Flint Hills Resources LLC"/>
    <x v="9"/>
    <x v="5"/>
    <x v="1"/>
    <n v="2024"/>
    <n v="1"/>
    <m/>
    <n v="1.2"/>
    <s v="Maintenance moved from September, 2023 to September, 2024. Then moved to Jan 2024"/>
  </r>
  <r>
    <x v="0"/>
    <s v="NA"/>
    <s v="U.S.A."/>
    <s v="Flint Hills Resources LLC"/>
    <x v="9"/>
    <x v="2"/>
    <x v="1"/>
    <n v="2024"/>
    <n v="1"/>
    <m/>
    <n v="4.862903225806452"/>
    <s v="Maintenance moved from September, 2023 to September, 2024. Then moved to Jan 2024 (1/5/24 - 2/9/2024)"/>
  </r>
  <r>
    <x v="0"/>
    <s v="NA"/>
    <s v="U.S.A."/>
    <s v="Flint Hills Resources LLC"/>
    <x v="9"/>
    <x v="3"/>
    <x v="1"/>
    <n v="2024"/>
    <n v="1"/>
    <m/>
    <n v="9.4354838709677438"/>
    <s v="Maintenance moved from September, 2023 to September, 2024. Then moved to Jan 2024"/>
  </r>
  <r>
    <x v="0"/>
    <s v="NA"/>
    <s v="U.S.A."/>
    <s v="LyondellBasell Industries NV"/>
    <x v="23"/>
    <x v="7"/>
    <x v="1"/>
    <n v="2024"/>
    <n v="1"/>
    <m/>
    <n v="0"/>
    <s v="Turnaround is planned to begin in the first quarter of 2024."/>
  </r>
  <r>
    <x v="0"/>
    <s v="NA"/>
    <s v="U.S.A."/>
    <s v="Magellan Midstream Partners LP"/>
    <x v="24"/>
    <x v="10"/>
    <x v="1"/>
    <n v="2024"/>
    <n v="1"/>
    <m/>
    <n v="0"/>
    <s v="Planned maintenance."/>
  </r>
  <r>
    <x v="0"/>
    <s v="NA"/>
    <s v="U.S.A."/>
    <s v="Chalmette Refining LLC"/>
    <x v="10"/>
    <x v="2"/>
    <x v="1"/>
    <n v="2024"/>
    <n v="1"/>
    <m/>
    <n v="1.4482758620689655"/>
    <s v="Confirmation of 105kbd Crude unit dopwn mid Jan for 20 days"/>
  </r>
  <r>
    <x v="0"/>
    <s v="NA"/>
    <s v="U.S.A."/>
    <s v="WRB Refining LP"/>
    <x v="25"/>
    <x v="1"/>
    <x v="1"/>
    <n v="2024"/>
    <n v="1"/>
    <m/>
    <n v="0"/>
    <s v="Catalyst."/>
  </r>
  <r>
    <x v="0"/>
    <s v="NA"/>
    <s v="U.S.A."/>
    <s v="ExxonMobil Corporation"/>
    <x v="26"/>
    <x v="0"/>
    <x v="1"/>
    <n v="2024"/>
    <n v="1"/>
    <m/>
    <n v="19.051724137931036"/>
    <s v="Planned Maintenance."/>
  </r>
  <r>
    <x v="0"/>
    <s v="NA"/>
    <s v="U.S.A."/>
    <s v="ExxonMobil Corporation"/>
    <x v="26"/>
    <x v="5"/>
    <x v="1"/>
    <n v="2024"/>
    <n v="1"/>
    <m/>
    <n v="3.4482758620689653"/>
    <s v="HDC 2/19 - 3/19"/>
  </r>
  <r>
    <x v="0"/>
    <s v="NA"/>
    <s v="U.S.A."/>
    <s v="ExxonMobil Corporation"/>
    <x v="11"/>
    <x v="0"/>
    <x v="1"/>
    <n v="2024"/>
    <n v="1"/>
    <m/>
    <n v="55.25"/>
    <s v="Ta 1/15 - 3/7 includes reformer, naphtha hydrotreater and LE distillation"/>
  </r>
  <r>
    <x v="0"/>
    <s v="NA"/>
    <s v="U.S.A."/>
    <s v="ExxonMobil Corporation"/>
    <x v="11"/>
    <x v="2"/>
    <x v="1"/>
    <n v="2024"/>
    <n v="1"/>
    <m/>
    <n v="0"/>
    <s v="Major Turnaround."/>
  </r>
  <r>
    <x v="0"/>
    <s v="NA"/>
    <s v="U.S.A."/>
    <s v="ExxonMobil Corporation"/>
    <x v="12"/>
    <x v="2"/>
    <x v="1"/>
    <n v="2024"/>
    <n v="0"/>
    <m/>
    <n v="0"/>
    <s v="Morgan-Email"/>
  </r>
  <r>
    <x v="0"/>
    <s v="NA"/>
    <s v="U.S.A."/>
    <s v="ExxonMobil Corporation"/>
    <x v="12"/>
    <x v="3"/>
    <x v="1"/>
    <n v="2024"/>
    <n v="1"/>
    <m/>
    <n v="57.103448275862071"/>
    <s v="Confirmed 1/22-2/24"/>
  </r>
  <r>
    <x v="0"/>
    <s v="NA"/>
    <s v="U.S.A."/>
    <s v="ExxonMobil Chemical Company"/>
    <x v="13"/>
    <x v="7"/>
    <x v="1"/>
    <n v="2024"/>
    <n v="1"/>
    <m/>
    <n v="0"/>
    <s v="Confirmed this event will be performed in tandem with the Baton Rouge Refinery 1Q24 event."/>
  </r>
  <r>
    <x v="0"/>
    <s v="NA"/>
    <s v="U.S.A."/>
    <s v="Marathon Petroleum Corporation"/>
    <x v="27"/>
    <x v="2"/>
    <x v="1"/>
    <n v="2025"/>
    <n v="1"/>
    <n v="0.21428571428571427"/>
    <n v="14.196428571428571"/>
    <s v="265 kbd Crude outage 1/6-2/10"/>
  </r>
  <r>
    <x v="4"/>
    <s v="NA"/>
    <s v="U.S.A."/>
    <s v="Marathon Petroleum Corporation"/>
    <x v="28"/>
    <x v="0"/>
    <x v="1"/>
    <n v="2024"/>
    <n v="1"/>
    <m/>
    <n v="5.9793103448275851"/>
    <s v="Confirmed for Feb 2024. 2/12-3/27"/>
  </r>
  <r>
    <x v="4"/>
    <s v="NA"/>
    <s v="U.S.A."/>
    <s v="Marathon Petroleum Corporation"/>
    <x v="28"/>
    <x v="1"/>
    <x v="1"/>
    <n v="2024"/>
    <n v="1"/>
    <m/>
    <n v="0"/>
    <s v="Confirmed for Feb 2024. 2/12-3/27"/>
  </r>
  <r>
    <x v="4"/>
    <s v="NA"/>
    <s v="U.S.A."/>
    <s v="Marathon Petroleum Corporation"/>
    <x v="28"/>
    <x v="2"/>
    <x v="1"/>
    <n v="2024"/>
    <n v="1"/>
    <m/>
    <n v="3.7517241379310349"/>
    <s v="Confirmed for Feb 2024. 2/12-3/27"/>
  </r>
  <r>
    <x v="4"/>
    <s v="NA"/>
    <s v="U.S.A."/>
    <s v="Marathon Petroleum Corporation"/>
    <x v="28"/>
    <x v="3"/>
    <x v="1"/>
    <n v="2024"/>
    <n v="1"/>
    <m/>
    <n v="10.059310344827587"/>
    <s v="Confirmed for Feb 2024. 2/12-3/27"/>
  </r>
  <r>
    <x v="4"/>
    <s v="NA"/>
    <s v="U.S.A."/>
    <s v="Marathon Petroleum Corporation"/>
    <x v="28"/>
    <x v="4"/>
    <x v="1"/>
    <n v="2024"/>
    <n v="1"/>
    <m/>
    <n v="2.9310344827586206"/>
    <s v="Confirmed for Feb 2024. 2/12-3/27"/>
  </r>
  <r>
    <x v="4"/>
    <s v="NA"/>
    <s v="U.S.A."/>
    <s v="Big West Oil LLC"/>
    <x v="29"/>
    <x v="0"/>
    <x v="1"/>
    <n v="2024"/>
    <n v="1"/>
    <m/>
    <n v="6.1551724137931032"/>
    <s v="Planned TAR for Spring of 2024. Moved up to 2/8-3/8"/>
  </r>
  <r>
    <x v="4"/>
    <s v="NA"/>
    <s v="U.S.A."/>
    <s v="Big West Oil LLC"/>
    <x v="29"/>
    <x v="2"/>
    <x v="1"/>
    <n v="2024"/>
    <n v="1"/>
    <m/>
    <n v="2.2448275862068967"/>
    <s v="Planned TAR for Spring of 2024. Moved up to 2/8-3/8"/>
  </r>
  <r>
    <x v="4"/>
    <s v="NA"/>
    <s v="U.S.A."/>
    <s v="Big West Oil LLC"/>
    <x v="29"/>
    <x v="3"/>
    <x v="1"/>
    <n v="2024"/>
    <n v="1"/>
    <m/>
    <n v="4.9965517241379311"/>
    <s v="Planned TAR for Spring of 2024. Moved up to 2/8-3/8"/>
  </r>
  <r>
    <x v="4"/>
    <s v="NA"/>
    <s v="U.S.A."/>
    <s v="Big West Oil LLC"/>
    <x v="29"/>
    <x v="4"/>
    <x v="1"/>
    <n v="2024"/>
    <n v="1"/>
    <m/>
    <n v="2.0275862068965518"/>
    <s v="Planned TAR for Spring of 2024. Moved up to 2/8-3/8"/>
  </r>
  <r>
    <x v="1"/>
    <s v="NA"/>
    <s v="U.S.A."/>
    <s v="Marathon Petroleum Corporation"/>
    <x v="14"/>
    <x v="2"/>
    <x v="1"/>
    <n v="2024"/>
    <n v="1"/>
    <m/>
    <n v="17.931034482758623"/>
    <s v="TA had been delayed to 2025, now reporting 1/12-2/10 for 160kb Crude 1 and 40kb Crude 4, 43kb Hydrocracker, 22kb Diesel Hydrotreater "/>
  </r>
  <r>
    <x v="1"/>
    <s v="NA"/>
    <s v="U.S.A."/>
    <s v="Marathon Petroleum Corporation"/>
    <x v="14"/>
    <x v="5"/>
    <x v="1"/>
    <n v="2024"/>
    <n v="1"/>
    <m/>
    <n v="0.74137931034482774"/>
    <s v="TA had been delayed to 2025, now reporting 1/12-2/10 for 160kb Crude 1 and 40kb Crude 4, 43kb Hydrocracker, 22kb Diesel Hydrotreater "/>
  </r>
  <r>
    <x v="1"/>
    <s v="NA"/>
    <s v="U.S.A."/>
    <s v="Valero Refining Company"/>
    <x v="15"/>
    <x v="2"/>
    <x v="1"/>
    <n v="2024"/>
    <n v="1"/>
    <m/>
    <n v="0"/>
    <s v="Maintenanance moved to 1/10/2025 from scheduled for 2/4 - 3/4 "/>
  </r>
  <r>
    <x v="1"/>
    <s v="NA"/>
    <s v="U.S.A."/>
    <s v="Valero Refining Company"/>
    <x v="15"/>
    <x v="1"/>
    <x v="1"/>
    <n v="2024"/>
    <n v="1"/>
    <m/>
    <n v="0"/>
    <s v="*"/>
  </r>
  <r>
    <x v="1"/>
    <s v="NA"/>
    <s v="U.S.A."/>
    <s v="Phillips 66"/>
    <x v="30"/>
    <x v="3"/>
    <x v="1"/>
    <n v="2024"/>
    <n v="1"/>
    <m/>
    <n v="21.293103448275865"/>
    <s v="Planned Ta FCC (50), Alky (15), Ref (20) Feb 10 - Mar 31"/>
  </r>
  <r>
    <x v="1"/>
    <s v="NA"/>
    <s v="U.S.A."/>
    <s v="Phillips 66"/>
    <x v="30"/>
    <x v="0"/>
    <x v="1"/>
    <n v="2024"/>
    <n v="1"/>
    <m/>
    <n v="11.137931034482758"/>
    <s v="Planned Ta FCC (50), Alky (15), Ref (20) Feb 10 - Mar 31"/>
  </r>
  <r>
    <x v="2"/>
    <s v="NA"/>
    <s v="U.S.A."/>
    <s v="Paulsboro Refining Company"/>
    <x v="16"/>
    <x v="2"/>
    <x v="2"/>
    <n v="2024"/>
    <n v="1"/>
    <m/>
    <n v="0"/>
    <s v="Moved from 2/1 start to 4/1-5/23"/>
  </r>
  <r>
    <x v="2"/>
    <s v="NA"/>
    <m/>
    <s v="Delaware City Refining Company LLC"/>
    <x v="31"/>
    <x v="3"/>
    <x v="2"/>
    <n v="2024"/>
    <n v="1"/>
    <m/>
    <n v="44.853333333000002"/>
    <s v="Confirmed the outage will happen next year March 2024"/>
  </r>
  <r>
    <x v="3"/>
    <s v="NA"/>
    <s v="U.S.A."/>
    <s v="CVR Energy Incorporated"/>
    <x v="32"/>
    <x v="8"/>
    <x v="2"/>
    <n v="2024"/>
    <n v="1"/>
    <m/>
    <n v="0"/>
    <s v="Rescheduled to Spring 2024. May be further delayed until Fall 2024."/>
  </r>
  <r>
    <x v="3"/>
    <s v="NA"/>
    <s v="U.S.A."/>
    <s v="CVR Energy Incorporated"/>
    <x v="32"/>
    <x v="0"/>
    <x v="2"/>
    <n v="2024"/>
    <n v="1"/>
    <m/>
    <n v="13.95"/>
    <s v="Rescheduled to Spring 2024. May be further delayed until Fall 2024."/>
  </r>
  <r>
    <x v="3"/>
    <s v="NA"/>
    <s v="U.S.A."/>
    <s v="CVR Energy Incorporated"/>
    <x v="32"/>
    <x v="1"/>
    <x v="2"/>
    <n v="2024"/>
    <n v="1"/>
    <m/>
    <n v="0"/>
    <s v="Rescheduled to Spring 2024. May be further delayed until Fall 2024."/>
  </r>
  <r>
    <x v="3"/>
    <s v="NA"/>
    <s v="U.S.A."/>
    <s v="CVR Energy Incorporated"/>
    <x v="32"/>
    <x v="2"/>
    <x v="2"/>
    <n v="2024"/>
    <n v="1"/>
    <m/>
    <n v="3.6166666670000001"/>
    <s v="Rescheduled to Spring 2024. May be further delayed until Fall 2024."/>
  </r>
  <r>
    <x v="3"/>
    <s v="NA"/>
    <s v="U.S.A."/>
    <s v="CVR Energy Incorporated"/>
    <x v="32"/>
    <x v="3"/>
    <x v="2"/>
    <n v="2024"/>
    <n v="1"/>
    <m/>
    <n v="12.586"/>
    <s v="Rescheduled to Spring 2024. May be further delayed until Fall 2024."/>
  </r>
  <r>
    <x v="3"/>
    <s v="NA"/>
    <s v="U.S.A."/>
    <s v="CVR Energy Incorporated"/>
    <x v="32"/>
    <x v="4"/>
    <x v="2"/>
    <n v="2024"/>
    <n v="1"/>
    <m/>
    <n v="4.6500000000000004"/>
    <s v="Rescheduled to Spring 2024. May be further delayed until Fall 2024."/>
  </r>
  <r>
    <x v="3"/>
    <s v="NA"/>
    <s v="U.S.A."/>
    <s v="Toledo Refining Company LLC"/>
    <x v="33"/>
    <x v="0"/>
    <x v="2"/>
    <n v="2024"/>
    <n v="1"/>
    <m/>
    <n v="24.677419354838708"/>
    <s v="Moved from May to 3/29-5/7. No 3/1-4/10"/>
  </r>
  <r>
    <x v="3"/>
    <s v="NA"/>
    <s v="U.S.A."/>
    <s v="Toledo Refining Company LLC"/>
    <x v="33"/>
    <x v="2"/>
    <x v="2"/>
    <n v="2024"/>
    <n v="1"/>
    <m/>
    <n v="8.7096774193548381"/>
    <s v="Moved from May to 3/29-5/7. No 3/1-4/10"/>
  </r>
  <r>
    <x v="3"/>
    <s v="NA"/>
    <s v="U.S.A."/>
    <s v="Toledo Refining Company LLC"/>
    <x v="33"/>
    <x v="4"/>
    <x v="2"/>
    <n v="2024"/>
    <n v="1"/>
    <m/>
    <n v="8.7096774193548399"/>
    <s v="Moved from May to 3/29-5/7. No 3/1-4/10"/>
  </r>
  <r>
    <x v="3"/>
    <s v="NA"/>
    <s v="U.S.A."/>
    <s v="Marathon Petroleum Corporation"/>
    <x v="34"/>
    <x v="2"/>
    <x v="2"/>
    <n v="2024"/>
    <n v="1"/>
    <m/>
    <n v="12.75"/>
    <s v="CDU added to maintenance on 3/18-4/16"/>
  </r>
  <r>
    <x v="3"/>
    <s v="NA"/>
    <s v="U.S.A."/>
    <s v="Marathon Petroleum Corporation"/>
    <x v="34"/>
    <x v="6"/>
    <x v="2"/>
    <n v="2024"/>
    <n v="1"/>
    <m/>
    <n v="1.2"/>
    <s v="Planned outages now 3/18-4/16 "/>
  </r>
  <r>
    <x v="3"/>
    <s v="NA"/>
    <s v="U.S.A."/>
    <s v="Marathon Petroleum Corporation"/>
    <x v="34"/>
    <x v="0"/>
    <x v="2"/>
    <n v="2024"/>
    <n v="1"/>
    <m/>
    <n v="17"/>
    <s v="Reformer outages added now 3/18-4/16"/>
  </r>
  <r>
    <x v="3"/>
    <s v="NA"/>
    <s v="U.S.A."/>
    <s v="Valero Refining Company"/>
    <x v="35"/>
    <x v="2"/>
    <x v="2"/>
    <n v="2024"/>
    <n v="1"/>
    <m/>
    <n v="26.25"/>
    <s v="Event rescheduled to occur in Spring 2024."/>
  </r>
  <r>
    <x v="3"/>
    <s v="NA"/>
    <s v="U.S.A."/>
    <s v="Coffeyville Resources Refining &amp; Marketing LLC"/>
    <x v="19"/>
    <x v="8"/>
    <x v="2"/>
    <n v="2024"/>
    <n v="1"/>
    <m/>
    <n v="0"/>
    <n v="0"/>
  </r>
  <r>
    <x v="3"/>
    <s v="NA"/>
    <s v="U.S.A."/>
    <s v="Coffeyville Resources Refining &amp; Marketing LLC"/>
    <x v="19"/>
    <x v="0"/>
    <x v="2"/>
    <n v="2024"/>
    <n v="1"/>
    <m/>
    <n v="0"/>
    <n v="0"/>
  </r>
  <r>
    <x v="3"/>
    <s v="NA"/>
    <s v="U.S.A."/>
    <s v="Coffeyville Resources Refining &amp; Marketing LLC"/>
    <x v="19"/>
    <x v="9"/>
    <x v="2"/>
    <n v="2024"/>
    <n v="1"/>
    <m/>
    <n v="0"/>
    <n v="0"/>
  </r>
  <r>
    <x v="3"/>
    <s v="NA"/>
    <s v="U.S.A."/>
    <s v="Coffeyville Resources Refining &amp; Marketing LLC"/>
    <x v="19"/>
    <x v="1"/>
    <x v="2"/>
    <n v="2024"/>
    <n v="1"/>
    <m/>
    <n v="0"/>
    <n v="0"/>
  </r>
  <r>
    <x v="3"/>
    <s v="NA"/>
    <s v="U.S.A."/>
    <s v="Coffeyville Resources Refining &amp; Marketing LLC"/>
    <x v="19"/>
    <x v="6"/>
    <x v="2"/>
    <n v="2024"/>
    <n v="1"/>
    <m/>
    <n v="0"/>
    <n v="0"/>
  </r>
  <r>
    <x v="3"/>
    <s v="NA"/>
    <s v="U.S.A."/>
    <s v="Coffeyville Resources Refining &amp; Marketing LLC"/>
    <x v="19"/>
    <x v="2"/>
    <x v="2"/>
    <n v="2024"/>
    <n v="1"/>
    <m/>
    <n v="0"/>
    <n v="0"/>
  </r>
  <r>
    <x v="3"/>
    <s v="NA"/>
    <s v="U.S.A."/>
    <s v="Coffeyville Resources Refining &amp; Marketing LLC"/>
    <x v="19"/>
    <x v="3"/>
    <x v="2"/>
    <n v="2024"/>
    <n v="1"/>
    <m/>
    <n v="0"/>
    <n v="0"/>
  </r>
  <r>
    <x v="3"/>
    <s v="NA"/>
    <s v="U.S.A."/>
    <s v="Coffeyville Resources Refining &amp; Marketing LLC"/>
    <x v="19"/>
    <x v="4"/>
    <x v="2"/>
    <n v="2024"/>
    <n v="1"/>
    <m/>
    <n v="0"/>
    <n v="0"/>
  </r>
  <r>
    <x v="0"/>
    <s v="NA"/>
    <s v="U.S.A."/>
    <s v="Marathon Petroleum Corporation"/>
    <x v="0"/>
    <x v="0"/>
    <x v="2"/>
    <n v="2024"/>
    <n v="1"/>
    <m/>
    <n v="2.7419354838709675"/>
    <s v="TA 1/14-2/10. SU delayed until mid march"/>
  </r>
  <r>
    <x v="0"/>
    <s v="NA"/>
    <s v="U.S.A."/>
    <s v="Marathon Petroleum Corporation"/>
    <x v="0"/>
    <x v="1"/>
    <x v="2"/>
    <n v="2024"/>
    <n v="1"/>
    <m/>
    <n v="0"/>
    <s v="TA 1/14-2/10. SU delayed until mid march"/>
  </r>
  <r>
    <x v="0"/>
    <s v="NA"/>
    <s v="U.S.A."/>
    <s v="Marathon Petroleum Corporation"/>
    <x v="0"/>
    <x v="2"/>
    <x v="2"/>
    <n v="2024"/>
    <n v="1"/>
    <m/>
    <n v="2.161290322580645"/>
    <s v="TA 1/14-2/10. SU delayed until mid march"/>
  </r>
  <r>
    <x v="0"/>
    <s v="NA"/>
    <s v="U.S.A."/>
    <s v="Marathon Petroleum Corporation"/>
    <x v="0"/>
    <x v="3"/>
    <x v="2"/>
    <n v="2024"/>
    <n v="1"/>
    <m/>
    <n v="9.435483870967742"/>
    <s v="TA 1/14-2/10. SU delayed until mid march"/>
  </r>
  <r>
    <x v="0"/>
    <s v="NA"/>
    <s v="U.S.A."/>
    <s v="Marathon Petroleum Corporation"/>
    <x v="0"/>
    <x v="4"/>
    <x v="2"/>
    <n v="2024"/>
    <n v="1"/>
    <m/>
    <n v="3.870967741935484"/>
    <s v="TA 1/14-2/10. SU delayed until mid march"/>
  </r>
  <r>
    <x v="0"/>
    <s v="NA"/>
    <s v="U.S.A."/>
    <s v="Valero Refining Company"/>
    <x v="1"/>
    <x v="3"/>
    <x v="2"/>
    <n v="2024"/>
    <n v="1"/>
    <m/>
    <n v="0"/>
    <s v="Updated timing from 1/5-3/16 to 1/20-2/23 on 12/21/23"/>
  </r>
  <r>
    <x v="0"/>
    <s v="NA"/>
    <s v="U.S.A."/>
    <s v="Valero Refining Company"/>
    <x v="1"/>
    <x v="4"/>
    <x v="2"/>
    <n v="2024"/>
    <n v="1"/>
    <m/>
    <n v="0"/>
    <s v="Updated timing from 1/5-3/16 to 1/20-2/23 on 12/21/23"/>
  </r>
  <r>
    <x v="0"/>
    <s v="NA"/>
    <s v="U.S.A."/>
    <s v="Phillips 66"/>
    <x v="36"/>
    <x v="0"/>
    <x v="2"/>
    <n v="2024"/>
    <n v="1"/>
    <m/>
    <n v="29.75"/>
    <s v="3/1-4/11"/>
  </r>
  <r>
    <x v="0"/>
    <s v="NA"/>
    <s v="U.S.A."/>
    <s v="Cross Oil Refining &amp; Marketing Incorporated"/>
    <x v="37"/>
    <x v="8"/>
    <x v="2"/>
    <n v="2024"/>
    <n v="1"/>
    <m/>
    <n v="0"/>
    <s v="Planned maintenance."/>
  </r>
  <r>
    <x v="0"/>
    <s v="NA"/>
    <s v="U.S.A."/>
    <s v="Cross Oil Refining &amp; Marketing Incorporated"/>
    <x v="37"/>
    <x v="1"/>
    <x v="2"/>
    <n v="2024"/>
    <n v="1"/>
    <m/>
    <n v="0"/>
    <s v="Maintenance Turnaround moved from March 2023 to March 2024."/>
  </r>
  <r>
    <x v="0"/>
    <s v="NA"/>
    <s v="U.S.A."/>
    <s v="Cross Oil Refining &amp; Marketing Incorporated"/>
    <x v="37"/>
    <x v="2"/>
    <x v="2"/>
    <n v="2024"/>
    <n v="1"/>
    <m/>
    <n v="0.49"/>
    <s v="Planned Maintenance."/>
  </r>
  <r>
    <x v="0"/>
    <s v="NA"/>
    <s v="U.S.A."/>
    <s v="Valero Refining Company"/>
    <x v="3"/>
    <x v="0"/>
    <x v="2"/>
    <n v="2024"/>
    <n v="1"/>
    <m/>
    <n v="13.709677419354838"/>
    <s v="Major Turnaround. Jan 15 - Mar 10"/>
  </r>
  <r>
    <x v="0"/>
    <s v="NA"/>
    <s v="U.S.A."/>
    <s v="Valero Refining Company"/>
    <x v="3"/>
    <x v="1"/>
    <x v="2"/>
    <n v="2024"/>
    <n v="1"/>
    <m/>
    <n v="0"/>
    <s v="Major Turnaround."/>
  </r>
  <r>
    <x v="0"/>
    <s v="NA"/>
    <s v="U.S.A."/>
    <s v="Valero Refining Company"/>
    <x v="3"/>
    <x v="6"/>
    <x v="2"/>
    <n v="2024"/>
    <n v="1"/>
    <m/>
    <n v="3.225806451612903"/>
    <s v="Major Turnaround. Jan 15 - Mar 10"/>
  </r>
  <r>
    <x v="0"/>
    <s v="NA"/>
    <s v="U.S.A."/>
    <s v="Valero Refining Company"/>
    <x v="3"/>
    <x v="2"/>
    <x v="2"/>
    <n v="2024"/>
    <n v="1"/>
    <m/>
    <n v="6.774193548387097"/>
    <s v="Major Turnaround. Jan 15 - Mar 10"/>
  </r>
  <r>
    <x v="0"/>
    <s v="NA"/>
    <s v="U.S.A."/>
    <s v="Chevron Corporation"/>
    <x v="38"/>
    <x v="2"/>
    <x v="2"/>
    <n v="2024"/>
    <n v="1"/>
    <m/>
    <n v="46.774193548387096"/>
    <s v="Major Turnaround. 4/5-5/19 (175kbd). Now 3/2-4/15"/>
  </r>
  <r>
    <x v="0"/>
    <s v="NA"/>
    <s v="U.S.A."/>
    <s v="Chevron Corporation"/>
    <x v="39"/>
    <x v="0"/>
    <x v="2"/>
    <n v="2024"/>
    <n v="1"/>
    <m/>
    <n v="10.529032258064515"/>
    <s v="Ref 3 (24kb) 3/15-5/9"/>
  </r>
  <r>
    <x v="0"/>
    <s v="NA"/>
    <s v="U.S.A."/>
    <s v="CITGO Petroleum Corporation"/>
    <x v="5"/>
    <x v="2"/>
    <x v="2"/>
    <n v="2024"/>
    <n v="1"/>
    <m/>
    <n v="5.9225806451612915"/>
    <s v="Planned maintenance moved (2/16-3/17)"/>
  </r>
  <r>
    <x v="0"/>
    <s v="NA"/>
    <s v="U.S.A."/>
    <s v="CITGO Petroleum Corporation"/>
    <x v="5"/>
    <x v="3"/>
    <x v="2"/>
    <n v="2024"/>
    <n v="1"/>
    <m/>
    <n v="17.822580645161292"/>
    <s v="Planned maintenance Moved to Jan from Mar (1/19-3/17)"/>
  </r>
  <r>
    <x v="0"/>
    <s v="NA"/>
    <s v="U.S.A."/>
    <s v="Houston Refining LP"/>
    <x v="20"/>
    <x v="6"/>
    <x v="2"/>
    <n v="2024"/>
    <n v="1"/>
    <m/>
    <n v="6.72"/>
    <s v="Planned maintenance."/>
  </r>
  <r>
    <x v="0"/>
    <s v="NA"/>
    <s v="U.S.A."/>
    <s v="Houston Refining LP"/>
    <x v="20"/>
    <x v="2"/>
    <x v="2"/>
    <n v="2024"/>
    <n v="1"/>
    <m/>
    <n v="17.5"/>
    <s v="Planned maintenance."/>
  </r>
  <r>
    <x v="0"/>
    <s v="NA"/>
    <s v="U.S.A."/>
    <s v="NOVA Chemicals Corporation"/>
    <x v="7"/>
    <x v="7"/>
    <x v="2"/>
    <n v="2024"/>
    <n v="1"/>
    <m/>
    <n v="0"/>
    <n v="0"/>
  </r>
  <r>
    <x v="0"/>
    <s v="NA"/>
    <s v="U.S.A."/>
    <s v="Marathon Petroleum Corporation"/>
    <x v="8"/>
    <x v="2"/>
    <x v="2"/>
    <n v="2024"/>
    <n v="1"/>
    <m/>
    <n v="1.064516129032258"/>
    <s v="Estimated start Jan 19 to Mar 3"/>
  </r>
  <r>
    <x v="0"/>
    <s v="NA"/>
    <s v="U.S.A."/>
    <s v="Marathon Petroleum Corporation"/>
    <x v="8"/>
    <x v="5"/>
    <x v="2"/>
    <n v="2024"/>
    <n v="1"/>
    <m/>
    <n v="0.55161290322580647"/>
    <s v="Estimated start Jan 19 to Mar 3"/>
  </r>
  <r>
    <x v="0"/>
    <s v="NA"/>
    <s v="U.S.A."/>
    <s v="Marathon Petroleum Corporation"/>
    <x v="8"/>
    <x v="6"/>
    <x v="2"/>
    <n v="2024"/>
    <n v="1"/>
    <m/>
    <n v="0.33870967741935482"/>
    <s v="Estimated start Jan 19 to Mar 3"/>
  </r>
  <r>
    <x v="0"/>
    <s v="NA"/>
    <s v="U.S.A."/>
    <s v="Marathon Petroleum Corporation"/>
    <x v="21"/>
    <x v="2"/>
    <x v="2"/>
    <n v="2024"/>
    <n v="1"/>
    <m/>
    <n v="0.6967741935483871"/>
    <s v="Pulled up from 2026 to 2/12-3/3"/>
  </r>
  <r>
    <x v="0"/>
    <s v="NA"/>
    <s v="U.S.A."/>
    <s v="Marathon Petroleum Corporation"/>
    <x v="21"/>
    <x v="3"/>
    <x v="2"/>
    <n v="2024"/>
    <n v="1"/>
    <m/>
    <n v="1.0693548387096776"/>
    <s v="Pulled up from 2026 to 2/12-3/3"/>
  </r>
  <r>
    <x v="0"/>
    <s v="NA"/>
    <s v="U.S.A."/>
    <s v="Marathon Petroleum Corporation"/>
    <x v="21"/>
    <x v="4"/>
    <x v="2"/>
    <n v="2024"/>
    <n v="1"/>
    <m/>
    <n v="0.28364849833147937"/>
    <s v="Pulled up from 2026 to 2/12-3/3"/>
  </r>
  <r>
    <x v="0"/>
    <s v="NA"/>
    <s v="U.S.A."/>
    <s v="Deer Park Refining LP"/>
    <x v="22"/>
    <x v="5"/>
    <x v="2"/>
    <n v="2024"/>
    <n v="1"/>
    <m/>
    <n v="0.21612903225806451"/>
    <s v="Moved from Sp/Oct to Mar 8 - Apr 6 2024. Now Mar 29 - May 2. Added CDU"/>
  </r>
  <r>
    <x v="0"/>
    <s v="NA"/>
    <s v="U.S.A."/>
    <s v="Deer Park Refining LP"/>
    <x v="22"/>
    <x v="2"/>
    <x v="2"/>
    <n v="2024"/>
    <n v="1"/>
    <m/>
    <n v="1.129032258064516"/>
    <s v="Moved from Sp/Oct to Mar 8 - Apr 6 2024. Now Mar 29 - May 2. Added CDU"/>
  </r>
  <r>
    <x v="0"/>
    <s v="NA"/>
    <s v="U.S.A."/>
    <s v="LyondellBasell Industries NV"/>
    <x v="23"/>
    <x v="7"/>
    <x v="2"/>
    <n v="2024"/>
    <n v="1"/>
    <m/>
    <n v="0"/>
    <s v="Turnaround is planned to begin in the first quarter of 2024."/>
  </r>
  <r>
    <x v="0"/>
    <s v="NA"/>
    <s v="U.S.A."/>
    <s v="Magellan Midstream Partners LP"/>
    <x v="24"/>
    <x v="10"/>
    <x v="2"/>
    <n v="2024"/>
    <n v="1"/>
    <m/>
    <n v="0"/>
    <s v="Planned maintenance."/>
  </r>
  <r>
    <x v="0"/>
    <s v="NA"/>
    <s v="U.S.A."/>
    <s v="WRB Refining LP"/>
    <x v="25"/>
    <x v="1"/>
    <x v="2"/>
    <n v="2024"/>
    <n v="1"/>
    <m/>
    <n v="0"/>
    <s v="Catalyst."/>
  </r>
  <r>
    <x v="0"/>
    <s v="NA"/>
    <s v="U.S.A."/>
    <s v="ExxonMobil Corporation"/>
    <x v="26"/>
    <x v="0"/>
    <x v="2"/>
    <n v="2024"/>
    <n v="1"/>
    <m/>
    <n v="33.862903225806448"/>
    <s v="Reformer 2/19-3/19"/>
  </r>
  <r>
    <x v="0"/>
    <s v="NA"/>
    <s v="U.S.A."/>
    <s v="ExxonMobil Corporation"/>
    <x v="26"/>
    <x v="5"/>
    <x v="2"/>
    <n v="2024"/>
    <n v="1"/>
    <m/>
    <n v="6.129032258064516"/>
    <s v="HDC 2/19 - 3/19"/>
  </r>
  <r>
    <x v="0"/>
    <s v="NA"/>
    <s v="U.S.A."/>
    <s v="ExxonMobil Corporation"/>
    <x v="11"/>
    <x v="2"/>
    <x v="2"/>
    <n v="2024"/>
    <n v="1"/>
    <m/>
    <n v="0"/>
    <s v="Major Turnaround."/>
  </r>
  <r>
    <x v="0"/>
    <s v="NA"/>
    <s v="U.S.A."/>
    <s v="ExxonMobil Corporation"/>
    <x v="11"/>
    <x v="0"/>
    <x v="2"/>
    <n v="2024"/>
    <n v="1"/>
    <m/>
    <n v="12.475806451612904"/>
    <s v="Ta 1/15 - 3/7 includes reformer, naphtha hydrotreater and LE distillation"/>
  </r>
  <r>
    <x v="0"/>
    <s v="NA"/>
    <s v="U.S.A."/>
    <s v="INEOS Olefins &amp; Polymers"/>
    <x v="40"/>
    <x v="7"/>
    <x v="2"/>
    <n v="2024"/>
    <n v="1"/>
    <m/>
    <n v="0"/>
    <n v="0"/>
  </r>
  <r>
    <x v="4"/>
    <s v="NA"/>
    <s v="U.S.A."/>
    <s v="Marathon Petroleum Corporation"/>
    <x v="28"/>
    <x v="0"/>
    <x v="2"/>
    <n v="2024"/>
    <n v="1"/>
    <m/>
    <n v="8.8838709677419345"/>
    <s v="Confirmed for Feb 2024"/>
  </r>
  <r>
    <x v="4"/>
    <s v="NA"/>
    <s v="U.S.A."/>
    <s v="Marathon Petroleum Corporation"/>
    <x v="28"/>
    <x v="1"/>
    <x v="2"/>
    <n v="2024"/>
    <n v="1"/>
    <m/>
    <n v="0"/>
    <s v="*"/>
  </r>
  <r>
    <x v="4"/>
    <s v="NA"/>
    <s v="U.S.A."/>
    <s v="Marathon Petroleum Corporation"/>
    <x v="28"/>
    <x v="2"/>
    <x v="2"/>
    <n v="2024"/>
    <n v="1"/>
    <m/>
    <n v="5.5741935483870968"/>
    <s v="Confirmed for Feb 2024"/>
  </r>
  <r>
    <x v="4"/>
    <s v="NA"/>
    <s v="U.S.A."/>
    <s v="Marathon Petroleum Corporation"/>
    <x v="28"/>
    <x v="3"/>
    <x v="2"/>
    <n v="2024"/>
    <n v="1"/>
    <m/>
    <n v="14.945806451612903"/>
    <s v="Confirmed for Feb 2024"/>
  </r>
  <r>
    <x v="4"/>
    <s v="NA"/>
    <s v="U.S.A."/>
    <s v="Marathon Petroleum Corporation"/>
    <x v="28"/>
    <x v="4"/>
    <x v="2"/>
    <n v="2024"/>
    <n v="1"/>
    <m/>
    <n v="4.354838709677419"/>
    <s v="Planned work confirmed for 2024"/>
  </r>
  <r>
    <x v="4"/>
    <s v="NA"/>
    <s v="U.S.A."/>
    <s v="Chevron Corporation"/>
    <x v="41"/>
    <x v="2"/>
    <x v="2"/>
    <n v="2024"/>
    <n v="1"/>
    <m/>
    <n v="2.935483870967742"/>
    <s v="Updated 2/5 per IIR - Outage from 3/24 - 4/27. Pulled up from Oct - Nov 2024"/>
  </r>
  <r>
    <x v="4"/>
    <s v="NA"/>
    <s v="U.S.A."/>
    <s v="Chevron Corporation"/>
    <x v="41"/>
    <x v="8"/>
    <x v="2"/>
    <n v="2024"/>
    <n v="1"/>
    <m/>
    <n v="0"/>
    <s v="Updated 2/5 per IIR - Outage from 3/24 - 4/27. Pulled up from Oct - Nov 2024"/>
  </r>
  <r>
    <x v="4"/>
    <s v="NA"/>
    <s v="U.S.A."/>
    <s v="Big West Oil LLC"/>
    <x v="29"/>
    <x v="0"/>
    <x v="2"/>
    <n v="2024"/>
    <n v="1"/>
    <m/>
    <n v="2.193548387096774"/>
    <s v="Planned TAR for Spring of 2024. Moved up to 2/8-3/8"/>
  </r>
  <r>
    <x v="4"/>
    <s v="NA"/>
    <s v="U.S.A."/>
    <s v="Big West Oil LLC"/>
    <x v="29"/>
    <x v="2"/>
    <x v="2"/>
    <n v="2024"/>
    <n v="1"/>
    <m/>
    <n v="0.8"/>
    <s v="Planned TAR for Spring of 2024. Moved up to 2/8-3/8"/>
  </r>
  <r>
    <x v="4"/>
    <s v="NA"/>
    <s v="U.S.A."/>
    <s v="Big West Oil LLC"/>
    <x v="29"/>
    <x v="3"/>
    <x v="2"/>
    <n v="2024"/>
    <n v="1"/>
    <m/>
    <n v="1.7806451612903225"/>
    <s v="Planned TAR for Spring of 2024. Moved up to 2/8-3/8"/>
  </r>
  <r>
    <x v="4"/>
    <s v="NA"/>
    <s v="U.S.A."/>
    <s v="Big West Oil LLC"/>
    <x v="29"/>
    <x v="4"/>
    <x v="2"/>
    <n v="2024"/>
    <n v="1"/>
    <m/>
    <n v="0.72258064516129028"/>
    <s v="Planned TAR for Spring of 2024. Moved up to 2/8-3/8"/>
  </r>
  <r>
    <x v="1"/>
    <s v="NA"/>
    <s v="U.S.A."/>
    <s v="Kern Oil &amp; Refining Company"/>
    <x v="42"/>
    <x v="1"/>
    <x v="2"/>
    <n v="2024"/>
    <n v="1"/>
    <m/>
    <n v="0"/>
    <n v="0"/>
  </r>
  <r>
    <x v="1"/>
    <s v="NA"/>
    <s v="U.S.A."/>
    <s v="Kern Oil &amp; Refining Company"/>
    <x v="42"/>
    <x v="2"/>
    <x v="2"/>
    <n v="2024"/>
    <n v="1"/>
    <m/>
    <n v="0"/>
    <n v="0"/>
  </r>
  <r>
    <x v="1"/>
    <s v="NA"/>
    <s v="U.S.A."/>
    <s v="HF Sinclair Corporation"/>
    <x v="43"/>
    <x v="3"/>
    <x v="2"/>
    <n v="2024"/>
    <n v="1"/>
    <m/>
    <n v="16.433333333"/>
    <s v="Planned maintenance."/>
  </r>
  <r>
    <x v="1"/>
    <s v="NA"/>
    <s v="U.S.A."/>
    <s v="HF Sinclair Corporation"/>
    <x v="43"/>
    <x v="4"/>
    <x v="2"/>
    <n v="2024"/>
    <n v="1"/>
    <m/>
    <n v="5.61"/>
    <s v="Planned maintenance."/>
  </r>
  <r>
    <x v="1"/>
    <s v="NA"/>
    <s v="U.S.A."/>
    <s v="Valero Refining Company"/>
    <x v="15"/>
    <x v="1"/>
    <x v="2"/>
    <n v="2024"/>
    <n v="1"/>
    <m/>
    <n v="0"/>
    <s v="*"/>
  </r>
  <r>
    <x v="1"/>
    <s v="NA"/>
    <s v="U.S.A."/>
    <s v="Phillips 66"/>
    <x v="30"/>
    <x v="3"/>
    <x v="2"/>
    <n v="2024"/>
    <n v="1"/>
    <m/>
    <n v="32.5"/>
    <s v="Planned Ta FCC (50), Alky (15), Ref (20) Feb 10 - Mar 31"/>
  </r>
  <r>
    <x v="1"/>
    <s v="NA"/>
    <s v="U.S.A."/>
    <s v="Phillips 66"/>
    <x v="30"/>
    <x v="0"/>
    <x v="2"/>
    <n v="2024"/>
    <n v="1"/>
    <m/>
    <n v="17"/>
    <s v="Planned Ta FCC (50), Alky (15), Ref (20) Feb 10 - Mar 31"/>
  </r>
  <r>
    <x v="2"/>
    <s v="NA"/>
    <s v="U.S.A."/>
    <s v="Paulsboro Refining Company"/>
    <x v="16"/>
    <x v="2"/>
    <x v="3"/>
    <n v="2024"/>
    <n v="1"/>
    <n v="110"/>
    <n v="27.5"/>
    <s v="Moved from 2/1 start to 4/1-5/23"/>
  </r>
  <r>
    <x v="2"/>
    <s v="NA"/>
    <s v="U.S.A."/>
    <s v="Delaware City Refining Company LLC"/>
    <x v="31"/>
    <x v="3"/>
    <x v="3"/>
    <n v="2024"/>
    <n v="1"/>
    <m/>
    <n v="1.546666667"/>
    <s v="Confirmed the outage will happen next year March 2024"/>
  </r>
  <r>
    <x v="3"/>
    <s v="NA"/>
    <s v="U.S.A."/>
    <s v="CVR Energy Incorporated"/>
    <x v="32"/>
    <x v="8"/>
    <x v="3"/>
    <n v="2024"/>
    <n v="1"/>
    <m/>
    <n v="0"/>
    <s v="Rescheduled to Spring 2024. May be further delayed until Fall 2024."/>
  </r>
  <r>
    <x v="3"/>
    <s v="NA"/>
    <s v="U.S.A."/>
    <s v="CVR Energy Incorporated"/>
    <x v="32"/>
    <x v="0"/>
    <x v="3"/>
    <n v="2024"/>
    <n v="1"/>
    <m/>
    <n v="6.3"/>
    <s v="Rescheduled to Spring 2024. May be further delayed until Fall 2024."/>
  </r>
  <r>
    <x v="3"/>
    <s v="NA"/>
    <s v="U.S.A."/>
    <s v="CVR Energy Incorporated"/>
    <x v="32"/>
    <x v="1"/>
    <x v="3"/>
    <n v="2024"/>
    <n v="1"/>
    <m/>
    <n v="0"/>
    <s v="Rescheduled to Spring 2024. May be further delayed until Fall 2024."/>
  </r>
  <r>
    <x v="3"/>
    <s v="NA"/>
    <s v="U.S.A."/>
    <s v="CVR Energy Incorporated"/>
    <x v="32"/>
    <x v="2"/>
    <x v="3"/>
    <n v="2024"/>
    <n v="1"/>
    <m/>
    <n v="1.6333333329999999"/>
    <s v="Rescheduled to Spring 2024. May be further delayed until Fall 2024."/>
  </r>
  <r>
    <x v="3"/>
    <s v="NA"/>
    <s v="U.S.A."/>
    <s v="CVR Energy Incorporated"/>
    <x v="32"/>
    <x v="3"/>
    <x v="3"/>
    <n v="2024"/>
    <n v="1"/>
    <m/>
    <n v="5.6840000000000002"/>
    <s v="Rescheduled to Spring 2024. May be further delayed until Fall 2024."/>
  </r>
  <r>
    <x v="3"/>
    <s v="NA"/>
    <s v="U.S.A."/>
    <s v="CVR Energy Incorporated"/>
    <x v="32"/>
    <x v="4"/>
    <x v="3"/>
    <n v="2024"/>
    <n v="1"/>
    <m/>
    <n v="2.1"/>
    <s v="Rescheduled to Spring 2024. May be further delayed until Fall 2024."/>
  </r>
  <r>
    <x v="3"/>
    <s v="NA"/>
    <s v="U.S.A."/>
    <s v="Toledo Refining Company LLC"/>
    <x v="33"/>
    <x v="0"/>
    <x v="3"/>
    <n v="2024"/>
    <n v="1"/>
    <m/>
    <n v="8.5"/>
    <s v="Moved from May to 3/29-5/7. No 3/1-4/10"/>
  </r>
  <r>
    <x v="3"/>
    <s v="NA"/>
    <s v="U.S.A."/>
    <s v="Toledo Refining Company LLC"/>
    <x v="33"/>
    <x v="2"/>
    <x v="3"/>
    <n v="2024"/>
    <n v="1"/>
    <m/>
    <n v="3"/>
    <s v="Moved from May to 3/29-5/7. No 3/1-4/10"/>
  </r>
  <r>
    <x v="3"/>
    <s v="NA"/>
    <s v="U.S.A."/>
    <s v="Toledo Refining Company LLC"/>
    <x v="33"/>
    <x v="4"/>
    <x v="3"/>
    <n v="2024"/>
    <n v="1"/>
    <m/>
    <n v="3"/>
    <s v="Moved from May to 3/29-5/7. No 3/1-4/10"/>
  </r>
  <r>
    <x v="3"/>
    <s v="NA"/>
    <s v="U.S.A."/>
    <s v="Cenovus Energy Incorporated"/>
    <x v="44"/>
    <x v="4"/>
    <x v="3"/>
    <n v="2024"/>
    <n v="1"/>
    <m/>
    <n v="2"/>
    <s v="Planned Ta mid April - mid-May"/>
  </r>
  <r>
    <x v="3"/>
    <s v="NA"/>
    <s v="U.S.A."/>
    <s v="Marathon Petroleum Corporation"/>
    <x v="34"/>
    <x v="2"/>
    <x v="3"/>
    <n v="2024"/>
    <n v="1"/>
    <m/>
    <n v="12.75"/>
    <s v="CDU added to maintenance on 3/18-4/16"/>
  </r>
  <r>
    <x v="3"/>
    <s v="NA"/>
    <s v="U.S.A."/>
    <s v="Marathon Petroleum Corporation"/>
    <x v="34"/>
    <x v="6"/>
    <x v="3"/>
    <n v="2024"/>
    <n v="1"/>
    <m/>
    <n v="1.2"/>
    <s v="Planned outages now 3/18-4/16 "/>
  </r>
  <r>
    <x v="3"/>
    <s v="NA"/>
    <s v="U.S.A."/>
    <s v="Marathon Petroleum Corporation"/>
    <x v="34"/>
    <x v="0"/>
    <x v="3"/>
    <n v="2024"/>
    <n v="1"/>
    <m/>
    <n v="17"/>
    <s v="Reformer outages added now 3/18-4/16"/>
  </r>
  <r>
    <x v="3"/>
    <s v="NA"/>
    <s v="U.S.A."/>
    <s v="Countrymark Cooperative LLP"/>
    <x v="45"/>
    <x v="2"/>
    <x v="3"/>
    <n v="2024"/>
    <n v="1"/>
    <m/>
    <n v="13.65"/>
    <s v="Maintenance planned for April 2024"/>
  </r>
  <r>
    <x v="3"/>
    <s v="NA"/>
    <s v="U.S.A."/>
    <s v="Valero Refining Company"/>
    <x v="35"/>
    <x v="2"/>
    <x v="3"/>
    <n v="2024"/>
    <n v="1"/>
    <m/>
    <n v="4.3749999992045447"/>
    <s v="Event rescheduled to occur in Spring 2024."/>
  </r>
  <r>
    <x v="3"/>
    <s v="NA"/>
    <s v="U.S.A."/>
    <s v="Marathon Petroleum Corporation"/>
    <x v="46"/>
    <x v="0"/>
    <x v="3"/>
    <n v="2024"/>
    <n v="1"/>
    <m/>
    <n v="11.05"/>
    <s v="On schedule for April 2024"/>
  </r>
  <r>
    <x v="3"/>
    <s v="NA"/>
    <s v="U.S.A."/>
    <s v="Marathon Petroleum Corporation"/>
    <x v="46"/>
    <x v="9"/>
    <x v="3"/>
    <n v="2024"/>
    <n v="1"/>
    <m/>
    <n v="0"/>
    <s v="On schedule for April 2024"/>
  </r>
  <r>
    <x v="3"/>
    <s v="NA"/>
    <s v="U.S.A."/>
    <s v="Marathon Petroleum Corporation"/>
    <x v="46"/>
    <x v="1"/>
    <x v="3"/>
    <n v="2024"/>
    <n v="1"/>
    <m/>
    <n v="0"/>
    <s v="*"/>
  </r>
  <r>
    <x v="3"/>
    <s v="NA"/>
    <s v="U.S.A."/>
    <s v="Marathon Petroleum Corporation"/>
    <x v="46"/>
    <x v="2"/>
    <x v="3"/>
    <n v="2024"/>
    <n v="1"/>
    <m/>
    <n v="7.6"/>
    <s v="On schedule for April 2024"/>
  </r>
  <r>
    <x v="3"/>
    <s v="NA"/>
    <s v="U.S.A."/>
    <s v="Marathon Petroleum Corporation"/>
    <x v="46"/>
    <x v="3"/>
    <x v="3"/>
    <n v="2024"/>
    <n v="1"/>
    <m/>
    <n v="15.08"/>
    <s v="On schedule for April 2024"/>
  </r>
  <r>
    <x v="3"/>
    <s v="NA"/>
    <s v="U.S.A."/>
    <s v="Marathon Petroleum Corporation"/>
    <x v="46"/>
    <x v="4"/>
    <x v="3"/>
    <n v="2024"/>
    <n v="1"/>
    <m/>
    <n v="4.5"/>
    <s v="Remains on schedule for Spring 2024. 4/1-5/15"/>
  </r>
  <r>
    <x v="3"/>
    <s v="NA"/>
    <s v="U.S.A."/>
    <s v="CITGO Petroleum Corporation"/>
    <x v="47"/>
    <x v="2"/>
    <x v="3"/>
    <n v="2024"/>
    <n v="1"/>
    <m/>
    <n v="18"/>
    <s v="Pulled from 2025 to 4/1-5/21"/>
  </r>
  <r>
    <x v="3"/>
    <s v="NA"/>
    <s v="U.S.A."/>
    <s v="CITGO Petroleum Corporation"/>
    <x v="47"/>
    <x v="3"/>
    <x v="3"/>
    <n v="2024"/>
    <n v="1"/>
    <m/>
    <n v="38.35"/>
    <s v="Pulled from 2025 to 4/1-5/21"/>
  </r>
  <r>
    <x v="3"/>
    <s v="NA"/>
    <s v="U.S.A."/>
    <s v="CITGO Petroleum Corporation"/>
    <x v="47"/>
    <x v="4"/>
    <x v="3"/>
    <n v="2024"/>
    <n v="1"/>
    <m/>
    <n v="3.5"/>
    <s v="Pulled from 2025 to 4/1-5/21"/>
  </r>
  <r>
    <x v="3"/>
    <s v="NA"/>
    <s v="U.S.A."/>
    <s v="CITGO Petroleum Corporation"/>
    <x v="47"/>
    <x v="0"/>
    <x v="3"/>
    <n v="2024"/>
    <n v="1"/>
    <m/>
    <n v="23.8"/>
    <s v="Pulled from 2025 to 4/1-5/21"/>
  </r>
  <r>
    <x v="3"/>
    <s v="NA"/>
    <s v="U.S.A."/>
    <s v="CITGO Petroleum Corporation"/>
    <x v="47"/>
    <x v="6"/>
    <x v="3"/>
    <n v="2024"/>
    <n v="1"/>
    <m/>
    <n v="1.8"/>
    <s v="Pulled from 2025 to 4/1-5/21"/>
  </r>
  <r>
    <x v="3"/>
    <s v="NA"/>
    <s v="U.S.A."/>
    <s v="ExxonMobil"/>
    <x v="48"/>
    <x v="2"/>
    <x v="3"/>
    <n v="2024"/>
    <n v="1"/>
    <m/>
    <n v="27"/>
    <s v="Joliet T/A April - Mid May"/>
  </r>
  <r>
    <x v="3"/>
    <s v="NA"/>
    <s v="U.S.A."/>
    <s v="ExxonMobil"/>
    <x v="48"/>
    <x v="3"/>
    <x v="3"/>
    <n v="2024"/>
    <n v="1"/>
    <m/>
    <n v="58.5"/>
    <s v="Joliet T/A April - Mid May"/>
  </r>
  <r>
    <x v="3"/>
    <s v="NA"/>
    <s v="U.S.A."/>
    <s v="ExxonMobil"/>
    <x v="48"/>
    <x v="4"/>
    <x v="3"/>
    <n v="2024"/>
    <n v="1"/>
    <m/>
    <n v="5"/>
    <s v="Joliet T/A April - Mid May"/>
  </r>
  <r>
    <x v="3"/>
    <s v="NA"/>
    <s v="U.S.A."/>
    <s v="ExxonMobil"/>
    <x v="48"/>
    <x v="0"/>
    <x v="3"/>
    <n v="2024"/>
    <n v="1"/>
    <m/>
    <n v="42.5"/>
    <s v="Joliet T/A April - Mid May"/>
  </r>
  <r>
    <x v="3"/>
    <s v="NA"/>
    <s v="U.S.A."/>
    <s v="ExxonMobil"/>
    <x v="48"/>
    <x v="6"/>
    <x v="3"/>
    <n v="2024"/>
    <n v="1"/>
    <m/>
    <n v="5.6000000000000005"/>
    <s v="Joliet T/A April - Mid May"/>
  </r>
  <r>
    <x v="0"/>
    <s v="NA"/>
    <s v="U.S.A."/>
    <s v="Phillips 66"/>
    <x v="36"/>
    <x v="0"/>
    <x v="3"/>
    <n v="2024"/>
    <n v="1"/>
    <m/>
    <n v="10.908333333333333"/>
    <s v="3/1-4/11"/>
  </r>
  <r>
    <x v="0"/>
    <s v="NA"/>
    <s v="U.S.A."/>
    <s v="Chevron Corporation"/>
    <x v="38"/>
    <x v="2"/>
    <x v="3"/>
    <n v="2024"/>
    <n v="1"/>
    <m/>
    <n v="25"/>
    <s v="Major Turnaround. 4/5-5/19 (175kbd). Now 3/2-4/15"/>
  </r>
  <r>
    <x v="0"/>
    <s v="NA"/>
    <s v="U.S.A."/>
    <s v="Chevron Corporation"/>
    <x v="39"/>
    <x v="0"/>
    <x v="3"/>
    <n v="2024"/>
    <n v="1"/>
    <m/>
    <n v="20.399999999999999"/>
    <s v="Ref 3 (24kb) 3/15-5/9"/>
  </r>
  <r>
    <x v="0"/>
    <s v="NA"/>
    <s v="U.S.A."/>
    <s v="Dow Incorporated"/>
    <x v="49"/>
    <x v="7"/>
    <x v="3"/>
    <n v="2024"/>
    <n v="1"/>
    <m/>
    <n v="0"/>
    <n v="0"/>
  </r>
  <r>
    <x v="0"/>
    <s v="NA"/>
    <s v="U.S.A."/>
    <s v="Deer Park Refining LP"/>
    <x v="22"/>
    <x v="5"/>
    <x v="3"/>
    <n v="2024"/>
    <n v="1"/>
    <m/>
    <n v="3.35"/>
    <s v="Moved from Sp/Oct to Mar 8 - Apr 6 2024. Now Mar 29 - May 2. Added CDU"/>
  </r>
  <r>
    <x v="0"/>
    <s v="NA"/>
    <s v="U.S.A."/>
    <s v="Deer Park Refining LP"/>
    <x v="22"/>
    <x v="2"/>
    <x v="3"/>
    <n v="2024"/>
    <n v="1"/>
    <m/>
    <n v="17.5"/>
    <s v="Moved from Sp/Oct to Mar 8 - Apr 6 2024. Now Mar 29 - May 2. Added CDU"/>
  </r>
  <r>
    <x v="0"/>
    <s v="NA"/>
    <s v="U.S.A."/>
    <s v="LyondellBasell Industries NV"/>
    <x v="23"/>
    <x v="7"/>
    <x v="3"/>
    <n v="2024"/>
    <n v="1"/>
    <m/>
    <n v="0"/>
    <s v="Turnaround is planned to begin in the first quarter of 2024."/>
  </r>
  <r>
    <x v="0"/>
    <s v="NA"/>
    <s v="U.S.A."/>
    <s v="WRB Refining LP"/>
    <x v="25"/>
    <x v="9"/>
    <x v="3"/>
    <n v="2024"/>
    <n v="1"/>
    <m/>
    <n v="0"/>
    <s v="Catalyst."/>
  </r>
  <r>
    <x v="0"/>
    <s v="NA"/>
    <s v="U.S.A."/>
    <s v="WRB Refining LP"/>
    <x v="25"/>
    <x v="1"/>
    <x v="3"/>
    <n v="2024"/>
    <n v="1"/>
    <m/>
    <n v="0"/>
    <s v="Catalyst."/>
  </r>
  <r>
    <x v="0"/>
    <s v="NA"/>
    <s v="U.S.A."/>
    <s v="Valero Refining Company"/>
    <x v="50"/>
    <x v="5"/>
    <x v="3"/>
    <n v="2024"/>
    <n v="1"/>
    <m/>
    <n v="1.65"/>
    <s v="5 year run"/>
  </r>
  <r>
    <x v="0"/>
    <s v="NA"/>
    <s v="U.S.A."/>
    <s v="INEOS Olefins &amp; Polymers"/>
    <x v="40"/>
    <x v="7"/>
    <x v="3"/>
    <n v="2024"/>
    <n v="1"/>
    <m/>
    <n v="0"/>
    <n v="0"/>
  </r>
  <r>
    <x v="4"/>
    <s v="NA"/>
    <s v="U.S.A."/>
    <s v="HF Sinclair Corporation"/>
    <x v="51"/>
    <x v="0"/>
    <x v="3"/>
    <n v="2024"/>
    <n v="1"/>
    <m/>
    <n v="4.306666667"/>
    <n v="0"/>
  </r>
  <r>
    <x v="4"/>
    <s v="NA"/>
    <s v="U.S.A."/>
    <s v="Marathon Petroleum Corporation"/>
    <x v="28"/>
    <x v="0"/>
    <x v="3"/>
    <n v="2024"/>
    <n v="1"/>
    <m/>
    <n v="0"/>
    <s v="Confirmed for Feb 2024. 2/12-3/27"/>
  </r>
  <r>
    <x v="4"/>
    <s v="NA"/>
    <s v="U.S.A."/>
    <s v="Chevron Corporation"/>
    <x v="41"/>
    <x v="8"/>
    <x v="3"/>
    <n v="2024"/>
    <n v="1"/>
    <m/>
    <n v="0"/>
    <s v="Updated 2/5 per IIR - Outage from 3/24 - 4/27. Pulled up from Oct - Nov 2024"/>
  </r>
  <r>
    <x v="4"/>
    <s v="NA"/>
    <s v="U.S.A."/>
    <s v="Chevron Corporation"/>
    <x v="41"/>
    <x v="2"/>
    <x v="3"/>
    <n v="2024"/>
    <n v="1"/>
    <m/>
    <n v="11.700000000000001"/>
    <s v="Updated 2/5 per IIR - Outage from 3/24 - 4/27. Pulled up from Oct - Nov 2024"/>
  </r>
  <r>
    <x v="4"/>
    <s v="NA"/>
    <s v="U.S.A."/>
    <s v="Big West Oil LLC"/>
    <x v="29"/>
    <x v="0"/>
    <x v="3"/>
    <n v="2024"/>
    <n v="1"/>
    <m/>
    <n v="0"/>
    <s v="Planned TAR for Spring of 2024. Moved up to 2/8-3/8"/>
  </r>
  <r>
    <x v="1"/>
    <s v="NA"/>
    <s v="U.S.A."/>
    <s v="Kern Oil &amp; Refining Company"/>
    <x v="42"/>
    <x v="1"/>
    <x v="3"/>
    <n v="2024"/>
    <n v="1"/>
    <m/>
    <n v="0"/>
    <n v="0"/>
  </r>
  <r>
    <x v="1"/>
    <s v="NA"/>
    <s v="U.S.A."/>
    <s v="BP Products North America Incorporated"/>
    <x v="52"/>
    <x v="6"/>
    <x v="3"/>
    <n v="2024"/>
    <n v="1"/>
    <m/>
    <n v="8.25"/>
    <s v="Planned maintenance - swoop. 4/5-4/19"/>
  </r>
  <r>
    <x v="1"/>
    <s v="NA"/>
    <s v="U.S.A."/>
    <s v="BP Products North America Incorporated"/>
    <x v="52"/>
    <x v="2"/>
    <x v="3"/>
    <n v="2024"/>
    <n v="1"/>
    <m/>
    <n v="31.25"/>
    <s v="Planned maintenance - swoop. 4/5-4/19"/>
  </r>
  <r>
    <x v="1"/>
    <s v="NA"/>
    <s v="U.S.A."/>
    <s v="Chevron Corporation"/>
    <x v="53"/>
    <x v="2"/>
    <x v="3"/>
    <n v="2024"/>
    <n v="1"/>
    <m/>
    <n v="21.25"/>
    <s v="Palnned Cdu outage 4/15-5/24"/>
  </r>
  <r>
    <x v="1"/>
    <s v="NA"/>
    <s v="U.S.A."/>
    <s v="Martinez Refining Company LLC"/>
    <x v="54"/>
    <x v="6"/>
    <x v="3"/>
    <n v="2024"/>
    <n v="1"/>
    <m/>
    <n v="0.58666666666666667"/>
    <s v="Apr 22-may 17th updated from original plan 5/15-6/14 for ref/coker/hdc"/>
  </r>
  <r>
    <x v="1"/>
    <s v="NA"/>
    <s v="U.S.A."/>
    <s v="Martinez Refining Company LLC"/>
    <x v="54"/>
    <x v="5"/>
    <x v="3"/>
    <n v="2024"/>
    <n v="1"/>
    <m/>
    <n v="0.55999999999999994"/>
    <s v="Apr 22-may 17th updated from original plan 5/15-6/14 for ref/coker/hdc"/>
  </r>
  <r>
    <x v="1"/>
    <s v="NA"/>
    <s v="U.S.A."/>
    <s v="Martinez Refining Company LLC"/>
    <x v="54"/>
    <x v="0"/>
    <x v="3"/>
    <n v="2024"/>
    <n v="1"/>
    <m/>
    <n v="6.8"/>
    <s v="Apr 22-may 17th updated from original plan 5/15-6/14 for ref/coker/hdc"/>
  </r>
  <r>
    <x v="1"/>
    <s v="NA"/>
    <s v="U.S.A."/>
    <s v="HF Sinclair Corporation"/>
    <x v="43"/>
    <x v="3"/>
    <x v="3"/>
    <n v="2024"/>
    <n v="1"/>
    <m/>
    <n v="27.066666667"/>
    <s v="Planned maintenance."/>
  </r>
  <r>
    <x v="1"/>
    <s v="NA"/>
    <s v="U.S.A."/>
    <s v="HF Sinclair Corporation"/>
    <x v="43"/>
    <x v="4"/>
    <x v="3"/>
    <n v="2024"/>
    <n v="1"/>
    <m/>
    <n v="9.24"/>
    <s v="Planned maintenance."/>
  </r>
  <r>
    <x v="1"/>
    <s v="NA"/>
    <s v="U.S.A."/>
    <s v="Petro Star Incorporated"/>
    <x v="55"/>
    <x v="2"/>
    <x v="3"/>
    <n v="2024"/>
    <n v="1"/>
    <m/>
    <n v="0.24"/>
    <s v="Planned maintenance."/>
  </r>
  <r>
    <x v="2"/>
    <s v="NA"/>
    <s v="U.S.A."/>
    <s v="Paulsboro Refining Company"/>
    <x v="16"/>
    <x v="2"/>
    <x v="4"/>
    <n v="2024"/>
    <n v="1"/>
    <m/>
    <n v="8.1612903225806459"/>
    <s v="Moved from 2/1 start to 4/1-5/23"/>
  </r>
  <r>
    <x v="3"/>
    <s v="NA"/>
    <s v="U.S.A."/>
    <s v="Toledo Refining Company LLC"/>
    <x v="33"/>
    <x v="0"/>
    <x v="4"/>
    <n v="2024"/>
    <n v="1"/>
    <m/>
    <n v="0"/>
    <s v="Moved from May to 3/29-5/7. No 3/1-4/10"/>
  </r>
  <r>
    <x v="3"/>
    <s v="NA"/>
    <s v="U.S.A."/>
    <s v="Toledo Refining Company LLC"/>
    <x v="33"/>
    <x v="2"/>
    <x v="4"/>
    <n v="2024"/>
    <n v="1"/>
    <m/>
    <n v="0"/>
    <s v="Moved from May to 3/29-5/7. No 3/1-4/10"/>
  </r>
  <r>
    <x v="3"/>
    <s v="NA"/>
    <s v="U.S.A."/>
    <s v="Toledo Refining Company LLC"/>
    <x v="33"/>
    <x v="4"/>
    <x v="4"/>
    <n v="2024"/>
    <n v="1"/>
    <m/>
    <n v="0"/>
    <s v="Moved from May to 3/29-5/7. No 3/1-4/10"/>
  </r>
  <r>
    <x v="3"/>
    <s v="NA"/>
    <s v="U.S.A."/>
    <s v="Cenovus Energy Incorporated"/>
    <x v="44"/>
    <x v="4"/>
    <x v="4"/>
    <n v="2024"/>
    <n v="1"/>
    <m/>
    <n v="2"/>
    <s v="Planned Ta mid April - mid-May"/>
  </r>
  <r>
    <x v="3"/>
    <s v="NA"/>
    <s v="U.S.A."/>
    <s v="Countrymark Cooperative LLP"/>
    <x v="45"/>
    <x v="2"/>
    <x v="4"/>
    <n v="2024"/>
    <n v="1"/>
    <m/>
    <n v="2.032258064516129"/>
    <s v="Maintenance planned for April 2024"/>
  </r>
  <r>
    <x v="3"/>
    <s v="NA"/>
    <s v="U.S.A."/>
    <s v="Marathon Petroleum Corporation"/>
    <x v="46"/>
    <x v="0"/>
    <x v="4"/>
    <n v="2024"/>
    <n v="1"/>
    <m/>
    <n v="5.5250000000000004"/>
    <s v="On schedule for April 2024"/>
  </r>
  <r>
    <x v="3"/>
    <s v="NA"/>
    <s v="U.S.A."/>
    <s v="Marathon Petroleum Corporation"/>
    <x v="46"/>
    <x v="9"/>
    <x v="4"/>
    <n v="2024"/>
    <n v="1"/>
    <m/>
    <n v="0"/>
    <s v="On schedule for April 2024"/>
  </r>
  <r>
    <x v="3"/>
    <s v="NA"/>
    <s v="U.S.A."/>
    <s v="Marathon Petroleum Corporation"/>
    <x v="46"/>
    <x v="1"/>
    <x v="4"/>
    <n v="2024"/>
    <n v="1"/>
    <m/>
    <n v="0"/>
    <s v="*"/>
  </r>
  <r>
    <x v="3"/>
    <s v="NA"/>
    <s v="U.S.A."/>
    <s v="Marathon Petroleum Corporation"/>
    <x v="46"/>
    <x v="2"/>
    <x v="4"/>
    <n v="2024"/>
    <n v="1"/>
    <m/>
    <n v="3.8"/>
    <s v="On schedule for April 2024"/>
  </r>
  <r>
    <x v="3"/>
    <s v="NA"/>
    <s v="U.S.A."/>
    <s v="Marathon Petroleum Corporation"/>
    <x v="46"/>
    <x v="3"/>
    <x v="4"/>
    <n v="2024"/>
    <n v="1"/>
    <m/>
    <n v="7.54"/>
    <s v="On schedule for April 2024"/>
  </r>
  <r>
    <x v="3"/>
    <s v="NA"/>
    <s v="U.S.A."/>
    <s v="Marathon Petroleum Corporation"/>
    <x v="46"/>
    <x v="4"/>
    <x v="4"/>
    <n v="2024"/>
    <n v="1"/>
    <m/>
    <n v="2.25"/>
    <s v="Remains on schedule for Spring 2024."/>
  </r>
  <r>
    <x v="3"/>
    <s v="NA"/>
    <s v="U.S.A."/>
    <s v="CITGO Petroleum Corporation"/>
    <x v="47"/>
    <x v="2"/>
    <x v="4"/>
    <n v="2024"/>
    <n v="1"/>
    <m/>
    <n v="12.193548387096774"/>
    <s v="Pulled from 2025 to 4/1-5/21"/>
  </r>
  <r>
    <x v="3"/>
    <s v="NA"/>
    <s v="U.S.A."/>
    <s v="CITGO Petroleum Corporation"/>
    <x v="47"/>
    <x v="3"/>
    <x v="4"/>
    <n v="2024"/>
    <n v="1"/>
    <m/>
    <n v="25.979032258064517"/>
    <s v="Pulled from 2025 to 4/1-5/21"/>
  </r>
  <r>
    <x v="3"/>
    <s v="NA"/>
    <s v="U.S.A."/>
    <s v="CITGO Petroleum Corporation"/>
    <x v="47"/>
    <x v="4"/>
    <x v="4"/>
    <n v="2024"/>
    <n v="1"/>
    <m/>
    <n v="2.370967741935484"/>
    <s v="Pulled from 2025 to 4/1-5/21"/>
  </r>
  <r>
    <x v="3"/>
    <s v="NA"/>
    <s v="U.S.A."/>
    <s v="CITGO Petroleum Corporation"/>
    <x v="47"/>
    <x v="0"/>
    <x v="4"/>
    <n v="2024"/>
    <n v="1"/>
    <m/>
    <n v="16.122580645161289"/>
    <s v="Pulled from 2025 to 4/1-5/21"/>
  </r>
  <r>
    <x v="3"/>
    <s v="NA"/>
    <s v="U.S.A."/>
    <s v="CITGO Petroleum Corporation"/>
    <x v="47"/>
    <x v="6"/>
    <x v="4"/>
    <n v="2024"/>
    <n v="1"/>
    <m/>
    <n v="1.2193548387096775"/>
    <s v="Pulled from 2025 to 4/1-5/21"/>
  </r>
  <r>
    <x v="3"/>
    <s v="NA"/>
    <s v="U.S.A."/>
    <s v="ExxonMobil"/>
    <x v="48"/>
    <x v="2"/>
    <x v="4"/>
    <n v="2024"/>
    <n v="1"/>
    <m/>
    <n v="13.064516129032258"/>
    <s v="Joliet T/A April - Mid May"/>
  </r>
  <r>
    <x v="3"/>
    <s v="NA"/>
    <s v="U.S.A."/>
    <s v="ExxonMobil"/>
    <x v="48"/>
    <x v="3"/>
    <x v="4"/>
    <n v="2024"/>
    <n v="1"/>
    <m/>
    <n v="28.306451612903224"/>
    <s v="Joliet T/A April - Mid May"/>
  </r>
  <r>
    <x v="3"/>
    <s v="NA"/>
    <s v="U.S.A."/>
    <s v="ExxonMobil"/>
    <x v="48"/>
    <x v="4"/>
    <x v="4"/>
    <n v="2024"/>
    <n v="1"/>
    <m/>
    <n v="2.4193548387096775"/>
    <s v="Joliet T/A April - Mid May"/>
  </r>
  <r>
    <x v="3"/>
    <s v="NA"/>
    <s v="U.S.A."/>
    <s v="ExxonMobil"/>
    <x v="48"/>
    <x v="0"/>
    <x v="4"/>
    <n v="2024"/>
    <n v="1"/>
    <m/>
    <n v="20.56451612903226"/>
    <s v="Joliet T/A April - Mid May"/>
  </r>
  <r>
    <x v="3"/>
    <s v="NA"/>
    <s v="U.S.A."/>
    <s v="ExxonMobil"/>
    <x v="48"/>
    <x v="6"/>
    <x v="4"/>
    <n v="2024"/>
    <n v="1"/>
    <m/>
    <n v="2.709677419354839"/>
    <s v="Joliet T/A April - Mid May"/>
  </r>
  <r>
    <x v="0"/>
    <s v="NA"/>
    <s v="U.S.A."/>
    <s v="Chevron Corporation"/>
    <x v="39"/>
    <x v="0"/>
    <x v="4"/>
    <n v="2024"/>
    <n v="1"/>
    <m/>
    <n v="5.9225806451612906"/>
    <s v="Ref 3 (24kb) 3/15-5/9"/>
  </r>
  <r>
    <x v="0"/>
    <s v="NA"/>
    <s v="U.S.A."/>
    <s v="Dow Incorporated"/>
    <x v="49"/>
    <x v="7"/>
    <x v="4"/>
    <n v="2024"/>
    <n v="1"/>
    <m/>
    <n v="0"/>
    <n v="0"/>
  </r>
  <r>
    <x v="0"/>
    <s v="NA"/>
    <s v="U.S.A."/>
    <s v="Deer Park Refining LP"/>
    <x v="22"/>
    <x v="5"/>
    <x v="4"/>
    <n v="2024"/>
    <n v="1"/>
    <m/>
    <n v="0.21612903225806451"/>
    <s v="Moved from Sp/Oct to Mar 8 - Apr 6 2024. Now Mar 29 - May 2. Added CDU"/>
  </r>
  <r>
    <x v="0"/>
    <s v="NA"/>
    <s v="U.S.A."/>
    <s v="Deer Park Refining LP"/>
    <x v="22"/>
    <x v="2"/>
    <x v="4"/>
    <n v="2024"/>
    <n v="1"/>
    <m/>
    <n v="1.129032258064516"/>
    <s v="Moved from Sp/Oct to Mar 8 - Apr 6 2024. Now Mar 29 - May 2. Added CDU"/>
  </r>
  <r>
    <x v="0"/>
    <s v="NA"/>
    <s v="U.S.A."/>
    <s v="CITGO Petroleum Corporation"/>
    <x v="56"/>
    <x v="0"/>
    <x v="4"/>
    <n v="2024"/>
    <n v="1"/>
    <m/>
    <n v="13.161290322580646"/>
    <s v="Updated timing from 3/15-4/25 to 5/6-6/28"/>
  </r>
  <r>
    <x v="0"/>
    <s v="NA"/>
    <s v="U.S.A."/>
    <s v="CITGO Petroleum Corporation"/>
    <x v="56"/>
    <x v="1"/>
    <x v="4"/>
    <n v="2024"/>
    <n v="1"/>
    <m/>
    <n v="0"/>
    <s v="Updated timing from 3/15-4/25 to 5/6-6/28"/>
  </r>
  <r>
    <x v="0"/>
    <s v="NA"/>
    <s v="U.S.A."/>
    <s v="CITGO Petroleum Corporation"/>
    <x v="56"/>
    <x v="6"/>
    <x v="4"/>
    <n v="2024"/>
    <n v="1"/>
    <m/>
    <n v="2.2709677419354839"/>
    <s v="Updated timing from 3/15-4/25 to 5/6-6/28"/>
  </r>
  <r>
    <x v="0"/>
    <s v="NA"/>
    <s v="U.S.A."/>
    <s v="Buckeye Texas Processing LLC"/>
    <x v="57"/>
    <x v="10"/>
    <x v="4"/>
    <n v="2024"/>
    <n v="1"/>
    <m/>
    <n v="0"/>
    <s v="Planned turnaround."/>
  </r>
  <r>
    <x v="0"/>
    <s v="NA"/>
    <s v="U.S.A."/>
    <s v="WRB Refining LP"/>
    <x v="25"/>
    <x v="9"/>
    <x v="4"/>
    <n v="2024"/>
    <n v="1"/>
    <m/>
    <n v="0"/>
    <s v="Catalyst."/>
  </r>
  <r>
    <x v="0"/>
    <s v="NA"/>
    <s v="U.S.A."/>
    <s v="WRB Refining LP"/>
    <x v="25"/>
    <x v="1"/>
    <x v="4"/>
    <n v="2024"/>
    <n v="1"/>
    <m/>
    <n v="0"/>
    <s v="Catalyst."/>
  </r>
  <r>
    <x v="0"/>
    <s v="NA"/>
    <s v="U.S.A."/>
    <s v="Valero Refining Company"/>
    <x v="50"/>
    <x v="5"/>
    <x v="4"/>
    <n v="2024"/>
    <n v="1"/>
    <m/>
    <n v="5.5E-2"/>
    <s v="5 year run"/>
  </r>
  <r>
    <x v="0"/>
    <s v="NA"/>
    <s v="U.S.A."/>
    <s v="INEOS Olefins &amp; Polymers"/>
    <x v="40"/>
    <x v="7"/>
    <x v="4"/>
    <n v="2024"/>
    <n v="1"/>
    <m/>
    <n v="0"/>
    <n v="0"/>
  </r>
  <r>
    <x v="4"/>
    <s v="NA"/>
    <s v="U.S.A."/>
    <s v="HF Sinclair Corporation"/>
    <x v="51"/>
    <x v="0"/>
    <x v="4"/>
    <n v="2024"/>
    <n v="1"/>
    <m/>
    <n v="4.76"/>
    <n v="0"/>
  </r>
  <r>
    <x v="4"/>
    <s v="NA"/>
    <s v="U.S.A."/>
    <s v="Silver Eagle Refining Incorporated"/>
    <x v="58"/>
    <x v="0"/>
    <x v="4"/>
    <n v="2024"/>
    <n v="1"/>
    <m/>
    <n v="0.85"/>
    <s v="Planned Refinery Wide Maintenance for May 2024."/>
  </r>
  <r>
    <x v="4"/>
    <s v="NA"/>
    <s v="U.S.A."/>
    <s v="Silver Eagle Refining Incorporated"/>
    <x v="58"/>
    <x v="1"/>
    <x v="4"/>
    <n v="2024"/>
    <n v="1"/>
    <m/>
    <n v="0"/>
    <s v="Planned Refinery Wide Maintenance for May 2024."/>
  </r>
  <r>
    <x v="4"/>
    <s v="NA"/>
    <s v="U.S.A."/>
    <s v="Silver Eagle Refining Incorporated"/>
    <x v="58"/>
    <x v="2"/>
    <x v="4"/>
    <n v="2024"/>
    <n v="1"/>
    <m/>
    <n v="5.6666666999999997E-2"/>
    <s v="Planned Refinery Wide Maintenance for May 2024."/>
  </r>
  <r>
    <x v="1"/>
    <s v="NA"/>
    <s v="U.S.A."/>
    <s v="BP Products North America Incorporated"/>
    <x v="52"/>
    <x v="6"/>
    <x v="4"/>
    <n v="2024"/>
    <n v="1"/>
    <m/>
    <n v="0"/>
    <s v="Planned maintenance - swoop. 4/5-4/19"/>
  </r>
  <r>
    <x v="1"/>
    <s v="NA"/>
    <s v="U.S.A."/>
    <s v="Chevron Corporation"/>
    <x v="53"/>
    <x v="2"/>
    <x v="4"/>
    <n v="2024"/>
    <n v="1"/>
    <m/>
    <n v="32.903225806451616"/>
    <s v="Palnned Cdu outage 4/15-5/24"/>
  </r>
  <r>
    <x v="1"/>
    <s v="NA"/>
    <s v="U.S.A."/>
    <s v="Martinez Refining Company LLC"/>
    <x v="54"/>
    <x v="6"/>
    <x v="4"/>
    <n v="2024"/>
    <n v="1"/>
    <m/>
    <n v="1.2064516129032257"/>
    <s v="Apr 22-may 17th updated from original plan 5/15-6/14 for ref/coker/hdc"/>
  </r>
  <r>
    <x v="1"/>
    <s v="NA"/>
    <s v="U.S.A."/>
    <s v="Martinez Refining Company LLC"/>
    <x v="54"/>
    <x v="5"/>
    <x v="4"/>
    <n v="2024"/>
    <n v="1"/>
    <m/>
    <n v="1.1516129032258065"/>
    <s v="Apr 22-may 17th updated from original plan 5/15-6/14 for ref/coker/hdc"/>
  </r>
  <r>
    <x v="1"/>
    <s v="NA"/>
    <s v="U.S.A."/>
    <s v="Martinez Refining Company LLC"/>
    <x v="54"/>
    <x v="0"/>
    <x v="4"/>
    <n v="2024"/>
    <n v="1"/>
    <m/>
    <n v="13.983870967741932"/>
    <s v="Apr 22-may 17th updated from original plan 5/15-6/14 for ref/coker/hdc"/>
  </r>
  <r>
    <x v="1"/>
    <s v="NA"/>
    <s v="U.S.A."/>
    <s v="Petro Star Incorporated"/>
    <x v="59"/>
    <x v="2"/>
    <x v="4"/>
    <n v="2024"/>
    <n v="1"/>
    <n v="0.7"/>
    <n v="3.8499999999999996"/>
    <s v="Planned CDU 22 kbd may 9-18"/>
  </r>
  <r>
    <x v="1"/>
    <s v="NA"/>
    <s v="U.S.A."/>
    <s v="Chevron Corporation"/>
    <x v="60"/>
    <x v="2"/>
    <x v="4"/>
    <n v="2024"/>
    <n v="1"/>
    <m/>
    <n v="19.354838709677416"/>
    <s v="Planned TA CDU (240kbd), FCC (80), alky (20), Ref (68). 5/6-6/4"/>
  </r>
  <r>
    <x v="1"/>
    <s v="NA"/>
    <s v="U.S.A."/>
    <s v="Chevron Corporation"/>
    <x v="60"/>
    <x v="3"/>
    <x v="4"/>
    <n v="2024"/>
    <n v="1"/>
    <m/>
    <n v="41.935483870967737"/>
    <s v="Planned TA CDU (240kbd), FCC (80), alky (20), Ref (68). 5/6-6/4"/>
  </r>
  <r>
    <x v="1"/>
    <s v="NA"/>
    <s v="U.S.A."/>
    <s v="Chevron Corporation"/>
    <x v="60"/>
    <x v="0"/>
    <x v="4"/>
    <n v="2024"/>
    <n v="1"/>
    <m/>
    <n v="46.612903225806448"/>
    <s v="Planned TA CDU (240kbd), FCC (80), alky (20), Ref (68). 5/6-6/4"/>
  </r>
  <r>
    <x v="1"/>
    <s v="NA"/>
    <s v="U.S.A."/>
    <s v="Petro Star Incorporated"/>
    <x v="55"/>
    <x v="2"/>
    <x v="4"/>
    <n v="2024"/>
    <n v="1"/>
    <m/>
    <n v="0.96"/>
    <s v="Planned maintenance."/>
  </r>
  <r>
    <x v="2"/>
    <s v="NA"/>
    <s v="U.S.A."/>
    <s v="The International Group Incorporated"/>
    <x v="61"/>
    <x v="8"/>
    <x v="5"/>
    <n v="2024"/>
    <n v="1"/>
    <m/>
    <n v="0"/>
    <s v="Confirmed on a 4 year run"/>
  </r>
  <r>
    <x v="0"/>
    <s v="NA"/>
    <s v="U.S.A."/>
    <s v="Dow Incorporated"/>
    <x v="49"/>
    <x v="7"/>
    <x v="5"/>
    <n v="2024"/>
    <n v="1"/>
    <m/>
    <n v="0"/>
    <n v="0"/>
  </r>
  <r>
    <x v="0"/>
    <s v="NA"/>
    <s v="U.S.A."/>
    <s v="CITGO Petroleum Corporation"/>
    <x v="56"/>
    <x v="0"/>
    <x v="5"/>
    <n v="2024"/>
    <n v="1"/>
    <m/>
    <n v="23.8"/>
    <s v="Updated timing from 3/15-4/25 to 5/6-6/28"/>
  </r>
  <r>
    <x v="0"/>
    <s v="NA"/>
    <s v="U.S.A."/>
    <s v="CITGO Petroleum Corporation"/>
    <x v="56"/>
    <x v="1"/>
    <x v="5"/>
    <n v="2024"/>
    <n v="1"/>
    <m/>
    <n v="0"/>
    <s v="Updated timing from 3/15-4/25 to 5/6-6/28"/>
  </r>
  <r>
    <x v="0"/>
    <s v="NA"/>
    <s v="U.S.A."/>
    <s v="CITGO Petroleum Corporation"/>
    <x v="56"/>
    <x v="6"/>
    <x v="5"/>
    <n v="2024"/>
    <n v="1"/>
    <m/>
    <n v="4.1066666666666674"/>
    <s v="Updated timing from 3/15-4/25 to 5/6-6/28"/>
  </r>
  <r>
    <x v="0"/>
    <s v="NA"/>
    <s v="U.S.A."/>
    <s v="ExxonMobil Corporation"/>
    <x v="26"/>
    <x v="3"/>
    <x v="5"/>
    <n v="2024"/>
    <n v="1"/>
    <m/>
    <n v="16.25"/>
    <s v="Colonial outage in June"/>
  </r>
  <r>
    <x v="0"/>
    <s v="NA"/>
    <s v="U.S.A."/>
    <s v="ExxonMobil Corporation"/>
    <x v="26"/>
    <x v="2"/>
    <x v="5"/>
    <n v="2024"/>
    <n v="1"/>
    <m/>
    <n v="15"/>
    <s v="Colonial outage in June"/>
  </r>
  <r>
    <x v="1"/>
    <s v="NA"/>
    <s v="U.S.A."/>
    <s v="Chevron Corporation"/>
    <x v="60"/>
    <x v="2"/>
    <x v="5"/>
    <n v="2024"/>
    <n v="1"/>
    <m/>
    <n v="3.2"/>
    <s v="Planned TA CDU (240kbd), FCC (80), alky (20), Ref (68). 5/6-6/4"/>
  </r>
  <r>
    <x v="1"/>
    <s v="NA"/>
    <s v="U.S.A."/>
    <s v="Chevron Corporation"/>
    <x v="60"/>
    <x v="3"/>
    <x v="5"/>
    <n v="2024"/>
    <n v="1"/>
    <m/>
    <n v="6.9333333333333336"/>
    <s v="Planned TA CDU (240kbd), FCC (80), alky (20), Ref (68). 5/6-6/4"/>
  </r>
  <r>
    <x v="1"/>
    <s v="NA"/>
    <s v="U.S.A."/>
    <s v="Chevron Corporation"/>
    <x v="60"/>
    <x v="0"/>
    <x v="5"/>
    <n v="2024"/>
    <n v="1"/>
    <m/>
    <n v="7.7066666666666661"/>
    <s v="Planned TA CDU (240kbd), FCC (80), alky (20), Ref (68). 5/6-6/4"/>
  </r>
  <r>
    <x v="1"/>
    <s v="NA"/>
    <s v="U.S.A."/>
    <s v="Phillips 66"/>
    <x v="30"/>
    <x v="3"/>
    <x v="5"/>
    <n v="2024"/>
    <n v="1"/>
    <m/>
    <n v="15.166666666666666"/>
    <s v="Added planned Ta for FCC 6/1-16"/>
  </r>
  <r>
    <x v="1"/>
    <s v="NA"/>
    <s v="U.S.A."/>
    <s v="Phillips 66"/>
    <x v="30"/>
    <x v="3"/>
    <x v="5"/>
    <n v="2024"/>
    <n v="1"/>
    <m/>
    <n v="15.166666666666666"/>
    <s v="Added planned Ta for FCC 6/1-16"/>
  </r>
  <r>
    <x v="3"/>
    <s v="NA"/>
    <s v="U.S.A."/>
    <s v="Toledo Refining Company LLC"/>
    <x v="33"/>
    <x v="1"/>
    <x v="6"/>
    <n v="2024"/>
    <n v="1"/>
    <m/>
    <n v="0"/>
    <s v="Planned maintenance."/>
  </r>
  <r>
    <x v="3"/>
    <s v="NA"/>
    <s v="U.S.A."/>
    <s v="Toledo Refining Company LLC"/>
    <x v="33"/>
    <x v="2"/>
    <x v="6"/>
    <n v="2024"/>
    <n v="1"/>
    <m/>
    <n v="3.916666666666667"/>
    <n v="0"/>
  </r>
  <r>
    <x v="3"/>
    <s v="NA"/>
    <s v="U.S.A."/>
    <s v="Toledo Refining Company LLC"/>
    <x v="33"/>
    <x v="4"/>
    <x v="6"/>
    <n v="2024"/>
    <n v="1"/>
    <m/>
    <n v="0"/>
    <s v="Planned maintenance."/>
  </r>
  <r>
    <x v="0"/>
    <s v="NA"/>
    <s v="U.S.A."/>
    <s v="Valero Refining Company"/>
    <x v="62"/>
    <x v="8"/>
    <x v="6"/>
    <n v="2024"/>
    <n v="1"/>
    <m/>
    <n v="0"/>
    <s v="Accelerated from October, 2024 to July, 2024. major turnaround. Moved from 7/12-8/22 to now 8/2-9/12"/>
  </r>
  <r>
    <x v="0"/>
    <s v="NA"/>
    <s v="U.S.A."/>
    <s v="Indorama Ventures Oxides &amp; Glycols LLC"/>
    <x v="63"/>
    <x v="7"/>
    <x v="6"/>
    <n v="2024"/>
    <n v="1"/>
    <m/>
    <n v="0"/>
    <n v="0"/>
  </r>
  <r>
    <x v="0"/>
    <s v="NA"/>
    <s v="U.S.A."/>
    <s v="ExxonMobil Corporation"/>
    <x v="26"/>
    <x v="6"/>
    <x v="6"/>
    <n v="2024"/>
    <n v="1"/>
    <m/>
    <n v="6.67741935483871"/>
    <s v="CUB down for top off now 7/8-8/8"/>
  </r>
  <r>
    <x v="0"/>
    <s v="NA"/>
    <s v="U.S.A."/>
    <s v="ExxonMobil Corporation"/>
    <x v="26"/>
    <x v="2"/>
    <x v="6"/>
    <n v="2024"/>
    <n v="1"/>
    <m/>
    <n v="43.588709677419352"/>
    <s v="CUB down for top off now 7/8-8/8"/>
  </r>
  <r>
    <x v="0"/>
    <s v="NA"/>
    <s v="U.S.A."/>
    <s v="Hunt Refining Company"/>
    <x v="64"/>
    <x v="6"/>
    <x v="6"/>
    <n v="2025"/>
    <n v="1"/>
    <n v="0.64516129032258063"/>
    <n v="6.193548387096774"/>
    <s v="32 kbd DCU down 7/11-8/9"/>
  </r>
  <r>
    <x v="3"/>
    <s v="NA"/>
    <s v="U.S.A."/>
    <s v="Flint Hills Resources LLC"/>
    <x v="65"/>
    <x v="2"/>
    <x v="7"/>
    <n v="2024"/>
    <n v="1"/>
    <n v="0"/>
    <n v="0"/>
    <s v="CDU outage was cancelled"/>
  </r>
  <r>
    <x v="0"/>
    <s v="NA"/>
    <s v="U.S.A."/>
    <s v="Valero Refining Company"/>
    <x v="62"/>
    <x v="8"/>
    <x v="7"/>
    <n v="2024"/>
    <n v="1"/>
    <m/>
    <n v="0"/>
    <s v="Accelerated from October, 2024 to July, 2024. major turnaround. Moved from 7/12-8/22 to now 8/2-9/12"/>
  </r>
  <r>
    <x v="0"/>
    <s v="NA"/>
    <s v="U.S.A."/>
    <s v="Valero Refining Company"/>
    <x v="62"/>
    <x v="0"/>
    <x v="7"/>
    <n v="2024"/>
    <n v="1"/>
    <m/>
    <n v="22.264516129032259"/>
    <s v="Accelerated from October, 2024 to July, 2024. major turnaround. Moved from 7/12-8/22 to now 8/2-9/12"/>
  </r>
  <r>
    <x v="0"/>
    <s v="NA"/>
    <s v="U.S.A."/>
    <s v="Valero Refining Company"/>
    <x v="62"/>
    <x v="2"/>
    <x v="7"/>
    <n v="2024"/>
    <n v="1"/>
    <m/>
    <n v="10.758064516129032"/>
    <s v="Accelerated from October, 2024 to July, 2024. major turnaround. Moved from 7/12-8/22 to now 8/2-9/12"/>
  </r>
  <r>
    <x v="0"/>
    <s v="NA"/>
    <s v="U.S.A."/>
    <s v="Valero Refining Company"/>
    <x v="62"/>
    <x v="3"/>
    <x v="7"/>
    <n v="2024"/>
    <n v="1"/>
    <m/>
    <n v="46.21290322580645"/>
    <s v="Accelerated from October, 2024 to July, 2024. major turnaround. Moved from 7/12-8/22 to now 8/2-9/12"/>
  </r>
  <r>
    <x v="0"/>
    <s v="NA"/>
    <s v="U.S.A."/>
    <s v="Valero Refining Company"/>
    <x v="62"/>
    <x v="4"/>
    <x v="7"/>
    <n v="2024"/>
    <n v="1"/>
    <m/>
    <n v="4.8449999999999998"/>
    <s v="Accelerated from October, 2024 to July, 2024. major turnaround. Moved from 7/12-8/22 to now 8/2-9/12"/>
  </r>
  <r>
    <x v="0"/>
    <s v="NA"/>
    <s v="U.S.A."/>
    <s v="Eastman Chemical Company"/>
    <x v="66"/>
    <x v="7"/>
    <x v="7"/>
    <n v="2024"/>
    <n v="1"/>
    <m/>
    <n v="0"/>
    <s v="Start date is tentative."/>
  </r>
  <r>
    <x v="0"/>
    <s v="NA"/>
    <s v="U.S.A."/>
    <s v="CITGO Petroleum Corporation"/>
    <x v="5"/>
    <x v="0"/>
    <x v="7"/>
    <n v="2024"/>
    <n v="1"/>
    <m/>
    <n v="0"/>
    <s v="Citgo Lake Chalres planned work 8/9 - 10/23 - However, only taking Sep/Oct since 90 days seems too long for Secondary unit turnarounds"/>
  </r>
  <r>
    <x v="0"/>
    <s v="NA"/>
    <s v="U.S.A."/>
    <s v="CITGO Petroleum Corporation"/>
    <x v="5"/>
    <x v="1"/>
    <x v="7"/>
    <n v="2024"/>
    <n v="1"/>
    <m/>
    <n v="0"/>
    <s v="Citgo Lake Chalres planned work 8/9 - 10/23 - However, only taking Sep/Oct since 90 days seems too long for Secondary unit turnarounds"/>
  </r>
  <r>
    <x v="0"/>
    <s v="NA"/>
    <s v="U.S.A."/>
    <s v="ExxonMobil Corporation"/>
    <x v="26"/>
    <x v="6"/>
    <x v="7"/>
    <n v="2024"/>
    <n v="1"/>
    <m/>
    <n v="2.3225806451612905"/>
    <s v="CUB down for top off now 7/8-8/8"/>
  </r>
  <r>
    <x v="0"/>
    <s v="NA"/>
    <s v="U.S.A."/>
    <s v="ExxonMobil Corporation"/>
    <x v="26"/>
    <x v="2"/>
    <x v="7"/>
    <n v="2024"/>
    <n v="1"/>
    <m/>
    <n v="15.161290322580646"/>
    <s v="CUB down for top off now 7/8-8/8"/>
  </r>
  <r>
    <x v="0"/>
    <s v="NA"/>
    <s v="U.S.A."/>
    <s v="Hunt Refining Company"/>
    <x v="64"/>
    <x v="6"/>
    <x v="7"/>
    <n v="2025"/>
    <n v="1"/>
    <n v="0.64516129032258063"/>
    <n v="6.193548387096774"/>
    <s v="32 kbd DCU down 7/11-8/9"/>
  </r>
  <r>
    <x v="4"/>
    <s v="NA"/>
    <s v="U.S.A."/>
    <s v="Par Pacific Holdings Incorporated"/>
    <x v="67"/>
    <x v="8"/>
    <x v="7"/>
    <n v="2024"/>
    <n v="1"/>
    <m/>
    <n v="0"/>
    <s v="Changed to coker Ta not FCC/alky 8/1-9/29"/>
  </r>
  <r>
    <x v="4"/>
    <s v="NA"/>
    <s v="U.S.A."/>
    <s v="Par Pacific Holdings Incorporated"/>
    <x v="67"/>
    <x v="1"/>
    <x v="7"/>
    <n v="2024"/>
    <n v="1"/>
    <m/>
    <n v="0"/>
    <s v="Changed to coker Ta not FCC/alky 8/1-9/29"/>
  </r>
  <r>
    <x v="4"/>
    <s v="NA"/>
    <s v="U.S.A."/>
    <s v="Par Pacific Holdings Incorporated"/>
    <x v="67"/>
    <x v="6"/>
    <x v="7"/>
    <n v="2024"/>
    <n v="1"/>
    <m/>
    <n v="3"/>
    <s v="Changed to coker Ta not FCC/alky 8/1-9/29"/>
  </r>
  <r>
    <x v="4"/>
    <s v="NA"/>
    <s v="U.S.A."/>
    <s v="Par Pacific Holdings Incorporated"/>
    <x v="67"/>
    <x v="3"/>
    <x v="7"/>
    <n v="2024"/>
    <n v="1"/>
    <m/>
    <n v="0"/>
    <s v="Changed to coker Ta not FCC/alky 8/1-9/29"/>
  </r>
  <r>
    <x v="4"/>
    <s v="NA"/>
    <s v="U.S.A."/>
    <s v="Par Pacific Holdings Incorporated"/>
    <x v="67"/>
    <x v="4"/>
    <x v="7"/>
    <n v="2024"/>
    <n v="1"/>
    <m/>
    <n v="0"/>
    <s v="Changed to coker Ta not FCC/alky 8/1-9/29"/>
  </r>
  <r>
    <x v="1"/>
    <s v="NA"/>
    <s v="U.S.A."/>
    <s v="Chevron Corporation"/>
    <x v="53"/>
    <x v="3"/>
    <x v="7"/>
    <n v="2024"/>
    <n v="0.45161290322580644"/>
    <m/>
    <n v="21.429032258064517"/>
    <s v="Palnned FCC TA 8/3-16. Added on 8/3"/>
  </r>
  <r>
    <x v="2"/>
    <s v="NA"/>
    <s v="U.S.A."/>
    <s v="Monroe Energy LLC"/>
    <x v="68"/>
    <x v="3"/>
    <x v="8"/>
    <n v="2024"/>
    <n v="1"/>
    <m/>
    <n v="34.450000000000003"/>
    <n v="0"/>
  </r>
  <r>
    <x v="2"/>
    <s v="NA"/>
    <s v="U.S.A."/>
    <s v="Monroe Energy LLC"/>
    <x v="68"/>
    <x v="8"/>
    <x v="8"/>
    <n v="2024"/>
    <n v="1"/>
    <m/>
    <n v="0"/>
    <n v="0"/>
  </r>
  <r>
    <x v="2"/>
    <s v="NA"/>
    <s v="U.S.A."/>
    <s v="Phillips 66"/>
    <x v="17"/>
    <x v="8"/>
    <x v="8"/>
    <n v="2024"/>
    <n v="1"/>
    <m/>
    <n v="0"/>
    <n v="0"/>
  </r>
  <r>
    <x v="3"/>
    <s v="NA"/>
    <s v="U.S.A."/>
    <s v="BP Products North America Incorporated"/>
    <x v="69"/>
    <x v="0"/>
    <x v="8"/>
    <n v="2024"/>
    <n v="1"/>
    <m/>
    <n v="27.625"/>
    <s v="Original outage 9/6-9/20. Now Cdu and Coker only starting Jul 26 - Sep 24. moved back to 9/6-9/20"/>
  </r>
  <r>
    <x v="3"/>
    <s v="NA"/>
    <s v="U.S.A."/>
    <s v="BP Products North America Incorporated"/>
    <x v="69"/>
    <x v="1"/>
    <x v="8"/>
    <n v="2024"/>
    <n v="1"/>
    <m/>
    <n v="0"/>
    <n v="0"/>
  </r>
  <r>
    <x v="3"/>
    <s v="NA"/>
    <s v="U.S.A."/>
    <s v="BP Products North America Incorporated"/>
    <x v="69"/>
    <x v="6"/>
    <x v="8"/>
    <n v="2024"/>
    <n v="1"/>
    <m/>
    <n v="5.666666666666667"/>
    <s v="9/6-11/4. Moved to starting Jul 26 - Sep 24. moved back to 9/6-11/4"/>
  </r>
  <r>
    <x v="3"/>
    <s v="NA"/>
    <s v="U.S.A."/>
    <s v="BP Products North America Incorporated"/>
    <x v="69"/>
    <x v="2"/>
    <x v="8"/>
    <n v="2024"/>
    <n v="1"/>
    <m/>
    <n v="34"/>
    <s v="9/6-11/4. Moved to starting Jul 26 - Sep 24. moved back to 9/6-11/4"/>
  </r>
  <r>
    <x v="3"/>
    <s v="NA"/>
    <s v="U.S.A."/>
    <s v="HF Sinclair Corporation"/>
    <x v="70"/>
    <x v="8"/>
    <x v="8"/>
    <n v="2024"/>
    <n v="1"/>
    <m/>
    <n v="0"/>
    <s v="Planned maintenance"/>
  </r>
  <r>
    <x v="3"/>
    <s v="NA"/>
    <s v="U.S.A."/>
    <s v="Phillips 66"/>
    <x v="18"/>
    <x v="2"/>
    <x v="8"/>
    <n v="2024"/>
    <n v="1"/>
    <n v="0.2"/>
    <n v="1.9000000000000001"/>
    <s v="Scheduled CDU/Ref 9/24-10/5 and FCC 9/14-23"/>
  </r>
  <r>
    <x v="3"/>
    <s v="NA"/>
    <s v="U.S.A."/>
    <s v="Phillips 66"/>
    <x v="18"/>
    <x v="0"/>
    <x v="8"/>
    <n v="2024"/>
    <n v="1"/>
    <n v="0.2"/>
    <n v="3.4000000000000004"/>
    <s v="Scheduled CDU/Ref 9/24-10/5 and FCC 9/14-23"/>
  </r>
  <r>
    <x v="3"/>
    <s v="NA"/>
    <s v="U.S.A."/>
    <s v="Phillips 66"/>
    <x v="18"/>
    <x v="3"/>
    <x v="8"/>
    <n v="2024"/>
    <n v="1"/>
    <n v="0.53333333333333333"/>
    <n v="9.0133333333333336"/>
    <s v="Scheduled CDU/Ref 9/24-10/5 and FCC 9/14-23"/>
  </r>
  <r>
    <x v="3"/>
    <s v="NA"/>
    <s v="U.S.A."/>
    <s v="Flint Hills Resources LLC"/>
    <x v="65"/>
    <x v="2"/>
    <x v="8"/>
    <n v="2024"/>
    <n v="1"/>
    <n v="0"/>
    <n v="0"/>
    <n v="0"/>
  </r>
  <r>
    <x v="3"/>
    <s v="NA"/>
    <s v="U.S.A."/>
    <s v="Cenovus Energy Incorporated"/>
    <x v="71"/>
    <x v="0"/>
    <x v="8"/>
    <n v="2024"/>
    <n v="1"/>
    <m/>
    <n v="12.466666666666665"/>
    <s v="Reformer down 9/13-9/24"/>
  </r>
  <r>
    <x v="3"/>
    <s v="NA"/>
    <s v="U.S.A."/>
    <s v="Cenovus Energy Incorporated"/>
    <x v="71"/>
    <x v="6"/>
    <x v="8"/>
    <n v="2024"/>
    <n v="1"/>
    <m/>
    <n v="1.7566666666666666"/>
    <s v="Coker down 9/13-10/27"/>
  </r>
  <r>
    <x v="3"/>
    <s v="NA"/>
    <s v="U.S.A."/>
    <s v="Cenovus Energy Incorporated"/>
    <x v="71"/>
    <x v="2"/>
    <x v="8"/>
    <n v="2024"/>
    <n v="0.63600000000000001"/>
    <m/>
    <n v="8.4733333333333327"/>
    <s v="52 kbd CDU down 9/25-10/27 (no reformer with it). 172 kbd CDU down 9/13-9/24 (with a reformer)"/>
  </r>
  <r>
    <x v="3"/>
    <s v="NA"/>
    <s v="U.S.A."/>
    <s v="Cenovus Energy Incorporated"/>
    <x v="71"/>
    <x v="3"/>
    <x v="8"/>
    <n v="2024"/>
    <n v="1"/>
    <m/>
    <n v="16.574999999999999"/>
    <s v="FCC down from 9/13-10/27"/>
  </r>
  <r>
    <x v="3"/>
    <s v="NA"/>
    <s v="U.S.A."/>
    <s v="CITGO Petroleum Corporation"/>
    <x v="47"/>
    <x v="0"/>
    <x v="8"/>
    <n v="2024"/>
    <n v="1"/>
    <m/>
    <n v="13.6"/>
    <s v="Added planned outage for 9/6/24-9/30-24"/>
  </r>
  <r>
    <x v="3"/>
    <s v="NA"/>
    <s v="U.S.A."/>
    <s v="CITGO Petroleum Corporation"/>
    <x v="47"/>
    <x v="0"/>
    <x v="8"/>
    <n v="2024"/>
    <n v="1"/>
    <m/>
    <n v="14.166666666666666"/>
    <s v="Pulled from 2025 to 4/1-5/21"/>
  </r>
  <r>
    <x v="3"/>
    <s v="NA"/>
    <s v="U.S.A."/>
    <s v="HF Sinclair Corporation"/>
    <x v="72"/>
    <x v="2"/>
    <x v="8"/>
    <n v="2024"/>
    <n v="1"/>
    <n v="0.13333333333333333"/>
    <n v="5.5466666666666669"/>
    <n v="0"/>
  </r>
  <r>
    <x v="3"/>
    <s v="NA"/>
    <s v="U.S.A."/>
    <s v="HF Sinclair Corporation"/>
    <x v="72"/>
    <x v="6"/>
    <x v="8"/>
    <n v="2024"/>
    <n v="1"/>
    <n v="0.13333333333333333"/>
    <n v="2.1333333333333333"/>
    <n v="0"/>
  </r>
  <r>
    <x v="3"/>
    <s v="NA"/>
    <s v="U.S.A."/>
    <s v="HF Sinclair Corporation"/>
    <x v="72"/>
    <x v="3"/>
    <x v="8"/>
    <n v="2024"/>
    <n v="1"/>
    <n v="0.13333333333333333"/>
    <n v="5.2"/>
    <n v="0"/>
  </r>
  <r>
    <x v="3"/>
    <s v="NA"/>
    <s v="U.S.A."/>
    <s v="Marathon Petroleum Corporation"/>
    <x v="73"/>
    <x v="8"/>
    <x v="8"/>
    <n v="2024"/>
    <n v="1"/>
    <n v="1"/>
    <n v="0"/>
    <n v="0"/>
  </r>
  <r>
    <x v="3"/>
    <s v="NA"/>
    <s v="U.S.A."/>
    <s v="Marathon Petroleum Corporation"/>
    <x v="73"/>
    <x v="0"/>
    <x v="8"/>
    <n v="2024"/>
    <n v="1"/>
    <n v="1"/>
    <n v="0"/>
    <n v="0"/>
  </r>
  <r>
    <x v="3"/>
    <s v="NA"/>
    <s v="U.S.A."/>
    <s v="Marathon Petroleum Corporation"/>
    <x v="73"/>
    <x v="1"/>
    <x v="8"/>
    <n v="2024"/>
    <n v="1"/>
    <n v="1"/>
    <n v="0"/>
    <n v="0"/>
  </r>
  <r>
    <x v="3"/>
    <s v="NA"/>
    <s v="U.S.A."/>
    <s v="Marathon Petroleum Corporation"/>
    <x v="73"/>
    <x v="6"/>
    <x v="8"/>
    <n v="2024"/>
    <n v="1"/>
    <n v="1"/>
    <n v="0"/>
    <n v="0"/>
  </r>
  <r>
    <x v="3"/>
    <s v="NA"/>
    <s v="U.S.A."/>
    <s v="Marathon Petroleum Corporation"/>
    <x v="73"/>
    <x v="2"/>
    <x v="8"/>
    <n v="2024"/>
    <n v="1"/>
    <n v="1"/>
    <n v="0"/>
    <n v="0"/>
  </r>
  <r>
    <x v="3"/>
    <s v="NA"/>
    <s v="U.S.A."/>
    <s v="Marathon Petroleum Corporation"/>
    <x v="73"/>
    <x v="3"/>
    <x v="8"/>
    <n v="2024"/>
    <n v="1"/>
    <n v="1"/>
    <n v="0"/>
    <n v="0"/>
  </r>
  <r>
    <x v="3"/>
    <s v="NA"/>
    <s v="U.S.A."/>
    <s v="Marathon Petroleum Corporation"/>
    <x v="73"/>
    <x v="4"/>
    <x v="8"/>
    <n v="2024"/>
    <n v="1"/>
    <n v="1"/>
    <n v="0"/>
    <n v="0"/>
  </r>
  <r>
    <x v="3"/>
    <s v="NA"/>
    <s v="U.S.A."/>
    <s v="Marathon Petroleum Corporation"/>
    <x v="73"/>
    <x v="8"/>
    <x v="8"/>
    <n v="2024"/>
    <n v="1"/>
    <n v="0.6"/>
    <n v="0"/>
    <n v="0"/>
  </r>
  <r>
    <x v="3"/>
    <s v="NA"/>
    <s v="U.S.A."/>
    <s v="Marathon Petroleum Corporation"/>
    <x v="73"/>
    <x v="0"/>
    <x v="8"/>
    <n v="2024"/>
    <n v="1"/>
    <n v="0.6"/>
    <n v="11.22"/>
    <n v="0"/>
  </r>
  <r>
    <x v="3"/>
    <s v="NA"/>
    <s v="U.S.A."/>
    <s v="Marathon Petroleum Corporation"/>
    <x v="73"/>
    <x v="1"/>
    <x v="8"/>
    <n v="2024"/>
    <n v="1"/>
    <n v="0.6"/>
    <n v="0"/>
    <n v="0"/>
  </r>
  <r>
    <x v="3"/>
    <s v="NA"/>
    <s v="U.S.A."/>
    <s v="Marathon Petroleum Corporation"/>
    <x v="73"/>
    <x v="6"/>
    <x v="8"/>
    <n v="2024"/>
    <n v="1"/>
    <n v="0.6"/>
    <n v="1.68"/>
    <n v="0"/>
  </r>
  <r>
    <x v="3"/>
    <s v="NA"/>
    <s v="U.S.A."/>
    <s v="Marathon Petroleum Corporation"/>
    <x v="73"/>
    <x v="2"/>
    <x v="8"/>
    <n v="2024"/>
    <n v="1"/>
    <n v="0.6"/>
    <n v="8.82"/>
    <n v="0"/>
  </r>
  <r>
    <x v="3"/>
    <s v="NA"/>
    <s v="U.S.A."/>
    <s v="Marathon Petroleum Corporation"/>
    <x v="73"/>
    <x v="3"/>
    <x v="8"/>
    <n v="2024"/>
    <n v="1"/>
    <n v="0.6"/>
    <n v="23.400000000000002"/>
    <n v="0"/>
  </r>
  <r>
    <x v="3"/>
    <s v="NA"/>
    <s v="U.S.A."/>
    <s v="Marathon Petroleum Corporation"/>
    <x v="73"/>
    <x v="4"/>
    <x v="8"/>
    <n v="2024"/>
    <n v="1"/>
    <n v="0.6"/>
    <n v="5.6999999999999993"/>
    <n v="0"/>
  </r>
  <r>
    <x v="0"/>
    <s v="NA"/>
    <s v="U.S.A."/>
    <s v="Westlake Petrochemicals Corporation"/>
    <x v="74"/>
    <x v="7"/>
    <x v="8"/>
    <n v="2024"/>
    <n v="1"/>
    <m/>
    <n v="0"/>
    <n v="0"/>
  </r>
  <r>
    <x v="0"/>
    <s v="NA"/>
    <s v="U.S.A."/>
    <s v="Calumet Specialty Products Partners LP"/>
    <x v="75"/>
    <x v="8"/>
    <x v="8"/>
    <n v="2024"/>
    <n v="1"/>
    <m/>
    <n v="0"/>
    <s v="Planned Pit Stop for September 2024. If all units are running well by this time, maintenance may get pushed to 1Q25."/>
  </r>
  <r>
    <x v="0"/>
    <s v="NA"/>
    <s v="U.S.A."/>
    <s v="Calumet Specialty Products Partners LP"/>
    <x v="75"/>
    <x v="0"/>
    <x v="8"/>
    <n v="2024"/>
    <n v="1"/>
    <m/>
    <n v="1.586666667"/>
    <s v="Planned Pit Stop for September 2024. If all units are running well by this time, maintenance may get pushed to 1Q25."/>
  </r>
  <r>
    <x v="0"/>
    <s v="NA"/>
    <s v="U.S.A."/>
    <s v="Calumet Specialty Products Partners LP"/>
    <x v="75"/>
    <x v="1"/>
    <x v="8"/>
    <n v="2024"/>
    <n v="1"/>
    <m/>
    <n v="0"/>
    <s v="Planned Pit Stop for September 2024. If all units are running well by this time, maintenance may get pushed to 1Q25."/>
  </r>
  <r>
    <x v="0"/>
    <s v="NA"/>
    <s v="U.S.A."/>
    <s v="Calumet Specialty Products Partners LP"/>
    <x v="75"/>
    <x v="2"/>
    <x v="8"/>
    <n v="2024"/>
    <n v="1"/>
    <m/>
    <n v="0.32666666700000002"/>
    <s v="Planned Pit Stop for September 2024. If all units are running well by this time, maintenance may get pushed to 1Q25."/>
  </r>
  <r>
    <x v="0"/>
    <s v="NA"/>
    <s v="U.S.A."/>
    <s v="Valero Refining Company"/>
    <x v="76"/>
    <x v="5"/>
    <x v="8"/>
    <n v="2024"/>
    <n v="1"/>
    <m/>
    <n v="1.8333333333333333"/>
    <s v="9/10-10/24"/>
  </r>
  <r>
    <x v="0"/>
    <s v="NA"/>
    <s v="U.S.A."/>
    <s v="Chevron Phillips Chemical Company LP"/>
    <x v="77"/>
    <x v="7"/>
    <x v="8"/>
    <n v="2024"/>
    <n v="1"/>
    <m/>
    <n v="0"/>
    <n v="0"/>
  </r>
  <r>
    <x v="0"/>
    <s v="NA"/>
    <s v="U.S.A."/>
    <s v="Chevron Corporation"/>
    <x v="38"/>
    <x v="6"/>
    <x v="8"/>
    <n v="2024"/>
    <n v="1"/>
    <m/>
    <n v="19.260000000000002"/>
    <s v="Major turnaround."/>
  </r>
  <r>
    <x v="0"/>
    <s v="NA"/>
    <s v="U.S.A."/>
    <s v="Shell Oil Products US"/>
    <x v="78"/>
    <x v="5"/>
    <x v="8"/>
    <n v="2024"/>
    <n v="1"/>
    <m/>
    <n v="1.1000000000000001"/>
    <s v="Event rescheduled as a result of extended outage following Hurricane Ida. Down 9/15-10/24 moved 10 days"/>
  </r>
  <r>
    <x v="0"/>
    <s v="NA"/>
    <s v="U.S.A."/>
    <s v="Valero Refining Company"/>
    <x v="62"/>
    <x v="0"/>
    <x v="8"/>
    <n v="2024"/>
    <n v="1"/>
    <m/>
    <n v="9.5200000000000014"/>
    <s v="Accelerated from October, 2024 to July, 2024. major turnaround. Moved from 7/12-8/22 to now 8/2-9/12"/>
  </r>
  <r>
    <x v="0"/>
    <s v="NA"/>
    <s v="U.S.A."/>
    <s v="Valero Refining Company"/>
    <x v="62"/>
    <x v="2"/>
    <x v="8"/>
    <n v="2024"/>
    <n v="1"/>
    <m/>
    <n v="4.5999999999999996"/>
    <s v="Accelerated from October, 2024 to July, 2024. major turnaround. Moved from 7/12-8/22 to now 8/2-9/12"/>
  </r>
  <r>
    <x v="0"/>
    <s v="NA"/>
    <s v="U.S.A."/>
    <s v="Valero Refining Company"/>
    <x v="62"/>
    <x v="3"/>
    <x v="8"/>
    <n v="2024"/>
    <n v="1"/>
    <m/>
    <n v="19.759999999999998"/>
    <s v="Accelerated from October, 2024 to July, 2024. major turnaround. Moved from 7/12-8/22 to now 8/2-9/12"/>
  </r>
  <r>
    <x v="0"/>
    <s v="NA"/>
    <s v="U.S.A."/>
    <s v="Valero Refining Company"/>
    <x v="62"/>
    <x v="4"/>
    <x v="8"/>
    <n v="2024"/>
    <n v="1"/>
    <m/>
    <n v="2"/>
    <s v="Accelerated from October, 2024 to July, 2024. major turnaround. Moved from 7/12-8/22 to now 8/2-9/12"/>
  </r>
  <r>
    <x v="0"/>
    <s v="NA"/>
    <s v="U.S.A."/>
    <s v="Eastman Chemical Company"/>
    <x v="66"/>
    <x v="7"/>
    <x v="8"/>
    <n v="2024"/>
    <n v="1"/>
    <m/>
    <n v="0"/>
    <s v="Start date is tentative."/>
  </r>
  <r>
    <x v="0"/>
    <s v="NA"/>
    <s v="U.S.A."/>
    <s v="Phillips 66"/>
    <x v="79"/>
    <x v="1"/>
    <x v="8"/>
    <n v="2024"/>
    <n v="1"/>
    <m/>
    <n v="0"/>
    <n v="0"/>
  </r>
  <r>
    <x v="0"/>
    <s v="NA"/>
    <s v="U.S.A."/>
    <s v="Phillips 66"/>
    <x v="79"/>
    <x v="3"/>
    <x v="8"/>
    <n v="2024"/>
    <n v="1"/>
    <m/>
    <n v="14.950000000000001"/>
    <n v="0"/>
  </r>
  <r>
    <x v="0"/>
    <s v="NA"/>
    <s v="U.S.A."/>
    <s v="Phillips 66"/>
    <x v="79"/>
    <x v="4"/>
    <x v="8"/>
    <n v="2024"/>
    <n v="1"/>
    <m/>
    <n v="3.42"/>
    <n v="0"/>
  </r>
  <r>
    <x v="0"/>
    <s v="NA"/>
    <s v="U.S.A."/>
    <s v="CITGO Petroleum Corporation"/>
    <x v="5"/>
    <x v="0"/>
    <x v="8"/>
    <n v="2024"/>
    <n v="1"/>
    <m/>
    <n v="44.199999999999996"/>
    <s v="Citgo Lake Chalres planned work 8/9 - 10/23 - However, only taking Sep/Oct since 90 days seems too long for Secondary unit turnarounds"/>
  </r>
  <r>
    <x v="0"/>
    <s v="NA"/>
    <s v="U.S.A."/>
    <s v="CITGO Petroleum Corporation"/>
    <x v="5"/>
    <x v="5"/>
    <x v="8"/>
    <n v="2024"/>
    <n v="1"/>
    <m/>
    <n v="7.6000000000000005"/>
    <s v="Citgo Lake Chalres planned work 8/9 - 10/23 - However, only taking Sep/Oct since 90 days seems too long for Secondary unit turnarounds"/>
  </r>
  <r>
    <x v="0"/>
    <s v="NA"/>
    <s v="U.S.A."/>
    <s v="Marathon Petroleum Corporation"/>
    <x v="8"/>
    <x v="2"/>
    <x v="8"/>
    <n v="2024"/>
    <n v="1"/>
    <m/>
    <n v="16.916666666666668"/>
    <s v="Just added in July 2024. Staggering two 145 kbd crude units from 9/14-10/11"/>
  </r>
  <r>
    <x v="0"/>
    <s v="NA"/>
    <s v="U.S.A."/>
    <s v="Marathon Petroleum Corporation"/>
    <x v="8"/>
    <x v="2"/>
    <x v="8"/>
    <n v="2024"/>
    <n v="1"/>
    <m/>
    <n v="2.4166666666666665"/>
    <s v="Just added in July 2024. Staggering two 145 kbd crude units from 9/14-10/11"/>
  </r>
  <r>
    <x v="0"/>
    <s v="NA"/>
    <s v="U.S.A."/>
    <s v="Marathon Petroleum Corporation"/>
    <x v="27"/>
    <x v="5"/>
    <x v="8"/>
    <n v="2024"/>
    <n v="1"/>
    <m/>
    <n v="2.1"/>
    <s v="Updated timing from Apr-May to Sep 6-Oct10, now it's 9/10-11/4"/>
  </r>
  <r>
    <x v="0"/>
    <s v="NA"/>
    <s v="U.S.A."/>
    <s v="Deer Park Refining LP"/>
    <x v="22"/>
    <x v="1"/>
    <x v="8"/>
    <n v="2024"/>
    <n v="1"/>
    <m/>
    <n v="0"/>
    <s v="Moved from Sp/Oct to Mar 8 - Apr 6 2024. Now Mar 29 - May 2. Added CDU"/>
  </r>
  <r>
    <x v="0"/>
    <s v="NA"/>
    <s v="U.S.A."/>
    <s v="ExxonMobil Corporation"/>
    <x v="26"/>
    <x v="6"/>
    <x v="8"/>
    <n v="2024"/>
    <n v="1"/>
    <m/>
    <n v="4.2"/>
    <s v="Major Turnaround."/>
  </r>
  <r>
    <x v="0"/>
    <s v="NA"/>
    <s v="U.S.A."/>
    <s v="ExxonMobil Corporation"/>
    <x v="26"/>
    <x v="2"/>
    <x v="8"/>
    <n v="2024"/>
    <n v="1"/>
    <m/>
    <n v="2.94"/>
    <s v="Moved February 2024 to August 2024."/>
  </r>
  <r>
    <x v="0"/>
    <s v="NA"/>
    <s v="U.S.A."/>
    <s v="Phillips 66"/>
    <x v="79"/>
    <x v="2"/>
    <x v="8"/>
    <n v="2025"/>
    <n v="1"/>
    <n v="1"/>
    <n v="20"/>
    <s v="Updted maint from Mar to 9/1-10/05"/>
  </r>
  <r>
    <x v="4"/>
    <s v="NA"/>
    <s v="U.S.A."/>
    <s v="HF Sinclair Corporation"/>
    <x v="51"/>
    <x v="3"/>
    <x v="8"/>
    <n v="2024"/>
    <n v="1"/>
    <m/>
    <n v="3.4413333330000002"/>
    <n v="0"/>
  </r>
  <r>
    <x v="4"/>
    <s v="NA"/>
    <s v="U.S.A."/>
    <s v="HF Sinclair Corporation"/>
    <x v="51"/>
    <x v="4"/>
    <x v="8"/>
    <n v="2024"/>
    <n v="1"/>
    <m/>
    <n v="1.74"/>
    <n v="0"/>
  </r>
  <r>
    <x v="4"/>
    <s v="NA"/>
    <s v="U.S.A."/>
    <s v="HF Sinclair Corporation"/>
    <x v="80"/>
    <x v="6"/>
    <x v="8"/>
    <n v="2024"/>
    <n v="1"/>
    <m/>
    <n v="4.6399999999999997"/>
    <s v="Confirmed for Fall of 2024"/>
  </r>
  <r>
    <x v="4"/>
    <s v="NA"/>
    <s v="U.S.A."/>
    <s v="Par Pacific Holdings Incorporated"/>
    <x v="67"/>
    <x v="8"/>
    <x v="8"/>
    <n v="2024"/>
    <n v="1"/>
    <m/>
    <n v="0"/>
    <s v="Changed to coker Ta not FCC/alky 8/1-9/29"/>
  </r>
  <r>
    <x v="4"/>
    <s v="NA"/>
    <s v="U.S.A."/>
    <s v="Par Pacific Holdings Incorporated"/>
    <x v="67"/>
    <x v="1"/>
    <x v="8"/>
    <n v="2024"/>
    <n v="1"/>
    <m/>
    <n v="0"/>
    <s v="Changed to coker Ta not FCC/alky 8/1-9/29"/>
  </r>
  <r>
    <x v="4"/>
    <s v="NA"/>
    <s v="U.S.A."/>
    <s v="Par Pacific Holdings Incorporated"/>
    <x v="67"/>
    <x v="6"/>
    <x v="8"/>
    <n v="2024"/>
    <n v="1"/>
    <m/>
    <n v="2.9"/>
    <s v="Changed to coker Ta not FCC/alky 8/1-9/29"/>
  </r>
  <r>
    <x v="4"/>
    <s v="NA"/>
    <s v="U.S.A."/>
    <s v="Par Pacific Holdings Incorporated"/>
    <x v="67"/>
    <x v="3"/>
    <x v="8"/>
    <n v="2024"/>
    <n v="1"/>
    <m/>
    <n v="0"/>
    <s v="Changed to coker Ta not FCC/alky 8/1-9/29"/>
  </r>
  <r>
    <x v="4"/>
    <s v="NA"/>
    <s v="U.S.A."/>
    <s v="Par Pacific Holdings Incorporated"/>
    <x v="67"/>
    <x v="4"/>
    <x v="8"/>
    <n v="2024"/>
    <n v="1"/>
    <m/>
    <n v="0"/>
    <s v="Changed to coker Ta not FCC/alky 8/1-9/29"/>
  </r>
  <r>
    <x v="1"/>
    <s v="NA"/>
    <s v="U.S.A."/>
    <s v="Chevron Corporation"/>
    <x v="53"/>
    <x v="5"/>
    <x v="8"/>
    <n v="2024"/>
    <n v="0.9"/>
    <m/>
    <n v="4.95"/>
    <s v="Palnned HDC SD early sep for 50 days"/>
  </r>
  <r>
    <x v="2"/>
    <s v="NA"/>
    <s v="U.S.A."/>
    <s v="Monroe Energy LLC"/>
    <x v="68"/>
    <x v="8"/>
    <x v="9"/>
    <n v="2024"/>
    <n v="1"/>
    <m/>
    <n v="0"/>
    <n v="0"/>
  </r>
  <r>
    <x v="2"/>
    <s v="NA"/>
    <s v="U.S.A."/>
    <s v="Monroe Energy LLC"/>
    <x v="68"/>
    <x v="3"/>
    <x v="9"/>
    <n v="2024"/>
    <n v="1"/>
    <m/>
    <n v="16.66935483870968"/>
    <n v="0"/>
  </r>
  <r>
    <x v="3"/>
    <s v="NA"/>
    <s v="U.S.A."/>
    <s v="BP Products North America Incorporated"/>
    <x v="69"/>
    <x v="1"/>
    <x v="9"/>
    <n v="2024"/>
    <n v="1"/>
    <m/>
    <n v="0"/>
    <n v="0"/>
  </r>
  <r>
    <x v="3"/>
    <s v="NA"/>
    <s v="U.S.A."/>
    <s v="BP Products North America Incorporated"/>
    <x v="69"/>
    <x v="6"/>
    <x v="9"/>
    <n v="2024"/>
    <n v="1"/>
    <m/>
    <n v="25"/>
    <s v="9/6-11/4. Moved to starting Jul 26 - Sep 24. moved back to 9/6-11/4"/>
  </r>
  <r>
    <x v="3"/>
    <s v="NA"/>
    <s v="U.S.A."/>
    <s v="BP Products North America Incorporated"/>
    <x v="69"/>
    <x v="2"/>
    <x v="9"/>
    <n v="2024"/>
    <n v="1"/>
    <m/>
    <n v="63.75"/>
    <s v="9/6-11/4. Moved to starting Jul 26 - Sep 24. moved back to 9/6-11/4"/>
  </r>
  <r>
    <x v="3"/>
    <s v="NA"/>
    <s v="U.S.A."/>
    <s v="HF Sinclair Corporation"/>
    <x v="70"/>
    <x v="8"/>
    <x v="9"/>
    <n v="2024"/>
    <n v="1"/>
    <m/>
    <n v="0"/>
    <s v="Planned maintenance"/>
  </r>
  <r>
    <x v="3"/>
    <s v="NA"/>
    <s v="U.S.A."/>
    <s v="Phillips 66"/>
    <x v="18"/>
    <x v="2"/>
    <x v="9"/>
    <n v="2024"/>
    <n v="1"/>
    <n v="0.16129032258064516"/>
    <n v="1.532258064516129"/>
    <s v="Scheduled CDU/Ref 9/24-10/5 and FCC 9/14-23"/>
  </r>
  <r>
    <x v="3"/>
    <s v="NA"/>
    <s v="U.S.A."/>
    <s v="Phillips 66"/>
    <x v="18"/>
    <x v="0"/>
    <x v="9"/>
    <n v="2024"/>
    <n v="1"/>
    <n v="0.16129032258064516"/>
    <n v="2.7419354838709675"/>
    <s v="Scheduled CDU/Ref 9/24-10/5 and FCC 9/14-23"/>
  </r>
  <r>
    <x v="3"/>
    <s v="NA"/>
    <s v="U.S.A."/>
    <s v="Valero Refining Company"/>
    <x v="35"/>
    <x v="1"/>
    <x v="9"/>
    <n v="2024"/>
    <n v="1"/>
    <m/>
    <n v="0"/>
    <n v="0"/>
  </r>
  <r>
    <x v="3"/>
    <s v="NA"/>
    <s v="U.S.A."/>
    <s v="Cenovus Energy Incorporated"/>
    <x v="71"/>
    <x v="6"/>
    <x v="9"/>
    <n v="2024"/>
    <n v="1"/>
    <m/>
    <n v="2.7"/>
    <s v="Coker down 9/13-10/27"/>
  </r>
  <r>
    <x v="3"/>
    <s v="NA"/>
    <s v="U.S.A."/>
    <s v="Cenovus Energy Incorporated"/>
    <x v="71"/>
    <x v="2"/>
    <x v="9"/>
    <n v="2024"/>
    <n v="0.3"/>
    <m/>
    <n v="11.32258064516129"/>
    <s v="52 kbd CDU down 9/25-10/27 (no reformer with it). 172 kbd CDU down 9/13-9/24 (with a reformer)"/>
  </r>
  <r>
    <x v="3"/>
    <s v="NA"/>
    <s v="U.S.A."/>
    <s v="Cenovus Energy Incorporated"/>
    <x v="71"/>
    <x v="3"/>
    <x v="9"/>
    <n v="2024"/>
    <n v="1"/>
    <m/>
    <n v="25.475806451612904"/>
    <s v="FCC down from 9/13-10/27"/>
  </r>
  <r>
    <x v="3"/>
    <s v="NA"/>
    <s v="U.S.A."/>
    <s v="HF Sinclair Corporation"/>
    <x v="72"/>
    <x v="6"/>
    <x v="9"/>
    <n v="2024"/>
    <n v="1"/>
    <n v="1"/>
    <n v="2.0500000000000003"/>
    <n v="0"/>
  </r>
  <r>
    <x v="3"/>
    <s v="NA"/>
    <s v="U.S.A."/>
    <s v="HF Sinclair Corporation"/>
    <x v="72"/>
    <x v="2"/>
    <x v="9"/>
    <n v="2024"/>
    <n v="1"/>
    <n v="1"/>
    <n v="41.6"/>
    <n v="0"/>
  </r>
  <r>
    <x v="3"/>
    <s v="NA"/>
    <s v="U.S.A."/>
    <s v="HF Sinclair Corporation"/>
    <x v="72"/>
    <x v="3"/>
    <x v="9"/>
    <n v="2024"/>
    <n v="1"/>
    <n v="1"/>
    <n v="39"/>
    <n v="0"/>
  </r>
  <r>
    <x v="3"/>
    <s v="NA"/>
    <s v="U.S.A."/>
    <s v="Marathon Petroleum Corporation"/>
    <x v="73"/>
    <x v="8"/>
    <x v="9"/>
    <n v="2024"/>
    <n v="1"/>
    <n v="0.74193548387096775"/>
    <n v="0"/>
    <n v="0"/>
  </r>
  <r>
    <x v="3"/>
    <s v="NA"/>
    <s v="U.S.A."/>
    <s v="Marathon Petroleum Corporation"/>
    <x v="73"/>
    <x v="0"/>
    <x v="9"/>
    <n v="2024"/>
    <n v="1"/>
    <n v="0.74193548387096775"/>
    <n v="13.874193548387096"/>
    <n v="0"/>
  </r>
  <r>
    <x v="3"/>
    <s v="NA"/>
    <s v="U.S.A."/>
    <s v="Marathon Petroleum Corporation"/>
    <x v="73"/>
    <x v="1"/>
    <x v="9"/>
    <n v="2024"/>
    <n v="1"/>
    <n v="0.74193548387096775"/>
    <n v="0"/>
    <n v="0"/>
  </r>
  <r>
    <x v="3"/>
    <s v="NA"/>
    <s v="U.S.A."/>
    <s v="Marathon Petroleum Corporation"/>
    <x v="73"/>
    <x v="6"/>
    <x v="9"/>
    <n v="2024"/>
    <n v="1"/>
    <n v="0.74193548387096775"/>
    <n v="2.0774193548387099"/>
    <n v="0"/>
  </r>
  <r>
    <x v="3"/>
    <s v="NA"/>
    <s v="U.S.A."/>
    <s v="Marathon Petroleum Corporation"/>
    <x v="73"/>
    <x v="2"/>
    <x v="9"/>
    <n v="2024"/>
    <n v="1"/>
    <n v="0.74193548387096775"/>
    <n v="10.906451612903227"/>
    <n v="0"/>
  </r>
  <r>
    <x v="3"/>
    <s v="NA"/>
    <s v="U.S.A."/>
    <s v="Marathon Petroleum Corporation"/>
    <x v="73"/>
    <x v="3"/>
    <x v="9"/>
    <n v="2024"/>
    <n v="1"/>
    <n v="0.74193548387096775"/>
    <n v="28.935483870967744"/>
    <n v="0"/>
  </r>
  <r>
    <x v="3"/>
    <s v="NA"/>
    <s v="U.S.A."/>
    <s v="Marathon Petroleum Corporation"/>
    <x v="73"/>
    <x v="4"/>
    <x v="9"/>
    <n v="2024"/>
    <n v="1"/>
    <n v="0.74193548387096775"/>
    <n v="7.0483870967741939"/>
    <n v="0"/>
  </r>
  <r>
    <x v="3"/>
    <s v="NA"/>
    <s v="U.S.A."/>
    <s v="Valero Refining Company"/>
    <x v="35"/>
    <x v="3"/>
    <x v="9"/>
    <n v="2025"/>
    <n v="1"/>
    <m/>
    <n v="42.25"/>
    <s v="10/1-11/1 - 65 kbd FCC unit down"/>
  </r>
  <r>
    <x v="3"/>
    <s v="NA"/>
    <s v="U.S.A."/>
    <s v="Valero Refining Company"/>
    <x v="35"/>
    <x v="4"/>
    <x v="9"/>
    <n v="2025"/>
    <n v="1"/>
    <m/>
    <n v="0"/>
    <s v="10/1-11/1 - 12 kbd alky down. FCC down at same time so no impact"/>
  </r>
  <r>
    <x v="3"/>
    <s v="NA"/>
    <s v="U.S.A."/>
    <s v="Valero Refining Company"/>
    <x v="35"/>
    <x v="2"/>
    <x v="9"/>
    <n v="2025"/>
    <n v="1"/>
    <m/>
    <n v="27.5"/>
    <s v="10/1-11/1 - 110 kbd crude unit down"/>
  </r>
  <r>
    <x v="0"/>
    <s v="NA"/>
    <s v="U.S.A."/>
    <s v="Westlake Petrochemicals Corporation"/>
    <x v="74"/>
    <x v="7"/>
    <x v="9"/>
    <n v="2024"/>
    <n v="1"/>
    <m/>
    <n v="0"/>
    <n v="0"/>
  </r>
  <r>
    <x v="0"/>
    <s v="NA"/>
    <s v="U.S.A."/>
    <s v="Valero Refining Company"/>
    <x v="76"/>
    <x v="5"/>
    <x v="9"/>
    <n v="2024"/>
    <n v="1"/>
    <m/>
    <n v="2.129032258064516"/>
    <s v="9/10-10/24"/>
  </r>
  <r>
    <x v="0"/>
    <s v="NA"/>
    <s v="U.S.A."/>
    <s v="Chevron Phillips Chemical Company LP"/>
    <x v="77"/>
    <x v="7"/>
    <x v="9"/>
    <n v="2024"/>
    <n v="1"/>
    <m/>
    <n v="0"/>
    <n v="0"/>
  </r>
  <r>
    <x v="0"/>
    <s v="NA"/>
    <s v="U.S.A."/>
    <s v="Chevron Corporation"/>
    <x v="38"/>
    <x v="6"/>
    <x v="9"/>
    <n v="2024"/>
    <n v="1"/>
    <m/>
    <n v="0"/>
    <s v="Major turnaround."/>
  </r>
  <r>
    <x v="0"/>
    <s v="NA"/>
    <s v="U.S.A."/>
    <s v="Chevron Corporation"/>
    <x v="39"/>
    <x v="8"/>
    <x v="9"/>
    <n v="2024"/>
    <n v="1"/>
    <m/>
    <n v="0"/>
    <s v="Major turnaround reconfiguring to run LTO. Whole refinery down 10/4-11/13"/>
  </r>
  <r>
    <x v="0"/>
    <s v="NA"/>
    <s v="U.S.A."/>
    <s v="Chevron Corporation"/>
    <x v="39"/>
    <x v="0"/>
    <x v="9"/>
    <n v="2024"/>
    <n v="1"/>
    <m/>
    <n v="17.767741935483869"/>
    <s v="Major turnaround reconfiguring to run LTO. Whole refinery down 10/4-11/13"/>
  </r>
  <r>
    <x v="0"/>
    <s v="NA"/>
    <s v="U.S.A."/>
    <s v="Chevron Corporation"/>
    <x v="39"/>
    <x v="11"/>
    <x v="9"/>
    <n v="2024"/>
    <n v="1"/>
    <m/>
    <n v="0"/>
    <s v="Major Turnaround."/>
  </r>
  <r>
    <x v="0"/>
    <s v="NA"/>
    <s v="U.S.A."/>
    <s v="Chevron Corporation"/>
    <x v="39"/>
    <x v="1"/>
    <x v="9"/>
    <n v="2024"/>
    <n v="1"/>
    <m/>
    <n v="0"/>
    <s v="*"/>
  </r>
  <r>
    <x v="0"/>
    <s v="NA"/>
    <s v="U.S.A."/>
    <s v="Chevron Corporation"/>
    <x v="39"/>
    <x v="2"/>
    <x v="9"/>
    <n v="2024"/>
    <n v="1"/>
    <m/>
    <n v="10.103225806451615"/>
    <s v="Major turnaround reconfiguring to run LTO. Whole refinery down 10/4-11/13"/>
  </r>
  <r>
    <x v="0"/>
    <s v="NA"/>
    <s v="U.S.A."/>
    <s v="Shell Oil Products US"/>
    <x v="78"/>
    <x v="5"/>
    <x v="9"/>
    <n v="2024"/>
    <n v="1"/>
    <m/>
    <n v="1.7032258064516128"/>
    <s v="Event rescheduled as a result of extended outage following Hurricane Ida. Down 9/15-10/24 moved 10 days"/>
  </r>
  <r>
    <x v="0"/>
    <s v="NA"/>
    <s v="U.S.A."/>
    <s v="Vertex Energy"/>
    <x v="81"/>
    <x v="0"/>
    <x v="9"/>
    <n v="2024"/>
    <n v="1"/>
    <n v="0.87096774193548387"/>
    <n v="9.9943548387096772"/>
    <s v="Planned turnaround 10/4-11/7"/>
  </r>
  <r>
    <x v="0"/>
    <s v="NA"/>
    <s v="U.S.A."/>
    <s v="Vertex Energy"/>
    <x v="81"/>
    <x v="1"/>
    <x v="9"/>
    <n v="2024"/>
    <n v="1"/>
    <n v="0.87096774193548387"/>
    <n v="0"/>
    <s v="Planned turnaround 10/4-11/7"/>
  </r>
  <r>
    <x v="0"/>
    <s v="NA"/>
    <s v="U.S.A."/>
    <s v="Vertex Energy"/>
    <x v="81"/>
    <x v="2"/>
    <x v="9"/>
    <n v="2024"/>
    <n v="1"/>
    <n v="0.87096774193548387"/>
    <n v="3.4838709677419355"/>
    <s v="Planned turnaround 10/4-11/7"/>
  </r>
  <r>
    <x v="0"/>
    <s v="NA"/>
    <s v="U.S.A."/>
    <s v="Eastman Chemical Company"/>
    <x v="66"/>
    <x v="7"/>
    <x v="9"/>
    <n v="2024"/>
    <n v="1"/>
    <m/>
    <n v="0"/>
    <n v="0"/>
  </r>
  <r>
    <x v="0"/>
    <s v="NA"/>
    <s v="U.S.A."/>
    <s v="Phillips 66"/>
    <x v="79"/>
    <x v="1"/>
    <x v="9"/>
    <n v="2024"/>
    <n v="1"/>
    <m/>
    <n v="0"/>
    <n v="0"/>
  </r>
  <r>
    <x v="0"/>
    <s v="NA"/>
    <s v="U.S.A."/>
    <s v="Phillips 66"/>
    <x v="79"/>
    <x v="3"/>
    <x v="9"/>
    <n v="2024"/>
    <n v="1"/>
    <m/>
    <n v="29.900000000000002"/>
    <n v="0"/>
  </r>
  <r>
    <x v="0"/>
    <s v="NA"/>
    <s v="U.S.A."/>
    <s v="Phillips 66"/>
    <x v="79"/>
    <x v="4"/>
    <x v="9"/>
    <n v="2024"/>
    <n v="1"/>
    <m/>
    <n v="6.84"/>
    <n v="0"/>
  </r>
  <r>
    <x v="0"/>
    <s v="NA"/>
    <s v="U.S.A."/>
    <s v="CITGO Petroleum Corporation"/>
    <x v="5"/>
    <x v="0"/>
    <x v="9"/>
    <n v="2024"/>
    <n v="1"/>
    <n v="0.74193548387096775"/>
    <n v="32.79354838709677"/>
    <s v="Citgo Lake Chalres planned work 8/9 - 10/23 - However, only taking Sep/Oct since 90 days seems too long for Secondary unit turnarounds"/>
  </r>
  <r>
    <x v="0"/>
    <s v="NA"/>
    <s v="U.S.A."/>
    <s v="CITGO Petroleum Corporation"/>
    <x v="5"/>
    <x v="5"/>
    <x v="9"/>
    <n v="2024"/>
    <n v="1"/>
    <m/>
    <n v="5.6387096774193557"/>
    <s v="Citgo Lake Chalres planned work 8/9 - 10/23 - However, only taking Sep/Oct since 90 days seems too long for Secondary unit turnarounds"/>
  </r>
  <r>
    <x v="0"/>
    <s v="NA"/>
    <s v="U.S.A."/>
    <s v="Calcasieu Refining Company"/>
    <x v="82"/>
    <x v="8"/>
    <x v="9"/>
    <n v="2024"/>
    <n v="1"/>
    <m/>
    <n v="0"/>
    <s v="10/17-10/31"/>
  </r>
  <r>
    <x v="0"/>
    <s v="NA"/>
    <s v="U.S.A."/>
    <s v="Calcasieu Refining Company"/>
    <x v="82"/>
    <x v="2"/>
    <x v="9"/>
    <n v="2024"/>
    <n v="1"/>
    <m/>
    <n v="8.806451612903226"/>
    <s v="10/17-13/31"/>
  </r>
  <r>
    <x v="0"/>
    <s v="NA"/>
    <s v="U.S.A."/>
    <s v="Calcasieu Refining Company"/>
    <x v="82"/>
    <x v="2"/>
    <x v="9"/>
    <n v="2024"/>
    <n v="1"/>
    <m/>
    <n v="8.806451612903226"/>
    <s v="10/17-13/31"/>
  </r>
  <r>
    <x v="0"/>
    <s v="NA"/>
    <s v="U.S.A."/>
    <s v="Delek US Holdings"/>
    <x v="83"/>
    <x v="8"/>
    <x v="9"/>
    <n v="2024"/>
    <n v="1"/>
    <n v="0.87096774193548387"/>
    <n v="0"/>
    <s v="10/4-11/20"/>
  </r>
  <r>
    <x v="0"/>
    <s v="NA"/>
    <s v="U.S.A."/>
    <s v="Delek US Holdings"/>
    <x v="83"/>
    <x v="0"/>
    <x v="9"/>
    <n v="2024"/>
    <n v="1"/>
    <n v="0.87096774193548387"/>
    <n v="9.6241935483870957"/>
    <s v="10/4-11/20"/>
  </r>
  <r>
    <x v="0"/>
    <s v="NA"/>
    <s v="U.S.A."/>
    <s v="Delek US Holdings"/>
    <x v="83"/>
    <x v="11"/>
    <x v="9"/>
    <n v="2024"/>
    <n v="1"/>
    <n v="0.87096774193548387"/>
    <n v="0"/>
    <s v="10/4-11/20"/>
  </r>
  <r>
    <x v="0"/>
    <s v="NA"/>
    <s v="U.S.A."/>
    <s v="Delek US Holdings"/>
    <x v="83"/>
    <x v="9"/>
    <x v="9"/>
    <n v="2024"/>
    <n v="1"/>
    <n v="0.87096774193548387"/>
    <n v="0"/>
    <s v="10/4-11/20"/>
  </r>
  <r>
    <x v="0"/>
    <s v="NA"/>
    <s v="U.S.A."/>
    <s v="Delek US Holdings"/>
    <x v="83"/>
    <x v="1"/>
    <x v="9"/>
    <n v="2024"/>
    <n v="1"/>
    <n v="0.87096774193548387"/>
    <n v="0"/>
    <s v="10/4-11/20"/>
  </r>
  <r>
    <x v="0"/>
    <s v="NA"/>
    <s v="U.S.A."/>
    <s v="Delek US Holdings"/>
    <x v="83"/>
    <x v="2"/>
    <x v="9"/>
    <n v="2024"/>
    <n v="1"/>
    <n v="0.87096774193548387"/>
    <n v="6.4451612903225808"/>
    <s v="10/4-11/20"/>
  </r>
  <r>
    <x v="0"/>
    <s v="NA"/>
    <s v="U.S.A."/>
    <s v="Delek US Holdings"/>
    <x v="83"/>
    <x v="3"/>
    <x v="9"/>
    <n v="2024"/>
    <n v="1"/>
    <n v="0.87096774193548387"/>
    <n v="18.116129032258065"/>
    <s v="10/4-11/20"/>
  </r>
  <r>
    <x v="0"/>
    <s v="NA"/>
    <s v="U.S.A."/>
    <s v="Delek US Holdings"/>
    <x v="83"/>
    <x v="4"/>
    <x v="9"/>
    <n v="2024"/>
    <n v="1"/>
    <n v="0.87096774193548387"/>
    <n v="4.137096774193548"/>
    <s v="10/4-11/20"/>
  </r>
  <r>
    <x v="0"/>
    <s v="NA"/>
    <s v="U.S.A."/>
    <s v="Marathon Petroleum Corporation"/>
    <x v="8"/>
    <x v="2"/>
    <x v="9"/>
    <n v="2024"/>
    <n v="1"/>
    <m/>
    <n v="12.862903225806452"/>
    <s v="Just added in July 2024. Staggering two 145 kbd crude units from 9/14-10/11"/>
  </r>
  <r>
    <x v="0"/>
    <s v="NA"/>
    <s v="U.S.A."/>
    <s v="Marathon Petroleum Corporation"/>
    <x v="27"/>
    <x v="5"/>
    <x v="9"/>
    <n v="2024"/>
    <n v="1"/>
    <m/>
    <n v="3"/>
    <s v="Updated timing from Apr-May to Sep 6-Oct10, now it's 9/10-11/4"/>
  </r>
  <r>
    <x v="0"/>
    <s v="NA"/>
    <s v="U.S.A."/>
    <s v="Shell Chemical Company"/>
    <x v="84"/>
    <x v="7"/>
    <x v="9"/>
    <n v="2024"/>
    <n v="1"/>
    <m/>
    <n v="0"/>
    <s v="Turnaround will likely be cancelled due to a fire incident that occurred in May 2023 and required a rebuild of part of the unit (Offline Event ID 701036). Shell will make a decision on TA timing upon restart of the unit."/>
  </r>
  <r>
    <x v="0"/>
    <s v="NA"/>
    <s v="U.S.A."/>
    <s v="Chalmette Refining LLC"/>
    <x v="10"/>
    <x v="0"/>
    <x v="9"/>
    <n v="2024"/>
    <n v="1"/>
    <n v="1"/>
    <n v="16.149999999999999"/>
    <s v="Moved from 9/5 - 10/21 to 10/1-11/4"/>
  </r>
  <r>
    <x v="0"/>
    <s v="NA"/>
    <s v="U.S.A."/>
    <s v="Chalmette Refining LLC"/>
    <x v="10"/>
    <x v="1"/>
    <x v="9"/>
    <n v="2024"/>
    <n v="1"/>
    <n v="1"/>
    <n v="0"/>
    <s v="Moved from 9/5 - 10/21 to 10/1-11/4"/>
  </r>
  <r>
    <x v="0"/>
    <s v="NA"/>
    <s v="U.S.A."/>
    <s v="Chalmette Refining LLC"/>
    <x v="10"/>
    <x v="2"/>
    <x v="9"/>
    <n v="2024"/>
    <n v="1"/>
    <n v="1"/>
    <n v="19.200000000000003"/>
    <s v="Moved from 9/5 - 10/21 to 10/1-11/4"/>
  </r>
  <r>
    <x v="0"/>
    <s v="NA"/>
    <s v="U.S.A."/>
    <s v="Chalmette Refining LLC"/>
    <x v="10"/>
    <x v="6"/>
    <x v="9"/>
    <n v="2024"/>
    <n v="1"/>
    <n v="1"/>
    <n v="4.2"/>
    <s v="Moved from 9/5 - 10/21 to 10/1-11/4"/>
  </r>
  <r>
    <x v="0"/>
    <s v="NA"/>
    <s v="U.S.A."/>
    <s v="Chalmette Refining LLC"/>
    <x v="10"/>
    <x v="3"/>
    <x v="9"/>
    <n v="2024"/>
    <n v="1"/>
    <n v="1"/>
    <n v="44.2"/>
    <s v="Moved from 9/5 - 10/21 to 10/1-11/4"/>
  </r>
  <r>
    <x v="0"/>
    <s v="NA"/>
    <s v="U.S.A."/>
    <s v="Chalmette Refining LLC"/>
    <x v="10"/>
    <x v="4"/>
    <x v="9"/>
    <n v="2024"/>
    <n v="1"/>
    <n v="1"/>
    <n v="11.399999999999999"/>
    <s v="Moved from 9/5 - 10/21 to 10/1-11/4"/>
  </r>
  <r>
    <x v="0"/>
    <s v="NA"/>
    <s v="U.S.A."/>
    <s v="WRB Refining LP"/>
    <x v="25"/>
    <x v="1"/>
    <x v="9"/>
    <n v="2024"/>
    <n v="1"/>
    <m/>
    <n v="0"/>
    <s v="Catalyst."/>
  </r>
  <r>
    <x v="0"/>
    <s v="NA"/>
    <s v="U.S.A."/>
    <s v="Phillips 66"/>
    <x v="79"/>
    <x v="2"/>
    <x v="9"/>
    <n v="2025"/>
    <n v="1"/>
    <n v="0.16129032258064516"/>
    <n v="3.225806451612903"/>
    <s v="Updted maint from Mar to 9/1-10/05"/>
  </r>
  <r>
    <x v="4"/>
    <s v="NA"/>
    <s v="U.S.A."/>
    <s v="HF Sinclair Corporation"/>
    <x v="51"/>
    <x v="3"/>
    <x v="9"/>
    <n v="2024"/>
    <n v="1"/>
    <m/>
    <n v="0.86033333300000003"/>
    <n v="0"/>
  </r>
  <r>
    <x v="4"/>
    <s v="NA"/>
    <s v="U.S.A."/>
    <s v="HF Sinclair Corporation"/>
    <x v="51"/>
    <x v="4"/>
    <x v="9"/>
    <n v="2024"/>
    <n v="1"/>
    <m/>
    <n v="0.435"/>
    <n v="0"/>
  </r>
  <r>
    <x v="4"/>
    <s v="NA"/>
    <s v="U.S.A."/>
    <s v="HF Sinclair Corporation"/>
    <x v="80"/>
    <x v="6"/>
    <x v="9"/>
    <n v="2024"/>
    <n v="1"/>
    <m/>
    <n v="0.96"/>
    <s v="Confirmed for Fall of 2024"/>
  </r>
  <r>
    <x v="4"/>
    <s v="NA"/>
    <s v="U.S.A."/>
    <s v="Silver Eagle Refining Incorporated"/>
    <x v="58"/>
    <x v="0"/>
    <x v="9"/>
    <n v="2024"/>
    <n v="1"/>
    <m/>
    <n v="0.85"/>
    <s v="Planned Refinery Wide Maintenance for October 2024."/>
  </r>
  <r>
    <x v="4"/>
    <s v="NA"/>
    <s v="U.S.A."/>
    <s v="Silver Eagle Refining Incorporated"/>
    <x v="58"/>
    <x v="1"/>
    <x v="9"/>
    <n v="2024"/>
    <n v="1"/>
    <m/>
    <n v="0"/>
    <s v="Planned Refinery Wide Maintenance for October 2024."/>
  </r>
  <r>
    <x v="4"/>
    <s v="NA"/>
    <s v="U.S.A."/>
    <s v="Silver Eagle Refining Incorporated"/>
    <x v="58"/>
    <x v="2"/>
    <x v="9"/>
    <n v="2024"/>
    <n v="1"/>
    <m/>
    <n v="5.6666666999999997E-2"/>
    <s v="Planned Refinery Wide Maintenance for October 2024."/>
  </r>
  <r>
    <x v="1"/>
    <s v="NA"/>
    <s v="U.S.A."/>
    <s v="Chevron Corporation"/>
    <x v="53"/>
    <x v="5"/>
    <x v="9"/>
    <n v="2024"/>
    <n v="0.74193548387096775"/>
    <m/>
    <n v="4.080645161290323"/>
    <s v="Palnned HDC SD early sep for 50 days"/>
  </r>
  <r>
    <x v="2"/>
    <s v="NA"/>
    <s v="U.S.A."/>
    <s v="Monroe Energy LLC"/>
    <x v="68"/>
    <x v="8"/>
    <x v="10"/>
    <n v="2024"/>
    <n v="1"/>
    <m/>
    <n v="0"/>
    <n v="0"/>
  </r>
  <r>
    <x v="2"/>
    <s v="NA"/>
    <s v="U.S.A."/>
    <s v="PBF"/>
    <x v="16"/>
    <x v="2"/>
    <x v="10"/>
    <n v="2024"/>
    <n v="1"/>
    <m/>
    <n v="2.3333333333333335"/>
    <n v="0"/>
  </r>
  <r>
    <x v="3"/>
    <s v="NA"/>
    <s v="U.S.A."/>
    <s v="BP Products North America Incorporated"/>
    <x v="69"/>
    <x v="1"/>
    <x v="10"/>
    <n v="2024"/>
    <n v="1"/>
    <m/>
    <n v="0"/>
    <n v="0"/>
  </r>
  <r>
    <x v="3"/>
    <s v="NA"/>
    <s v="U.S.A."/>
    <s v="BP Products North America Incorporated"/>
    <x v="69"/>
    <x v="6"/>
    <x v="10"/>
    <n v="2024"/>
    <n v="1"/>
    <m/>
    <n v="9.1666666666666661"/>
    <s v="9/6-11/4. Moved to starting Jul 26 - Sep 24. moved back to 9/6-11/4"/>
  </r>
  <r>
    <x v="3"/>
    <s v="NA"/>
    <s v="U.S.A."/>
    <s v="BP Products North America Incorporated"/>
    <x v="69"/>
    <x v="2"/>
    <x v="10"/>
    <n v="2024"/>
    <n v="1"/>
    <m/>
    <n v="23.375"/>
    <s v="9/6-11/4. Moved to starting Jul 26 - Sep 24. moved back to 9/6-11/4"/>
  </r>
  <r>
    <x v="3"/>
    <s v="NA"/>
    <s v="U.S.A."/>
    <s v="Valero Refining Company"/>
    <x v="35"/>
    <x v="1"/>
    <x v="10"/>
    <n v="2024"/>
    <n v="1"/>
    <m/>
    <n v="0"/>
    <n v="0"/>
  </r>
  <r>
    <x v="3"/>
    <s v="NA"/>
    <s v="U.S.A."/>
    <s v="HF Sinclair Corporation"/>
    <x v="72"/>
    <x v="6"/>
    <x v="10"/>
    <n v="2024"/>
    <n v="1"/>
    <n v="0.13333333333333333"/>
    <n v="0.27333333333333337"/>
    <n v="0"/>
  </r>
  <r>
    <x v="3"/>
    <s v="NA"/>
    <s v="U.S.A."/>
    <s v="HF Sinclair Corporation"/>
    <x v="72"/>
    <x v="2"/>
    <x v="10"/>
    <n v="2024"/>
    <n v="1"/>
    <n v="0.13333333333333333"/>
    <n v="5.5466666666666669"/>
    <n v="0"/>
  </r>
  <r>
    <x v="3"/>
    <s v="NA"/>
    <s v="U.S.A."/>
    <s v="HF Sinclair Corporation"/>
    <x v="72"/>
    <x v="3"/>
    <x v="10"/>
    <n v="2024"/>
    <n v="1"/>
    <n v="0.13333333333333333"/>
    <n v="5.2"/>
    <n v="0"/>
  </r>
  <r>
    <x v="0"/>
    <s v="NA"/>
    <s v="U.S.A."/>
    <s v="Chevron Corporation"/>
    <x v="39"/>
    <x v="8"/>
    <x v="10"/>
    <n v="2024"/>
    <n v="1"/>
    <m/>
    <n v="0"/>
    <s v="Major turnaround reconfiguring to run LTO. Whole refinery down 10/4-11/13"/>
  </r>
  <r>
    <x v="0"/>
    <s v="NA"/>
    <s v="U.S.A."/>
    <s v="Chevron Corporation"/>
    <x v="39"/>
    <x v="0"/>
    <x v="10"/>
    <n v="2024"/>
    <n v="1"/>
    <m/>
    <n v="8.4716666666666676"/>
    <s v="Major turnaround reconfiguring to run LTO. Whole refinery down 10/4-11/13"/>
  </r>
  <r>
    <x v="0"/>
    <s v="NA"/>
    <s v="U.S.A."/>
    <s v="Chevron Corporation"/>
    <x v="39"/>
    <x v="11"/>
    <x v="10"/>
    <n v="2024"/>
    <n v="1"/>
    <m/>
    <n v="0"/>
    <s v="Major turnaround reconfiguring to run LTO. Whole refinery down 10/4-11/13"/>
  </r>
  <r>
    <x v="0"/>
    <s v="NA"/>
    <s v="U.S.A."/>
    <s v="Chevron Corporation"/>
    <x v="39"/>
    <x v="1"/>
    <x v="10"/>
    <n v="2024"/>
    <n v="1"/>
    <m/>
    <n v="0"/>
    <s v="Major turnaround reconfiguring to run LTO. Whole refinery down 10/4-11/13"/>
  </r>
  <r>
    <x v="0"/>
    <s v="NA"/>
    <s v="U.S.A."/>
    <s v="Chevron Corporation"/>
    <x v="39"/>
    <x v="2"/>
    <x v="10"/>
    <n v="2024"/>
    <n v="1"/>
    <m/>
    <n v="5.0266666666666673"/>
    <s v="Major turnaround reconfiguring to run LTO. Whole refinery down 10/4-11/13"/>
  </r>
  <r>
    <x v="0"/>
    <s v="NA"/>
    <s v="U.S.A."/>
    <s v="Vertex Energy"/>
    <x v="81"/>
    <x v="0"/>
    <x v="10"/>
    <n v="2024"/>
    <n v="1"/>
    <n v="0.23333333333333334"/>
    <n v="2.6775000000000002"/>
    <s v="Planned turnaround 10/4-11/7"/>
  </r>
  <r>
    <x v="0"/>
    <s v="NA"/>
    <s v="U.S.A."/>
    <s v="Vertex Energy"/>
    <x v="81"/>
    <x v="1"/>
    <x v="10"/>
    <n v="2024"/>
    <n v="1"/>
    <n v="0.23333333333333334"/>
    <n v="0"/>
    <s v="Planned turnaround 10/4-11/7"/>
  </r>
  <r>
    <x v="0"/>
    <s v="NA"/>
    <s v="U.S.A."/>
    <s v="Vertex Energy"/>
    <x v="81"/>
    <x v="2"/>
    <x v="10"/>
    <n v="2024"/>
    <n v="1"/>
    <n v="0.23333333333333334"/>
    <n v="0.93333333333333335"/>
    <s v="Planned turnaround 10/4-11/7"/>
  </r>
  <r>
    <x v="0"/>
    <s v="NA"/>
    <s v="U.S.A."/>
    <s v="Phillips 66"/>
    <x v="79"/>
    <x v="1"/>
    <x v="10"/>
    <n v="2024"/>
    <n v="1"/>
    <m/>
    <n v="0"/>
    <n v="0"/>
  </r>
  <r>
    <x v="0"/>
    <s v="NA"/>
    <s v="U.S.A."/>
    <s v="Phillips 66"/>
    <x v="79"/>
    <x v="3"/>
    <x v="10"/>
    <n v="2024"/>
    <n v="1"/>
    <m/>
    <n v="13.953333333333335"/>
    <n v="0"/>
  </r>
  <r>
    <x v="0"/>
    <s v="NA"/>
    <s v="U.S.A."/>
    <s v="Phillips 66"/>
    <x v="79"/>
    <x v="4"/>
    <x v="10"/>
    <n v="2024"/>
    <n v="1"/>
    <m/>
    <n v="3.1920000000000002"/>
    <n v="0"/>
  </r>
  <r>
    <x v="0"/>
    <s v="NA"/>
    <s v="U.S.A."/>
    <s v="Delek US Holdings"/>
    <x v="83"/>
    <x v="8"/>
    <x v="10"/>
    <n v="2024"/>
    <n v="1"/>
    <n v="0.66666666666666663"/>
    <n v="0"/>
    <s v="10/4-11/20"/>
  </r>
  <r>
    <x v="0"/>
    <s v="NA"/>
    <s v="U.S.A."/>
    <s v="Delek US Holdings"/>
    <x v="83"/>
    <x v="0"/>
    <x v="10"/>
    <n v="2024"/>
    <n v="1"/>
    <n v="0.66666666666666663"/>
    <n v="7.3666666666666654"/>
    <s v="10/4-11/20"/>
  </r>
  <r>
    <x v="0"/>
    <s v="NA"/>
    <s v="U.S.A."/>
    <s v="Delek US Holdings"/>
    <x v="83"/>
    <x v="11"/>
    <x v="10"/>
    <n v="2024"/>
    <n v="1"/>
    <n v="0.66666666666666663"/>
    <n v="0"/>
    <s v="10/4-11/20"/>
  </r>
  <r>
    <x v="0"/>
    <s v="NA"/>
    <s v="U.S.A."/>
    <s v="Delek US Holdings"/>
    <x v="83"/>
    <x v="9"/>
    <x v="10"/>
    <n v="2024"/>
    <n v="1"/>
    <n v="0.66666666666666663"/>
    <n v="0"/>
    <s v="10/4-11/20"/>
  </r>
  <r>
    <x v="0"/>
    <s v="NA"/>
    <s v="U.S.A."/>
    <s v="Delek US Holdings"/>
    <x v="83"/>
    <x v="1"/>
    <x v="10"/>
    <n v="2024"/>
    <n v="1"/>
    <n v="0.66666666666666663"/>
    <n v="0"/>
    <s v="10/4-11/20"/>
  </r>
  <r>
    <x v="0"/>
    <s v="NA"/>
    <s v="U.S.A."/>
    <s v="Delek US Holdings"/>
    <x v="83"/>
    <x v="2"/>
    <x v="10"/>
    <n v="2024"/>
    <n v="1"/>
    <n v="0.66666666666666663"/>
    <n v="4.9333333333333336"/>
    <s v="10/4-11/20"/>
  </r>
  <r>
    <x v="0"/>
    <s v="NA"/>
    <s v="U.S.A."/>
    <s v="Delek US Holdings"/>
    <x v="83"/>
    <x v="3"/>
    <x v="10"/>
    <n v="2024"/>
    <n v="1"/>
    <n v="0.66666666666666663"/>
    <n v="13.866666666666667"/>
    <s v="10/4-11/20"/>
  </r>
  <r>
    <x v="0"/>
    <s v="NA"/>
    <s v="U.S.A."/>
    <s v="Delek US Holdings"/>
    <x v="83"/>
    <x v="4"/>
    <x v="10"/>
    <n v="2024"/>
    <n v="1"/>
    <n v="0.66666666666666663"/>
    <n v="3.1666666666666665"/>
    <s v="10/4-11/20"/>
  </r>
  <r>
    <x v="0"/>
    <s v="NA"/>
    <s v="U.S.A."/>
    <s v="Marathon Petroleum Corporation"/>
    <x v="27"/>
    <x v="5"/>
    <x v="10"/>
    <n v="2024"/>
    <n v="1"/>
    <m/>
    <n v="0.4"/>
    <s v="Updated timing from Apr-May to Sep 6-Oct10, now it's 9/10-11/4"/>
  </r>
  <r>
    <x v="0"/>
    <s v="NA"/>
    <s v="U.S.A."/>
    <s v="Shell Chemical Company"/>
    <x v="84"/>
    <x v="7"/>
    <x v="10"/>
    <n v="2024"/>
    <n v="1"/>
    <m/>
    <n v="0"/>
    <s v="Turnaround will likely be cancelled due to a fire incident that occurred in May 2023 and required a rebuild of part of the unit (Offline Event ID 701036). Shell will make a decision on TA timing upon restart of the unit."/>
  </r>
  <r>
    <x v="0"/>
    <s v="NA"/>
    <s v="U.S.A."/>
    <s v="Chalmette Refining LLC"/>
    <x v="10"/>
    <x v="0"/>
    <x v="10"/>
    <n v="2024"/>
    <n v="1"/>
    <n v="0.13333333333333333"/>
    <n v="2.1533333333333333"/>
    <s v="Moved from 9/5 - 10/21 to 10/1-11/4"/>
  </r>
  <r>
    <x v="0"/>
    <s v="NA"/>
    <s v="U.S.A."/>
    <s v="Chalmette Refining LLC"/>
    <x v="10"/>
    <x v="2"/>
    <x v="10"/>
    <n v="2024"/>
    <n v="1"/>
    <n v="0.13333333333333333"/>
    <n v="2.56"/>
    <s v="Moved from 9/5 - 10/21 to 10/1-11/4"/>
  </r>
  <r>
    <x v="0"/>
    <s v="NA"/>
    <s v="U.S.A."/>
    <s v="Chalmette Refining LLC"/>
    <x v="10"/>
    <x v="6"/>
    <x v="10"/>
    <n v="2024"/>
    <n v="1"/>
    <n v="0.13333333333333333"/>
    <n v="0.84"/>
    <s v="Moved from 9/5 - 10/21 to 10/1-11/4"/>
  </r>
  <r>
    <x v="0"/>
    <s v="NA"/>
    <s v="U.S.A."/>
    <s v="Chalmette Refining LLC"/>
    <x v="10"/>
    <x v="1"/>
    <x v="10"/>
    <n v="2024"/>
    <n v="1"/>
    <n v="0.13333333333333333"/>
    <n v="0"/>
    <s v="Moved from 9/5 - 10/21 to 10/1-11/4"/>
  </r>
  <r>
    <x v="0"/>
    <s v="NA"/>
    <s v="U.S.A."/>
    <s v="Chalmette Refining LLC"/>
    <x v="10"/>
    <x v="3"/>
    <x v="10"/>
    <n v="2024"/>
    <n v="1"/>
    <n v="0.13333333333333333"/>
    <n v="5.8933333333333335"/>
    <s v="Moved from 9/5 - 10/21 to 10/1-11/4"/>
  </r>
  <r>
    <x v="0"/>
    <s v="NA"/>
    <s v="U.S.A."/>
    <s v="Chalmette Refining LLC"/>
    <x v="10"/>
    <x v="4"/>
    <x v="10"/>
    <n v="2024"/>
    <n v="1"/>
    <n v="0.13333333333333333"/>
    <n v="1.5199999999999998"/>
    <s v="Moved from 9/5 - 10/21 to 10/1-11/4"/>
  </r>
  <r>
    <x v="4"/>
    <s v="NA"/>
    <s v="U.S.A."/>
    <s v="Chevron Corporation"/>
    <x v="41"/>
    <x v="2"/>
    <x v="10"/>
    <n v="2024"/>
    <n v="1"/>
    <m/>
    <n v="0"/>
    <s v="Updated 2/5 per IIR - Outage from 3/24 - 4/27. Pulled up from Oct - Nov 2024"/>
  </r>
  <r>
    <x v="1"/>
    <s v="NA"/>
    <s v="U.S.A."/>
    <s v="Valero Refining Company"/>
    <x v="85"/>
    <x v="3"/>
    <x v="11"/>
    <n v="2025"/>
    <n v="1"/>
    <n v="0.12903225806451613"/>
    <n v="6.4580645161290322"/>
    <s v="77 kbd FCC down 11/21-12/04"/>
  </r>
  <r>
    <x v="2"/>
    <s v="NA"/>
    <s v="U.S.A."/>
    <s v="Monroe Energy LLC"/>
    <x v="68"/>
    <x v="5"/>
    <x v="12"/>
    <n v="2025"/>
    <n v="1"/>
    <n v="0.5161290322580645"/>
    <n v="0.61935483870967745"/>
    <m/>
  </r>
  <r>
    <x v="3"/>
    <s v="NA"/>
    <s v="U.S.A."/>
    <s v="Toledo Refining Company LLC"/>
    <x v="33"/>
    <x v="0"/>
    <x v="12"/>
    <n v="2025"/>
    <n v="1"/>
    <n v="0.67741935483870963"/>
    <n v="8.637096774193548"/>
    <s v="PBF Toledo 15 kbd reformer on T/A from 1/10-2/8"/>
  </r>
  <r>
    <x v="0"/>
    <s v="NA"/>
    <s v="U.S.A."/>
    <s v="Flint Hills Resources LLC"/>
    <x v="86"/>
    <x v="0"/>
    <x v="12"/>
    <n v="2025"/>
    <n v="1"/>
    <n v="0.45161290322580644"/>
    <n v="22.264516129032256"/>
    <s v="58 kbd Ref down 1/10-2/8"/>
  </r>
  <r>
    <x v="0"/>
    <s v="NA"/>
    <s v="U.S.A."/>
    <s v="Calcasieu Refining Company"/>
    <x v="82"/>
    <x v="2"/>
    <x v="12"/>
    <n v="2025"/>
    <n v="1"/>
    <n v="0.45161290322580644"/>
    <n v="7.338709677419355"/>
    <s v="Both 65 kbd CDUs down for 2 weeks in Jan (1/3-1/17)"/>
  </r>
  <r>
    <x v="0"/>
    <s v="NA"/>
    <s v="U.S.A."/>
    <s v="Calcasieu Refining Company"/>
    <x v="82"/>
    <x v="2"/>
    <x v="12"/>
    <n v="2025"/>
    <n v="1"/>
    <n v="0.45161290322580644"/>
    <n v="7.338709677419355"/>
    <s v="Both 65 kbd CDUs down for 2 weeks in Jan (1/3-1/17)"/>
  </r>
  <r>
    <x v="0"/>
    <s v="NA"/>
    <s v="U.S.A."/>
    <s v="Flint Hills Resources LLC"/>
    <x v="86"/>
    <x v="6"/>
    <x v="12"/>
    <n v="2025"/>
    <n v="1"/>
    <n v="0.45161290322580644"/>
    <n v="0.76774193548387104"/>
    <s v="17 kbd Coker down 1/10-2/8"/>
  </r>
  <r>
    <x v="0"/>
    <s v="NA"/>
    <s v="U.S.A."/>
    <s v="Flint Hills Resources LLC"/>
    <x v="86"/>
    <x v="2"/>
    <x v="12"/>
    <n v="2025"/>
    <n v="1"/>
    <n v="0.45161290322580644"/>
    <n v="11.516129032258064"/>
    <s v="255 kbd CDU down 1/10-2/8"/>
  </r>
  <r>
    <x v="0"/>
    <s v="NA"/>
    <s v="U.S.A."/>
    <s v="Flint Hills Resources LLC"/>
    <x v="86"/>
    <x v="5"/>
    <x v="12"/>
    <n v="2025"/>
    <n v="1"/>
    <n v="0.45161290322580644"/>
    <n v="0.67741935483870963"/>
    <s v="30 kbd HDC down from 1/10-2/8"/>
  </r>
  <r>
    <x v="0"/>
    <s v="NA"/>
    <s v="U.S.A."/>
    <s v="Flint Hills Resources LLC"/>
    <x v="86"/>
    <x v="3"/>
    <x v="12"/>
    <n v="2025"/>
    <n v="1"/>
    <n v="0.45161290322580644"/>
    <n v="16.14516129032258"/>
    <s v="55 kbd FCC down 1/10-2/8"/>
  </r>
  <r>
    <x v="0"/>
    <s v="NA"/>
    <s v="U.S.A."/>
    <s v="Flint Hills Resources LLC"/>
    <x v="86"/>
    <x v="4"/>
    <x v="12"/>
    <n v="2025"/>
    <n v="1"/>
    <n v="0.45161290322580644"/>
    <n v="0"/>
    <m/>
  </r>
  <r>
    <x v="0"/>
    <s v="NA"/>
    <s v="U.S.A."/>
    <s v="ExxonMobil Corporation"/>
    <x v="11"/>
    <x v="2"/>
    <x v="12"/>
    <n v="2025"/>
    <n v="1"/>
    <n v="0.58064516129032262"/>
    <n v="27.580645161290324"/>
    <s v="190 kbd CDU offline 1/13-2/14"/>
  </r>
  <r>
    <x v="0"/>
    <s v="NA"/>
    <s v="U.S.A."/>
    <s v="Marathon Petroleum Corporation"/>
    <x v="8"/>
    <x v="8"/>
    <x v="12"/>
    <n v="2025"/>
    <n v="1"/>
    <m/>
    <n v="0"/>
    <m/>
  </r>
  <r>
    <x v="0"/>
    <s v="NA"/>
    <s v="U.S.A."/>
    <s v="Marathon Petroleum Corporation"/>
    <x v="8"/>
    <x v="2"/>
    <x v="12"/>
    <n v="2025"/>
    <n v="1"/>
    <n v="0.45161290322580644"/>
    <n v="6.774193548387097"/>
    <s v="275 kbd CDU down from 1/3-2/6. 12/5: Expecting this to be only 60 kbd impact."/>
  </r>
  <r>
    <x v="0"/>
    <s v="NA"/>
    <s v="U.S.A."/>
    <s v="Motiva Enterprises LLC"/>
    <x v="4"/>
    <x v="1"/>
    <x v="12"/>
    <n v="2025"/>
    <n v="1"/>
    <m/>
    <n v="0"/>
    <m/>
  </r>
  <r>
    <x v="0"/>
    <s v="NA"/>
    <s v="U.S.A."/>
    <s v="Motiva Enterprises LLC"/>
    <x v="4"/>
    <x v="3"/>
    <x v="12"/>
    <n v="2025"/>
    <n v="1"/>
    <m/>
    <n v="32.269354838709674"/>
    <s v="81 kbd FCC down 1/12-3/7"/>
  </r>
  <r>
    <x v="0"/>
    <s v="NA"/>
    <s v="U.S.A."/>
    <s v="Motiva Enterprises LLC"/>
    <x v="4"/>
    <x v="4"/>
    <x v="12"/>
    <n v="2025"/>
    <n v="1"/>
    <m/>
    <n v="0"/>
    <m/>
  </r>
  <r>
    <x v="0"/>
    <s v="NA"/>
    <s v="U.S.A."/>
    <s v="Phillips 66"/>
    <x v="36"/>
    <x v="8"/>
    <x v="12"/>
    <n v="2025"/>
    <n v="1"/>
    <m/>
    <n v="0"/>
    <m/>
  </r>
  <r>
    <x v="0"/>
    <s v="NA"/>
    <s v="U.S.A."/>
    <s v="Phillips 66"/>
    <x v="36"/>
    <x v="6"/>
    <x v="12"/>
    <n v="2025"/>
    <n v="1"/>
    <n v="0.67741935483870963"/>
    <n v="14.225806451612902"/>
    <s v="TA on 84 kbd Coker from 1/10-2/22"/>
  </r>
  <r>
    <x v="0"/>
    <s v="NA"/>
    <s v="U.S.A."/>
    <s v="Phillips 66"/>
    <x v="36"/>
    <x v="2"/>
    <x v="12"/>
    <n v="2025"/>
    <n v="1"/>
    <n v="0.67741935483870963"/>
    <n v="31.33064516129032"/>
    <s v="TA on 185 kbd CDU from 1/10-2/22"/>
  </r>
  <r>
    <x v="0"/>
    <s v="NA"/>
    <s v="U.S.A."/>
    <s v="Valero Refining Company"/>
    <x v="87"/>
    <x v="8"/>
    <x v="12"/>
    <n v="2025"/>
    <n v="1"/>
    <m/>
    <n v="0"/>
    <m/>
  </r>
  <r>
    <x v="0"/>
    <s v="NA"/>
    <s v="U.S.A."/>
    <s v="Valero Refining Company"/>
    <x v="87"/>
    <x v="0"/>
    <x v="12"/>
    <n v="2025"/>
    <n v="1"/>
    <n v="0.67741935483870963"/>
    <n v="5.758064516129032"/>
    <s v="10 kbd Reformer down for T/A from 1/10-2/23"/>
  </r>
  <r>
    <x v="0"/>
    <s v="NA"/>
    <s v="U.S.A."/>
    <s v="Valero Refining Company"/>
    <x v="87"/>
    <x v="10"/>
    <x v="12"/>
    <n v="2025"/>
    <n v="1"/>
    <m/>
    <n v="0"/>
    <m/>
  </r>
  <r>
    <x v="0"/>
    <s v="NA"/>
    <s v="U.S.A."/>
    <s v="Valero Refining Company"/>
    <x v="87"/>
    <x v="1"/>
    <x v="12"/>
    <n v="2025"/>
    <n v="1"/>
    <m/>
    <n v="0"/>
    <m/>
  </r>
  <r>
    <x v="0"/>
    <s v="NA"/>
    <s v="U.S.A."/>
    <s v="Valero Refining Company"/>
    <x v="87"/>
    <x v="3"/>
    <x v="12"/>
    <n v="2025"/>
    <n v="1"/>
    <n v="0.67741935483870963"/>
    <n v="8.0516129032258075"/>
    <s v="24 kbd FCC down from 1/10-3/1"/>
  </r>
  <r>
    <x v="0"/>
    <s v="NA"/>
    <s v="U.S.A."/>
    <s v="Valero Refining Company"/>
    <x v="87"/>
    <x v="2"/>
    <x v="12"/>
    <n v="2025"/>
    <n v="1"/>
    <n v="0.67741935483870963"/>
    <n v="6.5709677419354842"/>
    <s v="Both the 95 kbd and 2 kbd CDUs down from 1/10-2/23"/>
  </r>
  <r>
    <x v="0"/>
    <s v="NA"/>
    <s v="U.S.A."/>
    <s v="Marathon Petroleum Corporation"/>
    <x v="27"/>
    <x v="2"/>
    <x v="12"/>
    <n v="2025"/>
    <n v="1"/>
    <n v="0.80645161290322576"/>
    <n v="53.427419354838705"/>
    <s v="265 kbd Crude outage 1/6-2/10"/>
  </r>
  <r>
    <x v="0"/>
    <s v="NA"/>
    <s v="U.S.A."/>
    <s v="Marathon Petroleum Corporation"/>
    <x v="27"/>
    <x v="3"/>
    <x v="12"/>
    <n v="2025"/>
    <n v="1"/>
    <n v="0.80645161290322576"/>
    <n v="22.016129032258064"/>
    <s v="140 kbd FCC down 1/6-2/10"/>
  </r>
  <r>
    <x v="0"/>
    <s v="NA"/>
    <s v="U.S.A."/>
    <s v="Marathon Petroleum Corporation"/>
    <x v="27"/>
    <x v="4"/>
    <x v="12"/>
    <n v="2025"/>
    <n v="1"/>
    <n v="0.80645161290322576"/>
    <n v="0"/>
    <s v="Not counting as FCC is already accounted for "/>
  </r>
  <r>
    <x v="0"/>
    <s v="NA"/>
    <s v="U.S.A."/>
    <s v="CITGO Petroleum Corporation"/>
    <x v="88"/>
    <x v="2"/>
    <x v="12"/>
    <n v="2025"/>
    <n v="1"/>
    <n v="0.35483870967741937"/>
    <n v="14.63709677419355"/>
    <s v="165 kbd CDU down 1/6-1/17"/>
  </r>
  <r>
    <x v="4"/>
    <s v="NA"/>
    <s v="U.S.A."/>
    <s v="HF Sinclair Corporation"/>
    <x v="51"/>
    <x v="10"/>
    <x v="12"/>
    <n v="2025"/>
    <n v="1"/>
    <n v="0.67741935483870963"/>
    <n v="0"/>
    <m/>
  </r>
  <r>
    <x v="4"/>
    <s v="NA"/>
    <s v="U.S.A."/>
    <s v="HF Sinclair Corporation"/>
    <x v="51"/>
    <x v="9"/>
    <x v="12"/>
    <n v="2025"/>
    <n v="1"/>
    <n v="0.67741935483870963"/>
    <n v="0"/>
    <m/>
  </r>
  <r>
    <x v="4"/>
    <s v="NA"/>
    <s v="U.S.A."/>
    <s v="HF Sinclair Corporation"/>
    <x v="51"/>
    <x v="1"/>
    <x v="12"/>
    <n v="2025"/>
    <n v="1"/>
    <n v="0.67741935483870963"/>
    <n v="0"/>
    <m/>
  </r>
  <r>
    <x v="4"/>
    <s v="NA"/>
    <s v="U.S.A."/>
    <s v="HF Sinclair Corporation"/>
    <x v="51"/>
    <x v="4"/>
    <x v="12"/>
    <n v="2025"/>
    <n v="1"/>
    <n v="0.67741935483870963"/>
    <n v="0"/>
    <s v="Zeroing alky out since the FCC is down"/>
  </r>
  <r>
    <x v="4"/>
    <s v="NA"/>
    <s v="U.S.A."/>
    <s v="HF Sinclair Corporation"/>
    <x v="51"/>
    <x v="5"/>
    <x v="12"/>
    <n v="2025"/>
    <n v="1"/>
    <n v="0.67741935483870963"/>
    <n v="0.50806451612903225"/>
    <s v="15 kbd HDC down from 1/10-3/1"/>
  </r>
  <r>
    <x v="4"/>
    <s v="NA"/>
    <s v="U.S.A."/>
    <s v="HF Sinclair Corporation"/>
    <x v="51"/>
    <x v="2"/>
    <x v="12"/>
    <n v="2025"/>
    <n v="1"/>
    <n v="0.67741935483870963"/>
    <n v="2.540322580645161"/>
    <s v="15 kbd CDU down from 1/10-3/1"/>
  </r>
  <r>
    <x v="4"/>
    <s v="NA"/>
    <s v="U.S.A."/>
    <s v="HF Sinclair Corporation"/>
    <x v="51"/>
    <x v="3"/>
    <x v="12"/>
    <n v="2025"/>
    <n v="1"/>
    <n v="0.67741935483870963"/>
    <n v="7.6616129032258051"/>
    <s v="17.4 kbd FCC down from 1/10-3/1"/>
  </r>
  <r>
    <x v="1"/>
    <s v="NA"/>
    <s v="U.S.A."/>
    <s v="Martinez Refining Company LLC"/>
    <x v="54"/>
    <x v="4"/>
    <x v="12"/>
    <n v="2025"/>
    <n v="1"/>
    <m/>
    <n v="1.2000000000000002"/>
    <m/>
  </r>
  <r>
    <x v="1"/>
    <s v="NA"/>
    <s v="U.S.A."/>
    <s v="Valero Refining Company"/>
    <x v="15"/>
    <x v="10"/>
    <x v="12"/>
    <n v="2025"/>
    <n v="1"/>
    <m/>
    <n v="0"/>
    <m/>
  </r>
  <r>
    <x v="1"/>
    <s v="NA"/>
    <s v="U.S.A."/>
    <s v="Valero Refining Company"/>
    <x v="15"/>
    <x v="9"/>
    <x v="12"/>
    <n v="2025"/>
    <n v="1"/>
    <m/>
    <n v="0"/>
    <m/>
  </r>
  <r>
    <x v="1"/>
    <s v="NA"/>
    <s v="U.S.A."/>
    <s v="Valero Refining Company"/>
    <x v="15"/>
    <x v="1"/>
    <x v="12"/>
    <n v="2025"/>
    <n v="1"/>
    <m/>
    <n v="0"/>
    <m/>
  </r>
  <r>
    <x v="1"/>
    <s v="NA"/>
    <s v="U.S.A."/>
    <s v="Valero Refining Company"/>
    <x v="15"/>
    <x v="4"/>
    <x v="12"/>
    <n v="2025"/>
    <n v="1"/>
    <m/>
    <n v="0"/>
    <s v="Zeroing alky out since the FCC is down"/>
  </r>
  <r>
    <x v="1"/>
    <s v="NA"/>
    <s v="U.S.A."/>
    <s v="Valero Refining Company"/>
    <x v="15"/>
    <x v="2"/>
    <x v="12"/>
    <n v="2025"/>
    <n v="1"/>
    <m/>
    <n v="13.548387096774194"/>
    <s v="1/10-3/1. cdu (40), cdu (40), fcc (54)"/>
  </r>
  <r>
    <x v="1"/>
    <s v="NA"/>
    <s v="U.S.A."/>
    <s v="Valero Refining Company"/>
    <x v="15"/>
    <x v="3"/>
    <x v="12"/>
    <n v="2025"/>
    <n v="1"/>
    <m/>
    <n v="23.77741935483871"/>
    <s v="1/10-3/1. cdu (40), cdu (40), fcc (54)"/>
  </r>
  <r>
    <x v="2"/>
    <s v="NA"/>
    <s v="U.S.A."/>
    <s v="Phillips 66"/>
    <x v="17"/>
    <x v="2"/>
    <x v="13"/>
    <n v="2025"/>
    <n v="1"/>
    <m/>
    <n v="24.28125"/>
    <s v="Confirmed Event for Fall 2024. Exact date and duration unknown. Moved from Sep '24: 9/13-11/2 to Feb '25: 2/7-3/29"/>
  </r>
  <r>
    <x v="2"/>
    <s v="NA"/>
    <s v="U.S.A."/>
    <s v="Phillips 66"/>
    <x v="17"/>
    <x v="8"/>
    <x v="13"/>
    <n v="2025"/>
    <n v="1"/>
    <m/>
    <n v="0"/>
    <m/>
  </r>
  <r>
    <x v="2"/>
    <s v="NA"/>
    <s v="U.S.A."/>
    <s v="Monroe Energy LLC"/>
    <x v="68"/>
    <x v="5"/>
    <x v="13"/>
    <n v="2025"/>
    <n v="1"/>
    <n v="1"/>
    <n v="1.2000000000000002"/>
    <m/>
  </r>
  <r>
    <x v="3"/>
    <s v="NA"/>
    <s v="U.S.A."/>
    <s v="Coffeyville Resources Refining &amp; Marketing LLC"/>
    <x v="19"/>
    <x v="8"/>
    <x v="13"/>
    <n v="2025"/>
    <n v="1"/>
    <m/>
    <n v="0"/>
    <m/>
  </r>
  <r>
    <x v="3"/>
    <s v="NA"/>
    <s v="U.S.A."/>
    <s v="Coffeyville Resources Refining &amp; Marketing LLC"/>
    <x v="19"/>
    <x v="10"/>
    <x v="13"/>
    <n v="2025"/>
    <n v="1"/>
    <m/>
    <n v="0"/>
    <m/>
  </r>
  <r>
    <x v="3"/>
    <s v="NA"/>
    <s v="U.S.A."/>
    <s v="Coffeyville Resources Refining &amp; Marketing LLC"/>
    <x v="19"/>
    <x v="9"/>
    <x v="13"/>
    <n v="2025"/>
    <n v="1"/>
    <m/>
    <n v="0"/>
    <m/>
  </r>
  <r>
    <x v="3"/>
    <s v="NA"/>
    <s v="U.S.A."/>
    <s v="Coffeyville Resources Refining &amp; Marketing LLC"/>
    <x v="19"/>
    <x v="1"/>
    <x v="13"/>
    <n v="2025"/>
    <n v="1"/>
    <m/>
    <n v="0"/>
    <m/>
  </r>
  <r>
    <x v="3"/>
    <s v="NA"/>
    <s v="U.S.A."/>
    <s v="Coffeyville Resources Refining &amp; Marketing LLC"/>
    <x v="19"/>
    <x v="4"/>
    <x v="13"/>
    <n v="2025"/>
    <n v="1"/>
    <m/>
    <n v="0"/>
    <s v="Zeroing alky out since the FCC is down"/>
  </r>
  <r>
    <x v="3"/>
    <s v="NA"/>
    <s v="U.S.A."/>
    <s v="CVR Energy Incorporated"/>
    <x v="32"/>
    <x v="8"/>
    <x v="13"/>
    <n v="2025"/>
    <n v="1"/>
    <m/>
    <n v="0"/>
    <m/>
  </r>
  <r>
    <x v="3"/>
    <s v="NA"/>
    <s v="U.S.A."/>
    <s v="Coffeyville Resources Refining &amp; Marketing LLC"/>
    <x v="19"/>
    <x v="0"/>
    <x v="13"/>
    <n v="2025"/>
    <n v="1"/>
    <n v="0.5"/>
    <n v="10.625"/>
    <s v="25 kbd Reformer down 2/14-3/30"/>
  </r>
  <r>
    <x v="3"/>
    <s v="NA"/>
    <s v="U.S.A."/>
    <s v="Coffeyville Resources Refining &amp; Marketing LLC"/>
    <x v="19"/>
    <x v="6"/>
    <x v="13"/>
    <n v="2025"/>
    <n v="1"/>
    <n v="0.5"/>
    <n v="0.97500000000000009"/>
    <s v="19.5 kbd Coker down from 2/14-3/30"/>
  </r>
  <r>
    <x v="3"/>
    <s v="NA"/>
    <s v="U.S.A."/>
    <s v="Coffeyville Resources Refining &amp; Marketing LLC"/>
    <x v="19"/>
    <x v="2"/>
    <x v="13"/>
    <n v="2025"/>
    <n v="1"/>
    <n v="0.5"/>
    <n v="6.75"/>
    <s v="Coffeyville bringing down both CDUs 75 &amp; 60 kbd from 2/14-3/30"/>
  </r>
  <r>
    <x v="3"/>
    <s v="NA"/>
    <s v="U.S.A."/>
    <s v="Coffeyville Resources Refining &amp; Marketing LLC"/>
    <x v="19"/>
    <x v="3"/>
    <x v="13"/>
    <n v="2025"/>
    <n v="1"/>
    <n v="0.5"/>
    <n v="10.4"/>
    <s v="32 kbd FCC down from 2/14-3/30"/>
  </r>
  <r>
    <x v="3"/>
    <s v="NA"/>
    <s v="U.S.A."/>
    <s v="Toledo Refining Company LLC"/>
    <x v="33"/>
    <x v="0"/>
    <x v="13"/>
    <n v="2025"/>
    <n v="1"/>
    <n v="0.2857142857142857"/>
    <n v="3.6428571428571428"/>
    <s v="PBF Toledo 15 kbd reformer on T/A from 1/10-2/8"/>
  </r>
  <r>
    <x v="3"/>
    <s v="NA"/>
    <s v="U.S.A."/>
    <s v="CVR Energy Incorporated"/>
    <x v="32"/>
    <x v="2"/>
    <x v="13"/>
    <n v="2025"/>
    <n v="1"/>
    <n v="0.4642857142857143"/>
    <n v="4.0625"/>
    <s v="35 kbd CDU down from 2/15-3/31"/>
  </r>
  <r>
    <x v="0"/>
    <s v="NA"/>
    <s v="U.S.A."/>
    <s v="ExxonMobil Corporation"/>
    <x v="11"/>
    <x v="2"/>
    <x v="13"/>
    <n v="2025"/>
    <n v="2"/>
    <n v="0.5"/>
    <n v="23.75"/>
    <s v="190 kbd CDU offline 1/13-2/14"/>
  </r>
  <r>
    <x v="0"/>
    <s v="NA"/>
    <s v="U.S.A."/>
    <s v="ExxonMobil Corporation"/>
    <x v="12"/>
    <x v="2"/>
    <x v="13"/>
    <n v="2025"/>
    <n v="2"/>
    <n v="0.8571428571428571"/>
    <n v="18.857142857142858"/>
    <s v="88 kbd CDU offline 2/4-3/1"/>
  </r>
  <r>
    <x v="0"/>
    <s v="NA"/>
    <s v="U.S.A."/>
    <s v="ExxonMobil Corporation"/>
    <x v="12"/>
    <x v="6"/>
    <x v="13"/>
    <n v="2025"/>
    <n v="1"/>
    <m/>
    <n v="8.25"/>
    <s v="27.5 kbd Coker down from 2/1-3/7"/>
  </r>
  <r>
    <x v="0"/>
    <s v="NA"/>
    <s v="U.S.A."/>
    <s v="ExxonMobil Corporation"/>
    <x v="12"/>
    <x v="2"/>
    <x v="13"/>
    <n v="2025"/>
    <n v="1"/>
    <m/>
    <n v="22.5"/>
    <s v="90 kbd CDU down from 2/1-3/7"/>
  </r>
  <r>
    <x v="0"/>
    <s v="NA"/>
    <s v="U.S.A."/>
    <s v="Flint Hills Resources LLC"/>
    <x v="86"/>
    <x v="0"/>
    <x v="13"/>
    <n v="2025"/>
    <n v="1"/>
    <n v="0.5357142857142857"/>
    <n v="26.410714285714285"/>
    <s v="58 kbd Ref down 1/10-2/8"/>
  </r>
  <r>
    <x v="0"/>
    <s v="NA"/>
    <s v="U.S.A."/>
    <s v="Flint Hills Resources LLC"/>
    <x v="86"/>
    <x v="6"/>
    <x v="13"/>
    <n v="2025"/>
    <n v="1"/>
    <n v="0.5357142857142857"/>
    <n v="0.91071428571428581"/>
    <s v="17 kbd Coker down 1/10-2/8"/>
  </r>
  <r>
    <x v="0"/>
    <s v="NA"/>
    <s v="U.S.A."/>
    <s v="Flint Hills Resources LLC"/>
    <x v="86"/>
    <x v="2"/>
    <x v="13"/>
    <n v="2025"/>
    <n v="1"/>
    <n v="0.5357142857142857"/>
    <n v="13.660714285714285"/>
    <s v="255 kbd CDU down 1/10-2/8"/>
  </r>
  <r>
    <x v="0"/>
    <s v="NA"/>
    <s v="U.S.A."/>
    <s v="Flint Hills Resources LLC"/>
    <x v="86"/>
    <x v="5"/>
    <x v="13"/>
    <n v="2025"/>
    <n v="1"/>
    <n v="0.5357142857142857"/>
    <n v="0.8035714285714286"/>
    <s v="30 kbd HDC down from 1/10-2/8"/>
  </r>
  <r>
    <x v="0"/>
    <s v="NA"/>
    <s v="U.S.A."/>
    <s v="Flint Hills Resources LLC"/>
    <x v="86"/>
    <x v="3"/>
    <x v="13"/>
    <n v="2025"/>
    <n v="1"/>
    <n v="0.5357142857142857"/>
    <n v="19.151785714285715"/>
    <s v="55 kbd FCC down 1/10-2/8"/>
  </r>
  <r>
    <x v="0"/>
    <s v="NA"/>
    <s v="U.S.A."/>
    <s v="Flint Hills Resources LLC"/>
    <x v="86"/>
    <x v="4"/>
    <x v="13"/>
    <n v="2025"/>
    <n v="1"/>
    <n v="0.5357142857142857"/>
    <n v="0"/>
    <m/>
  </r>
  <r>
    <x v="0"/>
    <s v="NA"/>
    <s v="U.S.A."/>
    <s v="Hunt Refining Company"/>
    <x v="89"/>
    <x v="8"/>
    <x v="13"/>
    <n v="2025"/>
    <n v="1"/>
    <m/>
    <n v="0"/>
    <m/>
  </r>
  <r>
    <x v="0"/>
    <s v="NA"/>
    <s v="U.S.A."/>
    <s v="Hunt Refining Company"/>
    <x v="89"/>
    <x v="2"/>
    <x v="13"/>
    <n v="2025"/>
    <n v="1"/>
    <m/>
    <n v="0.625"/>
    <m/>
  </r>
  <r>
    <x v="0"/>
    <s v="NA"/>
    <s v="U.S.A."/>
    <s v="Marathon Petroleum Corporation"/>
    <x v="27"/>
    <x v="3"/>
    <x v="13"/>
    <n v="2025"/>
    <n v="1"/>
    <n v="0.21428571428571427"/>
    <n v="5.85"/>
    <s v="140 kbd FCC down 1/6-2/10"/>
  </r>
  <r>
    <x v="0"/>
    <s v="NA"/>
    <s v="U.S.A."/>
    <s v="Marathon Petroleum Corporation"/>
    <x v="27"/>
    <x v="4"/>
    <x v="13"/>
    <n v="2025"/>
    <n v="1"/>
    <m/>
    <n v="0"/>
    <s v="Not counting as FCC is already accounted for "/>
  </r>
  <r>
    <x v="0"/>
    <s v="NA"/>
    <s v="U.S.A."/>
    <s v="Marathon Petroleum Corporation"/>
    <x v="8"/>
    <x v="8"/>
    <x v="13"/>
    <n v="2025"/>
    <n v="1"/>
    <m/>
    <n v="0"/>
    <m/>
  </r>
  <r>
    <x v="0"/>
    <s v="NA"/>
    <s v="U.S.A."/>
    <s v="Marathon Petroleum Corporation"/>
    <x v="8"/>
    <x v="2"/>
    <x v="13"/>
    <n v="2025"/>
    <n v="1"/>
    <n v="1"/>
    <n v="15"/>
    <s v="275 kbd CDU down from 1/3-2/6. Expecting this to only be 60 kbd crude impact"/>
  </r>
  <r>
    <x v="0"/>
    <s v="NA"/>
    <s v="U.S.A."/>
    <s v="Motiva Enterprises LLC"/>
    <x v="4"/>
    <x v="1"/>
    <x v="13"/>
    <n v="2025"/>
    <n v="1"/>
    <m/>
    <n v="0"/>
    <m/>
  </r>
  <r>
    <x v="0"/>
    <s v="NA"/>
    <s v="U.S.A."/>
    <s v="Motiva Enterprises LLC"/>
    <x v="4"/>
    <x v="3"/>
    <x v="13"/>
    <n v="2025"/>
    <n v="1"/>
    <m/>
    <n v="52.65"/>
    <s v="81 kbd FCC down 1/12-3/7"/>
  </r>
  <r>
    <x v="0"/>
    <s v="NA"/>
    <s v="U.S.A."/>
    <s v="Motiva Enterprises LLC"/>
    <x v="4"/>
    <x v="4"/>
    <x v="13"/>
    <n v="2025"/>
    <n v="1"/>
    <m/>
    <n v="0"/>
    <m/>
  </r>
  <r>
    <x v="0"/>
    <s v="NA"/>
    <s v="U.S.A."/>
    <s v="Phillips 66"/>
    <x v="36"/>
    <x v="8"/>
    <x v="13"/>
    <n v="2025"/>
    <n v="1"/>
    <m/>
    <n v="0"/>
    <m/>
  </r>
  <r>
    <x v="0"/>
    <s v="NA"/>
    <s v="U.S.A."/>
    <s v="Phillips 66"/>
    <x v="36"/>
    <x v="6"/>
    <x v="13"/>
    <n v="2025"/>
    <n v="1"/>
    <n v="0.7857142857142857"/>
    <n v="16.5"/>
    <s v="TA on 84 kbd Coker from 1/10-2/22"/>
  </r>
  <r>
    <x v="0"/>
    <s v="NA"/>
    <s v="U.S.A."/>
    <s v="Phillips 66"/>
    <x v="36"/>
    <x v="2"/>
    <x v="13"/>
    <n v="2025"/>
    <n v="1"/>
    <n v="0.7857142857142857"/>
    <n v="36.339285714285715"/>
    <s v="TA on 185 kbd CDU from 1/10-2/22"/>
  </r>
  <r>
    <x v="0"/>
    <s v="NA"/>
    <s v="U.S.A."/>
    <s v="Valero Refining Company"/>
    <x v="87"/>
    <x v="8"/>
    <x v="13"/>
    <n v="2025"/>
    <n v="1"/>
    <m/>
    <n v="0"/>
    <m/>
  </r>
  <r>
    <x v="0"/>
    <s v="NA"/>
    <s v="U.S.A."/>
    <s v="Valero Refining Company"/>
    <x v="87"/>
    <x v="0"/>
    <x v="13"/>
    <n v="2025"/>
    <n v="1"/>
    <n v="0.8214285714285714"/>
    <n v="6.9821428571428568"/>
    <s v="10 kbd Reformer down for T/A from 1/10-2/23"/>
  </r>
  <r>
    <x v="0"/>
    <s v="NA"/>
    <s v="U.S.A."/>
    <s v="Valero Refining Company"/>
    <x v="87"/>
    <x v="10"/>
    <x v="13"/>
    <n v="2025"/>
    <n v="1"/>
    <m/>
    <n v="0"/>
    <m/>
  </r>
  <r>
    <x v="0"/>
    <s v="NA"/>
    <s v="U.S.A."/>
    <s v="Valero Refining Company"/>
    <x v="87"/>
    <x v="1"/>
    <x v="13"/>
    <n v="2025"/>
    <n v="1"/>
    <m/>
    <n v="0"/>
    <m/>
  </r>
  <r>
    <x v="0"/>
    <s v="NA"/>
    <s v="U.S.A."/>
    <s v="Valero Refining Company"/>
    <x v="87"/>
    <x v="3"/>
    <x v="13"/>
    <n v="2025"/>
    <n v="1"/>
    <n v="1"/>
    <n v="15.600000000000001"/>
    <s v="24 kbd FCC down from 1/10-3/1"/>
  </r>
  <r>
    <x v="0"/>
    <s v="NA"/>
    <s v="U.S.A."/>
    <s v="Valero Refining Company"/>
    <x v="87"/>
    <x v="2"/>
    <x v="13"/>
    <n v="2025"/>
    <n v="1"/>
    <n v="1"/>
    <n v="9.7000000000000011"/>
    <s v="Both the 95 kbd and 2 kbd CDUs down from 1/10-2/23"/>
  </r>
  <r>
    <x v="4"/>
    <s v="NA"/>
    <s v="U.S.A."/>
    <s v="HF Sinclair Corporation"/>
    <x v="51"/>
    <x v="10"/>
    <x v="13"/>
    <n v="2025"/>
    <n v="1"/>
    <m/>
    <n v="0"/>
    <m/>
  </r>
  <r>
    <x v="4"/>
    <s v="NA"/>
    <s v="U.S.A."/>
    <s v="HF Sinclair Corporation"/>
    <x v="51"/>
    <x v="9"/>
    <x v="13"/>
    <n v="2025"/>
    <n v="1"/>
    <m/>
    <n v="0"/>
    <m/>
  </r>
  <r>
    <x v="4"/>
    <s v="NA"/>
    <s v="U.S.A."/>
    <s v="HF Sinclair Corporation"/>
    <x v="51"/>
    <x v="1"/>
    <x v="13"/>
    <n v="2025"/>
    <n v="1"/>
    <m/>
    <n v="0"/>
    <m/>
  </r>
  <r>
    <x v="4"/>
    <s v="NA"/>
    <s v="U.S.A."/>
    <s v="HF Sinclair Corporation"/>
    <x v="51"/>
    <x v="4"/>
    <x v="13"/>
    <n v="2025"/>
    <n v="1"/>
    <n v="1"/>
    <n v="0"/>
    <s v="Zeroing alky out since the FCC is down"/>
  </r>
  <r>
    <x v="4"/>
    <s v="NA"/>
    <s v="U.S.A."/>
    <s v="Chevron Corporation"/>
    <x v="41"/>
    <x v="6"/>
    <x v="13"/>
    <n v="2025"/>
    <n v="1"/>
    <n v="0.9285714285714286"/>
    <n v="2.0057142857142858"/>
    <s v="7.2 kbd Coker down 2/2-3/19"/>
  </r>
  <r>
    <x v="4"/>
    <s v="NA"/>
    <s v="U.S.A."/>
    <s v="HF Sinclair Corporation"/>
    <x v="51"/>
    <x v="5"/>
    <x v="13"/>
    <n v="2025"/>
    <n v="1"/>
    <n v="1"/>
    <n v="0.75"/>
    <s v="15 kbd HDC down from 1/10-3/1"/>
  </r>
  <r>
    <x v="4"/>
    <s v="NA"/>
    <s v="U.S.A."/>
    <s v="HF Sinclair Corporation"/>
    <x v="51"/>
    <x v="2"/>
    <x v="13"/>
    <n v="2025"/>
    <n v="1"/>
    <n v="1"/>
    <n v="3.75"/>
    <s v="15 kbd CDU down from 1/10-3/1"/>
  </r>
  <r>
    <x v="4"/>
    <s v="NA"/>
    <s v="U.S.A."/>
    <s v="HF Sinclair Corporation"/>
    <x v="51"/>
    <x v="3"/>
    <x v="13"/>
    <n v="2025"/>
    <n v="1"/>
    <n v="1"/>
    <n v="11.309999999999999"/>
    <s v="17.4 kbd FCC down from 1/10-3/1"/>
  </r>
  <r>
    <x v="1"/>
    <s v="NA"/>
    <s v="U.S.A."/>
    <s v="Marathon Petroleum Corporation"/>
    <x v="90"/>
    <x v="2"/>
    <x v="13"/>
    <n v="2025"/>
    <n v="1"/>
    <m/>
    <n v="1.0714285714285714"/>
    <s v="2/28-4/17. CDU (120)"/>
  </r>
  <r>
    <x v="1"/>
    <s v="NA"/>
    <s v="U.S.A."/>
    <s v="Marathon Petroleum Corporation"/>
    <x v="90"/>
    <x v="8"/>
    <x v="13"/>
    <n v="2025"/>
    <n v="1"/>
    <m/>
    <n v="0"/>
    <m/>
  </r>
  <r>
    <x v="1"/>
    <s v="NA"/>
    <s v="U.S.A."/>
    <s v="Marathon Petroleum Corporation"/>
    <x v="90"/>
    <x v="1"/>
    <x v="13"/>
    <n v="2025"/>
    <n v="1"/>
    <m/>
    <n v="0"/>
    <m/>
  </r>
  <r>
    <x v="1"/>
    <s v="NA"/>
    <s v="U.S.A."/>
    <s v="San Joaquin Refining Company Incorporated"/>
    <x v="91"/>
    <x v="2"/>
    <x v="13"/>
    <n v="2025"/>
    <n v="1"/>
    <m/>
    <n v="5.3571428571428568"/>
    <s v="cdu (24) 2/3-3/3"/>
  </r>
  <r>
    <x v="1"/>
    <s v="NA"/>
    <s v="U.S.A."/>
    <s v="San Joaquin Refining Company Incorporated"/>
    <x v="91"/>
    <x v="8"/>
    <x v="13"/>
    <n v="2025"/>
    <n v="1"/>
    <m/>
    <n v="0"/>
    <m/>
  </r>
  <r>
    <x v="1"/>
    <s v="NA"/>
    <s v="U.S.A."/>
    <s v="San Joaquin Refining Company Incorporated"/>
    <x v="91"/>
    <x v="1"/>
    <x v="13"/>
    <n v="2025"/>
    <n v="1"/>
    <m/>
    <n v="0"/>
    <m/>
  </r>
  <r>
    <x v="1"/>
    <s v="NA"/>
    <s v="U.S.A."/>
    <s v="Valero Refining Company"/>
    <x v="85"/>
    <x v="5"/>
    <x v="13"/>
    <n v="2025"/>
    <n v="1"/>
    <m/>
    <n v="1.35"/>
    <s v="HDc (36) 2/7-3/15"/>
  </r>
  <r>
    <x v="1"/>
    <s v="NA"/>
    <s v="U.S.A."/>
    <s v="Martinez Refining Company LLC"/>
    <x v="54"/>
    <x v="4"/>
    <x v="13"/>
    <n v="2025"/>
    <n v="1"/>
    <m/>
    <n v="1.2000000000000002"/>
    <m/>
  </r>
  <r>
    <x v="1"/>
    <s v="NA"/>
    <s v="U.S.A."/>
    <s v="Torrance Refining Company LLC"/>
    <x v="92"/>
    <x v="6"/>
    <x v="13"/>
    <n v="2025"/>
    <n v="1"/>
    <m/>
    <n v="3.75"/>
    <s v="Coker (25) 2/14-3/30"/>
  </r>
  <r>
    <x v="1"/>
    <s v="NA"/>
    <s v="U.S.A."/>
    <s v="Valero Refining Company"/>
    <x v="15"/>
    <x v="10"/>
    <x v="13"/>
    <n v="2025"/>
    <n v="1"/>
    <m/>
    <n v="0"/>
    <m/>
  </r>
  <r>
    <x v="1"/>
    <s v="NA"/>
    <s v="U.S.A."/>
    <s v="Valero Refining Company"/>
    <x v="15"/>
    <x v="9"/>
    <x v="13"/>
    <n v="2025"/>
    <n v="1"/>
    <m/>
    <n v="0"/>
    <m/>
  </r>
  <r>
    <x v="1"/>
    <s v="NA"/>
    <s v="U.S.A."/>
    <s v="Valero Refining Company"/>
    <x v="15"/>
    <x v="1"/>
    <x v="13"/>
    <n v="2025"/>
    <n v="1"/>
    <m/>
    <n v="0"/>
    <m/>
  </r>
  <r>
    <x v="1"/>
    <s v="NA"/>
    <s v="U.S.A."/>
    <s v="Valero Refining Company"/>
    <x v="15"/>
    <x v="4"/>
    <x v="13"/>
    <n v="2025"/>
    <n v="1"/>
    <m/>
    <n v="0"/>
    <s v="Zeroing alky out since the FCC is down"/>
  </r>
  <r>
    <x v="1"/>
    <s v="NA"/>
    <s v="U.S.A."/>
    <s v="Valero Refining Company"/>
    <x v="15"/>
    <x v="2"/>
    <x v="13"/>
    <n v="2025"/>
    <n v="1"/>
    <m/>
    <n v="20"/>
    <s v="1/10-3/1. cdu (40), cdu (40), fcc (54)"/>
  </r>
  <r>
    <x v="1"/>
    <s v="NA"/>
    <s v="U.S.A."/>
    <s v="Valero Refining Company"/>
    <x v="15"/>
    <x v="3"/>
    <x v="13"/>
    <n v="2025"/>
    <n v="1"/>
    <m/>
    <n v="35.1"/>
    <s v="1/10-3/1. cdu (40), cdu (40), fcc (54)"/>
  </r>
  <r>
    <x v="2"/>
    <s v="NA"/>
    <s v="U.S.A."/>
    <s v="American Refining Group Incorporated"/>
    <x v="93"/>
    <x v="0"/>
    <x v="14"/>
    <n v="2025"/>
    <n v="1"/>
    <m/>
    <n v="1.447741935483871"/>
    <m/>
  </r>
  <r>
    <x v="2"/>
    <s v="NA"/>
    <s v="U.S.A."/>
    <s v="American Refining Group Incorporated"/>
    <x v="93"/>
    <x v="10"/>
    <x v="14"/>
    <n v="2025"/>
    <n v="1"/>
    <m/>
    <n v="0"/>
    <m/>
  </r>
  <r>
    <x v="2"/>
    <s v="NA"/>
    <s v="U.S.A."/>
    <s v="American Refining Group Incorporated"/>
    <x v="93"/>
    <x v="9"/>
    <x v="14"/>
    <n v="2025"/>
    <n v="1"/>
    <m/>
    <n v="0"/>
    <m/>
  </r>
  <r>
    <x v="2"/>
    <s v="NA"/>
    <s v="U.S.A."/>
    <s v="American Refining Group Incorporated"/>
    <x v="93"/>
    <x v="1"/>
    <x v="14"/>
    <n v="2025"/>
    <n v="1"/>
    <m/>
    <n v="0"/>
    <m/>
  </r>
  <r>
    <x v="2"/>
    <s v="NA"/>
    <s v="U.S.A."/>
    <s v="American Refining Group Incorporated"/>
    <x v="93"/>
    <x v="2"/>
    <x v="14"/>
    <n v="2025"/>
    <n v="1"/>
    <m/>
    <n v="0.92903225806451628"/>
    <m/>
  </r>
  <r>
    <x v="2"/>
    <s v="NA"/>
    <s v="U.S.A."/>
    <s v="Ergon West Virginia Incorporated"/>
    <x v="94"/>
    <x v="8"/>
    <x v="14"/>
    <n v="2025"/>
    <n v="1"/>
    <n v="3.2258064516129031E-2"/>
    <n v="0"/>
    <m/>
  </r>
  <r>
    <x v="2"/>
    <s v="NA"/>
    <s v="U.S.A."/>
    <s v="Ergon West Virginia Incorporated"/>
    <x v="94"/>
    <x v="0"/>
    <x v="14"/>
    <n v="2025"/>
    <n v="1"/>
    <n v="3.2258064516129031E-2"/>
    <n v="9.8709677419354838E-2"/>
    <m/>
  </r>
  <r>
    <x v="2"/>
    <s v="NA"/>
    <s v="U.S.A."/>
    <s v="Ergon West Virginia Incorporated"/>
    <x v="94"/>
    <x v="9"/>
    <x v="14"/>
    <n v="2025"/>
    <n v="1"/>
    <n v="3.2258064516129031E-2"/>
    <n v="0"/>
    <m/>
  </r>
  <r>
    <x v="2"/>
    <s v="NA"/>
    <s v="U.S.A."/>
    <s v="Ergon West Virginia Incorporated"/>
    <x v="94"/>
    <x v="1"/>
    <x v="14"/>
    <n v="2025"/>
    <n v="1"/>
    <n v="3.2258064516129031E-2"/>
    <n v="0"/>
    <m/>
  </r>
  <r>
    <x v="2"/>
    <s v="NA"/>
    <s v="U.S.A."/>
    <s v="Ergon West Virginia Incorporated"/>
    <x v="94"/>
    <x v="5"/>
    <x v="14"/>
    <n v="2025"/>
    <n v="1"/>
    <n v="3.2258064516129031E-2"/>
    <n v="6.7741935483870974E-3"/>
    <m/>
  </r>
  <r>
    <x v="2"/>
    <s v="NA"/>
    <s v="U.S.A."/>
    <s v="Ergon West Virginia Incorporated"/>
    <x v="94"/>
    <x v="2"/>
    <x v="14"/>
    <n v="2025"/>
    <n v="1"/>
    <n v="3.2258064516129031E-2"/>
    <n v="7.4193548387096783E-2"/>
    <m/>
  </r>
  <r>
    <x v="2"/>
    <s v="NA"/>
    <s v="U.S.A."/>
    <s v="Phillips 66"/>
    <x v="17"/>
    <x v="2"/>
    <x v="14"/>
    <n v="2025"/>
    <n v="1"/>
    <m/>
    <n v="30.286290322580644"/>
    <m/>
  </r>
  <r>
    <x v="3"/>
    <s v="NA"/>
    <s v="U.S.A."/>
    <s v="Valero Refining Company"/>
    <x v="95"/>
    <x v="0"/>
    <x v="14"/>
    <n v="2025"/>
    <n v="1"/>
    <n v="3.2258064516129031E-2"/>
    <n v="0.82258064516129037"/>
    <s v="30 kbd ref, down 3/31-5/1"/>
  </r>
  <r>
    <x v="3"/>
    <s v="NA"/>
    <s v="U.S.A."/>
    <s v="Valero Refining Company"/>
    <x v="95"/>
    <x v="5"/>
    <x v="14"/>
    <n v="2025"/>
    <n v="1"/>
    <n v="3.2258064516129031E-2"/>
    <n v="1.935483870967742E-2"/>
    <s v="12 kbd HDC down 3/31 - 5/1"/>
  </r>
  <r>
    <x v="3"/>
    <s v="NA"/>
    <s v="U.S.A."/>
    <s v="Valero Refining Company"/>
    <x v="95"/>
    <x v="2"/>
    <x v="14"/>
    <n v="2025"/>
    <n v="1"/>
    <n v="3.2258064516129031E-2"/>
    <n v="0.29516129032258065"/>
    <s v="91.5 kbd CDU off 3/31-5/1"/>
  </r>
  <r>
    <x v="3"/>
    <s v="NA"/>
    <s v="U.S.A."/>
    <s v="Valero Refining Company"/>
    <x v="95"/>
    <x v="3"/>
    <x v="14"/>
    <n v="2025"/>
    <n v="1"/>
    <n v="3.2258064516129031E-2"/>
    <n v="0.57999999999999996"/>
    <s v="30 kbd Fcc down 3/31-5/1"/>
  </r>
  <r>
    <x v="3"/>
    <s v="NA"/>
    <s v="U.S.A."/>
    <s v="Valero Refining Company"/>
    <x v="95"/>
    <x v="4"/>
    <x v="14"/>
    <n v="2025"/>
    <n v="1"/>
    <n v="3.2258064516129031E-2"/>
    <n v="0.186"/>
    <m/>
  </r>
  <r>
    <x v="3"/>
    <s v="NA"/>
    <s v="U.S.A."/>
    <s v="BP Products North America Incorporated"/>
    <x v="69"/>
    <x v="9"/>
    <x v="14"/>
    <n v="2025"/>
    <n v="1"/>
    <m/>
    <n v="0"/>
    <m/>
  </r>
  <r>
    <x v="3"/>
    <s v="NA"/>
    <s v="U.S.A."/>
    <s v="Cenex Harvest States Incorporated"/>
    <x v="96"/>
    <x v="8"/>
    <x v="14"/>
    <n v="2025"/>
    <n v="1"/>
    <m/>
    <n v="0"/>
    <m/>
  </r>
  <r>
    <x v="3"/>
    <s v="NA"/>
    <s v="U.S.A."/>
    <s v="Cenex Harvest States Incorporated"/>
    <x v="96"/>
    <x v="10"/>
    <x v="14"/>
    <n v="2025"/>
    <n v="1"/>
    <m/>
    <n v="0"/>
    <m/>
  </r>
  <r>
    <x v="3"/>
    <s v="NA"/>
    <s v="U.S.A."/>
    <s v="Cenex Harvest States Incorporated"/>
    <x v="96"/>
    <x v="9"/>
    <x v="14"/>
    <n v="2025"/>
    <n v="1"/>
    <n v="1"/>
    <n v="0"/>
    <m/>
  </r>
  <r>
    <x v="3"/>
    <s v="NA"/>
    <s v="U.S.A."/>
    <s v="Cenex Harvest States Incorporated"/>
    <x v="96"/>
    <x v="1"/>
    <x v="14"/>
    <n v="2025"/>
    <n v="1"/>
    <n v="1"/>
    <n v="0"/>
    <m/>
  </r>
  <r>
    <x v="3"/>
    <s v="NA"/>
    <s v="U.S.A."/>
    <s v="Cenex Harvest States Incorporated"/>
    <x v="96"/>
    <x v="4"/>
    <x v="14"/>
    <n v="2025"/>
    <n v="1"/>
    <n v="1"/>
    <n v="0"/>
    <s v="Alky down with FCC from 3/1-4/29"/>
  </r>
  <r>
    <x v="3"/>
    <s v="NA"/>
    <s v="U.S.A."/>
    <s v="Coffeyville Resources Refining &amp; Marketing LLC"/>
    <x v="19"/>
    <x v="8"/>
    <x v="14"/>
    <n v="2025"/>
    <n v="1"/>
    <m/>
    <n v="0"/>
    <m/>
  </r>
  <r>
    <x v="3"/>
    <s v="NA"/>
    <s v="U.S.A."/>
    <s v="Coffeyville Resources Refining &amp; Marketing LLC"/>
    <x v="19"/>
    <x v="10"/>
    <x v="14"/>
    <n v="2025"/>
    <n v="1"/>
    <m/>
    <n v="0"/>
    <m/>
  </r>
  <r>
    <x v="3"/>
    <s v="NA"/>
    <s v="U.S.A."/>
    <s v="Coffeyville Resources Refining &amp; Marketing LLC"/>
    <x v="19"/>
    <x v="9"/>
    <x v="14"/>
    <n v="2025"/>
    <n v="1"/>
    <m/>
    <n v="0"/>
    <m/>
  </r>
  <r>
    <x v="3"/>
    <s v="NA"/>
    <s v="U.S.A."/>
    <s v="Coffeyville Resources Refining &amp; Marketing LLC"/>
    <x v="19"/>
    <x v="1"/>
    <x v="14"/>
    <n v="2025"/>
    <n v="1"/>
    <m/>
    <n v="0"/>
    <m/>
  </r>
  <r>
    <x v="3"/>
    <s v="NA"/>
    <s v="U.S.A."/>
    <s v="Coffeyville Resources Refining &amp; Marketing LLC"/>
    <x v="19"/>
    <x v="4"/>
    <x v="14"/>
    <n v="2025"/>
    <n v="1"/>
    <m/>
    <n v="0"/>
    <s v="Zeroing alky out since the FCC is down"/>
  </r>
  <r>
    <x v="3"/>
    <s v="NA"/>
    <s v="U.S.A."/>
    <s v="CVR Energy Incorporated"/>
    <x v="32"/>
    <x v="8"/>
    <x v="14"/>
    <n v="2025"/>
    <n v="1"/>
    <m/>
    <n v="0"/>
    <m/>
  </r>
  <r>
    <x v="3"/>
    <s v="NA"/>
    <s v="U.S.A."/>
    <s v="HF Sinclair Corporation"/>
    <x v="70"/>
    <x v="8"/>
    <x v="14"/>
    <n v="2025"/>
    <n v="1"/>
    <m/>
    <n v="0"/>
    <m/>
  </r>
  <r>
    <x v="3"/>
    <s v="NA"/>
    <s v="U.S.A."/>
    <s v="HF Sinclair Corporation"/>
    <x v="70"/>
    <x v="10"/>
    <x v="14"/>
    <n v="2025"/>
    <n v="1"/>
    <m/>
    <n v="0"/>
    <m/>
  </r>
  <r>
    <x v="3"/>
    <s v="NA"/>
    <s v="U.S.A."/>
    <s v="HF Sinclair Corporation"/>
    <x v="70"/>
    <x v="9"/>
    <x v="14"/>
    <n v="2025"/>
    <n v="1"/>
    <m/>
    <n v="0"/>
    <m/>
  </r>
  <r>
    <x v="3"/>
    <s v="NA"/>
    <s v="U.S.A."/>
    <s v="HF Sinclair Corporation"/>
    <x v="70"/>
    <x v="1"/>
    <x v="14"/>
    <n v="2025"/>
    <n v="1"/>
    <m/>
    <n v="0"/>
    <m/>
  </r>
  <r>
    <x v="3"/>
    <s v="NA"/>
    <s v="U.S.A."/>
    <s v="HF Sinclair Corporation"/>
    <x v="70"/>
    <x v="4"/>
    <x v="14"/>
    <n v="2025"/>
    <n v="1"/>
    <n v="0.90322580645161288"/>
    <n v="0"/>
    <s v="Alky down with FCC from 3/3-4/16"/>
  </r>
  <r>
    <x v="3"/>
    <s v="NA"/>
    <s v="U.S.A."/>
    <s v="Marathon Petroleum Corporation"/>
    <x v="34"/>
    <x v="8"/>
    <x v="14"/>
    <n v="2025"/>
    <n v="1"/>
    <m/>
    <n v="0"/>
    <m/>
  </r>
  <r>
    <x v="3"/>
    <s v="NA"/>
    <s v="U.S.A."/>
    <s v="Valero Refining Company"/>
    <x v="95"/>
    <x v="8"/>
    <x v="14"/>
    <n v="2025"/>
    <n v="1"/>
    <n v="3.2258064516129031E-2"/>
    <n v="0"/>
    <m/>
  </r>
  <r>
    <x v="3"/>
    <s v="NA"/>
    <s v="U.S.A."/>
    <s v="Valero Refining Company"/>
    <x v="95"/>
    <x v="10"/>
    <x v="14"/>
    <n v="2025"/>
    <n v="1"/>
    <n v="3.2258064516129031E-2"/>
    <n v="0"/>
    <m/>
  </r>
  <r>
    <x v="3"/>
    <s v="NA"/>
    <s v="U.S.A."/>
    <s v="Valero Refining Company"/>
    <x v="95"/>
    <x v="9"/>
    <x v="14"/>
    <n v="2025"/>
    <n v="1"/>
    <n v="3.2258064516129031E-2"/>
    <n v="0"/>
    <m/>
  </r>
  <r>
    <x v="3"/>
    <s v="NA"/>
    <s v="U.S.A."/>
    <s v="Valero Refining Company"/>
    <x v="95"/>
    <x v="1"/>
    <x v="14"/>
    <n v="2025"/>
    <n v="1"/>
    <n v="3.2258064516129031E-2"/>
    <n v="0"/>
    <m/>
  </r>
  <r>
    <x v="3"/>
    <s v="NA"/>
    <s v="U.S.A."/>
    <s v="Valero Refining Company"/>
    <x v="35"/>
    <x v="10"/>
    <x v="14"/>
    <n v="2025"/>
    <n v="1"/>
    <m/>
    <n v="0"/>
    <s v="3/2-5/4 - as of 10/15/24 no longer in IIR database"/>
  </r>
  <r>
    <x v="3"/>
    <s v="NA"/>
    <s v="U.S.A."/>
    <s v="Valero Refining Company"/>
    <x v="35"/>
    <x v="9"/>
    <x v="14"/>
    <n v="2025"/>
    <n v="1"/>
    <m/>
    <n v="0"/>
    <s v="3/2-5/4 - as of 10/15/24 no longer in IIR database"/>
  </r>
  <r>
    <x v="3"/>
    <s v="NA"/>
    <s v="U.S.A."/>
    <s v="Valero Refining Company"/>
    <x v="35"/>
    <x v="1"/>
    <x v="14"/>
    <n v="2025"/>
    <n v="1"/>
    <m/>
    <n v="0"/>
    <s v="3/2-5/4 - as of 10/15/24 no longer in IIR database"/>
  </r>
  <r>
    <x v="3"/>
    <s v="NA"/>
    <s v="U.S.A."/>
    <s v="Valero Refining Company"/>
    <x v="35"/>
    <x v="3"/>
    <x v="14"/>
    <n v="2025"/>
    <n v="1"/>
    <m/>
    <n v="0"/>
    <s v="3/2-5/4 - as of 10/15/24 no longer in IIR database"/>
  </r>
  <r>
    <x v="3"/>
    <s v="NA"/>
    <s v="U.S.A."/>
    <s v="Valero Refining Company"/>
    <x v="35"/>
    <x v="4"/>
    <x v="14"/>
    <n v="2025"/>
    <n v="1"/>
    <m/>
    <n v="0"/>
    <s v="3/2-5/4 - as of 10/15/24 no longer in IIR database"/>
  </r>
  <r>
    <x v="3"/>
    <s v="NA"/>
    <s v="U.S.A."/>
    <s v="WRB Refining LP"/>
    <x v="97"/>
    <x v="8"/>
    <x v="14"/>
    <n v="2025"/>
    <n v="1"/>
    <m/>
    <n v="0"/>
    <m/>
  </r>
  <r>
    <x v="3"/>
    <s v="NA"/>
    <s v="U.S.A."/>
    <s v="Coffeyville Resources Refining &amp; Marketing LLC"/>
    <x v="19"/>
    <x v="0"/>
    <x v="14"/>
    <n v="2025"/>
    <n v="1"/>
    <n v="0.967741935483871"/>
    <n v="20.56451612903226"/>
    <s v="25 kbd Reformer down 2/14-3/30"/>
  </r>
  <r>
    <x v="3"/>
    <s v="NA"/>
    <s v="U.S.A."/>
    <s v="Coffeyville Resources Refining &amp; Marketing LLC"/>
    <x v="19"/>
    <x v="6"/>
    <x v="14"/>
    <n v="2025"/>
    <n v="1"/>
    <n v="0.967741935483871"/>
    <n v="1.8870967741935487"/>
    <s v="19.5 kbd Coker down from 2/14-3/30"/>
  </r>
  <r>
    <x v="3"/>
    <s v="NA"/>
    <s v="U.S.A."/>
    <s v="Coffeyville Resources Refining &amp; Marketing LLC"/>
    <x v="19"/>
    <x v="2"/>
    <x v="14"/>
    <n v="2025"/>
    <n v="1"/>
    <n v="0.967741935483871"/>
    <n v="13.064516129032258"/>
    <s v="Coffeyville bringing down both CDUs 75 &amp; 60 kbd from 2/14-3/30"/>
  </r>
  <r>
    <x v="3"/>
    <s v="NA"/>
    <s v="U.S.A."/>
    <s v="Flint Hills Resources LLC"/>
    <x v="65"/>
    <x v="1"/>
    <x v="14"/>
    <n v="2025"/>
    <n v="1"/>
    <n v="9.6774193548387094E-2"/>
    <n v="0"/>
    <m/>
  </r>
  <r>
    <x v="3"/>
    <s v="NA"/>
    <s v="U.S.A."/>
    <s v="Coffeyville Resources Refining &amp; Marketing LLC"/>
    <x v="19"/>
    <x v="3"/>
    <x v="14"/>
    <n v="2025"/>
    <n v="1"/>
    <n v="0.967741935483871"/>
    <n v="20.129032258064516"/>
    <s v="32 kbd FCC down from 2/14-3/30"/>
  </r>
  <r>
    <x v="3"/>
    <s v="NA"/>
    <s v="U.S.A."/>
    <s v="Flint Hills Resources LLC"/>
    <x v="65"/>
    <x v="4"/>
    <x v="14"/>
    <n v="2025"/>
    <n v="0.5"/>
    <n v="9.6774193548387094E-2"/>
    <n v="0"/>
    <m/>
  </r>
  <r>
    <x v="3"/>
    <s v="NA"/>
    <s v="U.S.A."/>
    <s v="Cenex Harvest States Incorporated"/>
    <x v="96"/>
    <x v="0"/>
    <x v="14"/>
    <n v="2025"/>
    <n v="1"/>
    <n v="1"/>
    <n v="27.2"/>
    <s v="32 kbd Reformer down 3/1-4/29"/>
  </r>
  <r>
    <x v="3"/>
    <s v="NA"/>
    <s v="U.S.A."/>
    <s v="Cenex Harvest States Incorporated"/>
    <x v="96"/>
    <x v="5"/>
    <x v="14"/>
    <n v="2025"/>
    <n v="1"/>
    <n v="1"/>
    <n v="1.5"/>
    <s v="30 kbd HDC down from 3/1-4/29"/>
  </r>
  <r>
    <x v="3"/>
    <s v="NA"/>
    <s v="U.S.A."/>
    <s v="Cenex Harvest States Incorporated"/>
    <x v="96"/>
    <x v="6"/>
    <x v="14"/>
    <n v="2025"/>
    <n v="1"/>
    <n v="1"/>
    <n v="2.5"/>
    <s v="25 kbd Coker down from 3/1-4/29"/>
  </r>
  <r>
    <x v="3"/>
    <s v="NA"/>
    <s v="U.S.A."/>
    <s v="Cenex Harvest States Incorporated"/>
    <x v="96"/>
    <x v="2"/>
    <x v="14"/>
    <n v="2025"/>
    <n v="1"/>
    <n v="1"/>
    <n v="10.9"/>
    <s v="109 kbd CDU down from 3/1-4/29"/>
  </r>
  <r>
    <x v="3"/>
    <s v="NA"/>
    <s v="U.S.A."/>
    <s v="Cenex Harvest States Incorporated"/>
    <x v="96"/>
    <x v="3"/>
    <x v="14"/>
    <n v="2025"/>
    <n v="1"/>
    <n v="1"/>
    <n v="14.755000000000001"/>
    <s v="22.7 kbd FCC down from 3/1-4/29"/>
  </r>
  <r>
    <x v="3"/>
    <s v="NA"/>
    <s v="U.S.A."/>
    <s v="Flint Hills Resources LLC"/>
    <x v="65"/>
    <x v="2"/>
    <x v="14"/>
    <n v="2025"/>
    <n v="1"/>
    <n v="9.6774193548387094E-2"/>
    <n v="4.596774193548387"/>
    <s v="190 kbd CDU offline 3/28-5/6"/>
  </r>
  <r>
    <x v="3"/>
    <s v="NA"/>
    <s v="U.S.A."/>
    <s v="Flint Hills Resources LLC"/>
    <x v="65"/>
    <x v="6"/>
    <x v="14"/>
    <n v="2025"/>
    <n v="1"/>
    <n v="9.6774193548387094E-2"/>
    <n v="0.39919354838709675"/>
    <s v="16.5 kbd Coker offline 3/28-4/9"/>
  </r>
  <r>
    <x v="3"/>
    <s v="NA"/>
    <s v="U.S.A."/>
    <s v="Flint Hills Resources LLC"/>
    <x v="65"/>
    <x v="3"/>
    <x v="14"/>
    <n v="2025"/>
    <n v="1"/>
    <n v="9.6774193548387094E-2"/>
    <n v="5.346774193548387"/>
    <s v="85 kbd FCC offline 3/28-5/6"/>
  </r>
  <r>
    <x v="3"/>
    <s v="NA"/>
    <s v="U.S.A."/>
    <s v="Marathon Petroleum Corporation"/>
    <x v="34"/>
    <x v="5"/>
    <x v="14"/>
    <n v="2025"/>
    <n v="1"/>
    <n v="0.41935483870967744"/>
    <n v="0.58709677419354844"/>
    <s v="28 kbd HDC down 3/18-4/27"/>
  </r>
  <r>
    <x v="3"/>
    <s v="NA"/>
    <s v="U.S.A."/>
    <s v="Marathon Petroleum Corporation"/>
    <x v="34"/>
    <x v="6"/>
    <x v="14"/>
    <n v="2025"/>
    <n v="1"/>
    <n v="0.41935483870967744"/>
    <n v="1.5725806451612905"/>
    <s v="15 kbd Coker down 3/18-4/27"/>
  </r>
  <r>
    <x v="3"/>
    <s v="NA"/>
    <s v="U.S.A."/>
    <s v="Marathon Petroleum Corporation"/>
    <x v="34"/>
    <x v="2"/>
    <x v="14"/>
    <n v="2025"/>
    <n v="1"/>
    <n v="0.41935483870967744"/>
    <n v="26.733870967741936"/>
    <s v="255 kbd CDU down 3/18 - 4/27"/>
  </r>
  <r>
    <x v="3"/>
    <s v="NA"/>
    <s v="U.S.A."/>
    <s v="Cenovus Energy Incorporated"/>
    <x v="98"/>
    <x v="0"/>
    <x v="14"/>
    <n v="2025"/>
    <n v="1"/>
    <n v="0.61290322580645162"/>
    <n v="21.880645161290321"/>
    <s v="40 kbd reformer down 3/12-5/1"/>
  </r>
  <r>
    <x v="3"/>
    <s v="NA"/>
    <s v="U.S.A."/>
    <s v="Cenovus Energy Incorporated"/>
    <x v="98"/>
    <x v="5"/>
    <x v="14"/>
    <n v="2025"/>
    <n v="1"/>
    <n v="0.61290322580645162"/>
    <n v="1.0725806451612903"/>
    <s v="35 kbd HDC down 3/12-5/1"/>
  </r>
  <r>
    <x v="3"/>
    <s v="NA"/>
    <s v="U.S.A."/>
    <s v="HF Sinclair Corporation"/>
    <x v="70"/>
    <x v="0"/>
    <x v="14"/>
    <n v="2025"/>
    <n v="1"/>
    <n v="0.90322580645161288"/>
    <n v="16.890322580645162"/>
    <s v="22 kbd Reformer down 3/3-4/16"/>
  </r>
  <r>
    <x v="3"/>
    <s v="NA"/>
    <s v="U.S.A."/>
    <s v="HF Sinclair Corporation"/>
    <x v="70"/>
    <x v="2"/>
    <x v="14"/>
    <n v="2025"/>
    <n v="1"/>
    <n v="0.90322580645161288"/>
    <n v="6.8645161290322587"/>
    <s v="40 kbd CDU down 3/3-4/16"/>
  </r>
  <r>
    <x v="3"/>
    <s v="NA"/>
    <s v="U.S.A."/>
    <s v="HF Sinclair Corporation"/>
    <x v="70"/>
    <x v="3"/>
    <x v="14"/>
    <n v="2025"/>
    <n v="1"/>
    <n v="0.90322580645161288"/>
    <n v="17.025806451612905"/>
    <s v="29 kbd FCC down 3/3-4/16"/>
  </r>
  <r>
    <x v="3"/>
    <s v="NA"/>
    <s v="U.S.A."/>
    <s v="WRB Refining LP"/>
    <x v="97"/>
    <x v="2"/>
    <x v="14"/>
    <n v="2025"/>
    <n v="1"/>
    <n v="0.77419354838709675"/>
    <n v="32.903225806451609"/>
    <s v="170 kbd CDU down 3/7-4/5"/>
  </r>
  <r>
    <x v="3"/>
    <s v="NA"/>
    <s v="U.S.A."/>
    <s v="WRB Refining LP"/>
    <x v="97"/>
    <x v="3"/>
    <x v="14"/>
    <n v="2025"/>
    <n v="1"/>
    <n v="0.77419354838709675"/>
    <n v="21.135483870967743"/>
    <s v="42 kbd FCC down 3/7-4/5"/>
  </r>
  <r>
    <x v="3"/>
    <s v="NA"/>
    <s v="U.S.A."/>
    <s v="CVR Energy Incorporated"/>
    <x v="32"/>
    <x v="2"/>
    <x v="14"/>
    <n v="2025"/>
    <n v="1"/>
    <n v="1"/>
    <n v="8.75"/>
    <s v="35 kbd CDU down from 2/15-3/31"/>
  </r>
  <r>
    <x v="0"/>
    <s v="NA"/>
    <s v="U.S.A."/>
    <s v="ExxonMobil Corporation"/>
    <x v="12"/>
    <x v="2"/>
    <x v="14"/>
    <n v="2025"/>
    <n v="3"/>
    <n v="3.2258064516129031E-2"/>
    <n v="0.70967741935483875"/>
    <s v="88 kbd CDU offline 2/4-3/1"/>
  </r>
  <r>
    <x v="0"/>
    <s v="NA"/>
    <s v="U.S.A."/>
    <s v="Valero Refining Company"/>
    <x v="87"/>
    <x v="3"/>
    <x v="14"/>
    <n v="2025"/>
    <n v="1"/>
    <n v="0.19354838709677419"/>
    <n v="3.0193548387096776"/>
    <s v="24 kbd FCC down from 1/10-3/1"/>
  </r>
  <r>
    <x v="0"/>
    <s v="NA"/>
    <s v="U.S.A."/>
    <s v="CITGO Petroleum Corporation"/>
    <x v="88"/>
    <x v="8"/>
    <x v="14"/>
    <n v="2025"/>
    <n v="1"/>
    <m/>
    <n v="0"/>
    <m/>
  </r>
  <r>
    <x v="0"/>
    <s v="NA"/>
    <s v="U.S.A."/>
    <s v="CITGO Petroleum Corporation"/>
    <x v="88"/>
    <x v="0"/>
    <x v="14"/>
    <n v="2025"/>
    <n v="1"/>
    <m/>
    <n v="23.032258064516128"/>
    <s v="30 kbd Reformer down 3/3-4/7"/>
  </r>
  <r>
    <x v="0"/>
    <s v="NA"/>
    <s v="U.S.A."/>
    <s v="CITGO Petroleum Corporation"/>
    <x v="88"/>
    <x v="10"/>
    <x v="14"/>
    <n v="2025"/>
    <n v="1"/>
    <m/>
    <n v="0"/>
    <m/>
  </r>
  <r>
    <x v="0"/>
    <s v="NA"/>
    <s v="U.S.A."/>
    <s v="CITGO Petroleum Corporation"/>
    <x v="88"/>
    <x v="9"/>
    <x v="14"/>
    <n v="2025"/>
    <n v="1"/>
    <m/>
    <n v="0"/>
    <m/>
  </r>
  <r>
    <x v="0"/>
    <s v="NA"/>
    <s v="U.S.A."/>
    <s v="CITGO Petroleum Corporation"/>
    <x v="88"/>
    <x v="1"/>
    <x v="14"/>
    <n v="2025"/>
    <n v="1"/>
    <m/>
    <n v="0"/>
    <m/>
  </r>
  <r>
    <x v="0"/>
    <s v="NA"/>
    <s v="U.S.A."/>
    <s v="CITGO Petroleum Corporation"/>
    <x v="88"/>
    <x v="6"/>
    <x v="14"/>
    <n v="2025"/>
    <n v="1"/>
    <m/>
    <n v="3.9741935483870972"/>
    <s v="44 kbd Coker down 3/3-4/7"/>
  </r>
  <r>
    <x v="0"/>
    <s v="NA"/>
    <s v="U.S.A."/>
    <s v="CITGO Petroleum Corporation"/>
    <x v="88"/>
    <x v="3"/>
    <x v="14"/>
    <n v="2025"/>
    <n v="1"/>
    <m/>
    <n v="40.509677419354837"/>
    <s v="69 kbd FCC down 3/3-4/7"/>
  </r>
  <r>
    <x v="0"/>
    <s v="NA"/>
    <s v="U.S.A."/>
    <s v="CITGO Petroleum Corporation"/>
    <x v="88"/>
    <x v="4"/>
    <x v="14"/>
    <n v="2025"/>
    <n v="1"/>
    <m/>
    <n v="0"/>
    <m/>
  </r>
  <r>
    <x v="0"/>
    <s v="NA"/>
    <s v="U.S.A."/>
    <s v="Chevron Corporation"/>
    <x v="38"/>
    <x v="2"/>
    <x v="14"/>
    <n v="2025"/>
    <n v="1"/>
    <n v="0.77419354838709675"/>
    <n v="33.87096774193548"/>
    <s v="175 kbd CDU unit down 3/7-4/5"/>
  </r>
  <r>
    <x v="0"/>
    <s v="NA"/>
    <s v="U.S.A."/>
    <s v="ExxonMobil Corporation"/>
    <x v="12"/>
    <x v="6"/>
    <x v="14"/>
    <n v="2025"/>
    <n v="1"/>
    <m/>
    <n v="1.8629032258064515"/>
    <s v="27.5 kbd Coker down from 2/1-3/7"/>
  </r>
  <r>
    <x v="0"/>
    <s v="NA"/>
    <s v="U.S.A."/>
    <s v="ExxonMobil Corporation"/>
    <x v="12"/>
    <x v="2"/>
    <x v="14"/>
    <n v="2025"/>
    <n v="1"/>
    <m/>
    <n v="5.0806451612903221"/>
    <s v="90 kbd CDU down from 2/1-3/7"/>
  </r>
  <r>
    <x v="0"/>
    <s v="NA"/>
    <s v="U.S.A."/>
    <s v="Hunt Refining Company"/>
    <x v="89"/>
    <x v="8"/>
    <x v="14"/>
    <n v="2025"/>
    <n v="1"/>
    <m/>
    <n v="0"/>
    <m/>
  </r>
  <r>
    <x v="0"/>
    <s v="NA"/>
    <s v="U.S.A."/>
    <s v="Hunt Refining Company"/>
    <x v="89"/>
    <x v="2"/>
    <x v="14"/>
    <n v="2025"/>
    <n v="1"/>
    <m/>
    <n v="0.16129032258064516"/>
    <s v="10 kbd CDU down from 2/7-3/2"/>
  </r>
  <r>
    <x v="0"/>
    <s v="NA"/>
    <s v="U.S.A."/>
    <s v="Hunt Refining Company"/>
    <x v="64"/>
    <x v="5"/>
    <x v="14"/>
    <n v="2025"/>
    <n v="1"/>
    <m/>
    <n v="2.3125"/>
    <s v="Down 3/7-4/5"/>
  </r>
  <r>
    <x v="0"/>
    <s v="NA"/>
    <s v="U.S.A."/>
    <s v="Hunt Refining Company"/>
    <x v="64"/>
    <x v="6"/>
    <x v="14"/>
    <n v="2025"/>
    <n v="1"/>
    <m/>
    <n v="8"/>
    <s v="Down 3/7-4/5"/>
  </r>
  <r>
    <x v="0"/>
    <s v="NA"/>
    <s v="U.S.A."/>
    <s v="Marathon Petroleum Corporation"/>
    <x v="27"/>
    <x v="3"/>
    <x v="14"/>
    <n v="2025"/>
    <n v="1"/>
    <m/>
    <n v="0"/>
    <m/>
  </r>
  <r>
    <x v="0"/>
    <s v="NA"/>
    <s v="U.S.A."/>
    <s v="Marathon Petroleum Corporation"/>
    <x v="27"/>
    <x v="4"/>
    <x v="14"/>
    <n v="2025"/>
    <n v="1"/>
    <m/>
    <n v="0"/>
    <m/>
  </r>
  <r>
    <x v="0"/>
    <s v="NA"/>
    <s v="U.S.A."/>
    <s v="Motiva Enterprises LLC"/>
    <x v="4"/>
    <x v="1"/>
    <x v="14"/>
    <n v="2025"/>
    <n v="1"/>
    <m/>
    <n v="0"/>
    <m/>
  </r>
  <r>
    <x v="0"/>
    <s v="NA"/>
    <s v="U.S.A."/>
    <s v="Motiva Enterprises LLC"/>
    <x v="4"/>
    <x v="3"/>
    <x v="14"/>
    <n v="2025"/>
    <n v="1"/>
    <m/>
    <n v="11.888709677419355"/>
    <s v="81 kbd FCC down 1/12-3/7"/>
  </r>
  <r>
    <x v="0"/>
    <s v="NA"/>
    <s v="U.S.A."/>
    <s v="Motiva Enterprises LLC"/>
    <x v="4"/>
    <x v="4"/>
    <x v="14"/>
    <n v="2025"/>
    <n v="1"/>
    <m/>
    <n v="0"/>
    <m/>
  </r>
  <r>
    <x v="0"/>
    <s v="NA"/>
    <s v="U.S.A."/>
    <s v="Petromax Refining LLC"/>
    <x v="99"/>
    <x v="2"/>
    <x v="14"/>
    <n v="2025"/>
    <n v="1"/>
    <m/>
    <n v="4.838709677419355"/>
    <s v="CDU (25) 3/7-3/31"/>
  </r>
  <r>
    <x v="0"/>
    <s v="NA"/>
    <s v="U.S.A."/>
    <s v="Allegiance Refining"/>
    <x v="100"/>
    <x v="2"/>
    <x v="14"/>
    <n v="2025"/>
    <n v="1"/>
    <n v="0.22580645161290322"/>
    <n v="1.129032258064516"/>
    <s v="20 kbd CDU 3/7-3/13"/>
  </r>
  <r>
    <x v="0"/>
    <s v="NA"/>
    <s v="U.S.A."/>
    <s v="Shell Oil Products US"/>
    <x v="78"/>
    <x v="1"/>
    <x v="14"/>
    <n v="2025"/>
    <n v="1"/>
    <m/>
    <n v="0"/>
    <m/>
  </r>
  <r>
    <x v="0"/>
    <s v="NA"/>
    <s v="U.S.A."/>
    <s v="Shell Oil Products US"/>
    <x v="78"/>
    <x v="6"/>
    <x v="14"/>
    <n v="2025"/>
    <n v="1"/>
    <m/>
    <n v="6.3"/>
    <s v="21 kbd Coker down from 3/1-4/19"/>
  </r>
  <r>
    <x v="0"/>
    <s v="NA"/>
    <s v="U.S.A."/>
    <s v="Valero Refining Company"/>
    <x v="2"/>
    <x v="10"/>
    <x v="14"/>
    <n v="2025"/>
    <n v="1"/>
    <m/>
    <n v="0"/>
    <s v="3/14-5/8"/>
  </r>
  <r>
    <x v="0"/>
    <s v="NA"/>
    <s v="U.S.A."/>
    <s v="Valero Refining Company"/>
    <x v="2"/>
    <x v="1"/>
    <x v="14"/>
    <n v="2025"/>
    <n v="1"/>
    <m/>
    <n v="0"/>
    <m/>
  </r>
  <r>
    <x v="0"/>
    <s v="NA"/>
    <s v="U.S.A."/>
    <s v="Valero Refining Company"/>
    <x v="2"/>
    <x v="5"/>
    <x v="14"/>
    <n v="2025"/>
    <n v="1"/>
    <m/>
    <n v="1.6451612903225805"/>
    <s v="60 kbd HDC down 3/14-5/8"/>
  </r>
  <r>
    <x v="0"/>
    <s v="NA"/>
    <s v="U.S.A."/>
    <s v="Valero Refining Company"/>
    <x v="2"/>
    <x v="3"/>
    <x v="14"/>
    <n v="2025"/>
    <n v="1"/>
    <m/>
    <n v="35.645161290322577"/>
    <s v="100 kbd FCC down 3/14-5/8"/>
  </r>
  <r>
    <x v="0"/>
    <s v="NA"/>
    <s v="U.S.A."/>
    <s v="Valero Refining Company"/>
    <x v="2"/>
    <x v="4"/>
    <x v="14"/>
    <n v="2025"/>
    <n v="1"/>
    <m/>
    <n v="0"/>
    <s v="Alky down but 0ing since FCC is also down"/>
  </r>
  <r>
    <x v="0"/>
    <s v="NA"/>
    <s v="U.S.A."/>
    <s v="WRB Refining LP"/>
    <x v="25"/>
    <x v="10"/>
    <x v="14"/>
    <n v="2025"/>
    <n v="1"/>
    <m/>
    <n v="0"/>
    <m/>
  </r>
  <r>
    <x v="0"/>
    <s v="NA"/>
    <s v="U.S.A."/>
    <s v="WRB Refining LP"/>
    <x v="25"/>
    <x v="3"/>
    <x v="14"/>
    <n v="2025"/>
    <n v="1"/>
    <m/>
    <n v="39"/>
    <s v="60 kbd FCC down from 3/1-4/4"/>
  </r>
  <r>
    <x v="0"/>
    <s v="NA"/>
    <s v="U.S.A."/>
    <s v="WRB Refining LP"/>
    <x v="25"/>
    <x v="4"/>
    <x v="14"/>
    <n v="2025"/>
    <n v="1"/>
    <m/>
    <n v="0"/>
    <s v="Alky down but 0ing since FCC is also down"/>
  </r>
  <r>
    <x v="4"/>
    <s v="NA"/>
    <s v="U.S.A."/>
    <s v="HF Sinclair Corporation"/>
    <x v="51"/>
    <x v="10"/>
    <x v="14"/>
    <n v="2025"/>
    <n v="1"/>
    <m/>
    <n v="0"/>
    <m/>
  </r>
  <r>
    <x v="4"/>
    <s v="NA"/>
    <s v="U.S.A."/>
    <s v="HF Sinclair Corporation"/>
    <x v="51"/>
    <x v="9"/>
    <x v="14"/>
    <n v="2025"/>
    <n v="1"/>
    <m/>
    <n v="0"/>
    <m/>
  </r>
  <r>
    <x v="4"/>
    <s v="NA"/>
    <s v="U.S.A."/>
    <s v="HF Sinclair Corporation"/>
    <x v="51"/>
    <x v="1"/>
    <x v="14"/>
    <n v="2025"/>
    <n v="1"/>
    <m/>
    <n v="0"/>
    <m/>
  </r>
  <r>
    <x v="4"/>
    <s v="NA"/>
    <s v="U.S.A."/>
    <s v="HF Sinclair Corporation"/>
    <x v="51"/>
    <x v="4"/>
    <x v="14"/>
    <n v="2025"/>
    <n v="1"/>
    <n v="3.2258064516129031E-2"/>
    <n v="0"/>
    <s v="Zeroing alky out since the FCC is down"/>
  </r>
  <r>
    <x v="4"/>
    <s v="NA"/>
    <s v="U.S.A."/>
    <s v="Chevron Corporation"/>
    <x v="41"/>
    <x v="6"/>
    <x v="14"/>
    <n v="2025"/>
    <n v="1"/>
    <n v="0.61290322580645162"/>
    <n v="1.3238709677419356"/>
    <s v="7.2 kbd Coker down 2/2-3/19"/>
  </r>
  <r>
    <x v="4"/>
    <s v="NA"/>
    <s v="U.S.A."/>
    <s v="HF Sinclair Corporation"/>
    <x v="51"/>
    <x v="0"/>
    <x v="14"/>
    <n v="2025"/>
    <n v="1"/>
    <n v="0.93548387096774188"/>
    <n v="6.3612903225806443"/>
    <s v="8 kbd Reformer down 3/2-5/5"/>
  </r>
  <r>
    <x v="4"/>
    <s v="NA"/>
    <s v="U.S.A."/>
    <s v="HF Sinclair Corporation"/>
    <x v="51"/>
    <x v="5"/>
    <x v="14"/>
    <n v="2025"/>
    <n v="1"/>
    <n v="3.2258064516129031E-2"/>
    <n v="2.4193548387096774E-2"/>
    <s v="15 kbd HDC down from 1/10-3/1"/>
  </r>
  <r>
    <x v="4"/>
    <s v="NA"/>
    <s v="U.S.A."/>
    <s v="HF Sinclair Corporation"/>
    <x v="51"/>
    <x v="2"/>
    <x v="14"/>
    <n v="2025"/>
    <n v="1"/>
    <n v="3.2258064516129031E-2"/>
    <n v="0.12096774193548387"/>
    <s v="15 kbd CDU down from 1/10-3/1"/>
  </r>
  <r>
    <x v="4"/>
    <s v="NA"/>
    <s v="U.S.A."/>
    <s v="HF Sinclair Corporation"/>
    <x v="51"/>
    <x v="3"/>
    <x v="14"/>
    <n v="2025"/>
    <n v="1"/>
    <n v="3.2258064516129031E-2"/>
    <n v="0.36483870967741938"/>
    <s v="17.4 kbd FCC down from 1/10-3/1"/>
  </r>
  <r>
    <x v="1"/>
    <s v="NA"/>
    <s v="U.S.A."/>
    <s v="Marathon Petroleum Corporation"/>
    <x v="90"/>
    <x v="2"/>
    <x v="14"/>
    <n v="2025"/>
    <n v="1"/>
    <m/>
    <n v="30"/>
    <s v="2/28-4/17. CDU (120)"/>
  </r>
  <r>
    <x v="1"/>
    <s v="NA"/>
    <s v="U.S.A."/>
    <s v="Marathon Petroleum Corporation"/>
    <x v="90"/>
    <x v="8"/>
    <x v="14"/>
    <n v="2025"/>
    <n v="1"/>
    <m/>
    <n v="0"/>
    <m/>
  </r>
  <r>
    <x v="1"/>
    <s v="NA"/>
    <s v="U.S.A."/>
    <s v="Marathon Petroleum Corporation"/>
    <x v="90"/>
    <x v="1"/>
    <x v="14"/>
    <n v="2025"/>
    <n v="1"/>
    <m/>
    <n v="0"/>
    <m/>
  </r>
  <r>
    <x v="1"/>
    <s v="NA"/>
    <s v="U.S.A."/>
    <s v="San Joaquin Refining Company Incorporated"/>
    <x v="91"/>
    <x v="2"/>
    <x v="14"/>
    <n v="2025"/>
    <n v="1"/>
    <m/>
    <n v="0.58064516129032262"/>
    <s v="cdu (24) 2/3-3/3"/>
  </r>
  <r>
    <x v="1"/>
    <s v="NA"/>
    <s v="U.S.A."/>
    <s v="San Joaquin Refining Company Incorporated"/>
    <x v="91"/>
    <x v="8"/>
    <x v="14"/>
    <n v="2025"/>
    <n v="1"/>
    <m/>
    <n v="0"/>
    <m/>
  </r>
  <r>
    <x v="1"/>
    <s v="NA"/>
    <s v="U.S.A."/>
    <s v="San Joaquin Refining Company Incorporated"/>
    <x v="91"/>
    <x v="1"/>
    <x v="14"/>
    <n v="2025"/>
    <n v="1"/>
    <m/>
    <n v="0"/>
    <m/>
  </r>
  <r>
    <x v="1"/>
    <s v="NA"/>
    <s v="U.S.A."/>
    <s v="Valero Refining Company"/>
    <x v="85"/>
    <x v="5"/>
    <x v="14"/>
    <n v="2025"/>
    <n v="1"/>
    <m/>
    <n v="0.87096774193548387"/>
    <s v="HDc (36) 2/7-3/15"/>
  </r>
  <r>
    <x v="1"/>
    <s v="NA"/>
    <s v="U.S.A."/>
    <s v="BP Products North America Incorporated"/>
    <x v="52"/>
    <x v="2"/>
    <x v="14"/>
    <n v="2025"/>
    <n v="1"/>
    <n v="0.12903225806451613"/>
    <n v="8.064516129032258"/>
    <s v="250 kbd CDU down 3/28-4/11"/>
  </r>
  <r>
    <x v="1"/>
    <s v="NA"/>
    <s v="U.S.A."/>
    <s v="Marathon Petroleum Corporation"/>
    <x v="101"/>
    <x v="6"/>
    <x v="14"/>
    <n v="2025"/>
    <n v="1"/>
    <m/>
    <n v="10.945161290322579"/>
    <s v="cdu (200), coker (39) 3/2-4/6"/>
  </r>
  <r>
    <x v="1"/>
    <s v="NA"/>
    <s v="U.S.A."/>
    <s v="Marathon Petroleum Corporation"/>
    <x v="101"/>
    <x v="2"/>
    <x v="14"/>
    <n v="2025"/>
    <n v="1"/>
    <m/>
    <n v="46.774193548387096"/>
    <s v="cdu (200), coker (39) 3/2-4/6"/>
  </r>
  <r>
    <x v="1"/>
    <s v="NA"/>
    <s v="U.S.A."/>
    <s v="Marathon Petroleum Corporation"/>
    <x v="102"/>
    <x v="2"/>
    <x v="14"/>
    <n v="2025"/>
    <n v="1"/>
    <m/>
    <n v="19.93548387096774"/>
    <s v="cdu (103) 3/7-4/5"/>
  </r>
  <r>
    <x v="1"/>
    <s v="NA"/>
    <s v="U.S.A."/>
    <s v="Chevron Corporation"/>
    <x v="60"/>
    <x v="3"/>
    <x v="14"/>
    <n v="2025"/>
    <n v="1"/>
    <m/>
    <n v="52"/>
    <s v="FCC (80) 3/1-4/24"/>
  </r>
  <r>
    <x v="1"/>
    <s v="NA"/>
    <s v="U.S.A."/>
    <s v="Chevron Corporation"/>
    <x v="60"/>
    <x v="4"/>
    <x v="14"/>
    <n v="2025"/>
    <n v="1"/>
    <m/>
    <n v="2"/>
    <s v="FCC (80) 3/1-4/24"/>
  </r>
  <r>
    <x v="1"/>
    <s v="NA"/>
    <s v="U.S.A."/>
    <s v="Torrance Refining Company LLC"/>
    <x v="92"/>
    <x v="6"/>
    <x v="14"/>
    <n v="2025"/>
    <n v="1"/>
    <m/>
    <n v="7.258064516129032"/>
    <s v="Coker (25) 2/14-3/30"/>
  </r>
  <r>
    <x v="1"/>
    <s v="NA"/>
    <s v="U.S.A."/>
    <s v="Valero Refining Company"/>
    <x v="15"/>
    <x v="10"/>
    <x v="14"/>
    <n v="2025"/>
    <n v="1"/>
    <m/>
    <n v="0"/>
    <m/>
  </r>
  <r>
    <x v="1"/>
    <s v="NA"/>
    <s v="U.S.A."/>
    <s v="Valero Refining Company"/>
    <x v="15"/>
    <x v="9"/>
    <x v="14"/>
    <n v="2025"/>
    <n v="1"/>
    <m/>
    <n v="0"/>
    <m/>
  </r>
  <r>
    <x v="1"/>
    <s v="NA"/>
    <s v="U.S.A."/>
    <s v="Valero Refining Company"/>
    <x v="15"/>
    <x v="1"/>
    <x v="14"/>
    <n v="2025"/>
    <n v="1"/>
    <m/>
    <n v="0"/>
    <m/>
  </r>
  <r>
    <x v="1"/>
    <s v="NA"/>
    <s v="U.S.A."/>
    <s v="Valero Refining Company"/>
    <x v="15"/>
    <x v="4"/>
    <x v="14"/>
    <n v="2025"/>
    <n v="1"/>
    <m/>
    <n v="0"/>
    <s v="Zeroing alky out since the FCC is down"/>
  </r>
  <r>
    <x v="1"/>
    <s v="NA"/>
    <s v="U.S.A."/>
    <s v="Valero Refining Company"/>
    <x v="15"/>
    <x v="2"/>
    <x v="14"/>
    <n v="2025"/>
    <n v="1"/>
    <m/>
    <n v="0.64516129032258063"/>
    <s v="1/10-3/1. cdu (40), cdu (40), fcc (54)"/>
  </r>
  <r>
    <x v="1"/>
    <s v="NA"/>
    <s v="U.S.A."/>
    <s v="Valero Refining Company"/>
    <x v="15"/>
    <x v="3"/>
    <x v="14"/>
    <n v="2025"/>
    <n v="1"/>
    <m/>
    <n v="1.1322580645161291"/>
    <s v="1/10-3/1. cdu (40), cdu (40), fcc (54)"/>
  </r>
  <r>
    <x v="2"/>
    <s v="NA"/>
    <s v="U.S.A."/>
    <s v="American Refining Group Incorporated"/>
    <x v="93"/>
    <x v="0"/>
    <x v="15"/>
    <n v="2025"/>
    <n v="1"/>
    <m/>
    <n v="0.62333333333333329"/>
    <m/>
  </r>
  <r>
    <x v="2"/>
    <s v="NA"/>
    <s v="U.S.A."/>
    <s v="American Refining Group Incorporated"/>
    <x v="93"/>
    <x v="10"/>
    <x v="15"/>
    <n v="2025"/>
    <n v="1"/>
    <m/>
    <n v="0"/>
    <m/>
  </r>
  <r>
    <x v="2"/>
    <s v="NA"/>
    <s v="U.S.A."/>
    <s v="American Refining Group Incorporated"/>
    <x v="93"/>
    <x v="9"/>
    <x v="15"/>
    <n v="2025"/>
    <n v="1"/>
    <m/>
    <n v="0"/>
    <m/>
  </r>
  <r>
    <x v="2"/>
    <s v="NA"/>
    <s v="U.S.A."/>
    <s v="American Refining Group Incorporated"/>
    <x v="93"/>
    <x v="1"/>
    <x v="15"/>
    <n v="2025"/>
    <n v="1"/>
    <m/>
    <n v="0"/>
    <m/>
  </r>
  <r>
    <x v="2"/>
    <s v="NA"/>
    <s v="U.S.A."/>
    <s v="American Refining Group Incorporated"/>
    <x v="93"/>
    <x v="2"/>
    <x v="15"/>
    <n v="2025"/>
    <n v="1"/>
    <m/>
    <n v="0.4"/>
    <m/>
  </r>
  <r>
    <x v="2"/>
    <s v="NA"/>
    <s v="U.S.A."/>
    <s v="Ergon West Virginia Incorporated"/>
    <x v="94"/>
    <x v="8"/>
    <x v="15"/>
    <n v="2025"/>
    <n v="1"/>
    <n v="1"/>
    <n v="0"/>
    <m/>
  </r>
  <r>
    <x v="2"/>
    <s v="NA"/>
    <s v="U.S.A."/>
    <s v="Ergon West Virginia Incorporated"/>
    <x v="94"/>
    <x v="0"/>
    <x v="15"/>
    <n v="2025"/>
    <n v="1"/>
    <n v="1"/>
    <n v="3.06"/>
    <m/>
  </r>
  <r>
    <x v="2"/>
    <s v="NA"/>
    <s v="U.S.A."/>
    <s v="Ergon West Virginia Incorporated"/>
    <x v="94"/>
    <x v="9"/>
    <x v="15"/>
    <n v="2025"/>
    <n v="1"/>
    <n v="1"/>
    <n v="0"/>
    <m/>
  </r>
  <r>
    <x v="2"/>
    <s v="NA"/>
    <s v="U.S.A."/>
    <s v="Ergon West Virginia Incorporated"/>
    <x v="94"/>
    <x v="1"/>
    <x v="15"/>
    <n v="2025"/>
    <n v="1"/>
    <n v="1"/>
    <n v="0"/>
    <m/>
  </r>
  <r>
    <x v="2"/>
    <s v="NA"/>
    <s v="U.S.A."/>
    <s v="Ergon West Virginia Incorporated"/>
    <x v="94"/>
    <x v="5"/>
    <x v="15"/>
    <n v="2025"/>
    <n v="1"/>
    <n v="1"/>
    <n v="0.215"/>
    <m/>
  </r>
  <r>
    <x v="2"/>
    <s v="NA"/>
    <s v="U.S.A."/>
    <s v="Ergon West Virginia Incorporated"/>
    <x v="94"/>
    <x v="2"/>
    <x v="15"/>
    <n v="2025"/>
    <n v="1"/>
    <n v="1"/>
    <n v="2.3000000000000003"/>
    <m/>
  </r>
  <r>
    <x v="3"/>
    <s v="NA"/>
    <s v="U.S.A."/>
    <s v="Valero Refining Company"/>
    <x v="95"/>
    <x v="0"/>
    <x v="15"/>
    <n v="2025"/>
    <n v="1"/>
    <n v="1"/>
    <n v="25.5"/>
    <s v="30 kbd ref, down 3/31-5/1"/>
  </r>
  <r>
    <x v="3"/>
    <s v="NA"/>
    <s v="U.S.A."/>
    <s v="Valero Refining Company"/>
    <x v="95"/>
    <x v="5"/>
    <x v="15"/>
    <n v="2025"/>
    <n v="1"/>
    <n v="1"/>
    <n v="0.60000000000000009"/>
    <s v="12 kbd HDC down 3/31 - 5/1"/>
  </r>
  <r>
    <x v="3"/>
    <s v="NA"/>
    <s v="U.S.A."/>
    <s v="Valero Refining Company"/>
    <x v="95"/>
    <x v="2"/>
    <x v="15"/>
    <n v="2025"/>
    <n v="1"/>
    <n v="1"/>
    <n v="9.15"/>
    <s v="91.5 kbd CDU off 3/31-5/1"/>
  </r>
  <r>
    <x v="3"/>
    <s v="NA"/>
    <s v="U.S.A."/>
    <s v="Valero Refining Company"/>
    <x v="95"/>
    <x v="3"/>
    <x v="15"/>
    <n v="2025"/>
    <n v="1"/>
    <n v="1"/>
    <n v="19.5"/>
    <s v="30 kbd Fcc down 3/31-5/1"/>
  </r>
  <r>
    <x v="3"/>
    <s v="NA"/>
    <s v="U.S.A."/>
    <s v="CITGO Petroleum Corporation"/>
    <x v="103"/>
    <x v="3"/>
    <x v="15"/>
    <n v="2025"/>
    <n v="1"/>
    <n v="1"/>
    <n v="37.700000000000003"/>
    <s v="58 kbd FCC down 4/1-5/21"/>
  </r>
  <r>
    <x v="3"/>
    <s v="NA"/>
    <s v="U.S.A."/>
    <s v="BP Products North America Incorporated"/>
    <x v="69"/>
    <x v="9"/>
    <x v="15"/>
    <n v="2025"/>
    <n v="1"/>
    <m/>
    <n v="0"/>
    <m/>
  </r>
  <r>
    <x v="3"/>
    <s v="NA"/>
    <s v="U.S.A."/>
    <s v="Cenex Harvest States Incorporated"/>
    <x v="96"/>
    <x v="8"/>
    <x v="15"/>
    <n v="2025"/>
    <n v="1"/>
    <m/>
    <n v="0"/>
    <m/>
  </r>
  <r>
    <x v="3"/>
    <s v="NA"/>
    <s v="U.S.A."/>
    <s v="Cenex Harvest States Incorporated"/>
    <x v="96"/>
    <x v="10"/>
    <x v="15"/>
    <n v="2025"/>
    <n v="1"/>
    <m/>
    <n v="0"/>
    <m/>
  </r>
  <r>
    <x v="3"/>
    <s v="NA"/>
    <s v="U.S.A."/>
    <s v="Cenex Harvest States Incorporated"/>
    <x v="96"/>
    <x v="9"/>
    <x v="15"/>
    <n v="2025"/>
    <n v="1"/>
    <m/>
    <n v="0"/>
    <m/>
  </r>
  <r>
    <x v="3"/>
    <s v="NA"/>
    <s v="U.S.A."/>
    <s v="Cenex Harvest States Incorporated"/>
    <x v="96"/>
    <x v="1"/>
    <x v="15"/>
    <n v="2025"/>
    <n v="1"/>
    <m/>
    <n v="0"/>
    <m/>
  </r>
  <r>
    <x v="3"/>
    <s v="NA"/>
    <s v="U.S.A."/>
    <s v="Cenex Harvest States Incorporated"/>
    <x v="96"/>
    <x v="4"/>
    <x v="15"/>
    <n v="2025"/>
    <n v="1"/>
    <m/>
    <n v="0"/>
    <s v="Alky down with FCC from 3/1-4/29"/>
  </r>
  <r>
    <x v="3"/>
    <s v="NA"/>
    <s v="U.S.A."/>
    <s v="CITGO Petroleum Corporation"/>
    <x v="103"/>
    <x v="4"/>
    <x v="15"/>
    <n v="2025"/>
    <n v="1"/>
    <m/>
    <n v="0"/>
    <m/>
  </r>
  <r>
    <x v="3"/>
    <s v="NA"/>
    <s v="U.S.A."/>
    <s v="Countrymark Cooperative LLP"/>
    <x v="45"/>
    <x v="10"/>
    <x v="15"/>
    <n v="2025"/>
    <n v="1"/>
    <n v="0.43333333333333335"/>
    <n v="0"/>
    <m/>
  </r>
  <r>
    <x v="3"/>
    <s v="NA"/>
    <s v="U.S.A."/>
    <s v="Countrymark Cooperative LLP"/>
    <x v="45"/>
    <x v="1"/>
    <x v="15"/>
    <n v="2025"/>
    <n v="1"/>
    <n v="0.43333333333333335"/>
    <n v="0"/>
    <m/>
  </r>
  <r>
    <x v="3"/>
    <s v="NA"/>
    <s v="U.S.A."/>
    <s v="ExxonMobil Corporation"/>
    <x v="48"/>
    <x v="0"/>
    <x v="15"/>
    <n v="2025"/>
    <n v="1"/>
    <m/>
    <n v="0"/>
    <s v="No work next Spring at Joliet"/>
  </r>
  <r>
    <x v="3"/>
    <s v="NA"/>
    <s v="U.S.A."/>
    <s v="ExxonMobil Corporation"/>
    <x v="48"/>
    <x v="1"/>
    <x v="15"/>
    <n v="2025"/>
    <n v="1"/>
    <m/>
    <n v="0"/>
    <s v="No work next Spring at Joliet"/>
  </r>
  <r>
    <x v="3"/>
    <s v="NA"/>
    <s v="U.S.A."/>
    <s v="HF Sinclair Corporation"/>
    <x v="70"/>
    <x v="8"/>
    <x v="15"/>
    <n v="2025"/>
    <n v="1"/>
    <m/>
    <n v="0"/>
    <m/>
  </r>
  <r>
    <x v="3"/>
    <s v="NA"/>
    <s v="U.S.A."/>
    <s v="HF Sinclair Corporation"/>
    <x v="70"/>
    <x v="10"/>
    <x v="15"/>
    <n v="2025"/>
    <n v="1"/>
    <n v="0.46666666666666667"/>
    <n v="0"/>
    <m/>
  </r>
  <r>
    <x v="3"/>
    <s v="NA"/>
    <s v="U.S.A."/>
    <s v="HF Sinclair Corporation"/>
    <x v="70"/>
    <x v="9"/>
    <x v="15"/>
    <n v="2025"/>
    <n v="1"/>
    <n v="0.46666666666666667"/>
    <n v="0"/>
    <m/>
  </r>
  <r>
    <x v="3"/>
    <s v="NA"/>
    <s v="U.S.A."/>
    <s v="HF Sinclair Corporation"/>
    <x v="70"/>
    <x v="1"/>
    <x v="15"/>
    <n v="2025"/>
    <n v="1"/>
    <n v="0.46666666666666667"/>
    <n v="0"/>
    <m/>
  </r>
  <r>
    <x v="3"/>
    <s v="NA"/>
    <s v="U.S.A."/>
    <s v="HF Sinclair Corporation"/>
    <x v="70"/>
    <x v="4"/>
    <x v="15"/>
    <n v="2025"/>
    <n v="1"/>
    <n v="0.46666666666666667"/>
    <n v="0"/>
    <s v="Alky down with FCC from 3/3-4/16"/>
  </r>
  <r>
    <x v="3"/>
    <s v="NA"/>
    <s v="U.S.A."/>
    <s v="Marathon Petroleum Corporation"/>
    <x v="34"/>
    <x v="8"/>
    <x v="15"/>
    <n v="2025"/>
    <n v="1"/>
    <m/>
    <n v="0"/>
    <m/>
  </r>
  <r>
    <x v="3"/>
    <s v="NA"/>
    <s v="U.S.A."/>
    <s v="Valero Refining Company"/>
    <x v="95"/>
    <x v="8"/>
    <x v="15"/>
    <n v="2025"/>
    <n v="1"/>
    <n v="1"/>
    <n v="0"/>
    <m/>
  </r>
  <r>
    <x v="3"/>
    <s v="NA"/>
    <s v="U.S.A."/>
    <s v="Valero Refining Company"/>
    <x v="95"/>
    <x v="10"/>
    <x v="15"/>
    <n v="2025"/>
    <n v="1"/>
    <n v="1"/>
    <n v="0"/>
    <m/>
  </r>
  <r>
    <x v="3"/>
    <s v="NA"/>
    <s v="U.S.A."/>
    <s v="Valero Refining Company"/>
    <x v="95"/>
    <x v="9"/>
    <x v="15"/>
    <n v="2025"/>
    <n v="1"/>
    <n v="1"/>
    <n v="0"/>
    <m/>
  </r>
  <r>
    <x v="3"/>
    <s v="NA"/>
    <s v="U.S.A."/>
    <s v="Valero Refining Company"/>
    <x v="95"/>
    <x v="1"/>
    <x v="15"/>
    <n v="2025"/>
    <n v="1"/>
    <n v="1"/>
    <n v="0"/>
    <m/>
  </r>
  <r>
    <x v="3"/>
    <s v="NA"/>
    <s v="U.S.A."/>
    <s v="Cenex Harvest States Incorporated"/>
    <x v="96"/>
    <x v="0"/>
    <x v="15"/>
    <n v="2025"/>
    <n v="1"/>
    <n v="0.96666666666666667"/>
    <n v="26.293333333333333"/>
    <s v="32 kbd Reformer down 3/1-4/29"/>
  </r>
  <r>
    <x v="3"/>
    <s v="NA"/>
    <s v="U.S.A."/>
    <s v="Valero Refining Company"/>
    <x v="95"/>
    <x v="4"/>
    <x v="15"/>
    <n v="2025"/>
    <n v="1"/>
    <n v="1"/>
    <n v="0"/>
    <s v="Alky down with the FCC-no impact"/>
  </r>
  <r>
    <x v="3"/>
    <s v="NA"/>
    <s v="U.S.A."/>
    <s v="Valero Refining Company"/>
    <x v="35"/>
    <x v="10"/>
    <x v="15"/>
    <n v="2025"/>
    <n v="1"/>
    <m/>
    <n v="0"/>
    <s v="3/2-5/4 - as of 10/15/24 no longer in IIR database"/>
  </r>
  <r>
    <x v="3"/>
    <s v="NA"/>
    <s v="U.S.A."/>
    <s v="Valero Refining Company"/>
    <x v="35"/>
    <x v="9"/>
    <x v="15"/>
    <n v="2025"/>
    <n v="1"/>
    <m/>
    <n v="0"/>
    <s v="3/2-5/4 - as of 10/15/24 no longer in IIR database"/>
  </r>
  <r>
    <x v="3"/>
    <s v="NA"/>
    <s v="U.S.A."/>
    <s v="Valero Refining Company"/>
    <x v="35"/>
    <x v="1"/>
    <x v="15"/>
    <n v="2025"/>
    <n v="1"/>
    <m/>
    <n v="0"/>
    <s v="3/2-5/4 - as of 10/15/24 no longer in IIR database"/>
  </r>
  <r>
    <x v="3"/>
    <s v="NA"/>
    <s v="U.S.A."/>
    <s v="Valero Refining Company"/>
    <x v="35"/>
    <x v="3"/>
    <x v="15"/>
    <n v="2025"/>
    <n v="1"/>
    <m/>
    <n v="0"/>
    <s v="3/2-5/4 - as of 10/15/24 no longer in IIR database"/>
  </r>
  <r>
    <x v="3"/>
    <s v="NA"/>
    <s v="U.S.A."/>
    <s v="Valero Refining Company"/>
    <x v="35"/>
    <x v="4"/>
    <x v="15"/>
    <n v="2025"/>
    <n v="1"/>
    <m/>
    <n v="0"/>
    <s v="3/2-5/4 - as of 10/15/24 no longer in IIR database"/>
  </r>
  <r>
    <x v="3"/>
    <s v="NA"/>
    <s v="U.S.A."/>
    <s v="WRB Refining LP"/>
    <x v="97"/>
    <x v="8"/>
    <x v="15"/>
    <n v="2025"/>
    <n v="1"/>
    <m/>
    <n v="0"/>
    <m/>
  </r>
  <r>
    <x v="3"/>
    <s v="NA"/>
    <s v="U.S.A."/>
    <s v="Cenex Harvest States Incorporated"/>
    <x v="96"/>
    <x v="5"/>
    <x v="15"/>
    <n v="2025"/>
    <n v="1"/>
    <n v="0.96666666666666667"/>
    <n v="1.45"/>
    <m/>
  </r>
  <r>
    <x v="3"/>
    <s v="NA"/>
    <s v="U.S.A."/>
    <s v="Cenex Harvest States Incorporated"/>
    <x v="96"/>
    <x v="6"/>
    <x v="15"/>
    <n v="2025"/>
    <n v="1"/>
    <n v="0.96666666666666667"/>
    <n v="2.4166666666666665"/>
    <m/>
  </r>
  <r>
    <x v="3"/>
    <s v="NA"/>
    <s v="U.S.A."/>
    <s v="Cenex Harvest States Incorporated"/>
    <x v="96"/>
    <x v="2"/>
    <x v="15"/>
    <n v="2025"/>
    <n v="1"/>
    <n v="0.96666666666666667"/>
    <n v="10.536666666666667"/>
    <s v="109 kbd CDU down from 3/1-4/29"/>
  </r>
  <r>
    <x v="3"/>
    <s v="NA"/>
    <s v="U.S.A."/>
    <s v="Flint Hills Resources LLC"/>
    <x v="65"/>
    <x v="1"/>
    <x v="15"/>
    <n v="2025"/>
    <n v="1"/>
    <n v="1"/>
    <n v="0"/>
    <m/>
  </r>
  <r>
    <x v="3"/>
    <s v="NA"/>
    <s v="U.S.A."/>
    <s v="Cenex Harvest States Incorporated"/>
    <x v="96"/>
    <x v="3"/>
    <x v="15"/>
    <n v="2025"/>
    <n v="1"/>
    <n v="0.96666666666666667"/>
    <n v="14.263166666666667"/>
    <s v="22.7 kbd FCC down from 3/1-4/29"/>
  </r>
  <r>
    <x v="3"/>
    <s v="NA"/>
    <s v="U.S.A."/>
    <s v="Countrymark Cooperative LLP"/>
    <x v="45"/>
    <x v="0"/>
    <x v="15"/>
    <n v="2025"/>
    <n v="1"/>
    <n v="0.8666666666666667"/>
    <n v="4.42"/>
    <s v="6.5 kbd Ref down from 4/4-5/3"/>
  </r>
  <r>
    <x v="3"/>
    <s v="NA"/>
    <s v="U.S.A."/>
    <s v="Flint Hills Resources LLC"/>
    <x v="65"/>
    <x v="4"/>
    <x v="15"/>
    <n v="2025"/>
    <n v="0.5"/>
    <n v="1"/>
    <n v="0"/>
    <m/>
  </r>
  <r>
    <x v="3"/>
    <s v="NA"/>
    <s v="U.S.A."/>
    <s v="Countrymark Cooperative LLP"/>
    <x v="45"/>
    <x v="2"/>
    <x v="15"/>
    <n v="2025"/>
    <n v="1"/>
    <n v="0.43333333333333335"/>
    <n v="1.5166666666666666"/>
    <s v="35 kbd CDU down from 4/4-4/17"/>
  </r>
  <r>
    <x v="3"/>
    <s v="NA"/>
    <s v="U.S.A."/>
    <s v="Flint Hills Resources LLC"/>
    <x v="65"/>
    <x v="2"/>
    <x v="15"/>
    <n v="2025"/>
    <n v="1"/>
    <n v="1"/>
    <n v="47.5"/>
    <s v="190 kbd CDU offline 3/28-5/6"/>
  </r>
  <r>
    <x v="3"/>
    <s v="NA"/>
    <s v="U.S.A."/>
    <s v="Flint Hills Resources LLC"/>
    <x v="65"/>
    <x v="6"/>
    <x v="15"/>
    <n v="2025"/>
    <n v="1"/>
    <n v="1"/>
    <n v="3.0249999999999999"/>
    <s v="16.5 kbd Coker offline 3/28-4/9"/>
  </r>
  <r>
    <x v="3"/>
    <s v="NA"/>
    <s v="U.S.A."/>
    <s v="Flint Hills Resources LLC"/>
    <x v="65"/>
    <x v="3"/>
    <x v="15"/>
    <n v="2025"/>
    <n v="1"/>
    <n v="1"/>
    <n v="55.25"/>
    <s v="85 kbd FCC offline 3/28-5/6"/>
  </r>
  <r>
    <x v="3"/>
    <s v="NA"/>
    <s v="U.S.A."/>
    <s v="Marathon Petroleum Corporation"/>
    <x v="34"/>
    <x v="5"/>
    <x v="15"/>
    <n v="2025"/>
    <n v="1"/>
    <n v="0.9"/>
    <n v="1.2600000000000002"/>
    <s v="28 kbd HDC down 3/18-4/27"/>
  </r>
  <r>
    <x v="3"/>
    <s v="NA"/>
    <s v="U.S.A."/>
    <s v="Marathon Petroleum Corporation"/>
    <x v="34"/>
    <x v="6"/>
    <x v="15"/>
    <n v="2025"/>
    <n v="1"/>
    <n v="0.9"/>
    <n v="3.375"/>
    <s v="15 kbd Coker down 3/18-4/27"/>
  </r>
  <r>
    <x v="3"/>
    <s v="NA"/>
    <s v="U.S.A."/>
    <s v="Marathon Petroleum Corporation"/>
    <x v="34"/>
    <x v="2"/>
    <x v="15"/>
    <n v="2025"/>
    <n v="1"/>
    <n v="0.9"/>
    <n v="57.375"/>
    <s v="255 kbd CDU down 3/18 - 4/27"/>
  </r>
  <r>
    <x v="3"/>
    <s v="NA"/>
    <s v="U.S.A."/>
    <s v="Cenovus Energy Incorporated"/>
    <x v="98"/>
    <x v="0"/>
    <x v="15"/>
    <n v="2025"/>
    <n v="1"/>
    <n v="1"/>
    <n v="34"/>
    <s v="40 kbd reformer down 3/12-5/1"/>
  </r>
  <r>
    <x v="3"/>
    <s v="NA"/>
    <s v="U.S.A."/>
    <s v="Cenovus Energy Incorporated"/>
    <x v="98"/>
    <x v="5"/>
    <x v="15"/>
    <n v="2025"/>
    <n v="1"/>
    <n v="1"/>
    <n v="1.75"/>
    <s v="35 kbd HDC down 3/12-5/1"/>
  </r>
  <r>
    <x v="3"/>
    <s v="NA"/>
    <s v="U.S.A."/>
    <s v="HF Sinclair Corporation"/>
    <x v="70"/>
    <x v="0"/>
    <x v="15"/>
    <n v="2025"/>
    <n v="1"/>
    <n v="0.46666666666666667"/>
    <n v="4.3633333333333333"/>
    <s v="22 kbd Reformer down 3/3-4/16"/>
  </r>
  <r>
    <x v="3"/>
    <s v="NA"/>
    <s v="U.S.A."/>
    <s v="HF Sinclair Corporation"/>
    <x v="70"/>
    <x v="2"/>
    <x v="15"/>
    <n v="2025"/>
    <n v="1"/>
    <n v="0.46666666666666667"/>
    <n v="1.8666666666666667"/>
    <s v="40 kbd CDU unit down 3/3-4/16"/>
  </r>
  <r>
    <x v="3"/>
    <s v="NA"/>
    <s v="U.S.A."/>
    <s v="HF Sinclair Corporation"/>
    <x v="70"/>
    <x v="3"/>
    <x v="15"/>
    <n v="2025"/>
    <n v="1"/>
    <n v="0.46666666666666667"/>
    <n v="8.7966666666666669"/>
    <s v="29 kbd FCC down 3/3-4/16"/>
  </r>
  <r>
    <x v="3"/>
    <s v="NA"/>
    <s v="U.S.A."/>
    <s v="WRB Refining LP"/>
    <x v="97"/>
    <x v="2"/>
    <x v="15"/>
    <n v="2025"/>
    <n v="1"/>
    <m/>
    <n v="7.083333333333333"/>
    <s v="170 kbd CDU down 3/7-4/5"/>
  </r>
  <r>
    <x v="3"/>
    <s v="NA"/>
    <s v="U.S.A."/>
    <s v="WRB Refining LP"/>
    <x v="97"/>
    <x v="3"/>
    <x v="15"/>
    <n v="2025"/>
    <n v="1"/>
    <m/>
    <n v="4.55"/>
    <s v="42 kbd FCC down 3/7-4/5"/>
  </r>
  <r>
    <x v="0"/>
    <s v="NA"/>
    <s v="U.S.A."/>
    <s v="Chevron Corporation"/>
    <x v="38"/>
    <x v="2"/>
    <x v="15"/>
    <n v="2025"/>
    <n v="1"/>
    <n v="0.16666666666666666"/>
    <n v="7.2916666666666661"/>
    <s v="175 kbd CDU unit down 3/7-4/5"/>
  </r>
  <r>
    <x v="0"/>
    <s v="NA"/>
    <s v="U.S.A."/>
    <s v="Chevron Phillips Chemical Company LP"/>
    <x v="104"/>
    <x v="7"/>
    <x v="15"/>
    <n v="2025"/>
    <n v="1"/>
    <n v="1"/>
    <n v="0"/>
    <m/>
  </r>
  <r>
    <x v="0"/>
    <s v="NA"/>
    <s v="U.S.A."/>
    <s v="CITGO Petroleum Corporation"/>
    <x v="88"/>
    <x v="8"/>
    <x v="15"/>
    <n v="2025"/>
    <n v="1"/>
    <n v="0.23333333333333334"/>
    <n v="0"/>
    <m/>
  </r>
  <r>
    <x v="0"/>
    <s v="NA"/>
    <s v="U.S.A."/>
    <s v="CITGO Petroleum Corporation"/>
    <x v="88"/>
    <x v="0"/>
    <x v="15"/>
    <n v="2025"/>
    <n v="1"/>
    <n v="0.23333333333333334"/>
    <n v="5.95"/>
    <s v="30 kbd Reformer down 3/3-4/7"/>
  </r>
  <r>
    <x v="0"/>
    <s v="NA"/>
    <s v="U.S.A."/>
    <s v="CITGO Petroleum Corporation"/>
    <x v="88"/>
    <x v="10"/>
    <x v="15"/>
    <n v="2025"/>
    <n v="1"/>
    <n v="0.23333333333333334"/>
    <n v="0"/>
    <m/>
  </r>
  <r>
    <x v="0"/>
    <s v="NA"/>
    <s v="U.S.A."/>
    <s v="CITGO Petroleum Corporation"/>
    <x v="88"/>
    <x v="9"/>
    <x v="15"/>
    <n v="2025"/>
    <n v="1"/>
    <n v="0.23333333333333334"/>
    <n v="0"/>
    <m/>
  </r>
  <r>
    <x v="0"/>
    <s v="NA"/>
    <s v="U.S.A."/>
    <s v="CITGO Petroleum Corporation"/>
    <x v="88"/>
    <x v="1"/>
    <x v="15"/>
    <n v="2025"/>
    <n v="1"/>
    <n v="0.23333333333333334"/>
    <n v="0"/>
    <m/>
  </r>
  <r>
    <x v="0"/>
    <s v="NA"/>
    <s v="U.S.A."/>
    <s v="CITGO Petroleum Corporation"/>
    <x v="88"/>
    <x v="6"/>
    <x v="15"/>
    <n v="2025"/>
    <n v="1"/>
    <n v="0.23333333333333334"/>
    <n v="1.0266666666666668"/>
    <s v="44 kbd Coker down 3/3-4/7"/>
  </r>
  <r>
    <x v="0"/>
    <s v="NA"/>
    <s v="U.S.A."/>
    <s v="CITGO Petroleum Corporation"/>
    <x v="88"/>
    <x v="3"/>
    <x v="15"/>
    <n v="2025"/>
    <n v="1"/>
    <n v="0.23333333333333334"/>
    <n v="10.465"/>
    <s v="69 kbd FCC down 3/3-4/7"/>
  </r>
  <r>
    <x v="0"/>
    <s v="NA"/>
    <s v="U.S.A."/>
    <s v="CITGO Petroleum Corporation"/>
    <x v="88"/>
    <x v="4"/>
    <x v="15"/>
    <n v="2025"/>
    <n v="1"/>
    <m/>
    <n v="0"/>
    <m/>
  </r>
  <r>
    <x v="0"/>
    <s v="NA"/>
    <s v="U.S.A."/>
    <s v="Phillips 66"/>
    <x v="36"/>
    <x v="2"/>
    <x v="15"/>
    <n v="2025"/>
    <n v="1"/>
    <n v="1"/>
    <n v="4.7133333329999996"/>
    <s v="Not seeing Apr CDU work in IIR any more"/>
  </r>
  <r>
    <x v="0"/>
    <s v="NA"/>
    <s v="U.S.A."/>
    <s v="Phillips 66"/>
    <x v="36"/>
    <x v="3"/>
    <x v="15"/>
    <n v="2025"/>
    <n v="1"/>
    <n v="1"/>
    <n v="45.24"/>
    <s v="78 kbd FCC work from 4/1-5/4"/>
  </r>
  <r>
    <x v="0"/>
    <s v="NA"/>
    <s v="U.S.A."/>
    <s v="Shell Oil Products US"/>
    <x v="78"/>
    <x v="1"/>
    <x v="15"/>
    <n v="2025"/>
    <n v="1"/>
    <m/>
    <n v="0"/>
    <m/>
  </r>
  <r>
    <x v="0"/>
    <s v="NA"/>
    <s v="U.S.A."/>
    <s v="Shell Oil Products US"/>
    <x v="78"/>
    <x v="6"/>
    <x v="15"/>
    <n v="2025"/>
    <n v="1"/>
    <n v="0.6333333333333333"/>
    <n v="3.9899999999999993"/>
    <s v="21 kbd Coker down from 3/1-4/19"/>
  </r>
  <r>
    <x v="0"/>
    <s v="NA"/>
    <s v="U.S.A."/>
    <s v="Valero Refining Company"/>
    <x v="50"/>
    <x v="5"/>
    <x v="15"/>
    <n v="2025"/>
    <n v="1"/>
    <m/>
    <n v="0.55000000000000004"/>
    <s v="11 kbd HDC down 4/1-5/1"/>
  </r>
  <r>
    <x v="0"/>
    <s v="NA"/>
    <s v="U.S.A."/>
    <s v="Valero Refining Company"/>
    <x v="2"/>
    <x v="10"/>
    <x v="15"/>
    <n v="2025"/>
    <n v="1"/>
    <m/>
    <n v="0"/>
    <m/>
  </r>
  <r>
    <x v="0"/>
    <s v="NA"/>
    <s v="U.S.A."/>
    <s v="Valero Refining Company"/>
    <x v="2"/>
    <x v="1"/>
    <x v="15"/>
    <n v="2025"/>
    <n v="1"/>
    <m/>
    <n v="0"/>
    <m/>
  </r>
  <r>
    <x v="0"/>
    <s v="NA"/>
    <s v="U.S.A."/>
    <s v="Valero Refining Company"/>
    <x v="2"/>
    <x v="5"/>
    <x v="15"/>
    <n v="2025"/>
    <n v="1"/>
    <m/>
    <n v="3"/>
    <s v="60 kbd HDC down 3/14-5/8"/>
  </r>
  <r>
    <x v="0"/>
    <s v="NA"/>
    <s v="U.S.A."/>
    <s v="Valero Refining Company"/>
    <x v="2"/>
    <x v="3"/>
    <x v="15"/>
    <n v="2025"/>
    <n v="1"/>
    <m/>
    <n v="65"/>
    <s v="100 kbd FCC down 3/14-5/8"/>
  </r>
  <r>
    <x v="0"/>
    <s v="NA"/>
    <s v="U.S.A."/>
    <s v="Valero Refining Company"/>
    <x v="2"/>
    <x v="4"/>
    <x v="15"/>
    <n v="2025"/>
    <n v="1"/>
    <m/>
    <n v="0"/>
    <s v="Alky down but 0ing since FCC is also down"/>
  </r>
  <r>
    <x v="0"/>
    <s v="NA"/>
    <s v="U.S.A."/>
    <s v="WRB Refining LP"/>
    <x v="25"/>
    <x v="10"/>
    <x v="15"/>
    <n v="2025"/>
    <n v="1"/>
    <m/>
    <n v="0"/>
    <s v="No longer in IIR data base"/>
  </r>
  <r>
    <x v="0"/>
    <s v="NA"/>
    <s v="U.S.A."/>
    <s v="WRB Refining LP"/>
    <x v="25"/>
    <x v="3"/>
    <x v="15"/>
    <n v="2025"/>
    <n v="1"/>
    <m/>
    <n v="0"/>
    <s v="No longer in IIR data base"/>
  </r>
  <r>
    <x v="0"/>
    <s v="NA"/>
    <s v="U.S.A."/>
    <s v="WRB Refining LP"/>
    <x v="25"/>
    <x v="4"/>
    <x v="15"/>
    <n v="2025"/>
    <n v="1"/>
    <m/>
    <n v="0"/>
    <s v="No longer in IIR data base"/>
  </r>
  <r>
    <x v="4"/>
    <s v="NA"/>
    <s v="U.S.A."/>
    <s v="Silver Eagle Refining Incorporated"/>
    <x v="58"/>
    <x v="0"/>
    <x v="15"/>
    <n v="2025"/>
    <n v="1"/>
    <n v="6.6666666666666666E-2"/>
    <n v="0.17"/>
    <s v="3 kbd Reformer down 4/29-5/12"/>
  </r>
  <r>
    <x v="4"/>
    <s v="NA"/>
    <s v="U.S.A."/>
    <s v="Silver Eagle Refining Incorporated"/>
    <x v="58"/>
    <x v="2"/>
    <x v="15"/>
    <n v="2025"/>
    <n v="1"/>
    <n v="6.6666666666666666E-2"/>
    <n v="2.2666666666666668E-2"/>
    <s v="3.4 kbd CDU down 4/29-5/12"/>
  </r>
  <r>
    <x v="4"/>
    <s v="NA"/>
    <s v="U.S.A."/>
    <s v="Calumet Great Falls"/>
    <x v="105"/>
    <x v="0"/>
    <x v="15"/>
    <n v="2025"/>
    <n v="1"/>
    <n v="0.8666666666666667"/>
    <n v="0"/>
    <s v="1 kbd Reformer down 4/4-5/13"/>
  </r>
  <r>
    <x v="4"/>
    <s v="NA"/>
    <s v="U.S.A."/>
    <s v="Calumet Great Falls"/>
    <x v="105"/>
    <x v="5"/>
    <x v="15"/>
    <n v="2025"/>
    <n v="1"/>
    <n v="0.8666666666666667"/>
    <n v="0.78"/>
    <s v="18 kbd HDC down 4/4-5/13"/>
  </r>
  <r>
    <x v="4"/>
    <s v="NA"/>
    <s v="U.S.A."/>
    <s v="Calumet Great Falls"/>
    <x v="105"/>
    <x v="2"/>
    <x v="15"/>
    <n v="2025"/>
    <n v="1"/>
    <n v="0.8666666666666667"/>
    <n v="2.166666666666667"/>
    <s v="(10+15) 25 kbd CDUs down 4/4-5/13"/>
  </r>
  <r>
    <x v="4"/>
    <s v="NA"/>
    <s v="U.S.A."/>
    <s v="Calumet Great Falls"/>
    <x v="105"/>
    <x v="3"/>
    <x v="15"/>
    <n v="2025"/>
    <n v="1"/>
    <n v="0.8666666666666667"/>
    <n v="1.5773333333333333"/>
    <s v="2.8 kbd FCC down 4/4-5/13"/>
  </r>
  <r>
    <x v="4"/>
    <s v="NA"/>
    <s v="U.S.A."/>
    <s v="Calumet Great Falls"/>
    <x v="105"/>
    <x v="8"/>
    <x v="15"/>
    <n v="2025"/>
    <n v="1"/>
    <n v="0.8666666666666667"/>
    <n v="0"/>
    <m/>
  </r>
  <r>
    <x v="4"/>
    <s v="NA"/>
    <s v="U.S.A."/>
    <s v="Calumet Great Falls"/>
    <x v="105"/>
    <x v="10"/>
    <x v="15"/>
    <n v="2025"/>
    <n v="1"/>
    <n v="0.8666666666666667"/>
    <n v="0"/>
    <m/>
  </r>
  <r>
    <x v="4"/>
    <s v="NA"/>
    <s v="U.S.A."/>
    <s v="Calumet Great Falls"/>
    <x v="105"/>
    <x v="9"/>
    <x v="15"/>
    <n v="2025"/>
    <n v="1"/>
    <n v="0.8666666666666667"/>
    <n v="0"/>
    <m/>
  </r>
  <r>
    <x v="4"/>
    <s v="NA"/>
    <s v="U.S.A."/>
    <s v="Calumet Great Falls"/>
    <x v="105"/>
    <x v="1"/>
    <x v="15"/>
    <n v="2025"/>
    <n v="1"/>
    <n v="0.8666666666666667"/>
    <n v="0"/>
    <m/>
  </r>
  <r>
    <x v="4"/>
    <s v="NA"/>
    <s v="U.S.A."/>
    <s v="Calumet Great Falls"/>
    <x v="105"/>
    <x v="4"/>
    <x v="15"/>
    <n v="2025"/>
    <n v="1"/>
    <n v="0.8666666666666667"/>
    <n v="0"/>
    <s v="Zeroing alky out since the FCC is down"/>
  </r>
  <r>
    <x v="4"/>
    <s v="NA"/>
    <s v="U.S.A."/>
    <s v="Par Pacific Holdings Incorporated"/>
    <x v="67"/>
    <x v="4"/>
    <x v="15"/>
    <n v="2025"/>
    <n v="1"/>
    <n v="1"/>
    <n v="0"/>
    <s v="Zeroing alky out since the FCC is down"/>
  </r>
  <r>
    <x v="4"/>
    <s v="NA"/>
    <s v="U.S.A."/>
    <s v="Silver Eagle Refining Incorporated"/>
    <x v="58"/>
    <x v="9"/>
    <x v="15"/>
    <n v="2025"/>
    <n v="1"/>
    <n v="6.6666666666666666E-2"/>
    <n v="0"/>
    <m/>
  </r>
  <r>
    <x v="4"/>
    <s v="NA"/>
    <s v="U.S.A."/>
    <s v="Silver Eagle Refining Incorporated"/>
    <x v="58"/>
    <x v="1"/>
    <x v="15"/>
    <n v="2025"/>
    <n v="1"/>
    <n v="6.6666666666666666E-2"/>
    <n v="0"/>
    <m/>
  </r>
  <r>
    <x v="4"/>
    <s v="NA"/>
    <s v="U.S.A."/>
    <s v="Par Pacific Holdings Incorporated"/>
    <x v="67"/>
    <x v="3"/>
    <x v="15"/>
    <n v="2025"/>
    <n v="1"/>
    <n v="1"/>
    <n v="13.65"/>
    <s v="21 kbd FCC down 4/1-5/10"/>
  </r>
  <r>
    <x v="4"/>
    <s v="NA"/>
    <s v="U.S.A."/>
    <s v="HF Sinclair Corporation"/>
    <x v="51"/>
    <x v="0"/>
    <x v="15"/>
    <n v="2025"/>
    <n v="1"/>
    <n v="1"/>
    <n v="6.8"/>
    <s v="8 kbd Reformer down 3/2-5/5"/>
  </r>
  <r>
    <x v="1"/>
    <s v="NA"/>
    <s v="U.S.A."/>
    <s v="Marathon Petroleum Corporation"/>
    <x v="90"/>
    <x v="2"/>
    <x v="15"/>
    <n v="2025"/>
    <n v="1"/>
    <m/>
    <n v="17"/>
    <s v="2/28-4/17. CDU (120)"/>
  </r>
  <r>
    <x v="1"/>
    <s v="NA"/>
    <s v="U.S.A."/>
    <s v="BP Products North America Incorporated"/>
    <x v="52"/>
    <x v="6"/>
    <x v="15"/>
    <n v="2025"/>
    <n v="1"/>
    <n v="0.6"/>
    <n v="9.9"/>
    <s v="55 kbd Coker down 4/12-4/30"/>
  </r>
  <r>
    <x v="1"/>
    <s v="NA"/>
    <s v="U.S.A."/>
    <s v="BP Products North America Incorporated"/>
    <x v="52"/>
    <x v="2"/>
    <x v="15"/>
    <n v="2025"/>
    <n v="1"/>
    <n v="0.36666666666666664"/>
    <n v="22.916666666666664"/>
    <s v="250 kbd CDU down 3/28-4/11"/>
  </r>
  <r>
    <x v="1"/>
    <s v="NA"/>
    <s v="U.S.A."/>
    <s v="Marathon Petroleum Corporation"/>
    <x v="101"/>
    <x v="6"/>
    <x v="15"/>
    <n v="2025"/>
    <n v="1"/>
    <m/>
    <n v="2.3399999999999994"/>
    <s v="cdu (200), coker (39) 3/2-4/6"/>
  </r>
  <r>
    <x v="1"/>
    <s v="NA"/>
    <s v="U.S.A."/>
    <s v="Marathon Petroleum Corporation"/>
    <x v="101"/>
    <x v="2"/>
    <x v="15"/>
    <n v="2025"/>
    <n v="1"/>
    <m/>
    <n v="10"/>
    <s v="cdu (200), coker (39) 3/2-4/6"/>
  </r>
  <r>
    <x v="1"/>
    <s v="NA"/>
    <s v="U.S.A."/>
    <s v="Marathon Petroleum Corporation"/>
    <x v="102"/>
    <x v="2"/>
    <x v="15"/>
    <n v="2025"/>
    <n v="1"/>
    <m/>
    <n v="4.291666666666667"/>
    <s v="cdu (103) 3/7-4/5"/>
  </r>
  <r>
    <x v="1"/>
    <s v="NA"/>
    <s v="U.S.A."/>
    <s v="Chevron Corporation"/>
    <x v="60"/>
    <x v="3"/>
    <x v="15"/>
    <n v="2025"/>
    <n v="1"/>
    <m/>
    <n v="41.6"/>
    <s v="FCC (80) 3/1-4/24"/>
  </r>
  <r>
    <x v="1"/>
    <s v="NA"/>
    <s v="U.S.A."/>
    <s v="Chevron Corporation"/>
    <x v="60"/>
    <x v="4"/>
    <x v="15"/>
    <n v="2025"/>
    <n v="1"/>
    <m/>
    <n v="1.6"/>
    <s v="FCC (80) 3/1-4/24"/>
  </r>
  <r>
    <x v="2"/>
    <s v="NA"/>
    <s v="U.S.A."/>
    <s v="Ergon West Virginia Incorporated"/>
    <x v="94"/>
    <x v="8"/>
    <x v="16"/>
    <n v="2025"/>
    <n v="1"/>
    <n v="1"/>
    <n v="0"/>
    <m/>
  </r>
  <r>
    <x v="2"/>
    <s v="NA"/>
    <s v="U.S.A."/>
    <s v="Ergon West Virginia Incorporated"/>
    <x v="94"/>
    <x v="0"/>
    <x v="16"/>
    <n v="2025"/>
    <n v="1"/>
    <n v="1"/>
    <n v="3.06"/>
    <m/>
  </r>
  <r>
    <x v="2"/>
    <s v="NA"/>
    <s v="U.S.A."/>
    <s v="Ergon West Virginia Incorporated"/>
    <x v="94"/>
    <x v="9"/>
    <x v="16"/>
    <n v="2025"/>
    <n v="1"/>
    <n v="1"/>
    <n v="0"/>
    <m/>
  </r>
  <r>
    <x v="2"/>
    <s v="NA"/>
    <s v="U.S.A."/>
    <s v="Ergon West Virginia Incorporated"/>
    <x v="94"/>
    <x v="1"/>
    <x v="16"/>
    <n v="2025"/>
    <n v="1"/>
    <n v="1"/>
    <n v="0"/>
    <m/>
  </r>
  <r>
    <x v="2"/>
    <s v="NA"/>
    <s v="U.S.A."/>
    <s v="Ergon West Virginia Incorporated"/>
    <x v="94"/>
    <x v="5"/>
    <x v="16"/>
    <n v="2025"/>
    <n v="1"/>
    <n v="1"/>
    <n v="0.215"/>
    <m/>
  </r>
  <r>
    <x v="2"/>
    <s v="NA"/>
    <s v="U.S.A."/>
    <s v="Ergon West Virginia Incorporated"/>
    <x v="94"/>
    <x v="2"/>
    <x v="16"/>
    <n v="2025"/>
    <n v="1"/>
    <n v="1"/>
    <n v="2.3000000000000003"/>
    <m/>
  </r>
  <r>
    <x v="3"/>
    <s v="NA"/>
    <s v="U.S.A."/>
    <s v="Valero Refining Company"/>
    <x v="95"/>
    <x v="0"/>
    <x v="16"/>
    <n v="2025"/>
    <n v="1"/>
    <n v="1"/>
    <n v="25.5"/>
    <s v="30 kbd ref, down 3/31-5/1 updated to last through 6/15"/>
  </r>
  <r>
    <x v="3"/>
    <s v="NA"/>
    <s v="U.S.A."/>
    <s v="Valero Refining Company"/>
    <x v="95"/>
    <x v="5"/>
    <x v="16"/>
    <n v="2025"/>
    <n v="1"/>
    <n v="1"/>
    <n v="0.60000000000000009"/>
    <s v="12 kbd HDC down 3/31 - 5/1 now thru 6/15"/>
  </r>
  <r>
    <x v="3"/>
    <s v="NA"/>
    <s v="U.S.A."/>
    <s v="Valero Refining Company"/>
    <x v="95"/>
    <x v="2"/>
    <x v="16"/>
    <n v="2025"/>
    <n v="1"/>
    <n v="1"/>
    <n v="9.15"/>
    <s v="91.5 kbd CDU off 3/31-5/1"/>
  </r>
  <r>
    <x v="3"/>
    <s v="NA"/>
    <s v="U.S.A."/>
    <s v="Valero Refining Company"/>
    <x v="95"/>
    <x v="3"/>
    <x v="16"/>
    <n v="2025"/>
    <n v="1"/>
    <n v="1"/>
    <n v="19.5"/>
    <s v="30 kbd Fcc down 3/31-5/1"/>
  </r>
  <r>
    <x v="3"/>
    <s v="NA"/>
    <s v="U.S.A."/>
    <s v="BP Products North America Incorporated"/>
    <x v="69"/>
    <x v="9"/>
    <x v="16"/>
    <n v="2025"/>
    <n v="1"/>
    <m/>
    <n v="0"/>
    <m/>
  </r>
  <r>
    <x v="3"/>
    <s v="NA"/>
    <s v="U.S.A."/>
    <s v="Countrymark Cooperative LLP"/>
    <x v="45"/>
    <x v="0"/>
    <x v="16"/>
    <n v="2025"/>
    <n v="1"/>
    <n v="9.6774193548387094E-2"/>
    <n v="0.49354838709677412"/>
    <s v="6.5 kbd Ref down from 4/4-5/3"/>
  </r>
  <r>
    <x v="3"/>
    <s v="NA"/>
    <s v="U.S.A."/>
    <s v="Countrymark Cooperative LLP"/>
    <x v="45"/>
    <x v="10"/>
    <x v="16"/>
    <n v="2025"/>
    <n v="1"/>
    <m/>
    <n v="0"/>
    <m/>
  </r>
  <r>
    <x v="3"/>
    <s v="NA"/>
    <s v="U.S.A."/>
    <s v="Countrymark Cooperative LLP"/>
    <x v="45"/>
    <x v="1"/>
    <x v="16"/>
    <n v="2025"/>
    <n v="1"/>
    <m/>
    <n v="0"/>
    <m/>
  </r>
  <r>
    <x v="3"/>
    <s v="NA"/>
    <s v="U.S.A."/>
    <s v="ExxonMobil Corporation"/>
    <x v="48"/>
    <x v="0"/>
    <x v="16"/>
    <n v="2025"/>
    <n v="1"/>
    <m/>
    <n v="0"/>
    <s v="No work next Spring at Joliet"/>
  </r>
  <r>
    <x v="3"/>
    <s v="NA"/>
    <s v="U.S.A."/>
    <s v="ExxonMobil Corporation"/>
    <x v="48"/>
    <x v="1"/>
    <x v="16"/>
    <n v="2025"/>
    <n v="1"/>
    <m/>
    <n v="0"/>
    <s v="No work next Spring at Joliet"/>
  </r>
  <r>
    <x v="3"/>
    <s v="NA"/>
    <s v="U.S.A."/>
    <s v="Valero Refining Company"/>
    <x v="95"/>
    <x v="8"/>
    <x v="16"/>
    <n v="2025"/>
    <n v="1"/>
    <n v="3.3333333333333333E-2"/>
    <n v="0"/>
    <m/>
  </r>
  <r>
    <x v="3"/>
    <s v="NA"/>
    <s v="U.S.A."/>
    <s v="Valero Refining Company"/>
    <x v="95"/>
    <x v="10"/>
    <x v="16"/>
    <n v="2025"/>
    <n v="1"/>
    <n v="3.3333333333333333E-2"/>
    <n v="0"/>
    <m/>
  </r>
  <r>
    <x v="3"/>
    <s v="NA"/>
    <s v="U.S.A."/>
    <s v="Valero Refining Company"/>
    <x v="95"/>
    <x v="9"/>
    <x v="16"/>
    <n v="2025"/>
    <n v="1"/>
    <n v="3.3333333333333333E-2"/>
    <n v="0"/>
    <m/>
  </r>
  <r>
    <x v="3"/>
    <s v="NA"/>
    <s v="U.S.A."/>
    <s v="Valero Refining Company"/>
    <x v="95"/>
    <x v="1"/>
    <x v="16"/>
    <n v="2025"/>
    <n v="1"/>
    <n v="3.3333333333333333E-2"/>
    <n v="0"/>
    <m/>
  </r>
  <r>
    <x v="3"/>
    <s v="NA"/>
    <s v="U.S.A."/>
    <s v="Valero Refining Company"/>
    <x v="95"/>
    <x v="4"/>
    <x v="16"/>
    <n v="2025"/>
    <n v="1"/>
    <n v="3.3333333333333333E-2"/>
    <n v="0"/>
    <s v="Alky down with the FCC-no impact"/>
  </r>
  <r>
    <x v="3"/>
    <s v="NA"/>
    <s v="U.S.A."/>
    <s v="Valero Refining Company"/>
    <x v="35"/>
    <x v="9"/>
    <x v="16"/>
    <n v="2025"/>
    <n v="1"/>
    <m/>
    <n v="0"/>
    <s v="3/2-5/4 - as of 10/15/24 no longer in IIR database"/>
  </r>
  <r>
    <x v="3"/>
    <s v="NA"/>
    <s v="U.S.A."/>
    <s v="Valero Refining Company"/>
    <x v="35"/>
    <x v="1"/>
    <x v="16"/>
    <n v="2025"/>
    <n v="1"/>
    <m/>
    <n v="0"/>
    <s v="3/2-5/4 - as of 10/15/24 no longer in IIR database"/>
  </r>
  <r>
    <x v="3"/>
    <s v="NA"/>
    <s v="U.S.A."/>
    <s v="Flint Hills Resources LLC"/>
    <x v="65"/>
    <x v="2"/>
    <x v="16"/>
    <n v="2025"/>
    <n v="1"/>
    <n v="0.19354838709677419"/>
    <n v="9.193548387096774"/>
    <s v="190 kbd CDU offline 3/28-5/6"/>
  </r>
  <r>
    <x v="3"/>
    <s v="NA"/>
    <s v="U.S.A."/>
    <s v="Flint Hills Resources LLC"/>
    <x v="65"/>
    <x v="1"/>
    <x v="16"/>
    <n v="2025"/>
    <n v="1"/>
    <n v="0.19354838709677419"/>
    <n v="0"/>
    <m/>
  </r>
  <r>
    <x v="3"/>
    <s v="NA"/>
    <s v="U.S.A."/>
    <s v="Flint Hills Resources LLC"/>
    <x v="65"/>
    <x v="6"/>
    <x v="16"/>
    <n v="2025"/>
    <n v="1"/>
    <n v="0.19354838709677419"/>
    <n v="0"/>
    <s v="16.5 kbd Coker offline 3/28-4/9"/>
  </r>
  <r>
    <x v="3"/>
    <s v="NA"/>
    <s v="U.S.A."/>
    <s v="Flint Hills Resources LLC"/>
    <x v="65"/>
    <x v="3"/>
    <x v="16"/>
    <n v="2025"/>
    <n v="1"/>
    <n v="0.19354838709677419"/>
    <n v="10.693548387096774"/>
    <s v="85 kbd FCC offline 3/28-5/6"/>
  </r>
  <r>
    <x v="3"/>
    <s v="NA"/>
    <s v="U.S.A."/>
    <s v="Flint Hills Resources LLC"/>
    <x v="65"/>
    <x v="4"/>
    <x v="16"/>
    <n v="2025"/>
    <n v="0.5"/>
    <n v="0.19354838709677419"/>
    <n v="0"/>
    <m/>
  </r>
  <r>
    <x v="3"/>
    <s v="NA"/>
    <s v="U.S.A."/>
    <s v="Cenovus Energy Incorporated"/>
    <x v="98"/>
    <x v="0"/>
    <x v="16"/>
    <n v="2025"/>
    <n v="1"/>
    <n v="1"/>
    <n v="34"/>
    <s v="40 kbd reformer down 3/12-5/1. extended through 6/15"/>
  </r>
  <r>
    <x v="3"/>
    <s v="NA"/>
    <s v="U.S.A."/>
    <s v="Cenovus Energy Incorporated"/>
    <x v="98"/>
    <x v="5"/>
    <x v="16"/>
    <n v="2025"/>
    <n v="1"/>
    <n v="1"/>
    <n v="1.75"/>
    <s v="35 kbd HDC down 3/12-5/1. extended through 6/15"/>
  </r>
  <r>
    <x v="0"/>
    <s v="NA"/>
    <s v="U.S.A."/>
    <s v="Hunt Refining Company"/>
    <x v="64"/>
    <x v="6"/>
    <x v="16"/>
    <n v="2025"/>
    <n v="1"/>
    <n v="0.54838709677419351"/>
    <n v="5.2645161290322573"/>
    <s v="32kbd coker 5/14-7/6"/>
  </r>
  <r>
    <x v="0"/>
    <s v="NA"/>
    <s v="U.S.A."/>
    <s v="Chevron Phillips Chemical Company LP"/>
    <x v="104"/>
    <x v="7"/>
    <x v="16"/>
    <n v="2025"/>
    <n v="1"/>
    <n v="0.12903225806451613"/>
    <n v="0"/>
    <m/>
  </r>
  <r>
    <x v="0"/>
    <s v="NA"/>
    <s v="U.S.A."/>
    <s v="INEOS Olefins &amp; Polymers"/>
    <x v="40"/>
    <x v="7"/>
    <x v="16"/>
    <n v="2025"/>
    <n v="1"/>
    <m/>
    <n v="0"/>
    <m/>
  </r>
  <r>
    <x v="0"/>
    <s v="NA"/>
    <s v="U.S.A."/>
    <s v="ONEOK Incorporated"/>
    <x v="24"/>
    <x v="10"/>
    <x v="16"/>
    <n v="2025"/>
    <n v="1"/>
    <m/>
    <n v="0"/>
    <m/>
  </r>
  <r>
    <x v="0"/>
    <s v="NA"/>
    <s v="U.S.A."/>
    <s v="Phillips 66"/>
    <x v="36"/>
    <x v="2"/>
    <x v="16"/>
    <n v="2025"/>
    <n v="1"/>
    <n v="0.12903225806451613"/>
    <n v="5.6559999999999997"/>
    <s v="Not seeing Apr CDU work in IIR any more"/>
  </r>
  <r>
    <x v="0"/>
    <s v="NA"/>
    <s v="U.S.A."/>
    <s v="Phillips 66"/>
    <x v="36"/>
    <x v="3"/>
    <x v="16"/>
    <n v="2025"/>
    <n v="1"/>
    <n v="0.12903225806451613"/>
    <n v="6.032"/>
    <s v="78 kbd FCC work from 4/1-5/4"/>
  </r>
  <r>
    <x v="0"/>
    <s v="NA"/>
    <s v="U.S.A."/>
    <s v="Valero Refining Company"/>
    <x v="50"/>
    <x v="5"/>
    <x v="16"/>
    <n v="2025"/>
    <n v="1"/>
    <m/>
    <n v="5.5E-2"/>
    <s v="11 kbd HDC down 4/1-5/1"/>
  </r>
  <r>
    <x v="0"/>
    <s v="NA"/>
    <s v="U.S.A."/>
    <s v="Valero Refining Company"/>
    <x v="2"/>
    <x v="10"/>
    <x v="16"/>
    <n v="2025"/>
    <n v="1"/>
    <m/>
    <n v="0"/>
    <m/>
  </r>
  <r>
    <x v="0"/>
    <s v="NA"/>
    <s v="U.S.A."/>
    <s v="Valero Refining Company"/>
    <x v="2"/>
    <x v="1"/>
    <x v="16"/>
    <n v="2025"/>
    <n v="1"/>
    <m/>
    <n v="0"/>
    <m/>
  </r>
  <r>
    <x v="0"/>
    <s v="NA"/>
    <s v="U.S.A."/>
    <s v="Valero Refining Company"/>
    <x v="2"/>
    <x v="5"/>
    <x v="16"/>
    <n v="2025"/>
    <n v="1"/>
    <n v="0.25806451612903225"/>
    <n v="0.77419354838709675"/>
    <s v="60 kbd HDC down 3/14-5/8"/>
  </r>
  <r>
    <x v="0"/>
    <s v="NA"/>
    <s v="U.S.A."/>
    <s v="Valero Refining Company"/>
    <x v="2"/>
    <x v="3"/>
    <x v="16"/>
    <n v="2025"/>
    <n v="1"/>
    <n v="0.25806451612903225"/>
    <n v="16.774193548387096"/>
    <s v="100 kbd FCC down 3/14-5/8"/>
  </r>
  <r>
    <x v="0"/>
    <s v="NA"/>
    <s v="U.S.A."/>
    <s v="Valero Refining Company"/>
    <x v="2"/>
    <x v="4"/>
    <x v="16"/>
    <n v="2025"/>
    <n v="1"/>
    <n v="0.25806451612903225"/>
    <n v="0"/>
    <s v="Alky down but 0ing since FCC is also down"/>
  </r>
  <r>
    <x v="4"/>
    <s v="NA"/>
    <s v="U.S.A."/>
    <s v="Silver Eagle Refining Incorporated"/>
    <x v="58"/>
    <x v="0"/>
    <x v="16"/>
    <n v="2025"/>
    <n v="1"/>
    <n v="0.38709677419354838"/>
    <n v="0.98709677419354824"/>
    <m/>
  </r>
  <r>
    <x v="4"/>
    <s v="NA"/>
    <s v="U.S.A."/>
    <s v="Silver Eagle Refining Incorporated"/>
    <x v="58"/>
    <x v="2"/>
    <x v="16"/>
    <n v="2025"/>
    <n v="1"/>
    <n v="0.38709677419354838"/>
    <n v="0.13161290322580646"/>
    <s v="3.4 kbd CDU down 4/29-5/12"/>
  </r>
  <r>
    <x v="4"/>
    <s v="NA"/>
    <s v="U.S.A."/>
    <s v="Calumet Great Falls"/>
    <x v="105"/>
    <x v="0"/>
    <x v="16"/>
    <n v="2025"/>
    <n v="1"/>
    <n v="0.41935483870967744"/>
    <n v="0.76500000000000001"/>
    <s v="1 kbd Reformer down 4/4-5/13"/>
  </r>
  <r>
    <x v="4"/>
    <s v="NA"/>
    <s v="U.S.A."/>
    <s v="Calumet Great Falls"/>
    <x v="105"/>
    <x v="5"/>
    <x v="16"/>
    <n v="2025"/>
    <n v="1"/>
    <n v="0.41935483870967744"/>
    <n v="0.3774193548387097"/>
    <s v="18 kbd HDC down 4/4-5/13"/>
  </r>
  <r>
    <x v="4"/>
    <s v="NA"/>
    <s v="U.S.A."/>
    <s v="Calumet Great Falls"/>
    <x v="105"/>
    <x v="2"/>
    <x v="16"/>
    <n v="2025"/>
    <n v="1"/>
    <n v="0.41935483870967744"/>
    <n v="1.0483870967741937"/>
    <s v="(10+15) 25 kbd CDUs down 4/4-5/13"/>
  </r>
  <r>
    <x v="4"/>
    <s v="NA"/>
    <s v="U.S.A."/>
    <s v="Calumet Great Falls"/>
    <x v="105"/>
    <x v="3"/>
    <x v="16"/>
    <n v="2025"/>
    <n v="1"/>
    <n v="0.41935483870967744"/>
    <n v="0.76322580645161286"/>
    <s v="2.8 kbd FCC down 4/4-5/13"/>
  </r>
  <r>
    <x v="4"/>
    <s v="NA"/>
    <s v="U.S.A."/>
    <s v="Calumet Great Falls"/>
    <x v="105"/>
    <x v="8"/>
    <x v="16"/>
    <n v="2025"/>
    <n v="1"/>
    <n v="0.41935483870967744"/>
    <n v="0"/>
    <m/>
  </r>
  <r>
    <x v="4"/>
    <s v="NA"/>
    <s v="U.S.A."/>
    <s v="Calumet Great Falls"/>
    <x v="105"/>
    <x v="10"/>
    <x v="16"/>
    <n v="2025"/>
    <n v="1"/>
    <n v="0.41935483870967744"/>
    <n v="0"/>
    <m/>
  </r>
  <r>
    <x v="4"/>
    <s v="NA"/>
    <s v="U.S.A."/>
    <s v="Calumet Great Falls"/>
    <x v="105"/>
    <x v="9"/>
    <x v="16"/>
    <n v="2025"/>
    <n v="1"/>
    <n v="0.41935483870967744"/>
    <n v="0"/>
    <m/>
  </r>
  <r>
    <x v="4"/>
    <s v="NA"/>
    <s v="U.S.A."/>
    <s v="Calumet Great Falls"/>
    <x v="105"/>
    <x v="1"/>
    <x v="16"/>
    <n v="2025"/>
    <n v="1"/>
    <n v="0.41935483870967744"/>
    <n v="0"/>
    <m/>
  </r>
  <r>
    <x v="4"/>
    <s v="NA"/>
    <s v="U.S.A."/>
    <s v="Calumet Great Falls"/>
    <x v="105"/>
    <x v="4"/>
    <x v="16"/>
    <n v="2025"/>
    <n v="1"/>
    <n v="0.41935483870967744"/>
    <n v="0"/>
    <s v="Zeroing alky out since the FCC is down"/>
  </r>
  <r>
    <x v="4"/>
    <s v="NA"/>
    <s v="U.S.A."/>
    <s v="Par Pacific Holdings Incorporated"/>
    <x v="67"/>
    <x v="3"/>
    <x v="16"/>
    <n v="2025"/>
    <n v="1"/>
    <n v="0.32258064516129031"/>
    <n v="4.403225806451613"/>
    <s v="21 kbd FCC down 4/1-5/10"/>
  </r>
  <r>
    <x v="4"/>
    <s v="NA"/>
    <s v="U.S.A."/>
    <s v="Par Pacific Holdings Incorporated"/>
    <x v="67"/>
    <x v="4"/>
    <x v="16"/>
    <n v="2025"/>
    <n v="1"/>
    <n v="0.32258064516129031"/>
    <n v="0"/>
    <s v="Zeroing alky out since the FCC is down"/>
  </r>
  <r>
    <x v="4"/>
    <s v="NA"/>
    <s v="U.S.A."/>
    <s v="Silver Eagle Refining Incorporated"/>
    <x v="58"/>
    <x v="9"/>
    <x v="16"/>
    <n v="2025"/>
    <n v="1"/>
    <n v="0.38709677419354838"/>
    <n v="0"/>
    <m/>
  </r>
  <r>
    <x v="4"/>
    <s v="NA"/>
    <s v="U.S.A."/>
    <s v="Silver Eagle Refining Incorporated"/>
    <x v="58"/>
    <x v="1"/>
    <x v="16"/>
    <n v="2025"/>
    <n v="1"/>
    <n v="0.38709677419354838"/>
    <n v="0"/>
    <m/>
  </r>
  <r>
    <x v="4"/>
    <s v="NA"/>
    <s v="U.S.A."/>
    <s v="HF Sinclair Corporation"/>
    <x v="51"/>
    <x v="0"/>
    <x v="16"/>
    <n v="2025"/>
    <n v="1"/>
    <n v="0.16129032258064516"/>
    <n v="1.096774193548387"/>
    <s v="8 kbd Reformer down 3/2-5/5"/>
  </r>
  <r>
    <x v="1"/>
    <s v="NA"/>
    <s v="U.S.A."/>
    <s v="Petro Star Incorporated"/>
    <x v="59"/>
    <x v="2"/>
    <x v="16"/>
    <n v="2025"/>
    <n v="1"/>
    <n v="0.32258064516129031"/>
    <n v="1.7741935483870968"/>
    <s v="22 kbd CDU unit down 5/9-5/18"/>
  </r>
  <r>
    <x v="1"/>
    <s v="NA"/>
    <s v="U.S.A."/>
    <s v="Par Hawaii Refining LLC"/>
    <x v="106"/>
    <x v="8"/>
    <x v="16"/>
    <n v="2025"/>
    <n v="1"/>
    <m/>
    <n v="0"/>
    <m/>
  </r>
  <r>
    <x v="1"/>
    <s v="NA"/>
    <s v="U.S.A."/>
    <s v="Par Hawaii Refining LLC"/>
    <x v="106"/>
    <x v="10"/>
    <x v="16"/>
    <n v="2025"/>
    <n v="1"/>
    <m/>
    <n v="0"/>
    <m/>
  </r>
  <r>
    <x v="1"/>
    <s v="NA"/>
    <s v="U.S.A."/>
    <s v="Par Hawaii Refining LLC"/>
    <x v="106"/>
    <x v="1"/>
    <x v="16"/>
    <n v="2025"/>
    <n v="1"/>
    <m/>
    <n v="0"/>
    <m/>
  </r>
  <r>
    <x v="1"/>
    <s v="NA"/>
    <s v="U.S.A."/>
    <s v="Par Hawaii Refining LLC"/>
    <x v="106"/>
    <x v="0"/>
    <x v="16"/>
    <n v="2025"/>
    <n v="1"/>
    <n v="1"/>
    <n v="11.049999999999999"/>
    <s v="13 kbd Reformer from 5/1-6/14"/>
  </r>
  <r>
    <x v="1"/>
    <s v="NA"/>
    <s v="U.S.A."/>
    <s v="Par Hawaii Refining LLC"/>
    <x v="106"/>
    <x v="5"/>
    <x v="16"/>
    <n v="2025"/>
    <n v="1"/>
    <n v="1"/>
    <n v="0.9"/>
    <s v="18 kbd HDC down 5/1-6/14"/>
  </r>
  <r>
    <x v="1"/>
    <s v="NA"/>
    <s v="U.S.A."/>
    <s v="Par Hawaii Refining LLC"/>
    <x v="106"/>
    <x v="2"/>
    <x v="16"/>
    <n v="2025"/>
    <n v="1"/>
    <n v="1"/>
    <n v="15.5"/>
    <s v="54 kbd CDU from 5/1-6/14, 11 kbd CDU from 5/1-6/14, 90 kbd CDUfrom 5/1-6/14"/>
  </r>
  <r>
    <x v="1"/>
    <s v="NA"/>
    <s v="U.S.A."/>
    <s v="Torrance Refining Company LLC"/>
    <x v="92"/>
    <x v="8"/>
    <x v="16"/>
    <n v="2025"/>
    <n v="1"/>
    <m/>
    <n v="0"/>
    <m/>
  </r>
  <r>
    <x v="1"/>
    <s v="NA"/>
    <s v="U.S.A."/>
    <s v="Torrance Refining Company LLC"/>
    <x v="92"/>
    <x v="2"/>
    <x v="16"/>
    <n v="2025"/>
    <n v="1"/>
    <n v="0.93548387096774188"/>
    <n v="36.25"/>
    <s v="155 kbd CDU down 5/2-6/10"/>
  </r>
  <r>
    <x v="1"/>
    <s v="NA"/>
    <s v="U.S.A."/>
    <s v="Petro Star Incorporated"/>
    <x v="55"/>
    <x v="2"/>
    <x v="16"/>
    <n v="2025"/>
    <n v="1"/>
    <n v="0.4838709677419355"/>
    <n v="7.258064516129032"/>
    <s v="60 kbd CDU down 5/2-5/16"/>
  </r>
  <r>
    <x v="2"/>
    <s v="NA"/>
    <s v="U.S.A."/>
    <s v="Ergon West Virginia Incorporated"/>
    <x v="94"/>
    <x v="8"/>
    <x v="17"/>
    <n v="2025"/>
    <n v="1"/>
    <n v="0.56666666666666665"/>
    <n v="0"/>
    <s v="last through June 17th"/>
  </r>
  <r>
    <x v="2"/>
    <s v="NA"/>
    <s v="U.S.A."/>
    <s v="Ergon West Virginia Incorporated"/>
    <x v="94"/>
    <x v="0"/>
    <x v="17"/>
    <n v="2025"/>
    <n v="1"/>
    <n v="0.56666666666666665"/>
    <n v="1.734"/>
    <m/>
  </r>
  <r>
    <x v="2"/>
    <s v="NA"/>
    <s v="U.S.A."/>
    <s v="Ergon West Virginia Incorporated"/>
    <x v="94"/>
    <x v="9"/>
    <x v="17"/>
    <n v="2025"/>
    <n v="1"/>
    <n v="0.56666666666666665"/>
    <n v="0"/>
    <m/>
  </r>
  <r>
    <x v="2"/>
    <s v="NA"/>
    <s v="U.S.A."/>
    <s v="Ergon West Virginia Incorporated"/>
    <x v="94"/>
    <x v="1"/>
    <x v="17"/>
    <n v="2025"/>
    <n v="1"/>
    <n v="0.56666666666666665"/>
    <n v="0"/>
    <m/>
  </r>
  <r>
    <x v="2"/>
    <s v="NA"/>
    <s v="U.S.A."/>
    <s v="Ergon West Virginia Incorporated"/>
    <x v="94"/>
    <x v="5"/>
    <x v="17"/>
    <n v="2025"/>
    <n v="1"/>
    <n v="0.56666666666666665"/>
    <n v="0.12183333333333334"/>
    <m/>
  </r>
  <r>
    <x v="2"/>
    <s v="NA"/>
    <s v="U.S.A."/>
    <s v="Ergon West Virginia Incorporated"/>
    <x v="94"/>
    <x v="2"/>
    <x v="17"/>
    <n v="2025"/>
    <n v="1"/>
    <n v="0.56666666666666665"/>
    <n v="1.3033333333333335"/>
    <m/>
  </r>
  <r>
    <x v="2"/>
    <s v="NA"/>
    <s v="U.S.A."/>
    <s v="The International Group Incorporated"/>
    <x v="61"/>
    <x v="8"/>
    <x v="17"/>
    <n v="2025"/>
    <n v="1"/>
    <m/>
    <n v="0"/>
    <m/>
  </r>
  <r>
    <x v="2"/>
    <s v="NA"/>
    <s v="U.S.A."/>
    <s v="Paulsboro Refining Company"/>
    <x v="16"/>
    <x v="8"/>
    <x v="17"/>
    <n v="2025"/>
    <n v="1"/>
    <n v="0.33333333333333331"/>
    <n v="0"/>
    <s v="Moved from Sep/oct to June"/>
  </r>
  <r>
    <x v="2"/>
    <s v="NA"/>
    <s v="U.S.A."/>
    <s v="Paulsboro Refining Company"/>
    <x v="16"/>
    <x v="2"/>
    <x v="17"/>
    <n v="2025"/>
    <n v="1"/>
    <n v="0.33333333333333331"/>
    <n v="9.1666666666666661"/>
    <m/>
  </r>
  <r>
    <x v="3"/>
    <s v="NA"/>
    <s v="U.S.A."/>
    <s v="Valero Refining Company"/>
    <x v="95"/>
    <x v="0"/>
    <x v="17"/>
    <n v="2025"/>
    <n v="1"/>
    <n v="0.5"/>
    <n v="12.75"/>
    <s v="30 kbd ref, down 3/31-5/1 updated to last through 6/15"/>
  </r>
  <r>
    <x v="3"/>
    <s v="NA"/>
    <s v="U.S.A."/>
    <s v="Valero Refining Company"/>
    <x v="95"/>
    <x v="5"/>
    <x v="17"/>
    <n v="2025"/>
    <n v="1"/>
    <n v="0.5"/>
    <n v="0.30000000000000004"/>
    <s v="12 kbd HDC down 3/31 - 5/1 now thru 6/15"/>
  </r>
  <r>
    <x v="3"/>
    <s v="NA"/>
    <s v="U.S.A."/>
    <s v="Valero Refining Company"/>
    <x v="95"/>
    <x v="2"/>
    <x v="17"/>
    <n v="2025"/>
    <n v="1"/>
    <n v="0.5"/>
    <n v="4.5750000000000002"/>
    <s v="91.5 kbd CDU off 3/31-5/1"/>
  </r>
  <r>
    <x v="3"/>
    <s v="NA"/>
    <s v="U.S.A."/>
    <s v="Valero Refining Company"/>
    <x v="95"/>
    <x v="3"/>
    <x v="17"/>
    <n v="2025"/>
    <n v="1"/>
    <n v="0.5"/>
    <n v="9.75"/>
    <s v="30 kbd Fcc down 3/31-5/1"/>
  </r>
  <r>
    <x v="3"/>
    <s v="NA"/>
    <s v="U.S.A."/>
    <s v="Cenovus Energy Incorporated"/>
    <x v="98"/>
    <x v="0"/>
    <x v="17"/>
    <n v="2025"/>
    <n v="1"/>
    <n v="0.5"/>
    <n v="17"/>
    <s v="40 kbd reformer down 3/12-5/1. extended through 6/15"/>
  </r>
  <r>
    <x v="3"/>
    <s v="NA"/>
    <s v="U.S.A."/>
    <s v="Cenovus Energy Incorporated"/>
    <x v="98"/>
    <x v="5"/>
    <x v="17"/>
    <n v="2025"/>
    <n v="1"/>
    <n v="0.5"/>
    <n v="0.875"/>
    <s v="35 kbd HDC down 3/12-5/1. extended through 6/15"/>
  </r>
  <r>
    <x v="0"/>
    <s v="NA"/>
    <s v="U.S.A."/>
    <s v="GCC"/>
    <x v="107"/>
    <x v="2"/>
    <x v="17"/>
    <n v="2025"/>
    <n v="1"/>
    <n v="0.66666666666666663"/>
    <n v="8.3333333333333321"/>
    <s v="CDU SD 6/2-6/22"/>
  </r>
  <r>
    <x v="0"/>
    <s v="NA"/>
    <s v="U.S.A."/>
    <s v="Hunt Refining Company"/>
    <x v="64"/>
    <x v="6"/>
    <x v="17"/>
    <n v="2025"/>
    <n v="1"/>
    <n v="1"/>
    <n v="9.6"/>
    <s v="32kbd coker 5/14-7/6"/>
  </r>
  <r>
    <x v="3"/>
    <s v="NA"/>
    <s v="U.S.A."/>
    <s v="Marathon Petroleum Corporation"/>
    <x v="108"/>
    <x v="0"/>
    <x v="18"/>
    <n v="2025"/>
    <n v="1"/>
    <n v="0.70967741935483875"/>
    <n v="11.461290322580645"/>
    <s v="19 kbd Reformer down 7/9-9/6/25"/>
  </r>
  <r>
    <x v="3"/>
    <s v="NA"/>
    <s v="U.S.A."/>
    <s v="Marathon Petroleum Corporation"/>
    <x v="108"/>
    <x v="2"/>
    <x v="18"/>
    <n v="2025"/>
    <n v="1"/>
    <n v="0.70967741935483875"/>
    <n v="6.5290322580645173"/>
    <s v="92 kbd CDU down 7/9-9/6/25"/>
  </r>
  <r>
    <x v="3"/>
    <s v="NA"/>
    <s v="U.S.A."/>
    <s v="Marathon Petroleum Corporation"/>
    <x v="108"/>
    <x v="3"/>
    <x v="18"/>
    <n v="2025"/>
    <n v="1"/>
    <n v="0.70967741935483875"/>
    <n v="11.993548387096777"/>
    <s v="26 kbd FCC down 7/9-9/6/25"/>
  </r>
  <r>
    <x v="3"/>
    <s v="NA"/>
    <s v="U.S.A."/>
    <s v="Marathon Petroleum Corporation"/>
    <x v="108"/>
    <x v="8"/>
    <x v="18"/>
    <n v="2025"/>
    <n v="1"/>
    <n v="0.70967741935483875"/>
    <n v="0"/>
    <m/>
  </r>
  <r>
    <x v="3"/>
    <s v="NA"/>
    <s v="U.S.A."/>
    <s v="Marathon Petroleum Corporation"/>
    <x v="108"/>
    <x v="10"/>
    <x v="18"/>
    <n v="2025"/>
    <n v="1"/>
    <n v="0.70967741935483875"/>
    <n v="0"/>
    <m/>
  </r>
  <r>
    <x v="3"/>
    <s v="NA"/>
    <s v="U.S.A."/>
    <s v="Marathon Petroleum Corporation"/>
    <x v="108"/>
    <x v="1"/>
    <x v="18"/>
    <n v="2025"/>
    <n v="1"/>
    <n v="0.70967741935483875"/>
    <n v="0"/>
    <m/>
  </r>
  <r>
    <x v="3"/>
    <s v="NA"/>
    <s v="U.S.A."/>
    <s v="Marathon Petroleum Corporation"/>
    <x v="108"/>
    <x v="4"/>
    <x v="18"/>
    <n v="2025"/>
    <n v="1"/>
    <n v="0.70967741935483875"/>
    <n v="0"/>
    <s v="FCC down as well so alky impact will be limited"/>
  </r>
  <r>
    <x v="3"/>
    <s v="NA"/>
    <s v="U.S.A."/>
    <s v="WRB Refining LP"/>
    <x v="97"/>
    <x v="2"/>
    <x v="18"/>
    <n v="2025"/>
    <n v="1"/>
    <n v="0.22580645161290322"/>
    <n v="6.209677419354839"/>
    <s v="110 kbd CDU down 7/18 and down for 1 week for planned work"/>
  </r>
  <r>
    <x v="0"/>
    <s v="NA"/>
    <s v="U.S.A."/>
    <s v="Hunt Refining Company"/>
    <x v="64"/>
    <x v="6"/>
    <x v="18"/>
    <n v="2025"/>
    <n v="1"/>
    <n v="0.19354838709677419"/>
    <n v="1.8580645161290321"/>
    <s v="32kbd coker 5/14-7/6"/>
  </r>
  <r>
    <x v="1"/>
    <s v="NA"/>
    <s v="U.S.A."/>
    <s v="Marathon Petroleum Corporation"/>
    <x v="101"/>
    <x v="0"/>
    <x v="18"/>
    <n v="2025"/>
    <n v="1"/>
    <n v="0.80645161290322576"/>
    <n v="13.709677419354838"/>
    <s v="20 kbd Reformer down 7/6 to 8/3"/>
  </r>
  <r>
    <x v="1"/>
    <s v="NA"/>
    <s v="U.S.A."/>
    <s v="Torrance Refining Company LLC"/>
    <x v="92"/>
    <x v="5"/>
    <x v="18"/>
    <n v="2025"/>
    <n v="1"/>
    <n v="0.64516129032258063"/>
    <n v="0.77419354838709686"/>
    <s v="24kbd HDC down 7/11-8/24/25"/>
  </r>
  <r>
    <x v="3"/>
    <s v="NA"/>
    <s v="U.S.A."/>
    <s v="Marathon Petroleum Corporation"/>
    <x v="108"/>
    <x v="0"/>
    <x v="19"/>
    <n v="2025"/>
    <n v="1"/>
    <n v="1"/>
    <n v="16.149999999999999"/>
    <s v="19 kbd Reformer down 7/11-9/8/25"/>
  </r>
  <r>
    <x v="3"/>
    <s v="NA"/>
    <s v="U.S.A."/>
    <s v="Marathon Petroleum Corporation"/>
    <x v="108"/>
    <x v="2"/>
    <x v="19"/>
    <n v="2025"/>
    <n v="1"/>
    <n v="1"/>
    <n v="9.2000000000000011"/>
    <s v="92 kbd CDU down 7/11-9/8/25"/>
  </r>
  <r>
    <x v="3"/>
    <s v="NA"/>
    <s v="U.S.A."/>
    <s v="Marathon Petroleum Corporation"/>
    <x v="108"/>
    <x v="3"/>
    <x v="19"/>
    <n v="2025"/>
    <n v="1"/>
    <n v="1"/>
    <n v="16.900000000000002"/>
    <s v="26 kbd FCC down 7/11-9/8/25"/>
  </r>
  <r>
    <x v="3"/>
    <s v="NA"/>
    <s v="U.S.A."/>
    <s v="Flint Hills Resources LLC"/>
    <x v="65"/>
    <x v="2"/>
    <x v="19"/>
    <n v="2025"/>
    <n v="1"/>
    <n v="0"/>
    <n v="0"/>
    <s v="165 kbd CDU offline 8/29-9/24. updated to 9/2-9/28"/>
  </r>
  <r>
    <x v="3"/>
    <s v="NA"/>
    <s v="U.S.A."/>
    <s v="Marathon Petroleum Corporation"/>
    <x v="108"/>
    <x v="8"/>
    <x v="19"/>
    <n v="2025"/>
    <n v="1"/>
    <n v="1"/>
    <n v="0"/>
    <m/>
  </r>
  <r>
    <x v="3"/>
    <s v="NA"/>
    <s v="U.S.A."/>
    <s v="Marathon Petroleum Corporation"/>
    <x v="108"/>
    <x v="10"/>
    <x v="19"/>
    <n v="2025"/>
    <n v="1"/>
    <n v="1"/>
    <n v="0"/>
    <m/>
  </r>
  <r>
    <x v="3"/>
    <s v="NA"/>
    <s v="U.S.A."/>
    <s v="Marathon Petroleum Corporation"/>
    <x v="108"/>
    <x v="1"/>
    <x v="19"/>
    <n v="2025"/>
    <n v="1"/>
    <n v="1"/>
    <n v="0"/>
    <m/>
  </r>
  <r>
    <x v="3"/>
    <s v="NA"/>
    <s v="U.S.A."/>
    <s v="Marathon Petroleum Corporation"/>
    <x v="108"/>
    <x v="4"/>
    <x v="19"/>
    <n v="2025"/>
    <n v="1"/>
    <n v="1"/>
    <n v="0"/>
    <s v="FCC down as well so alky impact will be limited"/>
  </r>
  <r>
    <x v="1"/>
    <s v="NA"/>
    <s v="U.S.A."/>
    <s v="Marathon Petroleum Corporation"/>
    <x v="101"/>
    <x v="0"/>
    <x v="19"/>
    <n v="2025"/>
    <n v="1"/>
    <n v="9.6774193548387094E-2"/>
    <n v="1.6451612903225807"/>
    <s v="20 kbd Reformer down 7/6 to 8/3"/>
  </r>
  <r>
    <x v="1"/>
    <s v="NA"/>
    <s v="U.S.A."/>
    <s v="Torrance Refining Company LLC"/>
    <x v="92"/>
    <x v="5"/>
    <x v="19"/>
    <n v="2025"/>
    <n v="1"/>
    <n v="0.77419354838709675"/>
    <n v="0.92903225806451628"/>
    <s v="24kbd HDC down 7/11-8/24/25"/>
  </r>
  <r>
    <x v="2"/>
    <s v="NA"/>
    <s v="U.S.A."/>
    <s v="American Refining Group Incorporated"/>
    <x v="93"/>
    <x v="2"/>
    <x v="20"/>
    <n v="2025"/>
    <n v="1"/>
    <m/>
    <n v="0.72000000000000008"/>
    <s v="9/12-10/16"/>
  </r>
  <r>
    <x v="2"/>
    <s v="NA"/>
    <s v="U.S.A."/>
    <s v="American Refining Group Incorporated"/>
    <x v="93"/>
    <x v="0"/>
    <x v="20"/>
    <n v="2025"/>
    <n v="1"/>
    <m/>
    <n v="1.1220000000000001"/>
    <s v="9/12-10/16"/>
  </r>
  <r>
    <x v="3"/>
    <s v="NA"/>
    <s v="U.S.A."/>
    <s v="Catlettsburg Refining LLC"/>
    <x v="109"/>
    <x v="0"/>
    <x v="20"/>
    <n v="2025"/>
    <n v="1"/>
    <n v="0.6"/>
    <n v="10.199999999999999"/>
    <s v="20 kbd Reformer down 9/12-10/26/25"/>
  </r>
  <r>
    <x v="3"/>
    <s v="NA"/>
    <s v="U.S.A."/>
    <s v="Catlettsburg Refining LLC"/>
    <x v="109"/>
    <x v="2"/>
    <x v="20"/>
    <n v="2025"/>
    <n v="1"/>
    <n v="0.6"/>
    <n v="5.7"/>
    <s v="95 kbd CDU down 9/12-10/26/25"/>
  </r>
  <r>
    <x v="3"/>
    <s v="NA"/>
    <s v="U.S.A."/>
    <s v="Cenovus Energy Incorporated"/>
    <x v="71"/>
    <x v="0"/>
    <x v="20"/>
    <n v="2025"/>
    <n v="1"/>
    <n v="0.36666666666666664"/>
    <n v="3.1166666666666663"/>
    <s v="40 kbd Reformer down 9/19-11/2.Removed, only FCC TA"/>
  </r>
  <r>
    <x v="3"/>
    <s v="NA"/>
    <s v="U.S.A."/>
    <s v="Cenovus Energy Incorporated"/>
    <x v="71"/>
    <x v="5"/>
    <x v="20"/>
    <n v="2025"/>
    <n v="1"/>
    <n v="0.36666666666666664"/>
    <n v="0.11916666666666666"/>
    <s v="26 kbd HDC down 9/19-11/2. Removed, only FCC TA"/>
  </r>
  <r>
    <x v="3"/>
    <s v="NA"/>
    <s v="U.S.A."/>
    <s v="Cenovus Energy Incorporated"/>
    <x v="71"/>
    <x v="6"/>
    <x v="20"/>
    <n v="2025"/>
    <n v="1"/>
    <n v="0"/>
    <n v="0"/>
    <s v="31 kbd Coker down 9/19-11/2. Removed, only FCC TA"/>
  </r>
  <r>
    <x v="3"/>
    <s v="NA"/>
    <s v="U.S.A."/>
    <s v="Cenovus Energy Incorporated"/>
    <x v="71"/>
    <x v="3"/>
    <x v="20"/>
    <n v="2025"/>
    <n v="1"/>
    <n v="0.36666666666666664"/>
    <n v="9.5333333333333332"/>
    <s v="40 kbd FCC down 9/19-11/2"/>
  </r>
  <r>
    <x v="3"/>
    <s v="NA"/>
    <s v="U.S.A."/>
    <s v="Cenovus Energy Incorporated"/>
    <x v="71"/>
    <x v="2"/>
    <x v="20"/>
    <n v="2025"/>
    <n v="1"/>
    <n v="0.36666666666666664"/>
    <n v="1.6958333333333333"/>
    <s v="185kbd CDU, just assuming rate cut"/>
  </r>
  <r>
    <x v="3"/>
    <s v="NA"/>
    <s v="U.S.A."/>
    <s v="Cenovus Energy Incorporated"/>
    <x v="71"/>
    <x v="1"/>
    <x v="20"/>
    <n v="2025"/>
    <n v="1"/>
    <n v="0"/>
    <n v="0"/>
    <m/>
  </r>
  <r>
    <x v="3"/>
    <s v="NA"/>
    <s v="U.S.A."/>
    <s v="ExxonMobil Corporation"/>
    <x v="48"/>
    <x v="12"/>
    <x v="20"/>
    <n v="2025"/>
    <n v="1"/>
    <n v="6.6666666666666666E-2"/>
    <n v="4.333333333333333"/>
    <s v="Recouple Expander"/>
  </r>
  <r>
    <x v="3"/>
    <s v="NA"/>
    <s v="U.S.A."/>
    <s v="Valero Refining Company"/>
    <x v="35"/>
    <x v="3"/>
    <x v="20"/>
    <n v="2025"/>
    <n v="1"/>
    <n v="1"/>
    <n v="42.25"/>
    <s v="9/1-10/05/25 FCC"/>
  </r>
  <r>
    <x v="3"/>
    <s v="NA"/>
    <s v="U.S.A."/>
    <s v="Flint Hills Resources LLC"/>
    <x v="65"/>
    <x v="2"/>
    <x v="20"/>
    <n v="2025"/>
    <n v="1"/>
    <n v="0.8666666666666667"/>
    <n v="35.75"/>
    <s v="165 kbd CDU offline 8/29-9/24. updated to 9/2-9/28"/>
  </r>
  <r>
    <x v="3"/>
    <s v="NA"/>
    <s v="U.S.A."/>
    <s v="Marathon Petroleum Corporation"/>
    <x v="108"/>
    <x v="0"/>
    <x v="20"/>
    <n v="2025"/>
    <n v="1"/>
    <n v="0.2"/>
    <n v="3.23"/>
    <s v="19 kbd Reformer down 7/9-9/6/25"/>
  </r>
  <r>
    <x v="3"/>
    <s v="NA"/>
    <s v="U.S.A."/>
    <s v="Marathon Petroleum Corporation"/>
    <x v="108"/>
    <x v="2"/>
    <x v="20"/>
    <n v="2025"/>
    <n v="1"/>
    <n v="0.2"/>
    <n v="1.8400000000000003"/>
    <s v="92 kbd CDU down 7/9-9/6/25"/>
  </r>
  <r>
    <x v="3"/>
    <s v="NA"/>
    <s v="U.S.A."/>
    <s v="Marathon Petroleum Corporation"/>
    <x v="108"/>
    <x v="3"/>
    <x v="20"/>
    <n v="2025"/>
    <n v="1"/>
    <n v="0.2"/>
    <n v="3.3800000000000008"/>
    <s v="26 kbd FCC down 7/9-9/6/25"/>
  </r>
  <r>
    <x v="3"/>
    <s v="NA"/>
    <s v="U.S.A."/>
    <s v="Catlettsburg Refining LLC"/>
    <x v="109"/>
    <x v="8"/>
    <x v="20"/>
    <n v="2025"/>
    <n v="1"/>
    <m/>
    <n v="0"/>
    <m/>
  </r>
  <r>
    <x v="3"/>
    <s v="NA"/>
    <s v="U.S.A."/>
    <s v="Marathon Petroleum Corporation"/>
    <x v="108"/>
    <x v="8"/>
    <x v="20"/>
    <n v="2025"/>
    <n v="1"/>
    <n v="0.2"/>
    <n v="0"/>
    <m/>
  </r>
  <r>
    <x v="3"/>
    <s v="NA"/>
    <s v="U.S.A."/>
    <s v="Marathon Petroleum Corporation"/>
    <x v="108"/>
    <x v="10"/>
    <x v="20"/>
    <n v="2025"/>
    <n v="1"/>
    <n v="0.2"/>
    <n v="0"/>
    <m/>
  </r>
  <r>
    <x v="3"/>
    <s v="NA"/>
    <s v="U.S.A."/>
    <s v="Marathon Petroleum Corporation"/>
    <x v="108"/>
    <x v="1"/>
    <x v="20"/>
    <n v="2025"/>
    <n v="1"/>
    <n v="0.2"/>
    <n v="0"/>
    <m/>
  </r>
  <r>
    <x v="3"/>
    <s v="NA"/>
    <s v="U.S.A."/>
    <s v="Marathon Petroleum Corporation"/>
    <x v="108"/>
    <x v="4"/>
    <x v="20"/>
    <n v="2025"/>
    <n v="1"/>
    <n v="0.2"/>
    <n v="0"/>
    <s v="FCC down as well so alky impact will be limited"/>
  </r>
  <r>
    <x v="3"/>
    <s v="NA"/>
    <s v="U.S.A."/>
    <s v="Marathon Petroleum Corporation"/>
    <x v="73"/>
    <x v="10"/>
    <x v="20"/>
    <n v="2025"/>
    <n v="1"/>
    <m/>
    <n v="0"/>
    <m/>
  </r>
  <r>
    <x v="3"/>
    <s v="NA"/>
    <s v="U.S.A."/>
    <s v="WRB Refining LP"/>
    <x v="97"/>
    <x v="6"/>
    <x v="20"/>
    <n v="2025"/>
    <n v="1"/>
    <n v="1"/>
    <n v="6.5"/>
    <s v="65 kbd Coker down 9/1-10/15"/>
  </r>
  <r>
    <x v="3"/>
    <s v="NA"/>
    <s v="U.S.A."/>
    <s v="WRB Refining LP"/>
    <x v="97"/>
    <x v="2"/>
    <x v="20"/>
    <n v="2025"/>
    <n v="1"/>
    <n v="1"/>
    <n v="18.75"/>
    <s v="75 kbd CDU down 9/1-10/15"/>
  </r>
  <r>
    <x v="3"/>
    <s v="NA"/>
    <s v="U.S.A."/>
    <s v="WRB Refining LP"/>
    <x v="97"/>
    <x v="3"/>
    <x v="20"/>
    <n v="2025"/>
    <n v="1"/>
    <n v="1"/>
    <n v="31.200000000000003"/>
    <s v="48 kbd FCC down 9/1-10/15"/>
  </r>
  <r>
    <x v="0"/>
    <s v="NA"/>
    <s v="U.S.A."/>
    <s v="Valero Refining Company"/>
    <x v="110"/>
    <x v="1"/>
    <x v="20"/>
    <n v="2025"/>
    <n v="1"/>
    <n v="0.13333333333333333"/>
    <n v="0.38"/>
    <s v="HDc TA 9/26-11/9"/>
  </r>
  <r>
    <x v="0"/>
    <s v="NA"/>
    <s v="U.S.A."/>
    <s v="Allegiance Refining"/>
    <x v="100"/>
    <x v="2"/>
    <x v="20"/>
    <n v="2025"/>
    <n v="1"/>
    <n v="0.26666666666666666"/>
    <n v="0.53333333333333333"/>
    <s v="20kbd CDU 9/15-9/22"/>
  </r>
  <r>
    <x v="0"/>
    <s v="NA"/>
    <s v="U.S.A."/>
    <s v="Allegiance Refining"/>
    <x v="100"/>
    <x v="0"/>
    <x v="20"/>
    <n v="2025"/>
    <n v="1"/>
    <n v="0.26666666666666666"/>
    <n v="0.27200000000000002"/>
    <s v="1.2 kbd Ref  9/15/22"/>
  </r>
  <r>
    <x v="0"/>
    <s v="NA"/>
    <s v="U.S.A."/>
    <s v="WRB Refining LP"/>
    <x v="25"/>
    <x v="3"/>
    <x v="20"/>
    <n v="2025"/>
    <n v="1"/>
    <n v="0.33333333333333331"/>
    <n v="6.5"/>
    <s v="30kbf FCC 9/20-10/28"/>
  </r>
  <r>
    <x v="0"/>
    <s v="NA"/>
    <s v="U.S.A."/>
    <s v="CITGO Petroleum Corporation"/>
    <x v="88"/>
    <x v="2"/>
    <x v="20"/>
    <n v="2025"/>
    <n v="1"/>
    <n v="0.26666666666666666"/>
    <n v="4.4000000000000004"/>
    <s v="165 kbd CDU down 9/29-10/29. changed 9/22-11/15"/>
  </r>
  <r>
    <x v="0"/>
    <s v="NA"/>
    <s v="U.S.A."/>
    <s v="CITGO Petroleum Corporation"/>
    <x v="88"/>
    <x v="0"/>
    <x v="20"/>
    <n v="2025"/>
    <n v="1"/>
    <n v="0.26666666666666666"/>
    <n v="4.5333333333333332"/>
    <s v="20kbd Refdown 9/29-10/29.  changed 9/22-11/15"/>
  </r>
  <r>
    <x v="0"/>
    <s v="NA"/>
    <s v="U.S.A."/>
    <s v="CITGO Petroleum Corporation"/>
    <x v="88"/>
    <x v="6"/>
    <x v="20"/>
    <n v="2025"/>
    <n v="1"/>
    <n v="0.26666666666666666"/>
    <n v="1.2000000000000002"/>
    <s v="45kbd Coker down 9/29-10/29. changed 9/22-11/15"/>
  </r>
  <r>
    <x v="0"/>
    <s v="NA"/>
    <s v="U.S.A."/>
    <s v="Phillips 66"/>
    <x v="79"/>
    <x v="2"/>
    <x v="20"/>
    <n v="2025"/>
    <n v="1"/>
    <n v="1"/>
    <n v="20"/>
    <s v="80 kbd Crude down 9/1-10/05"/>
  </r>
  <r>
    <x v="0"/>
    <s v="NA"/>
    <s v="U.S.A."/>
    <s v="Shell Oil Products US"/>
    <x v="78"/>
    <x v="1"/>
    <x v="20"/>
    <n v="2025"/>
    <n v="1"/>
    <m/>
    <n v="0"/>
    <m/>
  </r>
  <r>
    <x v="0"/>
    <s v="NA"/>
    <s v="U.S.A."/>
    <s v="Shell Oil Products US"/>
    <x v="78"/>
    <x v="3"/>
    <x v="20"/>
    <n v="2025"/>
    <n v="1"/>
    <n v="0.73333333333333328"/>
    <n v="53.386666666666663"/>
    <s v="112 kbd FCC down from 9/8-10/27"/>
  </r>
  <r>
    <x v="0"/>
    <s v="NA"/>
    <s v="U.S.A."/>
    <s v="Shell Oil Products US"/>
    <x v="78"/>
    <x v="4"/>
    <x v="20"/>
    <n v="2025"/>
    <n v="1"/>
    <m/>
    <n v="0"/>
    <s v="0 kbd due to FCC due down at same time"/>
  </r>
  <r>
    <x v="0"/>
    <s v="NA"/>
    <s v="U.S.A."/>
    <s v="TotalEnergies Petrochemicals &amp; Refining USA Incorporated"/>
    <x v="111"/>
    <x v="0"/>
    <x v="20"/>
    <n v="2025"/>
    <n v="1"/>
    <n v="0.83333333333333337"/>
    <n v="24.791666666666668"/>
    <s v="35 kbd Reformer down 9/5-11/3, precious 8/1-9/29"/>
  </r>
  <r>
    <x v="0"/>
    <s v="NA"/>
    <s v="U.S.A."/>
    <s v="TotalEnergies Petrochemicals &amp; Refining USA Incorporated"/>
    <x v="111"/>
    <x v="10"/>
    <x v="20"/>
    <n v="2025"/>
    <n v="1"/>
    <n v="0.83333333333333337"/>
    <n v="0"/>
    <m/>
  </r>
  <r>
    <x v="0"/>
    <s v="NA"/>
    <s v="U.S.A."/>
    <s v="TotalEnergies Petrochemicals &amp; Refining USA Incorporated"/>
    <x v="111"/>
    <x v="1"/>
    <x v="20"/>
    <n v="2025"/>
    <n v="1"/>
    <n v="0.83333333333333337"/>
    <n v="0"/>
    <m/>
  </r>
  <r>
    <x v="0"/>
    <s v="NA"/>
    <s v="U.S.A."/>
    <s v="TotalEnergies Petrochemicals &amp; Refining USA Incorporated"/>
    <x v="111"/>
    <x v="2"/>
    <x v="20"/>
    <n v="2025"/>
    <n v="1"/>
    <n v="0.83333333333333337"/>
    <n v="12.500000000000002"/>
    <s v="150 kbd CDU down 9/5-11/3, precious 8/1-9/29"/>
  </r>
  <r>
    <x v="0"/>
    <s v="NA"/>
    <s v="U.S.A."/>
    <s v="TotalEnergies Petrochemicals &amp; Refining USA Incorporated"/>
    <x v="111"/>
    <x v="4"/>
    <x v="20"/>
    <n v="2025"/>
    <n v="1"/>
    <n v="0.83333333333333337"/>
    <n v="3.9583333333333335"/>
    <s v="5 kbd Alky down until 9/5-11/3, precious 8/1-9/29"/>
  </r>
  <r>
    <x v="0"/>
    <s v="NA"/>
    <s v="U.S.A."/>
    <s v="Ergon Refining Incorporated"/>
    <x v="112"/>
    <x v="8"/>
    <x v="20"/>
    <n v="2025"/>
    <n v="1"/>
    <m/>
    <n v="0"/>
    <m/>
  </r>
  <r>
    <x v="0"/>
    <s v="NA"/>
    <s v="U.S.A."/>
    <s v="Ergon Refining Incorporated"/>
    <x v="112"/>
    <x v="10"/>
    <x v="20"/>
    <n v="2025"/>
    <n v="1"/>
    <m/>
    <n v="0"/>
    <m/>
  </r>
  <r>
    <x v="0"/>
    <s v="NA"/>
    <s v="U.S.A."/>
    <s v="Ergon Refining Incorporated"/>
    <x v="112"/>
    <x v="1"/>
    <x v="20"/>
    <n v="2025"/>
    <n v="1"/>
    <m/>
    <n v="0"/>
    <m/>
  </r>
  <r>
    <x v="0"/>
    <s v="NA"/>
    <s v="U.S.A."/>
    <s v="Ergon Refining Incorporated"/>
    <x v="112"/>
    <x v="2"/>
    <x v="20"/>
    <n v="2025"/>
    <n v="1"/>
    <n v="1"/>
    <n v="6.25"/>
    <s v="25 kbd crude unit down 9/1-10/5"/>
  </r>
  <r>
    <x v="0"/>
    <s v="NA"/>
    <s v="U.S.A."/>
    <s v="Deer Park Refining LP"/>
    <x v="22"/>
    <x v="0"/>
    <x v="20"/>
    <n v="2025"/>
    <n v="1"/>
    <n v="0.5"/>
    <n v="32.299999999999997"/>
    <s v="76 kbd Reformer down 10/3-11/6. Moved to 9/15-10/15"/>
  </r>
  <r>
    <x v="0"/>
    <s v="NA"/>
    <s v="U.S.A."/>
    <s v="Deer Park Refining LP"/>
    <x v="22"/>
    <x v="6"/>
    <x v="20"/>
    <n v="2025"/>
    <n v="1"/>
    <n v="0.5"/>
    <n v="4.6000000000000005"/>
    <s v="92 kbd Coker down 10/3-11/6. Moved to 9/15-10/15"/>
  </r>
  <r>
    <x v="0"/>
    <s v="NA"/>
    <s v="U.S.A."/>
    <s v="Deer Park Refining LP"/>
    <x v="22"/>
    <x v="3"/>
    <x v="20"/>
    <n v="2025"/>
    <n v="1"/>
    <n v="0.5"/>
    <n v="6.5"/>
    <s v="20kbd FCC derate. Moved to 9/15-10/15"/>
  </r>
  <r>
    <x v="0"/>
    <s v="NA"/>
    <s v="U.S.A."/>
    <s v="Deer Park Refining LP"/>
    <x v="22"/>
    <x v="2"/>
    <x v="20"/>
    <n v="2025"/>
    <n v="1"/>
    <n v="0.5"/>
    <n v="13.5"/>
    <s v="270 kbd CDU down 10/3-11/6. Moved to 9/15-10/15"/>
  </r>
  <r>
    <x v="4"/>
    <s v="NA"/>
    <s v="U.S.A."/>
    <s v="Calumet Great Falls"/>
    <x v="105"/>
    <x v="2"/>
    <x v="20"/>
    <n v="2025"/>
    <n v="1"/>
    <n v="0.83333333333333337"/>
    <n v="2.0833333333333335"/>
    <s v="25kbd cdu 9/5-10/13"/>
  </r>
  <r>
    <x v="4"/>
    <s v="NA"/>
    <s v="U.S.A."/>
    <s v="Calumet Great Falls"/>
    <x v="105"/>
    <x v="3"/>
    <x v="20"/>
    <n v="2025"/>
    <n v="1"/>
    <n v="0.83333333333333337"/>
    <n v="1.5166666666666666"/>
    <s v="2.8 kbd fcc 9/5-10/13"/>
  </r>
  <r>
    <x v="4"/>
    <s v="NA"/>
    <s v="U.S.A."/>
    <s v="Calumet Great Falls"/>
    <x v="105"/>
    <x v="5"/>
    <x v="20"/>
    <n v="2025"/>
    <n v="1"/>
    <n v="0.83333333333333337"/>
    <n v="0.75"/>
    <s v="18kbd Ref 9/5-10/13"/>
  </r>
  <r>
    <x v="4"/>
    <s v="NA"/>
    <s v="U.S.A."/>
    <s v="Calumet Great Falls"/>
    <x v="105"/>
    <x v="0"/>
    <x v="20"/>
    <n v="2025"/>
    <n v="1"/>
    <n v="0.83333333333333337"/>
    <n v="0.70833333333333337"/>
    <s v="1kbd Ref 9/5-10/13"/>
  </r>
  <r>
    <x v="1"/>
    <s v="NA"/>
    <s v="U.S.A."/>
    <s v="Phillips 66"/>
    <x v="113"/>
    <x v="8"/>
    <x v="20"/>
    <n v="2025"/>
    <n v="1"/>
    <m/>
    <n v="0"/>
    <s v="Permanent shutdown of CDU (147), VDU (82), Coker (53)"/>
  </r>
  <r>
    <x v="1"/>
    <s v="NA"/>
    <s v="U.S.A."/>
    <s v="Phillips 66"/>
    <x v="113"/>
    <x v="2"/>
    <x v="20"/>
    <n v="2025"/>
    <n v="1"/>
    <m/>
    <n v="7.3500000000000005"/>
    <s v="Permanent shutdown of CDU (147), VDU (82), Coker (53)"/>
  </r>
  <r>
    <x v="1"/>
    <s v="NA"/>
    <s v="U.S.A."/>
    <s v="Phillips 66"/>
    <x v="113"/>
    <x v="6"/>
    <x v="20"/>
    <n v="2025"/>
    <n v="1"/>
    <m/>
    <n v="2.6500000000000004"/>
    <s v="Permanent shutdown of CDU (147), VDU (82), Coker (53)"/>
  </r>
  <r>
    <x v="1"/>
    <s v="NA"/>
    <s v="U.S.A."/>
    <s v="Phillips 66"/>
    <x v="30"/>
    <x v="3"/>
    <x v="20"/>
    <n v="2024"/>
    <n v="1"/>
    <m/>
    <n v="16.25"/>
    <s v="Permanent shutdown of FCC (50), Ref (36), HDC (28), Alky (15)"/>
  </r>
  <r>
    <x v="1"/>
    <s v="NA"/>
    <s v="U.S.A."/>
    <s v="Phillips 66"/>
    <x v="30"/>
    <x v="0"/>
    <x v="20"/>
    <n v="2024"/>
    <n v="1"/>
    <m/>
    <n v="15.299999999999999"/>
    <s v="Permanent shutdown of FCC (50), Ref (36), HDC (28), Alky (15)"/>
  </r>
  <r>
    <x v="1"/>
    <s v="NA"/>
    <s v="U.S.A."/>
    <s v="Phillips 66"/>
    <x v="30"/>
    <x v="5"/>
    <x v="20"/>
    <n v="2024"/>
    <n v="1"/>
    <m/>
    <n v="0.70000000000000007"/>
    <s v="Permanent shutdown of FCC (50), Ref (36), HDC (28), Alky (15)"/>
  </r>
  <r>
    <x v="1"/>
    <s v="NA"/>
    <s v="U.S.A."/>
    <s v="Foreland Refining Corporation"/>
    <x v="114"/>
    <x v="2"/>
    <x v="20"/>
    <n v="2025"/>
    <n v="1"/>
    <n v="0.6333333333333333"/>
    <n v="0.79166666666666663"/>
    <s v="5 kbd CDU down 9/12-10/11"/>
  </r>
  <r>
    <x v="1"/>
    <s v="NA"/>
    <s v="U.S.A."/>
    <s v="Marathon Petroleum Corporation"/>
    <x v="101"/>
    <x v="3"/>
    <x v="20"/>
    <n v="2025"/>
    <n v="1"/>
    <n v="0.2"/>
    <n v="13.520000000000001"/>
    <s v="104 kbd FCC down 10/5-11/2. Moved to 9/20-10/19/25. Moved again to 9/24-11/24"/>
  </r>
  <r>
    <x v="1"/>
    <s v="NA"/>
    <s v="U.S.A."/>
    <s v="Marathon Petroleum Corporation"/>
    <x v="101"/>
    <x v="1"/>
    <x v="20"/>
    <n v="2025"/>
    <n v="1"/>
    <m/>
    <n v="0"/>
    <m/>
  </r>
  <r>
    <x v="1"/>
    <s v="NA"/>
    <s v="U.S.A."/>
    <s v="Marathon Petroleum Corporation"/>
    <x v="101"/>
    <x v="4"/>
    <x v="20"/>
    <n v="2025"/>
    <n v="1"/>
    <m/>
    <n v="0"/>
    <s v="Zeroing out Alky since FCC is OOS as well"/>
  </r>
  <r>
    <x v="1"/>
    <s v="NA"/>
    <s v="U.S.A."/>
    <s v="Phillips 66"/>
    <x v="30"/>
    <x v="4"/>
    <x v="20"/>
    <n v="2024"/>
    <n v="1"/>
    <m/>
    <n v="0"/>
    <s v="Permanent shutdown of FCC (50), Ref (36), HDC (28), Alky (15)"/>
  </r>
  <r>
    <x v="1"/>
    <s v="NA"/>
    <s v="U.S.A."/>
    <s v="HF Sinclair Corporation"/>
    <x v="43"/>
    <x v="0"/>
    <x v="20"/>
    <n v="2025"/>
    <n v="1"/>
    <n v="0.83333333333333337"/>
    <n v="12.041666666666668"/>
    <s v="17 kbd Reformer down 9/5-10/14"/>
  </r>
  <r>
    <x v="1"/>
    <s v="NA"/>
    <s v="U.S.A."/>
    <s v="HF Sinclair Corporation"/>
    <x v="43"/>
    <x v="6"/>
    <x v="20"/>
    <n v="2025"/>
    <n v="1"/>
    <n v="0.83333333333333337"/>
    <n v="2.0000000000000004"/>
    <s v="24 kbd Coker down 9/5-10/14"/>
  </r>
  <r>
    <x v="1"/>
    <s v="NA"/>
    <s v="U.S.A."/>
    <s v="HF Sinclair Corporation"/>
    <x v="43"/>
    <x v="2"/>
    <x v="20"/>
    <n v="2025"/>
    <n v="1"/>
    <n v="0.83333333333333337"/>
    <n v="12"/>
    <s v="144 kbd CDU down 9/5-10/14"/>
  </r>
  <r>
    <x v="1"/>
    <s v="NA"/>
    <s v="U.S.A."/>
    <s v="HF Sinclair Corporation"/>
    <x v="43"/>
    <x v="8"/>
    <x v="20"/>
    <n v="2025"/>
    <n v="1"/>
    <n v="0.83333333333333337"/>
    <n v="0"/>
    <m/>
  </r>
  <r>
    <x v="1"/>
    <s v="NA"/>
    <s v="U.S.A."/>
    <s v="HF Sinclair Corporation"/>
    <x v="43"/>
    <x v="9"/>
    <x v="20"/>
    <n v="2025"/>
    <n v="1"/>
    <n v="0.83333333333333337"/>
    <n v="0"/>
    <m/>
  </r>
  <r>
    <x v="1"/>
    <s v="NA"/>
    <s v="U.S.A."/>
    <s v="HF Sinclair Corporation"/>
    <x v="43"/>
    <x v="1"/>
    <x v="20"/>
    <n v="2025"/>
    <n v="1"/>
    <n v="0.83333333333333337"/>
    <n v="0"/>
    <m/>
  </r>
  <r>
    <x v="2"/>
    <s v="NA"/>
    <s v="U.S.A."/>
    <s v="American Refining Group Incorporated"/>
    <x v="93"/>
    <x v="2"/>
    <x v="21"/>
    <n v="2025"/>
    <n v="1"/>
    <m/>
    <n v="0.61935483870967745"/>
    <s v="9/12-10/16"/>
  </r>
  <r>
    <x v="2"/>
    <s v="NA"/>
    <s v="U.S.A."/>
    <s v="American Refining Group Incorporated"/>
    <x v="93"/>
    <x v="0"/>
    <x v="21"/>
    <n v="2025"/>
    <n v="1"/>
    <m/>
    <n v="0.96516129032258069"/>
    <s v="9/12-10/16"/>
  </r>
  <r>
    <x v="3"/>
    <s v="NA"/>
    <s v="U.S.A."/>
    <s v="Catlettsburg Refining LLC"/>
    <x v="109"/>
    <x v="0"/>
    <x v="21"/>
    <n v="2025"/>
    <n v="1"/>
    <n v="0.83870967741935487"/>
    <n v="14.258064516129032"/>
    <s v="20 kbd Reformer down 9/12-10/26/25"/>
  </r>
  <r>
    <x v="3"/>
    <s v="NA"/>
    <s v="U.S.A."/>
    <s v="Catlettsburg Refining LLC"/>
    <x v="109"/>
    <x v="2"/>
    <x v="21"/>
    <n v="2025"/>
    <n v="1"/>
    <n v="0.83870967741935487"/>
    <n v="7.9677419354838719"/>
    <s v="95 kbd CDU down 9/12-10/26/25"/>
  </r>
  <r>
    <x v="3"/>
    <s v="NA"/>
    <s v="U.S.A."/>
    <s v="Cenovus Energy Incorporated"/>
    <x v="71"/>
    <x v="0"/>
    <x v="21"/>
    <n v="2025"/>
    <n v="1"/>
    <n v="1"/>
    <n v="8.5"/>
    <s v="40 kbd Reformer down 9/19-11/2"/>
  </r>
  <r>
    <x v="3"/>
    <s v="NA"/>
    <s v="U.S.A."/>
    <s v="Cenovus Energy Incorporated"/>
    <x v="71"/>
    <x v="1"/>
    <x v="21"/>
    <n v="2025"/>
    <n v="1"/>
    <n v="1"/>
    <m/>
    <m/>
  </r>
  <r>
    <x v="3"/>
    <s v="NA"/>
    <s v="U.S.A."/>
    <s v="Cenovus Energy Incorporated"/>
    <x v="71"/>
    <x v="5"/>
    <x v="21"/>
    <n v="2025"/>
    <n v="1"/>
    <n v="0"/>
    <n v="0"/>
    <s v="26 kbd HDC down 9/19-11/2. Removed, only FCC TA"/>
  </r>
  <r>
    <x v="3"/>
    <s v="NA"/>
    <s v="U.S.A."/>
    <s v="ExxonMobil Corporation"/>
    <x v="48"/>
    <x v="12"/>
    <x v="21"/>
    <n v="2025"/>
    <n v="1"/>
    <n v="0.16129032258064516"/>
    <n v="10.483870967741936"/>
    <s v="Recouple Expander"/>
  </r>
  <r>
    <x v="3"/>
    <s v="NA"/>
    <s v="U.S.A."/>
    <s v="Valero Refining Company"/>
    <x v="35"/>
    <x v="3"/>
    <x v="21"/>
    <n v="2025"/>
    <n v="1"/>
    <n v="0.16129032258064516"/>
    <n v="6.814516129032258"/>
    <s v="9/1-10/05/25 FCC"/>
  </r>
  <r>
    <x v="3"/>
    <s v="NA"/>
    <s v="U.S.A."/>
    <s v="Cenovus Energy Incorporated"/>
    <x v="71"/>
    <x v="6"/>
    <x v="21"/>
    <n v="2025"/>
    <n v="1"/>
    <n v="0"/>
    <n v="0"/>
    <s v="31 kbd Coker down 9/19-11/2. Removed, only FCC TA"/>
  </r>
  <r>
    <x v="3"/>
    <s v="NA"/>
    <s v="U.S.A."/>
    <s v="Cenovus Energy Incorporated"/>
    <x v="71"/>
    <x v="3"/>
    <x v="21"/>
    <n v="2025"/>
    <n v="1"/>
    <n v="1"/>
    <n v="26"/>
    <s v="40 kbd FCC down 9/19-11/2"/>
  </r>
  <r>
    <x v="3"/>
    <s v="NA"/>
    <s v="U.S.A."/>
    <s v="Catlettsburg Refining LLC"/>
    <x v="109"/>
    <x v="8"/>
    <x v="21"/>
    <n v="2025"/>
    <n v="1"/>
    <n v="0.83870967741935487"/>
    <n v="0"/>
    <m/>
  </r>
  <r>
    <x v="3"/>
    <s v="NA"/>
    <s v="U.S.A."/>
    <s v="Cenovus Energy Incorporated"/>
    <x v="71"/>
    <x v="2"/>
    <x v="21"/>
    <n v="2025"/>
    <n v="1"/>
    <n v="1"/>
    <n v="4.625"/>
    <s v="65 kbd FCC down 9/5-11/3/25. Pushed to 2026"/>
  </r>
  <r>
    <x v="3"/>
    <s v="NA"/>
    <s v="U.S.A."/>
    <s v="Marathon Petroleum Corporation"/>
    <x v="73"/>
    <x v="10"/>
    <x v="21"/>
    <n v="2025"/>
    <n v="1"/>
    <m/>
    <n v="0"/>
    <m/>
  </r>
  <r>
    <x v="3"/>
    <s v="NA"/>
    <s v="U.S.A."/>
    <s v="WRB Refining LP"/>
    <x v="97"/>
    <x v="6"/>
    <x v="21"/>
    <n v="2025"/>
    <n v="1"/>
    <n v="0.4838709677419355"/>
    <n v="3.145161290322581"/>
    <s v="65 kbd Coker down 9/1-10/15"/>
  </r>
  <r>
    <x v="3"/>
    <s v="NA"/>
    <s v="U.S.A."/>
    <s v="WRB Refining LP"/>
    <x v="97"/>
    <x v="2"/>
    <x v="21"/>
    <n v="2025"/>
    <n v="1"/>
    <n v="0.4838709677419355"/>
    <n v="9.07258064516129"/>
    <s v="75 kbd CDU down 9/1-10/15"/>
  </r>
  <r>
    <x v="3"/>
    <s v="NA"/>
    <s v="U.S.A."/>
    <s v="WRB Refining LP"/>
    <x v="97"/>
    <x v="3"/>
    <x v="21"/>
    <n v="2025"/>
    <n v="1"/>
    <n v="0.4838709677419355"/>
    <n v="15.09677419354839"/>
    <s v="48 kbd FCC down 9/1-10/15"/>
  </r>
  <r>
    <x v="0"/>
    <s v="NA"/>
    <s v="U.S.A."/>
    <s v="Valero Refining Company"/>
    <x v="110"/>
    <x v="1"/>
    <x v="21"/>
    <n v="2025"/>
    <n v="1"/>
    <n v="1"/>
    <n v="2.85"/>
    <s v="HDc TA 9/26-11/9"/>
  </r>
  <r>
    <x v="0"/>
    <s v="NA"/>
    <s v="U.S.A."/>
    <s v="TotalEnergies Petrochemicals &amp; Refining USA Incorporated"/>
    <x v="111"/>
    <x v="0"/>
    <x v="21"/>
    <n v="2025"/>
    <n v="1"/>
    <n v="1"/>
    <n v="29.75"/>
    <s v="35 kbd Reformer down 9/5-11/3, precious 8/1-9/29"/>
  </r>
  <r>
    <x v="0"/>
    <s v="NA"/>
    <s v="U.S.A."/>
    <s v="TotalEnergies Petrochemicals &amp; Refining USA Incorporated"/>
    <x v="111"/>
    <x v="10"/>
    <x v="21"/>
    <n v="2025"/>
    <n v="1"/>
    <n v="1"/>
    <n v="0"/>
    <m/>
  </r>
  <r>
    <x v="0"/>
    <s v="NA"/>
    <s v="U.S.A."/>
    <s v="TotalEnergies Petrochemicals &amp; Refining USA Incorporated"/>
    <x v="111"/>
    <x v="1"/>
    <x v="21"/>
    <n v="2025"/>
    <n v="1"/>
    <n v="1"/>
    <n v="0"/>
    <m/>
  </r>
  <r>
    <x v="0"/>
    <s v="NA"/>
    <s v="U.S.A."/>
    <s v="TotalEnergies Petrochemicals &amp; Refining USA Incorporated"/>
    <x v="111"/>
    <x v="2"/>
    <x v="21"/>
    <n v="2025"/>
    <n v="1"/>
    <n v="1"/>
    <n v="15"/>
    <s v="150 kbd CDU down 9/5-11/3, precious 8/1-9/29"/>
  </r>
  <r>
    <x v="0"/>
    <s v="NA"/>
    <s v="U.S.A."/>
    <s v="TotalEnergies Petrochemicals &amp; Refining USA Incorporated"/>
    <x v="111"/>
    <x v="4"/>
    <x v="21"/>
    <n v="2025"/>
    <n v="1"/>
    <n v="1"/>
    <n v="4.75"/>
    <s v="5 kbd Alky down until 9/5-11/3, precious 8/1-9/29"/>
  </r>
  <r>
    <x v="0"/>
    <s v="NA"/>
    <s v="U.S.A."/>
    <s v="WRB Refining LP"/>
    <x v="25"/>
    <x v="3"/>
    <x v="21"/>
    <n v="2025"/>
    <n v="1"/>
    <n v="0.90322580645161288"/>
    <n v="17.612903225806452"/>
    <s v="30kbf FCC 9/20-10/28"/>
  </r>
  <r>
    <x v="0"/>
    <s v="NA"/>
    <s v="U.S.A."/>
    <s v="CITGO Petroleum Corporation"/>
    <x v="88"/>
    <x v="2"/>
    <x v="21"/>
    <n v="2025"/>
    <n v="1"/>
    <n v="1"/>
    <n v="16.5"/>
    <s v="165 kbd CDU down 9/29-10/29. changed 9/22-11/15"/>
  </r>
  <r>
    <x v="0"/>
    <s v="NA"/>
    <s v="U.S.A."/>
    <s v="CITGO Petroleum Corporation"/>
    <x v="88"/>
    <x v="0"/>
    <x v="21"/>
    <n v="2025"/>
    <n v="1"/>
    <n v="1"/>
    <n v="17"/>
    <s v="20kbd Refdown 9/29-10/29.  changed 9/22-11/15"/>
  </r>
  <r>
    <x v="0"/>
    <s v="NA"/>
    <s v="U.S.A."/>
    <s v="CITGO Petroleum Corporation"/>
    <x v="88"/>
    <x v="6"/>
    <x v="21"/>
    <n v="2025"/>
    <n v="1"/>
    <n v="1"/>
    <n v="4.5"/>
    <s v="45kbd Coker down 9/29-10/29. changed 9/22-11/15"/>
  </r>
  <r>
    <x v="0"/>
    <s v="NA"/>
    <s v="U.S.A."/>
    <s v="CITGO Petroleum Corporation"/>
    <x v="88"/>
    <x v="2"/>
    <x v="21"/>
    <n v="2025"/>
    <n v="1"/>
    <n v="0.5"/>
    <n v="8.25"/>
    <s v="165 kbd CDU down 9/29-10/29. changed 9/22-11/15"/>
  </r>
  <r>
    <x v="0"/>
    <s v="NA"/>
    <s v="U.S.A."/>
    <s v="CITGO Petroleum Corporation"/>
    <x v="88"/>
    <x v="0"/>
    <x v="21"/>
    <n v="2025"/>
    <n v="1"/>
    <n v="0.5"/>
    <n v="8.5"/>
    <s v="20kbd Refdown 9/29-10/29.  changed 9/22-11/15"/>
  </r>
  <r>
    <x v="0"/>
    <s v="NA"/>
    <s v="U.S.A."/>
    <s v="CITGO Petroleum Corporation"/>
    <x v="88"/>
    <x v="6"/>
    <x v="21"/>
    <n v="2025"/>
    <n v="1"/>
    <n v="0.5"/>
    <n v="2.25"/>
    <s v="45kbd Coker down 9/29-10/29. changed 9/22-11/15"/>
  </r>
  <r>
    <x v="0"/>
    <s v="NA"/>
    <s v="U.S.A."/>
    <s v="Deer Park Refining LP"/>
    <x v="22"/>
    <x v="0"/>
    <x v="21"/>
    <n v="2025"/>
    <n v="1"/>
    <n v="0.4838709677419355"/>
    <n v="31.258064516129032"/>
    <s v="76 kbd Reformer down 10/3-11/6. Moved to 9/15-10/15"/>
  </r>
  <r>
    <x v="0"/>
    <s v="NA"/>
    <s v="U.S.A."/>
    <s v="Deer Park Refining LP"/>
    <x v="22"/>
    <x v="6"/>
    <x v="21"/>
    <n v="2025"/>
    <n v="1"/>
    <n v="0.4838709677419355"/>
    <n v="4.4516129032258069"/>
    <s v="92 kbd Coker down 10/3-11/6. Moved to 9/15-10/15"/>
  </r>
  <r>
    <x v="0"/>
    <s v="NA"/>
    <s v="U.S.A."/>
    <s v="Deer Park Refining LP"/>
    <x v="22"/>
    <x v="3"/>
    <x v="21"/>
    <n v="2025"/>
    <n v="1"/>
    <n v="0.4838709677419355"/>
    <n v="6.2903225806451619"/>
    <s v="20kbd FCC derate. Moved to 9/15-10/15"/>
  </r>
  <r>
    <x v="0"/>
    <s v="NA"/>
    <s v="U.S.A."/>
    <s v="Deer Park Refining LP"/>
    <x v="22"/>
    <x v="2"/>
    <x v="21"/>
    <n v="2025"/>
    <n v="1"/>
    <n v="0.4838709677419355"/>
    <n v="13.06451612903226"/>
    <s v="270 kbd CDU down 10/3-11/6. Moved to 9/15-10/15"/>
  </r>
  <r>
    <x v="0"/>
    <s v="NA"/>
    <s v="U.S.A."/>
    <s v="Marathon Petroleum Corporation"/>
    <x v="8"/>
    <x v="6"/>
    <x v="21"/>
    <n v="2025"/>
    <n v="1"/>
    <n v="0.87096774193548387"/>
    <n v="9.1451612903225801"/>
    <s v="35 kbd DCU down from 10/4-11/2"/>
  </r>
  <r>
    <x v="0"/>
    <s v="NA"/>
    <s v="U.S.A."/>
    <s v="Marathon Petroleum Corporation"/>
    <x v="8"/>
    <x v="2"/>
    <x v="21"/>
    <n v="2025"/>
    <n v="1"/>
    <n v="0.67741935483870963"/>
    <n v="49.112903225806448"/>
    <s v="145 kbd CDUs down from 10/4-10/24"/>
  </r>
  <r>
    <x v="0"/>
    <s v="NA"/>
    <s v="U.S.A."/>
    <s v="Phillips 66"/>
    <x v="79"/>
    <x v="2"/>
    <x v="21"/>
    <n v="2025"/>
    <n v="1"/>
    <n v="0.16129032258064516"/>
    <n v="3.225806451612903"/>
    <s v="80 kbd Crude down 9/1-10/05"/>
  </r>
  <r>
    <x v="0"/>
    <s v="NA"/>
    <s v="U.S.A."/>
    <s v="Shell Oil Products US"/>
    <x v="78"/>
    <x v="1"/>
    <x v="21"/>
    <n v="2025"/>
    <n v="1"/>
    <m/>
    <n v="0"/>
    <m/>
  </r>
  <r>
    <x v="0"/>
    <s v="NA"/>
    <s v="U.S.A."/>
    <s v="Shell Oil Products US"/>
    <x v="78"/>
    <x v="3"/>
    <x v="21"/>
    <n v="2025"/>
    <n v="1"/>
    <n v="0.87096774193548387"/>
    <n v="63.406451612903226"/>
    <s v="112 kbd FCC down from 9/8-10/27"/>
  </r>
  <r>
    <x v="0"/>
    <s v="NA"/>
    <s v="U.S.A."/>
    <s v="Shell Oil Products US"/>
    <x v="78"/>
    <x v="4"/>
    <x v="21"/>
    <n v="2025"/>
    <n v="1"/>
    <m/>
    <n v="0"/>
    <m/>
  </r>
  <r>
    <x v="0"/>
    <s v="NA"/>
    <s v="U.S.A."/>
    <s v="Ergon Refining Incorporated"/>
    <x v="112"/>
    <x v="8"/>
    <x v="21"/>
    <n v="2025"/>
    <n v="1"/>
    <m/>
    <n v="0"/>
    <m/>
  </r>
  <r>
    <x v="0"/>
    <s v="NA"/>
    <s v="U.S.A."/>
    <s v="Ergon Refining Incorporated"/>
    <x v="112"/>
    <x v="10"/>
    <x v="21"/>
    <n v="2025"/>
    <n v="1"/>
    <m/>
    <n v="0"/>
    <m/>
  </r>
  <r>
    <x v="0"/>
    <s v="NA"/>
    <s v="U.S.A."/>
    <s v="Ergon Refining Incorporated"/>
    <x v="112"/>
    <x v="1"/>
    <x v="21"/>
    <n v="2025"/>
    <n v="1"/>
    <m/>
    <n v="0"/>
    <m/>
  </r>
  <r>
    <x v="0"/>
    <s v="NA"/>
    <s v="U.S.A."/>
    <s v="Ergon Refining Incorporated"/>
    <x v="112"/>
    <x v="2"/>
    <x v="21"/>
    <n v="2025"/>
    <n v="1"/>
    <n v="0.16129032258064516"/>
    <n v="1.0080645161290323"/>
    <s v="25 kbd crude unit down 9/1-10/5"/>
  </r>
  <r>
    <x v="0"/>
    <s v="NA"/>
    <s v="U.S.A."/>
    <s v="Marathon Petroleum Corporation"/>
    <x v="8"/>
    <x v="2"/>
    <x v="21"/>
    <n v="2025"/>
    <n v="1"/>
    <n v="0.19354838709677419"/>
    <n v="14.032258064516128"/>
    <s v="145 kbd CDUs down from 10/25-11/14"/>
  </r>
  <r>
    <x v="4"/>
    <s v="NA"/>
    <s v="U.S.A."/>
    <s v="Silver Eagle Refining Incorporated"/>
    <x v="58"/>
    <x v="2"/>
    <x v="21"/>
    <n v="2025"/>
    <n v="1"/>
    <n v="0.45161290322580644"/>
    <n v="0.15354838709677421"/>
    <s v="3.4 kbd CDU down from 10/18-10/31"/>
  </r>
  <r>
    <x v="4"/>
    <s v="NA"/>
    <s v="U.S.A."/>
    <s v="Silver Eagle Refining Incorporated"/>
    <x v="58"/>
    <x v="1"/>
    <x v="21"/>
    <n v="2025"/>
    <n v="1"/>
    <n v="0.45161290322580644"/>
    <n v="0"/>
    <m/>
  </r>
  <r>
    <x v="4"/>
    <s v="NA"/>
    <s v="U.S.A."/>
    <s v="Silver Eagle Refining Incorporated"/>
    <x v="58"/>
    <x v="9"/>
    <x v="21"/>
    <n v="2025"/>
    <n v="1"/>
    <n v="0.45161290322580644"/>
    <n v="0"/>
    <m/>
  </r>
  <r>
    <x v="4"/>
    <s v="NA"/>
    <s v="U.S.A."/>
    <s v="Silver Eagle Refining Incorporated"/>
    <x v="58"/>
    <x v="0"/>
    <x v="21"/>
    <n v="2025"/>
    <n v="1"/>
    <n v="0.45161290322580644"/>
    <n v="1.1516129032258065"/>
    <s v="3 kbd Reformer down from 10/18-10/31"/>
  </r>
  <r>
    <x v="4"/>
    <s v="NA"/>
    <s v="U.S.A."/>
    <s v="Calumet Great Falls"/>
    <x v="105"/>
    <x v="2"/>
    <x v="21"/>
    <n v="2025"/>
    <n v="1"/>
    <n v="0.41935483870967744"/>
    <n v="1.0483870967741935"/>
    <s v="25kbd cdu 9/5-10/13"/>
  </r>
  <r>
    <x v="4"/>
    <s v="NA"/>
    <s v="U.S.A."/>
    <s v="Calumet Great Falls"/>
    <x v="105"/>
    <x v="3"/>
    <x v="21"/>
    <n v="2025"/>
    <n v="1"/>
    <n v="0.41935483870967744"/>
    <n v="0.76322580645161286"/>
    <s v="2.8 kbd fcc 9/5-10/13"/>
  </r>
  <r>
    <x v="4"/>
    <s v="NA"/>
    <s v="U.S.A."/>
    <s v="Calumet Great Falls"/>
    <x v="105"/>
    <x v="5"/>
    <x v="21"/>
    <n v="2025"/>
    <n v="1"/>
    <n v="0.41935483870967744"/>
    <n v="0.3774193548387097"/>
    <s v="18kbd Ref 9/5-10/13"/>
  </r>
  <r>
    <x v="4"/>
    <s v="NA"/>
    <s v="U.S.A."/>
    <s v="Calumet Great Falls"/>
    <x v="105"/>
    <x v="0"/>
    <x v="21"/>
    <n v="2025"/>
    <n v="1"/>
    <n v="0.41935483870967744"/>
    <n v="0.3564516129032258"/>
    <s v="1kbd Ref 9/5-10/13"/>
  </r>
  <r>
    <x v="1"/>
    <s v="NA"/>
    <s v="U.S.A."/>
    <s v="Phillips 66"/>
    <x v="113"/>
    <x v="8"/>
    <x v="21"/>
    <n v="2025"/>
    <n v="1"/>
    <m/>
    <n v="0"/>
    <s v="Permanent shutdown of CDU (147), VDU (82), Coker (53)"/>
  </r>
  <r>
    <x v="1"/>
    <s v="NA"/>
    <s v="U.S.A."/>
    <s v="Phillips 66"/>
    <x v="113"/>
    <x v="2"/>
    <x v="21"/>
    <n v="2025"/>
    <n v="1"/>
    <m/>
    <n v="14.700000000000001"/>
    <s v="Permanent shutdown of CDU (147), VDU (82), Coker (53)"/>
  </r>
  <r>
    <x v="1"/>
    <s v="NA"/>
    <s v="U.S.A."/>
    <s v="Phillips 66"/>
    <x v="113"/>
    <x v="6"/>
    <x v="21"/>
    <n v="2025"/>
    <n v="1"/>
    <m/>
    <n v="5.3000000000000007"/>
    <s v="Permanent shutdown of CDU (147), VDU (82), Coker (53)"/>
  </r>
  <r>
    <x v="1"/>
    <s v="NA"/>
    <s v="U.S.A."/>
    <s v="Phillips 66"/>
    <x v="30"/>
    <x v="3"/>
    <x v="21"/>
    <n v="2024"/>
    <n v="1"/>
    <m/>
    <n v="32.5"/>
    <s v="Permanent shutdown of FCC (50), Ref (36), HDC (28), Alky (15)"/>
  </r>
  <r>
    <x v="1"/>
    <s v="NA"/>
    <s v="U.S.A."/>
    <s v="Phillips 66"/>
    <x v="30"/>
    <x v="0"/>
    <x v="21"/>
    <n v="2024"/>
    <n v="1"/>
    <m/>
    <n v="30.599999999999998"/>
    <s v="Permanent shutdown of FCC (50), Ref (36), HDC (28), Alky (15)"/>
  </r>
  <r>
    <x v="1"/>
    <s v="NA"/>
    <s v="U.S.A."/>
    <s v="Foreland Refining Corporation"/>
    <x v="114"/>
    <x v="2"/>
    <x v="21"/>
    <n v="2025"/>
    <n v="1"/>
    <n v="0.64516129032258063"/>
    <n v="0.80645161290322576"/>
    <s v="5 kbd CDU down 9/12-10/11"/>
  </r>
  <r>
    <x v="1"/>
    <s v="NA"/>
    <s v="U.S.A."/>
    <s v="Marathon Petroleum Corporation"/>
    <x v="101"/>
    <x v="3"/>
    <x v="21"/>
    <n v="2025"/>
    <n v="1"/>
    <n v="1"/>
    <n v="67.600000000000009"/>
    <s v="104 kbd FCC down 10/5-11/2. Moved to 9/20-10/19/25. Moved again to 9/24-11/24"/>
  </r>
  <r>
    <x v="1"/>
    <s v="NA"/>
    <s v="U.S.A."/>
    <s v="Marathon Petroleum Corporation"/>
    <x v="101"/>
    <x v="1"/>
    <x v="21"/>
    <n v="2025"/>
    <n v="1"/>
    <m/>
    <n v="0"/>
    <m/>
  </r>
  <r>
    <x v="1"/>
    <s v="NA"/>
    <s v="U.S.A."/>
    <s v="Marathon Petroleum Corporation"/>
    <x v="101"/>
    <x v="4"/>
    <x v="21"/>
    <n v="2025"/>
    <n v="1"/>
    <m/>
    <n v="0"/>
    <s v="Zeroing out Alky since FCC is OOS as well"/>
  </r>
  <r>
    <x v="1"/>
    <s v="NA"/>
    <s v="U.S.A."/>
    <s v="Phillips 66"/>
    <x v="30"/>
    <x v="5"/>
    <x v="21"/>
    <n v="2024"/>
    <n v="1"/>
    <m/>
    <n v="1.4000000000000001"/>
    <s v="Permanent shutdown of FCC (50), Ref (36), HDC (28), Alky (15)"/>
  </r>
  <r>
    <x v="1"/>
    <s v="NA"/>
    <s v="U.S.A."/>
    <s v="HF Sinclair Corporation"/>
    <x v="43"/>
    <x v="0"/>
    <x v="21"/>
    <n v="2025"/>
    <n v="1"/>
    <n v="0.45161290322580644"/>
    <n v="6.5258064516129028"/>
    <s v="17 kbd Reformer down 9/5-10/14"/>
  </r>
  <r>
    <x v="1"/>
    <s v="NA"/>
    <s v="U.S.A."/>
    <s v="HF Sinclair Corporation"/>
    <x v="43"/>
    <x v="6"/>
    <x v="21"/>
    <n v="2025"/>
    <n v="1"/>
    <n v="0.45161290322580644"/>
    <n v="1.0838709677419356"/>
    <s v="24 kbd Coker down 9/5-10/14"/>
  </r>
  <r>
    <x v="1"/>
    <s v="NA"/>
    <s v="U.S.A."/>
    <s v="HF Sinclair Corporation"/>
    <x v="43"/>
    <x v="2"/>
    <x v="21"/>
    <n v="2025"/>
    <n v="1"/>
    <n v="0.45161290322580644"/>
    <n v="6.5032258064516135"/>
    <s v="144 kbd CDU down 9/5-10/14"/>
  </r>
  <r>
    <x v="1"/>
    <s v="NA"/>
    <s v="U.S.A."/>
    <s v="HF Sinclair Corporation"/>
    <x v="43"/>
    <x v="8"/>
    <x v="21"/>
    <n v="2025"/>
    <n v="1"/>
    <n v="0.45161290322580644"/>
    <n v="0"/>
    <m/>
  </r>
  <r>
    <x v="1"/>
    <s v="NA"/>
    <s v="U.S.A."/>
    <s v="HF Sinclair Corporation"/>
    <x v="43"/>
    <x v="9"/>
    <x v="21"/>
    <n v="2025"/>
    <n v="1"/>
    <n v="0.45161290322580644"/>
    <n v="0"/>
    <m/>
  </r>
  <r>
    <x v="1"/>
    <s v="NA"/>
    <s v="U.S.A."/>
    <s v="HF Sinclair Corporation"/>
    <x v="43"/>
    <x v="1"/>
    <x v="21"/>
    <n v="2025"/>
    <n v="1"/>
    <n v="0.45161290322580644"/>
    <n v="0"/>
    <m/>
  </r>
  <r>
    <x v="1"/>
    <s v="NA"/>
    <s v="U.S.A."/>
    <s v="Par Pacific Holdings Incorporated"/>
    <x v="115"/>
    <x v="0"/>
    <x v="21"/>
    <n v="2025"/>
    <n v="1"/>
    <n v="3.2258064516129031E-2"/>
    <n v="0.23032258064516131"/>
    <s v="8.4 kbd Reformer down 10/31-12/18"/>
  </r>
  <r>
    <x v="1"/>
    <s v="NA"/>
    <s v="U.S.A."/>
    <s v="Par Pacific Holdings Incorporated"/>
    <x v="115"/>
    <x v="2"/>
    <x v="21"/>
    <n v="2025"/>
    <n v="1"/>
    <n v="3.2258064516129031E-2"/>
    <n v="0.13548387096774192"/>
    <s v="42 kbd CDU down 10/31-12/18"/>
  </r>
  <r>
    <x v="1"/>
    <s v="NA"/>
    <s v="U.S.A."/>
    <s v="Par Pacific Holdings Incorporated"/>
    <x v="115"/>
    <x v="8"/>
    <x v="21"/>
    <n v="2025"/>
    <n v="1"/>
    <m/>
    <n v="0"/>
    <m/>
  </r>
  <r>
    <x v="1"/>
    <s v="NA"/>
    <s v="U.S.A."/>
    <s v="Par Pacific Holdings Incorporated"/>
    <x v="115"/>
    <x v="10"/>
    <x v="21"/>
    <n v="2025"/>
    <n v="1"/>
    <n v="3.2258064516129031E-2"/>
    <n v="0"/>
    <m/>
  </r>
  <r>
    <x v="1"/>
    <s v="NA"/>
    <s v="U.S.A."/>
    <s v="Par Pacific Holdings Incorporated"/>
    <x v="115"/>
    <x v="9"/>
    <x v="21"/>
    <n v="2025"/>
    <n v="1"/>
    <n v="3.2258064516129031E-2"/>
    <n v="0"/>
    <m/>
  </r>
  <r>
    <x v="1"/>
    <s v="NA"/>
    <s v="U.S.A."/>
    <s v="Par Pacific Holdings Incorporated"/>
    <x v="115"/>
    <x v="1"/>
    <x v="21"/>
    <n v="2025"/>
    <n v="1"/>
    <n v="3.2258064516129031E-2"/>
    <n v="0"/>
    <m/>
  </r>
  <r>
    <x v="3"/>
    <s v="NA"/>
    <s v="U.S.A."/>
    <s v="Cenovus Energy Incorporated"/>
    <x v="71"/>
    <x v="0"/>
    <x v="22"/>
    <n v="2025"/>
    <n v="1"/>
    <n v="6.6666666666666666E-2"/>
    <n v="2.2666666666666666"/>
    <s v="40 kbd Reformer down 9/19-11/2"/>
  </r>
  <r>
    <x v="3"/>
    <s v="NA"/>
    <s v="U.S.A."/>
    <s v="Cenovus Energy Incorporated"/>
    <x v="71"/>
    <x v="5"/>
    <x v="22"/>
    <n v="2025"/>
    <n v="1"/>
    <n v="6.6666666666666666E-2"/>
    <n v="8.666666666666667E-2"/>
    <s v="26 kbd HDC down 9/19-11/2"/>
  </r>
  <r>
    <x v="3"/>
    <s v="NA"/>
    <s v="U.S.A."/>
    <s v="Cenovus Energy Incorporated"/>
    <x v="71"/>
    <x v="6"/>
    <x v="22"/>
    <n v="2025"/>
    <n v="1"/>
    <n v="6.6666666666666666E-2"/>
    <n v="0.20666666666666667"/>
    <s v="31 kbd Coker down 9/19-11/2"/>
  </r>
  <r>
    <x v="3"/>
    <s v="NA"/>
    <s v="U.S.A."/>
    <s v="Cenovus Energy Incorporated"/>
    <x v="71"/>
    <x v="3"/>
    <x v="22"/>
    <n v="2025"/>
    <n v="1"/>
    <n v="6.6666666666666666E-2"/>
    <n v="1.7333333333333334"/>
    <s v="40 kbd FCC down 9/19-11/2"/>
  </r>
  <r>
    <x v="3"/>
    <s v="NA"/>
    <s v="U.S.A."/>
    <s v="Cenovus Energy Incorporated"/>
    <x v="71"/>
    <x v="10"/>
    <x v="22"/>
    <n v="2025"/>
    <n v="1"/>
    <n v="6.6666666666666666E-2"/>
    <n v="0"/>
    <m/>
  </r>
  <r>
    <x v="3"/>
    <s v="NA"/>
    <s v="U.S.A."/>
    <s v="Cenovus Energy Incorporated"/>
    <x v="71"/>
    <x v="1"/>
    <x v="22"/>
    <n v="2025"/>
    <n v="1"/>
    <n v="6.6666666666666666E-2"/>
    <n v="0"/>
    <m/>
  </r>
  <r>
    <x v="0"/>
    <s v="NA"/>
    <s v="U.S.A."/>
    <s v="Valero Refining Company"/>
    <x v="110"/>
    <x v="1"/>
    <x v="22"/>
    <n v="2025"/>
    <n v="1"/>
    <n v="0.3"/>
    <n v="0.85499999999999998"/>
    <s v="HDc TA 9/26-11/9"/>
  </r>
  <r>
    <x v="0"/>
    <s v="NA"/>
    <s v="U.S.A."/>
    <s v="TotalEnergies Petrochemicals &amp; Refining USA Incorporated"/>
    <x v="111"/>
    <x v="0"/>
    <x v="22"/>
    <n v="2025"/>
    <n v="1"/>
    <n v="0.1"/>
    <n v="2.9750000000000001"/>
    <s v="35 kbd Reformer down 9/5-11/3, precious 8/1-9/29"/>
  </r>
  <r>
    <x v="0"/>
    <s v="NA"/>
    <s v="U.S.A."/>
    <s v="TotalEnergies Petrochemicals &amp; Refining USA Incorporated"/>
    <x v="111"/>
    <x v="10"/>
    <x v="22"/>
    <n v="2025"/>
    <n v="1"/>
    <n v="0.1"/>
    <n v="0"/>
    <m/>
  </r>
  <r>
    <x v="0"/>
    <s v="NA"/>
    <s v="U.S.A."/>
    <s v="TotalEnergies Petrochemicals &amp; Refining USA Incorporated"/>
    <x v="111"/>
    <x v="1"/>
    <x v="22"/>
    <n v="2025"/>
    <n v="1"/>
    <n v="0.1"/>
    <n v="0"/>
    <m/>
  </r>
  <r>
    <x v="0"/>
    <s v="NA"/>
    <s v="U.S.A."/>
    <s v="TotalEnergies Petrochemicals &amp; Refining USA Incorporated"/>
    <x v="111"/>
    <x v="2"/>
    <x v="22"/>
    <n v="2025"/>
    <n v="1"/>
    <n v="0.1"/>
    <n v="1.5000000000000002"/>
    <s v="150 kbd CDU down 9/5-11/3, precious 8/1-9/29"/>
  </r>
  <r>
    <x v="0"/>
    <s v="NA"/>
    <s v="U.S.A."/>
    <s v="TotalEnergies Petrochemicals &amp; Refining USA Incorporated"/>
    <x v="111"/>
    <x v="4"/>
    <x v="22"/>
    <n v="2025"/>
    <n v="1"/>
    <n v="0.1"/>
    <n v="0.47499999999999998"/>
    <s v="5 kbd Alky down until 9/5-11/3, precious 8/1-9/29"/>
  </r>
  <r>
    <x v="0"/>
    <s v="NA"/>
    <s v="U.S.A."/>
    <s v="Marathon Petroleum Corporation"/>
    <x v="8"/>
    <x v="6"/>
    <x v="22"/>
    <n v="2025"/>
    <n v="1"/>
    <n v="6.6666666666666666E-2"/>
    <n v="0.70000000000000007"/>
    <s v="35 kbd DCU down from 10/4-11/2"/>
  </r>
  <r>
    <x v="0"/>
    <s v="NA"/>
    <s v="U.S.A."/>
    <s v="Marathon Petroleum Corporation"/>
    <x v="8"/>
    <x v="2"/>
    <x v="22"/>
    <n v="2025"/>
    <n v="1"/>
    <n v="0.46666666666666667"/>
    <n v="33.833333333333336"/>
    <s v="145 kbd CDUs down from 10/25-11/14"/>
  </r>
  <r>
    <x v="1"/>
    <s v="NA"/>
    <s v="U.S.A."/>
    <s v="Marathon Petroleum Corporation"/>
    <x v="101"/>
    <x v="3"/>
    <x v="22"/>
    <n v="2025"/>
    <n v="1"/>
    <n v="0.8"/>
    <n v="54.080000000000005"/>
    <s v="104 kbd FCC down 10/5-11/2. Moved to 9/20-10/19/25. Moved again to 9/24-11/24"/>
  </r>
  <r>
    <x v="1"/>
    <s v="NA"/>
    <s v="U.S.A."/>
    <s v="Phillips 66"/>
    <x v="113"/>
    <x v="8"/>
    <x v="22"/>
    <n v="2025"/>
    <n v="1"/>
    <m/>
    <n v="0"/>
    <s v="Permanent shutdown of CDU (147), VDU (82), Coker (53)"/>
  </r>
  <r>
    <x v="1"/>
    <s v="NA"/>
    <s v="U.S.A."/>
    <s v="Phillips 66"/>
    <x v="113"/>
    <x v="2"/>
    <x v="22"/>
    <n v="2025"/>
    <n v="1"/>
    <m/>
    <n v="14.700000000000001"/>
    <s v="Permanent shutdown of CDU (147), VDU (82), Coker (53)"/>
  </r>
  <r>
    <x v="1"/>
    <s v="NA"/>
    <s v="U.S.A."/>
    <s v="Phillips 66"/>
    <x v="113"/>
    <x v="6"/>
    <x v="22"/>
    <n v="2025"/>
    <n v="1"/>
    <m/>
    <n v="5.3000000000000007"/>
    <s v="Permanent shutdown of CDU (147), VDU (82), Coker (53)"/>
  </r>
  <r>
    <x v="1"/>
    <s v="NA"/>
    <s v="U.S.A."/>
    <s v="Phillips 66"/>
    <x v="30"/>
    <x v="3"/>
    <x v="22"/>
    <n v="2024"/>
    <n v="1"/>
    <m/>
    <n v="32.5"/>
    <s v="Permanent shutdown of FCC (50), Ref (36), HDC (28), Alky (15)"/>
  </r>
  <r>
    <x v="1"/>
    <s v="NA"/>
    <s v="U.S.A."/>
    <s v="Phillips 66"/>
    <x v="30"/>
    <x v="0"/>
    <x v="22"/>
    <n v="2024"/>
    <n v="1"/>
    <m/>
    <n v="30.599999999999998"/>
    <s v="Permanent shutdown of FCC (50), Ref (36), HDC (28), Alky (15)"/>
  </r>
  <r>
    <x v="1"/>
    <s v="NA"/>
    <s v="U.S.A."/>
    <s v="Phillips 66"/>
    <x v="30"/>
    <x v="5"/>
    <x v="22"/>
    <n v="2024"/>
    <n v="1"/>
    <m/>
    <n v="1.4000000000000001"/>
    <s v="Permanent shutdown of FCC (50), Ref (36), HDC (28), Alky (15)"/>
  </r>
  <r>
    <x v="1"/>
    <s v="NA"/>
    <s v="U.S.A."/>
    <s v="Phillips 66"/>
    <x v="30"/>
    <x v="4"/>
    <x v="22"/>
    <n v="2024"/>
    <n v="1"/>
    <m/>
    <n v="0"/>
    <s v="Permanent shutdown of FCC (50), Ref (36), HDC (28), Alky (15)"/>
  </r>
  <r>
    <x v="1"/>
    <s v="NA"/>
    <s v="U.S.A."/>
    <s v="Par Pacific Holdings Incorporated"/>
    <x v="115"/>
    <x v="0"/>
    <x v="22"/>
    <n v="2025"/>
    <n v="1"/>
    <n v="1"/>
    <n v="7.14"/>
    <s v="8.4 kbd Reformer down 10/31-12/18"/>
  </r>
  <r>
    <x v="1"/>
    <s v="NA"/>
    <s v="U.S.A."/>
    <s v="Par Pacific Holdings Incorporated"/>
    <x v="115"/>
    <x v="2"/>
    <x v="22"/>
    <n v="2025"/>
    <n v="1"/>
    <n v="1"/>
    <n v="4.2"/>
    <s v="42 kbd CDU down 10/31-12/18"/>
  </r>
  <r>
    <x v="1"/>
    <s v="NA"/>
    <s v="U.S.A."/>
    <s v="Par Pacific Holdings Incorporated"/>
    <x v="115"/>
    <x v="8"/>
    <x v="22"/>
    <n v="2025"/>
    <n v="1"/>
    <m/>
    <n v="0"/>
    <m/>
  </r>
  <r>
    <x v="1"/>
    <s v="NA"/>
    <s v="U.S.A."/>
    <s v="Par Pacific Holdings Incorporated"/>
    <x v="115"/>
    <x v="10"/>
    <x v="22"/>
    <n v="2025"/>
    <n v="1"/>
    <n v="1"/>
    <n v="0"/>
    <m/>
  </r>
  <r>
    <x v="1"/>
    <s v="NA"/>
    <s v="U.S.A."/>
    <s v="Par Pacific Holdings Incorporated"/>
    <x v="115"/>
    <x v="9"/>
    <x v="22"/>
    <n v="2025"/>
    <n v="1"/>
    <n v="1"/>
    <n v="0"/>
    <m/>
  </r>
  <r>
    <x v="1"/>
    <s v="NA"/>
    <s v="U.S.A."/>
    <s v="Par Pacific Holdings Incorporated"/>
    <x v="115"/>
    <x v="1"/>
    <x v="22"/>
    <n v="2025"/>
    <n v="1"/>
    <n v="1"/>
    <n v="0"/>
    <m/>
  </r>
  <r>
    <x v="4"/>
    <s v="NA"/>
    <s v="U.S.A."/>
    <s v="Chevron Corporation"/>
    <x v="41"/>
    <x v="0"/>
    <x v="23"/>
    <n v="2025"/>
    <n v="1"/>
    <n v="0.19354838709677419"/>
    <n v="1.3161290322580645"/>
    <s v="8 kbd reformer down 10/17-12/6"/>
  </r>
  <r>
    <x v="4"/>
    <s v="NA"/>
    <s v="U.S.A."/>
    <s v="Chevron Corporation"/>
    <x v="41"/>
    <x v="3"/>
    <x v="23"/>
    <n v="2025"/>
    <n v="1"/>
    <n v="0.19354838709677419"/>
    <n v="1.6354838709677417"/>
    <s v="13 kbd FCC down 10/17-12/6"/>
  </r>
  <r>
    <x v="4"/>
    <s v="NA"/>
    <s v="U.S.A."/>
    <s v="Chevron Corporation"/>
    <x v="41"/>
    <x v="1"/>
    <x v="23"/>
    <n v="2025"/>
    <n v="1"/>
    <n v="0.19354838709677419"/>
    <n v="0"/>
    <m/>
  </r>
  <r>
    <x v="1"/>
    <s v="NA"/>
    <s v="U.S.A."/>
    <s v="Phillips 66"/>
    <x v="113"/>
    <x v="8"/>
    <x v="23"/>
    <n v="2025"/>
    <n v="1"/>
    <m/>
    <n v="0"/>
    <s v="Permanent shutdown of CDU (147), VDU (82), Coker (53)"/>
  </r>
  <r>
    <x v="1"/>
    <s v="NA"/>
    <s v="U.S.A."/>
    <s v="Phillips 66"/>
    <x v="113"/>
    <x v="2"/>
    <x v="23"/>
    <n v="2025"/>
    <n v="1"/>
    <m/>
    <n v="14.700000000000001"/>
    <s v="Permanent shutdown of CDU (147), VDU (82), Coker (53)"/>
  </r>
  <r>
    <x v="1"/>
    <s v="NA"/>
    <s v="U.S.A."/>
    <s v="Phillips 66"/>
    <x v="113"/>
    <x v="6"/>
    <x v="23"/>
    <n v="2025"/>
    <n v="1"/>
    <m/>
    <n v="5.3000000000000007"/>
    <s v="Permanent shutdown of CDU (147), VDU (82), Coker (53)"/>
  </r>
  <r>
    <x v="1"/>
    <s v="NA"/>
    <s v="U.S.A."/>
    <s v="Phillips 66"/>
    <x v="30"/>
    <x v="3"/>
    <x v="23"/>
    <n v="2024"/>
    <n v="1"/>
    <m/>
    <n v="32.5"/>
    <s v="Permanent shutdown of FCC (50), Ref (36), HDC (28), Alky (15)"/>
  </r>
  <r>
    <x v="1"/>
    <s v="NA"/>
    <s v="U.S.A."/>
    <s v="Phillips 66"/>
    <x v="30"/>
    <x v="0"/>
    <x v="23"/>
    <n v="2024"/>
    <n v="1"/>
    <m/>
    <n v="30.599999999999998"/>
    <s v="Permanent shutdown of FCC (50), Ref (36), HDC (28), Alky (15)"/>
  </r>
  <r>
    <x v="1"/>
    <s v="NA"/>
    <s v="U.S.A."/>
    <s v="Phillips 66"/>
    <x v="30"/>
    <x v="5"/>
    <x v="23"/>
    <n v="2024"/>
    <n v="1"/>
    <m/>
    <n v="1.4000000000000001"/>
    <s v="Permanent shutdown of FCC (50), Ref (36), HDC (28), Alky (15)"/>
  </r>
  <r>
    <x v="1"/>
    <s v="NA"/>
    <s v="U.S.A."/>
    <s v="Phillips 66"/>
    <x v="30"/>
    <x v="4"/>
    <x v="23"/>
    <n v="2024"/>
    <n v="1"/>
    <m/>
    <n v="0"/>
    <s v="Permanent shutdown of FCC (50), Ref (36), HDC (28), Alky (15)"/>
  </r>
  <r>
    <x v="1"/>
    <s v="NA"/>
    <s v="U.S.A."/>
    <s v="Par Pacific Holdings Incorporated"/>
    <x v="115"/>
    <x v="0"/>
    <x v="23"/>
    <n v="2025"/>
    <n v="1"/>
    <n v="0.58064516129032262"/>
    <n v="4.1458064516129038"/>
    <s v="8.4 kbd Reformer down 10/31-12/18"/>
  </r>
  <r>
    <x v="1"/>
    <s v="NA"/>
    <s v="U.S.A."/>
    <s v="Par Pacific Holdings Incorporated"/>
    <x v="115"/>
    <x v="2"/>
    <x v="23"/>
    <n v="2025"/>
    <n v="1"/>
    <n v="0.58064516129032262"/>
    <n v="2.4387096774193555"/>
    <s v="42 kbd CDU down 10/31-12/18"/>
  </r>
  <r>
    <x v="1"/>
    <s v="NA"/>
    <s v="U.S.A."/>
    <s v="Par Pacific Holdings Incorporated"/>
    <x v="115"/>
    <x v="8"/>
    <x v="23"/>
    <n v="2025"/>
    <n v="1"/>
    <n v="0.58064516129032262"/>
    <n v="0"/>
    <m/>
  </r>
  <r>
    <x v="1"/>
    <s v="NA"/>
    <s v="U.S.A."/>
    <s v="Par Pacific Holdings Incorporated"/>
    <x v="115"/>
    <x v="10"/>
    <x v="23"/>
    <n v="2025"/>
    <n v="1"/>
    <n v="0.58064516129032262"/>
    <n v="0"/>
    <m/>
  </r>
  <r>
    <x v="1"/>
    <s v="NA"/>
    <s v="U.S.A."/>
    <s v="Par Pacific Holdings Incorporated"/>
    <x v="115"/>
    <x v="9"/>
    <x v="23"/>
    <n v="2025"/>
    <n v="1"/>
    <n v="0.58064516129032262"/>
    <n v="0"/>
    <m/>
  </r>
  <r>
    <x v="1"/>
    <s v="NA"/>
    <s v="U.S.A."/>
    <s v="Par Pacific Holdings Incorporated"/>
    <x v="115"/>
    <x v="1"/>
    <x v="23"/>
    <n v="2025"/>
    <n v="1"/>
    <n v="0.58064516129032262"/>
    <n v="0"/>
    <m/>
  </r>
  <r>
    <x v="1"/>
    <s v="NA"/>
    <s v="U.S.A."/>
    <s v="Torrance Refining Company LLC"/>
    <x v="92"/>
    <x v="6"/>
    <x v="23"/>
    <n v="2025"/>
    <n v="1"/>
    <n v="1"/>
    <n v="2.4900000000000002"/>
    <s v="8.3kbd coker 11/27-1/10"/>
  </r>
  <r>
    <x v="2"/>
    <s v="NA"/>
    <s v="U.S.A."/>
    <s v="Monroe Energy LLC"/>
    <x v="68"/>
    <x v="0"/>
    <x v="24"/>
    <n v="2026"/>
    <n v="1"/>
    <n v="0.6333333333333333"/>
    <n v="32.299999999999997"/>
    <s v="unconfirmed source not it IIR"/>
  </r>
  <r>
    <x v="3"/>
    <s v="NA"/>
    <s v="U.S.A."/>
    <s v="Phillips 66"/>
    <x v="18"/>
    <x v="2"/>
    <x v="25"/>
    <n v="2026"/>
    <n v="1"/>
    <n v="1"/>
    <n v="21.5"/>
    <m/>
  </r>
  <r>
    <x v="3"/>
    <s v="NA"/>
    <s v="U.S.A."/>
    <s v="Phillips 66"/>
    <x v="18"/>
    <x v="12"/>
    <x v="25"/>
    <n v="2026"/>
    <n v="1"/>
    <n v="1"/>
    <n v="39.65"/>
    <m/>
  </r>
  <r>
    <x v="3"/>
    <s v="NA"/>
    <s v="U.S.A."/>
    <s v="Phillips 66"/>
    <x v="18"/>
    <x v="6"/>
    <x v="25"/>
    <n v="2026"/>
    <n v="1"/>
    <n v="1"/>
    <n v="3.1"/>
    <m/>
  </r>
  <r>
    <x v="3"/>
    <s v="NA"/>
    <s v="U.S.A."/>
    <s v="Phillips 66"/>
    <x v="18"/>
    <x v="0"/>
    <x v="25"/>
    <n v="2026"/>
    <n v="1"/>
    <n v="1"/>
    <n v="34"/>
    <m/>
  </r>
  <r>
    <x v="3"/>
    <s v="NA"/>
    <s v="U.S.A."/>
    <s v="Phillips 66"/>
    <x v="18"/>
    <x v="2"/>
    <x v="26"/>
    <n v="2026"/>
    <n v="1"/>
    <n v="6.4516129032258063E-2"/>
    <n v="1.3870967741935483"/>
    <m/>
  </r>
  <r>
    <x v="3"/>
    <s v="NA"/>
    <s v="U.S.A."/>
    <s v="Phillips 66"/>
    <x v="18"/>
    <x v="12"/>
    <x v="26"/>
    <n v="2026"/>
    <n v="1"/>
    <n v="6.4516129032258063E-2"/>
    <n v="2.5580645161290323"/>
    <m/>
  </r>
  <r>
    <x v="3"/>
    <s v="NA"/>
    <s v="U.S.A."/>
    <s v="Phillips 66"/>
    <x v="18"/>
    <x v="6"/>
    <x v="26"/>
    <n v="2026"/>
    <n v="1"/>
    <n v="6.4516129032258063E-2"/>
    <n v="0.2"/>
    <m/>
  </r>
  <r>
    <x v="3"/>
    <s v="NA"/>
    <s v="U.S.A."/>
    <s v="Phillips 66"/>
    <x v="18"/>
    <x v="0"/>
    <x v="26"/>
    <n v="2026"/>
    <n v="1"/>
    <n v="6.4516129032258063E-2"/>
    <n v="2.193548387096774"/>
    <m/>
  </r>
  <r>
    <x v="3"/>
    <s v="NA"/>
    <s v="U.S.A."/>
    <s v="Toledo Refining Company LLC"/>
    <x v="33"/>
    <x v="3"/>
    <x v="25"/>
    <n v="2026"/>
    <n v="1"/>
    <n v="0.7857142857142857"/>
    <n v="40.346428571428575"/>
    <m/>
  </r>
  <r>
    <x v="3"/>
    <s v="NA"/>
    <s v="U.S.A."/>
    <s v="Toledo Refining Company LLC"/>
    <x v="33"/>
    <x v="3"/>
    <x v="26"/>
    <n v="2026"/>
    <n v="1"/>
    <n v="0.70967741935483875"/>
    <n v="36.441935483870971"/>
    <m/>
  </r>
  <r>
    <x v="3"/>
    <s v="NA"/>
    <s v="U.S.A."/>
    <s v="Phillips 66"/>
    <x v="97"/>
    <x v="6"/>
    <x v="25"/>
    <n v="2026"/>
    <n v="1"/>
    <n v="0.5"/>
    <n v="8.125"/>
    <m/>
  </r>
  <r>
    <x v="3"/>
    <s v="NA"/>
    <s v="U.S.A."/>
    <s v="Phillips 66"/>
    <x v="97"/>
    <x v="6"/>
    <x v="26"/>
    <n v="2026"/>
    <n v="1"/>
    <n v="1"/>
    <n v="16.25"/>
    <m/>
  </r>
  <r>
    <x v="3"/>
    <s v="NA"/>
    <s v="U.S.A."/>
    <s v="Valero Refining Company"/>
    <x v="116"/>
    <x v="2"/>
    <x v="26"/>
    <n v="2026"/>
    <n v="1"/>
    <n v="0.967741935483871"/>
    <n v="26.612903225806452"/>
    <s v="Assuming just 110 kbd crude down- Full crude down doesn't make a lot of sense given that they have a 4Q25 FCC T/A"/>
  </r>
  <r>
    <x v="3"/>
    <s v="NA"/>
    <s v="U.S.A."/>
    <s v="Valero Refining Company"/>
    <x v="116"/>
    <x v="2"/>
    <x v="24"/>
    <n v="2026"/>
    <n v="1"/>
    <n v="3.3333333333333333E-2"/>
    <n v="0.91666666666666663"/>
    <s v="Assuming just 110 kbd crude down- Full crude down doesn't make a lot of sense given that they have a 4Q25 FCC T/A"/>
  </r>
  <r>
    <x v="3"/>
    <s v="NA"/>
    <s v="U.S.A."/>
    <s v="Valero Refining Company"/>
    <x v="116"/>
    <x v="5"/>
    <x v="26"/>
    <n v="2026"/>
    <n v="1"/>
    <n v="0.967741935483871"/>
    <n v="1.5967741935483872"/>
    <s v="Assuming just 110 kbd crude down- Full crude down doesn't make a lot of sense given that they have a 4Q25 FCC T/A"/>
  </r>
  <r>
    <x v="3"/>
    <s v="NA"/>
    <s v="U.S.A."/>
    <s v="Valero Refining Company"/>
    <x v="116"/>
    <x v="5"/>
    <x v="24"/>
    <n v="2026"/>
    <n v="1"/>
    <n v="3.3333333333333333E-2"/>
    <n v="5.5E-2"/>
    <s v="Assuming just 110 kbd crude down- Full crude down doesn't make a lot of sense given that they have a 4Q25 FCC T/A"/>
  </r>
  <r>
    <x v="3"/>
    <s v="NA"/>
    <s v="U.S.A."/>
    <s v="Marathon Petroleum Corporation"/>
    <x v="34"/>
    <x v="6"/>
    <x v="26"/>
    <n v="2026"/>
    <n v="1"/>
    <n v="0.61290322580645162"/>
    <n v="4.596774193548387"/>
    <m/>
  </r>
  <r>
    <x v="3"/>
    <s v="NA"/>
    <s v="U.S.A."/>
    <s v="Marathon Petroleum Corporation"/>
    <x v="34"/>
    <x v="6"/>
    <x v="24"/>
    <n v="2026"/>
    <n v="1"/>
    <n v="1"/>
    <n v="7.5"/>
    <m/>
  </r>
  <r>
    <x v="3"/>
    <s v="NA"/>
    <s v="U.S.A."/>
    <s v="Marathon Petroleum Corporation"/>
    <x v="34"/>
    <x v="6"/>
    <x v="27"/>
    <n v="2026"/>
    <n v="1"/>
    <n v="0.29032258064516131"/>
    <n v="2.17741935483871"/>
    <m/>
  </r>
  <r>
    <x v="3"/>
    <s v="NA"/>
    <s v="U.S.A."/>
    <s v="Marathon Petroleum Corporation"/>
    <x v="34"/>
    <x v="3"/>
    <x v="26"/>
    <n v="2026"/>
    <n v="1"/>
    <n v="0.61290322580645162"/>
    <n v="20.91532258064516"/>
    <s v="Major planned maintenance on FCCU."/>
  </r>
  <r>
    <x v="3"/>
    <s v="NA"/>
    <s v="U.S.A."/>
    <s v="Marathon Petroleum Corporation"/>
    <x v="34"/>
    <x v="3"/>
    <x v="24"/>
    <n v="2026"/>
    <n v="1"/>
    <n v="1"/>
    <n v="34.125"/>
    <m/>
  </r>
  <r>
    <x v="3"/>
    <s v="NA"/>
    <s v="U.S.A."/>
    <s v="Marathon Petroleum Corporation"/>
    <x v="34"/>
    <x v="3"/>
    <x v="27"/>
    <n v="2026"/>
    <n v="1"/>
    <n v="0.29032258064516131"/>
    <n v="9.9072580645161299"/>
    <m/>
  </r>
  <r>
    <x v="3"/>
    <s v="NA"/>
    <s v="U.S.A."/>
    <s v="Marathon Petroleum Corporation"/>
    <x v="34"/>
    <x v="4"/>
    <x v="26"/>
    <n v="2026"/>
    <n v="1"/>
    <n v="0.61290322580645162"/>
    <m/>
    <s v="0 kbd impact due to FCC being down at same time"/>
  </r>
  <r>
    <x v="3"/>
    <s v="NA"/>
    <s v="U.S.A."/>
    <s v="Marathon Petroleum Corporation"/>
    <x v="34"/>
    <x v="4"/>
    <x v="24"/>
    <n v="2026"/>
    <n v="1"/>
    <n v="1"/>
    <m/>
    <s v="0 kbd impact due to FCC being down at same time"/>
  </r>
  <r>
    <x v="3"/>
    <s v="NA"/>
    <s v="U.S.A."/>
    <s v="Marathon Petroleum Corporation"/>
    <x v="34"/>
    <x v="4"/>
    <x v="27"/>
    <n v="2026"/>
    <n v="1"/>
    <n v="0.29032258064516131"/>
    <m/>
    <s v="0 kbd impact due to FCC being down at same time"/>
  </r>
  <r>
    <x v="3"/>
    <s v="NA"/>
    <s v="U.S.A."/>
    <s v="HF Sinclair Corporation"/>
    <x v="72"/>
    <x v="2"/>
    <x v="26"/>
    <n v="2026"/>
    <n v="1"/>
    <n v="0.45161290322580644"/>
    <n v="7.3161290322580639"/>
    <s v="CDU down 3/17-4/30, assuming full site outage"/>
  </r>
  <r>
    <x v="3"/>
    <s v="NA"/>
    <s v="U.S.A."/>
    <s v="HF Sinclair Corporation"/>
    <x v="72"/>
    <x v="2"/>
    <x v="24"/>
    <n v="2026"/>
    <n v="1"/>
    <n v="1"/>
    <n v="16.2"/>
    <s v="CDU down 3/17-4/30, assuming full site outage"/>
  </r>
  <r>
    <x v="3"/>
    <s v="NA"/>
    <s v="U.S.A."/>
    <s v="HF Sinclair Corporation"/>
    <x v="72"/>
    <x v="6"/>
    <x v="26"/>
    <n v="2026"/>
    <n v="1"/>
    <n v="0.45161290322580644"/>
    <n v="0.92580645161290331"/>
    <s v="CDU down 3/17-4/30, assuming full site outage"/>
  </r>
  <r>
    <x v="3"/>
    <s v="NA"/>
    <s v="U.S.A."/>
    <s v="HF Sinclair Corporation"/>
    <x v="72"/>
    <x v="6"/>
    <x v="24"/>
    <n v="2026"/>
    <n v="1"/>
    <n v="1"/>
    <n v="2.0500000000000003"/>
    <s v="CDU down 3/17-4/30, assuming full site outage"/>
  </r>
  <r>
    <x v="3"/>
    <s v="NA"/>
    <s v="U.S.A."/>
    <s v="HF Sinclair Corporation"/>
    <x v="72"/>
    <x v="3"/>
    <x v="26"/>
    <n v="2026"/>
    <n v="1"/>
    <n v="0.45161290322580644"/>
    <n v="11.448387096774194"/>
    <s v="CDU down 3/17-4/30, assuming full site outage"/>
  </r>
  <r>
    <x v="3"/>
    <s v="NA"/>
    <s v="U.S.A."/>
    <s v="HF Sinclair Corporation"/>
    <x v="72"/>
    <x v="3"/>
    <x v="24"/>
    <n v="2026"/>
    <n v="1"/>
    <n v="1"/>
    <n v="25.35"/>
    <s v="CDU down 3/17-4/30, assuming full site outage"/>
  </r>
  <r>
    <x v="3"/>
    <s v="NA"/>
    <s v="U.S.A."/>
    <s v="HF Sinclair Corporation"/>
    <x v="72"/>
    <x v="0"/>
    <x v="26"/>
    <n v="2026"/>
    <n v="1"/>
    <n v="0.45161290322580644"/>
    <n v="11.324193548387097"/>
    <s v="CDU down 3/17-4/30, assuming full site outage"/>
  </r>
  <r>
    <x v="3"/>
    <s v="NA"/>
    <s v="U.S.A."/>
    <s v="HF Sinclair Corporation"/>
    <x v="72"/>
    <x v="0"/>
    <x v="24"/>
    <n v="2026"/>
    <n v="1"/>
    <n v="1"/>
    <n v="25.074999999999999"/>
    <s v="CDU down 3/17-4/30, assuming full site outage"/>
  </r>
  <r>
    <x v="3"/>
    <s v="NA"/>
    <s v="U.S.A."/>
    <s v="CITGO Petroleum Corporation"/>
    <x v="103"/>
    <x v="4"/>
    <x v="26"/>
    <n v="2026"/>
    <n v="1"/>
    <n v="0.32258064516129031"/>
    <n v="0"/>
    <s v="0 kbd impact due to FCC being down at same time"/>
  </r>
  <r>
    <x v="3"/>
    <s v="NA"/>
    <s v="U.S.A."/>
    <s v="CITGO Petroleum Corporation"/>
    <x v="103"/>
    <x v="4"/>
    <x v="24"/>
    <n v="2026"/>
    <n v="1"/>
    <n v="1"/>
    <n v="0"/>
    <s v="0 kbd impact due to FCC being down at same time"/>
  </r>
  <r>
    <x v="3"/>
    <s v="NA"/>
    <s v="U.S.A."/>
    <s v="CITGO Petroleum Corporation"/>
    <x v="103"/>
    <x v="4"/>
    <x v="27"/>
    <n v="2026"/>
    <n v="1"/>
    <n v="0.29032258064516131"/>
    <n v="0"/>
    <s v="0 kbd impact due to FCC being down at same time"/>
  </r>
  <r>
    <x v="3"/>
    <s v="NA"/>
    <s v="U.S.A."/>
    <s v="CITGO Petroleum Corporation"/>
    <x v="103"/>
    <x v="3"/>
    <x v="26"/>
    <n v="2026"/>
    <n v="1"/>
    <n v="0.32258064516129031"/>
    <n v="12.161290322580646"/>
    <m/>
  </r>
  <r>
    <x v="3"/>
    <s v="NA"/>
    <s v="U.S.A."/>
    <s v="CITGO Petroleum Corporation"/>
    <x v="103"/>
    <x v="3"/>
    <x v="24"/>
    <n v="2026"/>
    <n v="1"/>
    <n v="1"/>
    <n v="37.700000000000003"/>
    <m/>
  </r>
  <r>
    <x v="3"/>
    <s v="NA"/>
    <s v="U.S.A."/>
    <s v="CITGO Petroleum Corporation"/>
    <x v="103"/>
    <x v="3"/>
    <x v="27"/>
    <n v="2026"/>
    <n v="1"/>
    <n v="0.29032258064516131"/>
    <n v="10.945161290322583"/>
    <m/>
  </r>
  <r>
    <x v="3"/>
    <s v="NA"/>
    <s v="U.S.A."/>
    <s v="BP Products North America Incorporated"/>
    <x v="69"/>
    <x v="2"/>
    <x v="28"/>
    <n v="2026"/>
    <n v="1"/>
    <n v="0.16666666666666666"/>
    <n v="3.75"/>
    <s v="90 kbd CDU down from 9/5-11/3/25. Pushed to 9/5/26-11/3/26"/>
  </r>
  <r>
    <x v="3"/>
    <s v="NA"/>
    <s v="U.S.A."/>
    <s v="BP Products North America Incorporated"/>
    <x v="69"/>
    <x v="3"/>
    <x v="28"/>
    <n v="2026"/>
    <n v="1"/>
    <n v="0.16666666666666666"/>
    <n v="7.0416666666666661"/>
    <s v="65 kbd FCC down 9/5-11/3/25. Pushed to 2026"/>
  </r>
  <r>
    <x v="3"/>
    <s v="NA"/>
    <s v="U.S.A."/>
    <s v="BP Products North America Incorporated"/>
    <x v="69"/>
    <x v="2"/>
    <x v="29"/>
    <n v="2026"/>
    <n v="1"/>
    <n v="1"/>
    <n v="22.5"/>
    <s v="90 kbd CDU down from 9/5-11/3/25. Pushed to 9/5/26-11/3/26"/>
  </r>
  <r>
    <x v="3"/>
    <s v="NA"/>
    <s v="U.S.A."/>
    <s v="BP Products North America Incorporated"/>
    <x v="69"/>
    <x v="3"/>
    <x v="29"/>
    <n v="2026"/>
    <n v="1"/>
    <n v="1"/>
    <n v="42.25"/>
    <s v="65 kbd FCC down 9/5-11/3/25. Pushed to 2026"/>
  </r>
  <r>
    <x v="3"/>
    <s v="NA"/>
    <s v="U.S.A."/>
    <s v="BP Products North America Incorporated"/>
    <x v="69"/>
    <x v="2"/>
    <x v="30"/>
    <n v="2026"/>
    <n v="1"/>
    <n v="0.1"/>
    <n v="2.25"/>
    <s v="90 kbd CDU down from 9/5-11/3/25. Pushed to 9/5/26-11/3/26"/>
  </r>
  <r>
    <x v="3"/>
    <s v="NA"/>
    <s v="U.S.A."/>
    <s v="BP Products North America Incorporated"/>
    <x v="69"/>
    <x v="3"/>
    <x v="30"/>
    <n v="2026"/>
    <n v="1"/>
    <n v="0.1"/>
    <n v="4.2250000000000005"/>
    <s v="65 kbd FCC down 9/5-11/3/25. Pushed to 2026"/>
  </r>
  <r>
    <x v="0"/>
    <s v="NA"/>
    <s v="U.S.A."/>
    <s v="Valero Refining Company"/>
    <x v="117"/>
    <x v="2"/>
    <x v="25"/>
    <n v="2026"/>
    <n v="1"/>
    <n v="0.8571428571428571"/>
    <n v="21.964285714285712"/>
    <s v="Major turnaround. 2/3/24-3/15/24. Moved to 2/4/26 - 3/17/26"/>
  </r>
  <r>
    <x v="0"/>
    <s v="NA"/>
    <s v="U.S.A."/>
    <s v="Valero Refining Company"/>
    <x v="117"/>
    <x v="2"/>
    <x v="26"/>
    <n v="2026"/>
    <n v="1"/>
    <n v="0.54838709677419351"/>
    <n v="14.052419354838708"/>
    <s v="Major turnaround. 2/3/24-3/15/24. Moved to 2/4/26 - 3/17/26"/>
  </r>
  <r>
    <x v="0"/>
    <s v="NA"/>
    <s v="U.S.A."/>
    <s v="Calcasieu Refining Company"/>
    <x v="82"/>
    <x v="2"/>
    <x v="31"/>
    <n v="2026"/>
    <n v="1"/>
    <n v="0.64516129032258063"/>
    <n v="20.967741935483872"/>
    <m/>
  </r>
  <r>
    <x v="0"/>
    <s v="NA"/>
    <s v="U.S.A."/>
    <s v="Marathon Petroleum Corporation"/>
    <x v="118"/>
    <x v="2"/>
    <x v="31"/>
    <n v="2026"/>
    <n v="1"/>
    <n v="0.67741935483870963"/>
    <n v="46.572580645161288"/>
    <m/>
  </r>
  <r>
    <x v="0"/>
    <s v="NA"/>
    <s v="U.S.A."/>
    <s v="Calumet Specialty Products Partners LP"/>
    <x v="75"/>
    <x v="2"/>
    <x v="31"/>
    <n v="2026"/>
    <n v="1"/>
    <n v="0.41935483870967744"/>
    <n v="0.41935483870967744"/>
    <m/>
  </r>
  <r>
    <x v="0"/>
    <s v="NA"/>
    <s v="U.S.A."/>
    <s v="Calumet Specialty Products Partners LP"/>
    <x v="75"/>
    <x v="0"/>
    <x v="31"/>
    <n v="2026"/>
    <n v="1"/>
    <n v="0.41935483870967744"/>
    <n v="1.4258064516129032"/>
    <m/>
  </r>
  <r>
    <x v="0"/>
    <s v="NA"/>
    <s v="U.S.A."/>
    <s v="Marathon Petroleum Corporation"/>
    <x v="27"/>
    <x v="2"/>
    <x v="31"/>
    <n v="2026"/>
    <n v="1"/>
    <n v="0.87096774193548387"/>
    <n v="23.080645161290324"/>
    <m/>
  </r>
  <r>
    <x v="0"/>
    <s v="NA"/>
    <s v="U.S.A."/>
    <s v="Marathon Petroleum Corporation"/>
    <x v="27"/>
    <x v="2"/>
    <x v="25"/>
    <n v="2026"/>
    <n v="1"/>
    <n v="0.25"/>
    <n v="6.625"/>
    <m/>
  </r>
  <r>
    <x v="0"/>
    <s v="NA"/>
    <s v="U.S.A."/>
    <s v="Marathon Petroleum Corporation"/>
    <x v="27"/>
    <x v="3"/>
    <x v="31"/>
    <n v="2026"/>
    <n v="1"/>
    <n v="0.87096774193548387"/>
    <n v="79.258064516129039"/>
    <m/>
  </r>
  <r>
    <x v="0"/>
    <s v="NA"/>
    <s v="U.S.A."/>
    <s v="Marathon Petroleum Corporation"/>
    <x v="27"/>
    <x v="3"/>
    <x v="25"/>
    <n v="2026"/>
    <n v="1"/>
    <n v="0.25"/>
    <n v="22.75"/>
    <m/>
  </r>
  <r>
    <x v="0"/>
    <s v="NA"/>
    <s v="U.S.A."/>
    <s v="Marathon Petroleum Corporation"/>
    <x v="119"/>
    <x v="2"/>
    <x v="31"/>
    <n v="2026"/>
    <n v="1"/>
    <n v="0.64516129032258063"/>
    <n v="5.4838709677419351"/>
    <m/>
  </r>
  <r>
    <x v="0"/>
    <s v="NA"/>
    <s v="U.S.A."/>
    <s v="Marathon Petroleum Corporation"/>
    <x v="119"/>
    <x v="3"/>
    <x v="31"/>
    <n v="2026"/>
    <n v="1"/>
    <n v="0.64516129032258063"/>
    <n v="25.161290322580644"/>
    <m/>
  </r>
  <r>
    <x v="0"/>
    <s v="NA"/>
    <s v="U.S.A."/>
    <s v="Marathon Petroleum Corporation"/>
    <x v="119"/>
    <x v="4"/>
    <x v="31"/>
    <n v="2026"/>
    <n v="1"/>
    <n v="0.64516129032258063"/>
    <n v="0"/>
    <s v="0 Alky due to FCC"/>
  </r>
  <r>
    <x v="0"/>
    <s v="NA"/>
    <s v="U.S.A."/>
    <s v="Marathon Petroleum Corporation"/>
    <x v="119"/>
    <x v="2"/>
    <x v="25"/>
    <n v="2026"/>
    <n v="1"/>
    <n v="1"/>
    <n v="8.5"/>
    <m/>
  </r>
  <r>
    <x v="0"/>
    <s v="NA"/>
    <s v="U.S.A."/>
    <s v="Marathon Petroleum Corporation"/>
    <x v="119"/>
    <x v="3"/>
    <x v="25"/>
    <n v="2026"/>
    <n v="1"/>
    <n v="1"/>
    <n v="39"/>
    <m/>
  </r>
  <r>
    <x v="0"/>
    <s v="NA"/>
    <s v="U.S.A."/>
    <s v="Marathon Petroleum Corporation"/>
    <x v="119"/>
    <x v="4"/>
    <x v="25"/>
    <n v="2026"/>
    <n v="1"/>
    <n v="1"/>
    <n v="0"/>
    <s v="0 Alky due to FCC"/>
  </r>
  <r>
    <x v="0"/>
    <s v="NA"/>
    <s v="U.S.A."/>
    <s v="Marathon Petroleum Corporation"/>
    <x v="119"/>
    <x v="2"/>
    <x v="26"/>
    <n v="2026"/>
    <n v="1"/>
    <n v="0.25806451612903225"/>
    <n v="2.193548387096774"/>
    <m/>
  </r>
  <r>
    <x v="0"/>
    <s v="NA"/>
    <s v="U.S.A."/>
    <s v="Marathon Petroleum Corporation"/>
    <x v="119"/>
    <x v="3"/>
    <x v="26"/>
    <n v="2026"/>
    <n v="1"/>
    <n v="0.25806451612903225"/>
    <n v="10.064516129032258"/>
    <m/>
  </r>
  <r>
    <x v="0"/>
    <s v="NA"/>
    <s v="U.S.A."/>
    <s v="Marathon Petroleum Corporation"/>
    <x v="119"/>
    <x v="0"/>
    <x v="31"/>
    <n v="2026"/>
    <n v="1"/>
    <n v="0.64516129032258063"/>
    <n v="5.4838709677419351"/>
    <m/>
  </r>
  <r>
    <x v="0"/>
    <s v="NA"/>
    <s v="U.S.A."/>
    <s v="Marathon Petroleum Corporation"/>
    <x v="119"/>
    <x v="0"/>
    <x v="25"/>
    <n v="2026"/>
    <n v="1"/>
    <n v="1"/>
    <n v="8.5"/>
    <m/>
  </r>
  <r>
    <x v="0"/>
    <s v="NA"/>
    <s v="U.S.A."/>
    <s v="Marathon Petroleum Corporation"/>
    <x v="119"/>
    <x v="0"/>
    <x v="26"/>
    <n v="2026"/>
    <n v="1"/>
    <n v="0.25806451612903225"/>
    <n v="2.193548387096774"/>
    <m/>
  </r>
  <r>
    <x v="0"/>
    <s v="NA"/>
    <s v="U.S.A."/>
    <s v="CITGO Petroleum Corporation"/>
    <x v="5"/>
    <x v="6"/>
    <x v="31"/>
    <n v="2026"/>
    <n v="1"/>
    <n v="0.61290322580645162"/>
    <n v="9.193548387096774"/>
    <s v="60 kbd Coker down  1/12-3/13/26"/>
  </r>
  <r>
    <x v="0"/>
    <s v="NA"/>
    <s v="U.S.A."/>
    <s v="CITGO Petroleum Corporation"/>
    <x v="5"/>
    <x v="6"/>
    <x v="25"/>
    <n v="2026"/>
    <n v="1"/>
    <n v="1"/>
    <n v="15"/>
    <s v="60 kbd Coker down  1/12-3/13/26"/>
  </r>
  <r>
    <x v="0"/>
    <s v="NA"/>
    <s v="U.S.A."/>
    <s v="CITGO Petroleum Corporation"/>
    <x v="5"/>
    <x v="6"/>
    <x v="26"/>
    <n v="2026"/>
    <n v="1"/>
    <n v="0.41935483870967744"/>
    <n v="6.2903225806451619"/>
    <s v="60 kbd Coker down  1/12-3/13/26"/>
  </r>
  <r>
    <x v="0"/>
    <s v="NA"/>
    <s v="U.S.A."/>
    <s v="Valero Refining Company"/>
    <x v="120"/>
    <x v="3"/>
    <x v="31"/>
    <n v="2026"/>
    <n v="1"/>
    <n v="0.4838709677419355"/>
    <n v="20.443548387096776"/>
    <m/>
  </r>
  <r>
    <x v="0"/>
    <s v="NA"/>
    <s v="U.S.A."/>
    <s v="Valero Refining Company"/>
    <x v="120"/>
    <x v="3"/>
    <x v="25"/>
    <n v="2026"/>
    <n v="1"/>
    <n v="0.5"/>
    <n v="21.125"/>
    <m/>
  </r>
  <r>
    <x v="0"/>
    <s v="NA"/>
    <s v="U.S.A."/>
    <s v="Valero Refining Company"/>
    <x v="120"/>
    <x v="4"/>
    <x v="31"/>
    <n v="2026"/>
    <n v="1"/>
    <m/>
    <n v="0"/>
    <s v="0 Alky due to FCC"/>
  </r>
  <r>
    <x v="0"/>
    <s v="NA"/>
    <s v="U.S.A."/>
    <s v="Valero Refining Company"/>
    <x v="120"/>
    <x v="4"/>
    <x v="25"/>
    <n v="2026"/>
    <n v="1"/>
    <m/>
    <n v="0"/>
    <s v="0 Alky due to FCC"/>
  </r>
  <r>
    <x v="0"/>
    <s v="NA"/>
    <s v="U.S.A."/>
    <s v="Valero Refining Company"/>
    <x v="121"/>
    <x v="0"/>
    <x v="31"/>
    <n v="2026"/>
    <n v="1"/>
    <n v="0.25806451612903225"/>
    <n v="2.193548387096774"/>
    <m/>
  </r>
  <r>
    <x v="0"/>
    <s v="NA"/>
    <s v="U.S.A."/>
    <s v="Valero Refining Company"/>
    <x v="121"/>
    <x v="0"/>
    <x v="25"/>
    <n v="2026"/>
    <n v="1"/>
    <n v="0.8571428571428571"/>
    <n v="7.2857142857142856"/>
    <m/>
  </r>
  <r>
    <x v="0"/>
    <s v="NA"/>
    <s v="U.S.A."/>
    <s v="XOM"/>
    <x v="122"/>
    <x v="2"/>
    <x v="31"/>
    <n v="2026"/>
    <n v="1"/>
    <n v="0.16129032258064516"/>
    <n v="0"/>
    <s v="only alky planned IIR reports off for BRRF; discuss with Haley"/>
  </r>
  <r>
    <x v="0"/>
    <s v="NA"/>
    <s v="U.S.A."/>
    <s v="XOM"/>
    <x v="123"/>
    <x v="2"/>
    <x v="31"/>
    <n v="2026"/>
    <n v="1"/>
    <n v="0.16129032258064516"/>
    <n v="4.354838709677419"/>
    <s v="Jan 2026: PS3/DCU TA Block – ~85 kbd crude rate impact, 34 kbd resid capacity reduction"/>
  </r>
  <r>
    <x v="0"/>
    <s v="NA"/>
    <s v="U.S.A."/>
    <s v="XOM"/>
    <x v="123"/>
    <x v="6"/>
    <x v="31"/>
    <n v="2026"/>
    <n v="1"/>
    <n v="0.16129032258064516"/>
    <n v="2.0766129032258065"/>
    <m/>
  </r>
  <r>
    <x v="0"/>
    <s v="NA"/>
    <s v="U.S.A."/>
    <s v="XOM"/>
    <x v="122"/>
    <x v="3"/>
    <x v="31"/>
    <n v="2026"/>
    <n v="1"/>
    <d v="1899-12-30T03:52:15"/>
    <n v="0"/>
    <s v="only alky planned IIR reports off for BRRF; discuss with Haley"/>
  </r>
  <r>
    <x v="0"/>
    <s v="NA"/>
    <s v="U.S.A."/>
    <s v="XOM"/>
    <x v="122"/>
    <x v="0"/>
    <x v="31"/>
    <n v="2026"/>
    <n v="1"/>
    <n v="0.16129032258064516"/>
    <n v="0"/>
    <s v="only alky planned IIR reports off for BRRF; discuss with Haley"/>
  </r>
  <r>
    <x v="0"/>
    <s v="NA"/>
    <s v="U.S.A."/>
    <s v="XOM"/>
    <x v="122"/>
    <x v="2"/>
    <x v="25"/>
    <n v="2026"/>
    <n v="1"/>
    <n v="1"/>
    <n v="0"/>
    <s v="only alky planned IIR reports off for BRRF; discuss with Haley"/>
  </r>
  <r>
    <x v="0"/>
    <s v="NA"/>
    <s v="U.S.A."/>
    <s v="XOM"/>
    <x v="123"/>
    <x v="2"/>
    <x v="25"/>
    <n v="2026"/>
    <n v="1"/>
    <n v="1"/>
    <n v="27"/>
    <m/>
  </r>
  <r>
    <x v="0"/>
    <s v="NA"/>
    <s v="U.S.A."/>
    <s v="XOM"/>
    <x v="123"/>
    <x v="6"/>
    <x v="25"/>
    <n v="2026"/>
    <n v="1"/>
    <n v="1"/>
    <n v="12.875"/>
    <m/>
  </r>
  <r>
    <x v="0"/>
    <s v="NA"/>
    <s v="U.S.A."/>
    <s v="XOM"/>
    <x v="122"/>
    <x v="3"/>
    <x v="25"/>
    <n v="2026"/>
    <n v="1"/>
    <n v="1"/>
    <n v="0"/>
    <s v="only alky planned IIR reports off for BRRF; discuss with Haley"/>
  </r>
  <r>
    <x v="0"/>
    <s v="NA"/>
    <s v="U.S.A."/>
    <s v="XOM"/>
    <x v="122"/>
    <x v="0"/>
    <x v="25"/>
    <n v="2026"/>
    <n v="1"/>
    <n v="1"/>
    <n v="0"/>
    <s v="only alky planned IIR reports off for BRRF; discuss with Haley"/>
  </r>
  <r>
    <x v="0"/>
    <s v="NA"/>
    <s v="U.S.A."/>
    <s v="XOM"/>
    <x v="123"/>
    <x v="2"/>
    <x v="26"/>
    <n v="2026"/>
    <n v="1"/>
    <n v="6.4516129032258063E-2"/>
    <n v="1.7419354838709677"/>
    <m/>
  </r>
  <r>
    <x v="0"/>
    <s v="NA"/>
    <s v="U.S.A."/>
    <s v="XOM"/>
    <x v="123"/>
    <x v="6"/>
    <x v="26"/>
    <n v="2026"/>
    <n v="1"/>
    <n v="6.4516129032258063E-2"/>
    <n v="0.83064516129032251"/>
    <m/>
  </r>
  <r>
    <x v="0"/>
    <s v="NA"/>
    <s v="U.S.A."/>
    <s v="XOM"/>
    <x v="122"/>
    <x v="2"/>
    <x v="26"/>
    <n v="2026"/>
    <n v="1"/>
    <n v="0.38709677419354838"/>
    <n v="0"/>
    <s v="only alky planned IIR reports off for BRRF; discuss with Haley"/>
  </r>
  <r>
    <x v="0"/>
    <s v="NA"/>
    <s v="U.S.A."/>
    <s v="XOM"/>
    <x v="122"/>
    <x v="3"/>
    <x v="26"/>
    <n v="2026"/>
    <n v="1"/>
    <n v="0.38709677419354838"/>
    <n v="0"/>
    <s v="only alky planned IIR reports off for BRRF; discuss with Haley"/>
  </r>
  <r>
    <x v="0"/>
    <s v="NA"/>
    <s v="U.S.A."/>
    <s v="XOM"/>
    <x v="122"/>
    <x v="0"/>
    <x v="26"/>
    <n v="2026"/>
    <n v="1"/>
    <n v="0.38709677419354838"/>
    <n v="0"/>
    <s v="only alky planned IIR reports off for BRRF; discuss with Haley"/>
  </r>
  <r>
    <x v="0"/>
    <s v="NA"/>
    <s v="U.S.A."/>
    <s v="Valero Refining Company"/>
    <x v="1"/>
    <x v="8"/>
    <x v="25"/>
    <n v="2026"/>
    <n v="1"/>
    <m/>
    <n v="0"/>
    <m/>
  </r>
  <r>
    <x v="0"/>
    <s v="NA"/>
    <s v="U.S.A."/>
    <s v="Valero Refining Company"/>
    <x v="1"/>
    <x v="1"/>
    <x v="25"/>
    <n v="2026"/>
    <n v="1"/>
    <m/>
    <n v="0"/>
    <m/>
  </r>
  <r>
    <x v="0"/>
    <s v="NA"/>
    <s v="U.S.A."/>
    <s v="Valero Refining Company"/>
    <x v="1"/>
    <x v="2"/>
    <x v="25"/>
    <n v="2026"/>
    <n v="1"/>
    <n v="1"/>
    <n v="31.25"/>
    <s v="125 kbd CDU down from 9/5-11/8. Moved to 2/1-4/6/26"/>
  </r>
  <r>
    <x v="0"/>
    <s v="NA"/>
    <s v="U.S.A."/>
    <s v="Valero Refining Company"/>
    <x v="121"/>
    <x v="2"/>
    <x v="25"/>
    <n v="2026"/>
    <n v="1"/>
    <n v="0.8571428571428571"/>
    <n v="8.1428571428571423"/>
    <s v="Split between with reformer and without"/>
  </r>
  <r>
    <x v="0"/>
    <s v="NA"/>
    <s v="U.S.A."/>
    <s v="CITGO Petroleum Corporation"/>
    <x v="5"/>
    <x v="2"/>
    <x v="25"/>
    <n v="2026"/>
    <n v="1"/>
    <n v="1"/>
    <n v="38.75"/>
    <s v="155 CDU down 2/1 - 2/28/26"/>
  </r>
  <r>
    <x v="0"/>
    <s v="NA"/>
    <s v="U.S.A."/>
    <s v="Valero Refining Company"/>
    <x v="1"/>
    <x v="8"/>
    <x v="26"/>
    <n v="2026"/>
    <n v="1"/>
    <m/>
    <n v="0"/>
    <m/>
  </r>
  <r>
    <x v="0"/>
    <s v="NA"/>
    <s v="U.S.A."/>
    <s v="Valero Refining Company"/>
    <x v="1"/>
    <x v="1"/>
    <x v="26"/>
    <n v="2026"/>
    <n v="1"/>
    <m/>
    <n v="0"/>
    <m/>
  </r>
  <r>
    <x v="0"/>
    <s v="NA"/>
    <s v="U.S.A."/>
    <s v="Valero Refining Company"/>
    <x v="1"/>
    <x v="2"/>
    <x v="26"/>
    <n v="2026"/>
    <n v="1"/>
    <n v="1"/>
    <n v="31.25"/>
    <s v="125 kbd CDU down from 9/5-11/8. Moved to 2/1-4/6/26"/>
  </r>
  <r>
    <x v="0"/>
    <s v="NA"/>
    <s v="U.S.A."/>
    <s v="Valero Refining Company"/>
    <x v="1"/>
    <x v="8"/>
    <x v="24"/>
    <n v="2026"/>
    <n v="1"/>
    <m/>
    <n v="0"/>
    <m/>
  </r>
  <r>
    <x v="0"/>
    <s v="NA"/>
    <s v="U.S.A."/>
    <s v="Valero Refining Company"/>
    <x v="1"/>
    <x v="1"/>
    <x v="24"/>
    <n v="2026"/>
    <n v="1"/>
    <m/>
    <n v="0"/>
    <m/>
  </r>
  <r>
    <x v="0"/>
    <s v="NA"/>
    <s v="U.S.A."/>
    <s v="Valero Refining Company"/>
    <x v="1"/>
    <x v="2"/>
    <x v="24"/>
    <n v="2026"/>
    <n v="1"/>
    <n v="0.2"/>
    <n v="6.25"/>
    <s v="125 kbd CDU down from 9/5-11/8. Moved to 2/1-4/6/26"/>
  </r>
  <r>
    <x v="0"/>
    <s v="NA"/>
    <s v="U.S.A."/>
    <s v="Delek US Holdings"/>
    <x v="124"/>
    <x v="2"/>
    <x v="25"/>
    <n v="2026"/>
    <n v="1"/>
    <n v="0.9285714285714286"/>
    <n v="7.4285714285714288"/>
    <m/>
  </r>
  <r>
    <x v="0"/>
    <s v="NA"/>
    <s v="U.S.A."/>
    <s v="Delek US Holdings"/>
    <x v="124"/>
    <x v="0"/>
    <x v="25"/>
    <n v="2026"/>
    <n v="1"/>
    <n v="0.9285714285714286"/>
    <n v="12.628571428571428"/>
    <m/>
  </r>
  <r>
    <x v="0"/>
    <s v="NA"/>
    <s v="U.S.A."/>
    <s v="Delek US Holdings"/>
    <x v="124"/>
    <x v="3"/>
    <x v="25"/>
    <n v="2026"/>
    <n v="1"/>
    <n v="0.9285714285714286"/>
    <n v="12.071428571428571"/>
    <m/>
  </r>
  <r>
    <x v="0"/>
    <s v="NA"/>
    <s v="U.S.A."/>
    <s v="Delek US Holdings"/>
    <x v="124"/>
    <x v="4"/>
    <x v="25"/>
    <n v="2026"/>
    <n v="1"/>
    <n v="0.9285714285714286"/>
    <n v="0"/>
    <s v="0 Alky due to FCC"/>
  </r>
  <r>
    <x v="0"/>
    <s v="NA"/>
    <s v="U.S.A."/>
    <s v="Delek US Holdings"/>
    <x v="124"/>
    <x v="2"/>
    <x v="26"/>
    <n v="2026"/>
    <n v="1"/>
    <n v="1"/>
    <n v="8"/>
    <m/>
  </r>
  <r>
    <x v="0"/>
    <s v="NA"/>
    <s v="U.S.A."/>
    <s v="Delek US Holdings"/>
    <x v="124"/>
    <x v="0"/>
    <x v="26"/>
    <n v="2026"/>
    <n v="1"/>
    <n v="1"/>
    <n v="13.6"/>
    <m/>
  </r>
  <r>
    <x v="0"/>
    <s v="NA"/>
    <s v="U.S.A."/>
    <s v="Delek US Holdings"/>
    <x v="124"/>
    <x v="3"/>
    <x v="26"/>
    <n v="2026"/>
    <n v="1"/>
    <n v="1"/>
    <n v="13"/>
    <m/>
  </r>
  <r>
    <x v="0"/>
    <s v="NA"/>
    <s v="U.S.A."/>
    <s v="Delek US Holdings"/>
    <x v="124"/>
    <x v="4"/>
    <x v="26"/>
    <n v="2026"/>
    <n v="1"/>
    <n v="1"/>
    <n v="0"/>
    <s v="0 Alky due to FCC"/>
  </r>
  <r>
    <x v="0"/>
    <s v="NA"/>
    <s v="U.S.A."/>
    <s v="Delek US Holdings"/>
    <x v="124"/>
    <x v="2"/>
    <x v="24"/>
    <n v="2026"/>
    <n v="1"/>
    <n v="6.6666666666666666E-2"/>
    <n v="0.53333333333333333"/>
    <m/>
  </r>
  <r>
    <x v="0"/>
    <s v="NA"/>
    <s v="U.S.A."/>
    <s v="Delek US Holdings"/>
    <x v="124"/>
    <x v="0"/>
    <x v="24"/>
    <n v="2026"/>
    <n v="1"/>
    <n v="6.6666666666666666E-2"/>
    <n v="0.90666666666666662"/>
    <m/>
  </r>
  <r>
    <x v="0"/>
    <s v="NA"/>
    <s v="U.S.A."/>
    <s v="Delek US Holdings"/>
    <x v="124"/>
    <x v="3"/>
    <x v="24"/>
    <n v="2026"/>
    <n v="1"/>
    <n v="6.6666666666666666E-2"/>
    <n v="0.8666666666666667"/>
    <m/>
  </r>
  <r>
    <x v="0"/>
    <s v="NA"/>
    <s v="U.S.A."/>
    <s v="Delek US Holdings"/>
    <x v="124"/>
    <x v="4"/>
    <x v="24"/>
    <n v="2026"/>
    <n v="1"/>
    <n v="6.6666666666666666E-2"/>
    <n v="0"/>
    <s v="0 Alky due to FCC"/>
  </r>
  <r>
    <x v="0"/>
    <s v="NA"/>
    <s v="U.S.A."/>
    <s v="Shell Oil Products US"/>
    <x v="78"/>
    <x v="0"/>
    <x v="25"/>
    <n v="2026"/>
    <n v="1"/>
    <n v="0.8571428571428571"/>
    <n v="29.142857142857142"/>
    <m/>
  </r>
  <r>
    <x v="0"/>
    <s v="NA"/>
    <s v="U.S.A."/>
    <s v="Shell Oil Products US"/>
    <x v="78"/>
    <x v="0"/>
    <x v="26"/>
    <n v="2026"/>
    <n v="1"/>
    <n v="0.4838709677419355"/>
    <n v="16.451612903225808"/>
    <m/>
  </r>
  <r>
    <x v="0"/>
    <s v="NA"/>
    <s v="U.S.A."/>
    <s v="Hunt Refining Company"/>
    <x v="89"/>
    <x v="2"/>
    <x v="25"/>
    <n v="2026"/>
    <n v="1"/>
    <n v="0.7857142857142857"/>
    <n v="1.9642857142857142"/>
    <m/>
  </r>
  <r>
    <x v="0"/>
    <s v="NA"/>
    <s v="U.S.A."/>
    <s v="Hunt Refining Company"/>
    <x v="89"/>
    <x v="2"/>
    <x v="26"/>
    <n v="2026"/>
    <n v="1"/>
    <n v="3.2258064516129031E-2"/>
    <n v="8.0645161290322578E-2"/>
    <m/>
  </r>
  <r>
    <x v="0"/>
    <s v="NA"/>
    <s v="U.S.A."/>
    <s v="Vertex Energy"/>
    <x v="81"/>
    <x v="2"/>
    <x v="25"/>
    <n v="2026"/>
    <n v="1"/>
    <n v="0.6785714285714286"/>
    <n v="2.7142857142857144"/>
    <m/>
  </r>
  <r>
    <x v="0"/>
    <s v="NA"/>
    <s v="U.S.A."/>
    <s v="Vertex Energy"/>
    <x v="81"/>
    <x v="0"/>
    <x v="25"/>
    <n v="2026"/>
    <n v="1"/>
    <n v="0.6785714285714286"/>
    <n v="4.0375000000000005"/>
    <m/>
  </r>
  <r>
    <x v="0"/>
    <s v="NA"/>
    <s v="U.S.A."/>
    <s v="Vertex Energy"/>
    <x v="81"/>
    <x v="2"/>
    <x v="26"/>
    <n v="2026"/>
    <n v="1"/>
    <n v="0.4838709677419355"/>
    <n v="1.935483870967742"/>
    <m/>
  </r>
  <r>
    <x v="0"/>
    <s v="NA"/>
    <s v="U.S.A."/>
    <s v="Vertex Energy"/>
    <x v="81"/>
    <x v="0"/>
    <x v="26"/>
    <n v="2026"/>
    <n v="1"/>
    <n v="0.4838709677419355"/>
    <n v="2.8790322580645165"/>
    <m/>
  </r>
  <r>
    <x v="0"/>
    <s v="NA"/>
    <s v="U.S.A."/>
    <s v="Delek US Holdings"/>
    <x v="125"/>
    <x v="2"/>
    <x v="25"/>
    <n v="2026"/>
    <n v="1"/>
    <n v="0.5357142857142857"/>
    <n v="3.910714285714286"/>
    <s v="73 kbd CDU down 2/13-3/25/26"/>
  </r>
  <r>
    <x v="0"/>
    <s v="NA"/>
    <s v="U.S.A."/>
    <s v="Delek US Holdings"/>
    <x v="125"/>
    <x v="3"/>
    <x v="25"/>
    <n v="2026"/>
    <n v="1"/>
    <n v="0.5357142857142857"/>
    <n v="8.7053571428571423"/>
    <s v="25 kbd FCC down  2/13-3/25/26"/>
  </r>
  <r>
    <x v="0"/>
    <s v="NA"/>
    <s v="U.S.A."/>
    <s v="Delek US Holdings"/>
    <x v="125"/>
    <x v="4"/>
    <x v="25"/>
    <n v="2026"/>
    <n v="1"/>
    <n v="0.5357142857142857"/>
    <n v="0"/>
    <s v="0 Alky due to FCC"/>
  </r>
  <r>
    <x v="0"/>
    <s v="NA"/>
    <s v="U.S.A."/>
    <s v="Delek US Holdings"/>
    <x v="125"/>
    <x v="0"/>
    <x v="25"/>
    <n v="2026"/>
    <n v="1"/>
    <n v="0.5357142857142857"/>
    <n v="9.5624999999999982"/>
    <s v="21 kbd reformer down  2/13/2026-3/25/2026"/>
  </r>
  <r>
    <x v="0"/>
    <s v="NA"/>
    <s v="U.S.A."/>
    <s v="Delek US Holdings"/>
    <x v="125"/>
    <x v="2"/>
    <x v="26"/>
    <n v="2026"/>
    <n v="1"/>
    <n v="0.80645161290322576"/>
    <n v="5.8870967741935489"/>
    <s v="73 kbd CDU down 2/13-3/25/26"/>
  </r>
  <r>
    <x v="0"/>
    <s v="NA"/>
    <s v="U.S.A."/>
    <s v="Delek US Holdings"/>
    <x v="125"/>
    <x v="3"/>
    <x v="26"/>
    <n v="2026"/>
    <n v="1"/>
    <n v="0.80645161290322576"/>
    <n v="13.104838709677418"/>
    <s v="25 kbd FCC down  2/13-3/25/26"/>
  </r>
  <r>
    <x v="0"/>
    <s v="NA"/>
    <s v="U.S.A."/>
    <s v="Delek US Holdings"/>
    <x v="125"/>
    <x v="4"/>
    <x v="26"/>
    <n v="2026"/>
    <n v="1"/>
    <n v="0.80645161290322576"/>
    <n v="0"/>
    <s v="0 Alky due to FCC"/>
  </r>
  <r>
    <x v="0"/>
    <s v="NA"/>
    <s v="U.S.A."/>
    <s v="Delek US Holdings"/>
    <x v="125"/>
    <x v="0"/>
    <x v="26"/>
    <n v="2026"/>
    <n v="1"/>
    <n v="0.80645161290322576"/>
    <n v="14.395161290322578"/>
    <s v="21 kbd reformer down  2/13/2026-3/25/2026"/>
  </r>
  <r>
    <x v="0"/>
    <s v="NA"/>
    <s v="U.S.A."/>
    <s v="XOM"/>
    <x v="126"/>
    <x v="2"/>
    <x v="25"/>
    <n v="2026"/>
    <n v="1"/>
    <n v="0.5"/>
    <n v="22.5"/>
    <s v="IIR date range different from company plan"/>
  </r>
  <r>
    <x v="0"/>
    <s v="NA"/>
    <s v="U.S.A."/>
    <s v="XOM"/>
    <x v="126"/>
    <x v="2"/>
    <x v="26"/>
    <n v="2026"/>
    <n v="1"/>
    <n v="0.77419354838709675"/>
    <n v="34.838709677419352"/>
    <s v="IIR date range different from company plan"/>
  </r>
  <r>
    <x v="0"/>
    <s v="NA"/>
    <s v="U.S.A."/>
    <s v="Valero Refining Company"/>
    <x v="121"/>
    <x v="2"/>
    <x v="25"/>
    <n v="2026"/>
    <n v="1"/>
    <n v="0.14285714285714285"/>
    <n v="3.3928571428571428"/>
    <s v="Split between with reformer and without"/>
  </r>
  <r>
    <x v="0"/>
    <s v="NA"/>
    <s v="U.S.A."/>
    <s v="Valero Refining Company"/>
    <x v="121"/>
    <x v="2"/>
    <x v="26"/>
    <n v="2026"/>
    <n v="1"/>
    <n v="0.54838709677419351"/>
    <n v="13.024193548387096"/>
    <s v="Split between with reformer and without"/>
  </r>
  <r>
    <x v="0"/>
    <s v="NA"/>
    <s v="U.S.A."/>
    <s v="Cross Oil Refining &amp; Marketing Incorporated"/>
    <x v="37"/>
    <x v="2"/>
    <x v="26"/>
    <n v="2026"/>
    <n v="1"/>
    <n v="0.35483870967741937"/>
    <n v="0.62096774193548387"/>
    <m/>
  </r>
  <r>
    <x v="0"/>
    <s v="NA"/>
    <s v="U.S.A."/>
    <s v="Cross Oil Refining &amp; Marketing Incorporated"/>
    <x v="37"/>
    <x v="2"/>
    <x v="24"/>
    <n v="2026"/>
    <n v="1"/>
    <n v="0.26666666666666666"/>
    <n v="0.46666666666666667"/>
    <m/>
  </r>
  <r>
    <x v="0"/>
    <s v="NA"/>
    <s v="U.S.A."/>
    <s v="Placid Refining Company LLC"/>
    <x v="127"/>
    <x v="2"/>
    <x v="24"/>
    <n v="2026"/>
    <n v="1"/>
    <n v="0.9"/>
    <n v="7.2"/>
    <m/>
  </r>
  <r>
    <x v="0"/>
    <s v="NA"/>
    <s v="U.S.A."/>
    <s v="Placid Refining Company LLC"/>
    <x v="127"/>
    <x v="0"/>
    <x v="24"/>
    <n v="2026"/>
    <n v="1"/>
    <n v="0.9"/>
    <n v="8.4149999999999991"/>
    <m/>
  </r>
  <r>
    <x v="0"/>
    <s v="NA"/>
    <s v="U.S.A."/>
    <s v="Placid Refining Company LLC"/>
    <x v="127"/>
    <x v="3"/>
    <x v="24"/>
    <n v="2026"/>
    <n v="1"/>
    <n v="0.9"/>
    <n v="13.7475"/>
    <m/>
  </r>
  <r>
    <x v="0"/>
    <s v="NA"/>
    <s v="U.S.A."/>
    <s v="Placid Refining Company LLC"/>
    <x v="127"/>
    <x v="4"/>
    <x v="24"/>
    <n v="2026"/>
    <n v="1"/>
    <n v="0.9"/>
    <n v="0"/>
    <s v="0 for Alky due to FCC being down"/>
  </r>
  <r>
    <x v="0"/>
    <s v="NA"/>
    <s v="U.S.A."/>
    <s v="Placid Refining Company LLC"/>
    <x v="127"/>
    <x v="2"/>
    <x v="27"/>
    <n v="2026"/>
    <n v="1"/>
    <n v="0.22580645161290322"/>
    <n v="1.8064516129032258"/>
    <m/>
  </r>
  <r>
    <x v="0"/>
    <s v="NA"/>
    <s v="U.S.A."/>
    <s v="Placid Refining Company LLC"/>
    <x v="127"/>
    <x v="0"/>
    <x v="27"/>
    <n v="2026"/>
    <n v="1"/>
    <n v="0.22580645161290322"/>
    <n v="2.1112903225806452"/>
    <m/>
  </r>
  <r>
    <x v="0"/>
    <s v="NA"/>
    <s v="U.S.A."/>
    <s v="Placid Refining Company LLC"/>
    <x v="127"/>
    <x v="3"/>
    <x v="27"/>
    <n v="2026"/>
    <n v="1"/>
    <n v="0.22580645161290322"/>
    <n v="3.4491935483870968"/>
    <m/>
  </r>
  <r>
    <x v="0"/>
    <s v="NA"/>
    <s v="U.S.A."/>
    <s v="Placid Refining Company LLC"/>
    <x v="127"/>
    <x v="4"/>
    <x v="27"/>
    <n v="2026"/>
    <n v="1"/>
    <n v="0.22580645161290322"/>
    <n v="0"/>
    <s v="0 for Alky due to FCC being down"/>
  </r>
  <r>
    <x v="0"/>
    <s v="NA"/>
    <s v="U.S.A."/>
    <s v="Valero Refining Company"/>
    <x v="76"/>
    <x v="5"/>
    <x v="27"/>
    <n v="2026"/>
    <n v="1"/>
    <n v="0.93548387096774188"/>
    <n v="2.57258064516129"/>
    <m/>
  </r>
  <r>
    <x v="0"/>
    <s v="NA"/>
    <s v="U.S.A."/>
    <s v="Valero Refining Company"/>
    <x v="76"/>
    <x v="5"/>
    <x v="32"/>
    <n v="2026"/>
    <n v="1"/>
    <n v="1"/>
    <n v="2.75"/>
    <m/>
  </r>
  <r>
    <x v="0"/>
    <s v="NA"/>
    <s v="U.S.A."/>
    <s v="Valero Refining Company"/>
    <x v="62"/>
    <x v="5"/>
    <x v="33"/>
    <n v="2026"/>
    <n v="1"/>
    <n v="0.61290322580645162"/>
    <n v="0.91935483870967749"/>
    <m/>
  </r>
  <r>
    <x v="0"/>
    <s v="NA"/>
    <s v="U.S.A."/>
    <s v="Valero Refining Company"/>
    <x v="62"/>
    <x v="5"/>
    <x v="34"/>
    <n v="2026"/>
    <n v="1"/>
    <n v="0.73333333333333328"/>
    <n v="1.0999999999999999"/>
    <m/>
  </r>
  <r>
    <x v="0"/>
    <s v="NA"/>
    <s v="U.S.A."/>
    <s v="XOM"/>
    <x v="123"/>
    <x v="13"/>
    <x v="29"/>
    <n v="2026"/>
    <m/>
    <m/>
    <m/>
    <s v="October 2026: HF3 R-2 C/O – 20 kbd reformer cut"/>
  </r>
  <r>
    <x v="0"/>
    <s v="NA"/>
    <s v="U.S.A."/>
    <s v="XOM"/>
    <x v="123"/>
    <x v="13"/>
    <x v="30"/>
    <n v="2026"/>
    <m/>
    <m/>
    <m/>
    <s v="November 2026: HF4 C/Os – 13 kbd reformer cut"/>
  </r>
  <r>
    <x v="4"/>
    <s v="NA"/>
    <s v="U.S.A."/>
    <s v="Big West Oil LLC"/>
    <x v="29"/>
    <x v="4"/>
    <x v="25"/>
    <n v="2026"/>
    <n v="1"/>
    <n v="1"/>
    <n v="0"/>
    <s v="Zeroing out Alky since FCC is OOS as well"/>
  </r>
  <r>
    <x v="4"/>
    <s v="NA"/>
    <s v="U.S.A."/>
    <s v="Big West Oil LLC"/>
    <x v="29"/>
    <x v="3"/>
    <x v="25"/>
    <n v="2026"/>
    <n v="1"/>
    <n v="1"/>
    <n v="7.15"/>
    <s v="11.5 kbd FCC down 9/1-9/30. moved to 2/6-3/7/26"/>
  </r>
  <r>
    <x v="4"/>
    <s v="NA"/>
    <s v="U.S.A."/>
    <s v="Big West Oil LLC"/>
    <x v="29"/>
    <x v="2"/>
    <x v="25"/>
    <n v="2026"/>
    <n v="1"/>
    <n v="1"/>
    <n v="3.1"/>
    <s v="11.5 kbd FCC down 9/1-9/30. moved to 2/6-3/7/26"/>
  </r>
  <r>
    <x v="4"/>
    <s v="NA"/>
    <s v="U.S.A."/>
    <s v="Big West Oil LLC"/>
    <x v="29"/>
    <x v="0"/>
    <x v="25"/>
    <n v="2026"/>
    <n v="1"/>
    <n v="1"/>
    <n v="8.5"/>
    <m/>
  </r>
  <r>
    <x v="4"/>
    <s v="NA"/>
    <s v="U.S.A."/>
    <s v="Big West Oil LLC"/>
    <x v="29"/>
    <x v="4"/>
    <x v="26"/>
    <n v="2026"/>
    <n v="1"/>
    <n v="0.22580645161290322"/>
    <n v="0"/>
    <s v="Zeroing out Alky since FCC is OOS as well"/>
  </r>
  <r>
    <x v="4"/>
    <s v="NA"/>
    <s v="U.S.A."/>
    <s v="Big West Oil LLC"/>
    <x v="29"/>
    <x v="3"/>
    <x v="26"/>
    <n v="2026"/>
    <n v="1"/>
    <n v="0.22580645161290322"/>
    <n v="1.6145161290322581"/>
    <s v="11.5 kbd FCC down 9/1-9/30. moved to 2/6-3/7/26"/>
  </r>
  <r>
    <x v="4"/>
    <s v="NA"/>
    <s v="U.S.A."/>
    <s v="Big West Oil LLC"/>
    <x v="29"/>
    <x v="2"/>
    <x v="26"/>
    <n v="2026"/>
    <n v="1"/>
    <n v="0.22580645161290322"/>
    <n v="0.70000000000000007"/>
    <s v="11.5 kbd FCC down 9/1-9/30. moved to 2/6-3/7/26"/>
  </r>
  <r>
    <x v="4"/>
    <s v="NA"/>
    <s v="U.S.A."/>
    <s v="Big West Oil LLC"/>
    <x v="29"/>
    <x v="0"/>
    <x v="26"/>
    <n v="2026"/>
    <n v="1"/>
    <n v="0.22580645161290322"/>
    <n v="1.9193548387096773"/>
    <m/>
  </r>
  <r>
    <x v="4"/>
    <s v="NA"/>
    <s v="U.S.A."/>
    <s v="HF Sinclair Corporation"/>
    <x v="51"/>
    <x v="2"/>
    <x v="26"/>
    <n v="2026"/>
    <n v="1"/>
    <n v="1"/>
    <n v="4.5"/>
    <m/>
  </r>
  <r>
    <x v="4"/>
    <s v="NA"/>
    <s v="U.S.A."/>
    <s v="HF Sinclair Corporation"/>
    <x v="51"/>
    <x v="2"/>
    <x v="24"/>
    <n v="2026"/>
    <n v="1"/>
    <n v="1"/>
    <n v="4.5"/>
    <m/>
  </r>
  <r>
    <x v="4"/>
    <s v="NA"/>
    <s v="U.S.A."/>
    <s v="HF Sinclair Corporation"/>
    <x v="51"/>
    <x v="2"/>
    <x v="27"/>
    <n v="2026"/>
    <n v="1"/>
    <n v="0.12903225806451613"/>
    <n v="0.58064516129032251"/>
    <m/>
  </r>
  <r>
    <x v="4"/>
    <s v="NA"/>
    <s v="U.S.A."/>
    <s v="HF Sinclair Corporation"/>
    <x v="51"/>
    <x v="5"/>
    <x v="26"/>
    <n v="2026"/>
    <n v="1"/>
    <n v="1"/>
    <n v="0.75"/>
    <m/>
  </r>
  <r>
    <x v="4"/>
    <s v="NA"/>
    <s v="U.S.A."/>
    <s v="HF Sinclair Corporation"/>
    <x v="51"/>
    <x v="5"/>
    <x v="24"/>
    <n v="2026"/>
    <n v="1"/>
    <n v="1"/>
    <n v="0.75"/>
    <m/>
  </r>
  <r>
    <x v="4"/>
    <s v="NA"/>
    <s v="U.S.A."/>
    <s v="HF Sinclair Corporation"/>
    <x v="51"/>
    <x v="5"/>
    <x v="27"/>
    <n v="2026"/>
    <n v="1"/>
    <n v="0.12903225806451613"/>
    <n v="9.6774193548387094E-2"/>
    <m/>
  </r>
  <r>
    <x v="4"/>
    <s v="NA"/>
    <s v="U.S.A."/>
    <s v="HF Sinclair Corporation"/>
    <x v="51"/>
    <x v="3"/>
    <x v="26"/>
    <n v="2026"/>
    <n v="1"/>
    <n v="1"/>
    <n v="11.309999999999999"/>
    <m/>
  </r>
  <r>
    <x v="4"/>
    <s v="NA"/>
    <s v="U.S.A."/>
    <s v="HF Sinclair Corporation"/>
    <x v="51"/>
    <x v="3"/>
    <x v="24"/>
    <n v="2026"/>
    <n v="1"/>
    <n v="1"/>
    <n v="11.309999999999999"/>
    <m/>
  </r>
  <r>
    <x v="4"/>
    <s v="NA"/>
    <s v="U.S.A."/>
    <s v="HF Sinclair Corporation"/>
    <x v="51"/>
    <x v="3"/>
    <x v="27"/>
    <n v="2026"/>
    <n v="1"/>
    <n v="0.12903225806451613"/>
    <n v="1.4593548387096773"/>
    <m/>
  </r>
  <r>
    <x v="4"/>
    <s v="NA"/>
    <s v="U.S.A."/>
    <s v="HF Sinclair Corporation"/>
    <x v="51"/>
    <x v="4"/>
    <x v="26"/>
    <n v="2026"/>
    <n v="1"/>
    <n v="1"/>
    <n v="0"/>
    <s v="0 Alky due to FCC"/>
  </r>
  <r>
    <x v="4"/>
    <s v="NA"/>
    <s v="U.S.A."/>
    <s v="HF Sinclair Corporation"/>
    <x v="51"/>
    <x v="4"/>
    <x v="24"/>
    <n v="2026"/>
    <n v="1"/>
    <n v="1"/>
    <n v="0"/>
    <m/>
  </r>
  <r>
    <x v="4"/>
    <s v="NA"/>
    <s v="U.S.A."/>
    <s v="HF Sinclair Corporation"/>
    <x v="51"/>
    <x v="4"/>
    <x v="27"/>
    <n v="2026"/>
    <n v="1"/>
    <n v="0.12903225806451613"/>
    <n v="0"/>
    <m/>
  </r>
  <r>
    <x v="4"/>
    <s v="NA"/>
    <s v="U.S.A."/>
    <s v="HF Sinclair Corporation"/>
    <x v="51"/>
    <x v="0"/>
    <x v="26"/>
    <n v="2026"/>
    <n v="1"/>
    <n v="1"/>
    <n v="6.8"/>
    <m/>
  </r>
  <r>
    <x v="4"/>
    <s v="NA"/>
    <s v="U.S.A."/>
    <s v="HF Sinclair Corporation"/>
    <x v="51"/>
    <x v="0"/>
    <x v="24"/>
    <n v="2026"/>
    <n v="1"/>
    <n v="1"/>
    <n v="6.8"/>
    <m/>
  </r>
  <r>
    <x v="4"/>
    <s v="NA"/>
    <s v="U.S.A."/>
    <s v="HF Sinclair Corporation"/>
    <x v="51"/>
    <x v="0"/>
    <x v="27"/>
    <n v="2026"/>
    <n v="1"/>
    <n v="0.12903225806451613"/>
    <n v="0.87741935483870959"/>
    <m/>
  </r>
  <r>
    <x v="4"/>
    <s v="NA"/>
    <s v="U.S.A."/>
    <s v="HF Sinclair Corporation"/>
    <x v="128"/>
    <x v="2"/>
    <x v="26"/>
    <n v="2026"/>
    <n v="1"/>
    <n v="0.80645161290322576"/>
    <n v="2.0161290322580645"/>
    <m/>
  </r>
  <r>
    <x v="4"/>
    <s v="NA"/>
    <s v="U.S.A."/>
    <s v="HF Sinclair Corporation"/>
    <x v="128"/>
    <x v="2"/>
    <x v="24"/>
    <n v="2026"/>
    <n v="1"/>
    <n v="0.45161290322580644"/>
    <n v="1.129032258064516"/>
    <m/>
  </r>
  <r>
    <x v="4"/>
    <s v="NA"/>
    <s v="U.S.A."/>
    <s v="Wyoming Refining Company"/>
    <x v="129"/>
    <x v="2"/>
    <x v="26"/>
    <n v="2026"/>
    <n v="1"/>
    <n v="0.80645161290322576"/>
    <n v="1.6129032258064515"/>
    <m/>
  </r>
  <r>
    <x v="4"/>
    <s v="NA"/>
    <s v="U.S.A."/>
    <s v="Wyoming Refining Company"/>
    <x v="129"/>
    <x v="2"/>
    <x v="24"/>
    <n v="2026"/>
    <n v="1"/>
    <n v="0.8"/>
    <n v="1.6"/>
    <m/>
  </r>
  <r>
    <x v="4"/>
    <s v="NA"/>
    <s v="U.S.A."/>
    <s v="Suncor Energy Incorporated"/>
    <x v="130"/>
    <x v="2"/>
    <x v="26"/>
    <n v="2026"/>
    <n v="1"/>
    <n v="0.80645161290322576"/>
    <n v="5.6451612903225801"/>
    <m/>
  </r>
  <r>
    <x v="4"/>
    <s v="NA"/>
    <s v="U.S.A."/>
    <s v="Suncor Energy Incorporated"/>
    <x v="130"/>
    <x v="2"/>
    <x v="24"/>
    <n v="2026"/>
    <n v="1"/>
    <n v="0.3"/>
    <n v="2.1"/>
    <m/>
  </r>
  <r>
    <x v="4"/>
    <s v="NA"/>
    <s v="U.S.A."/>
    <s v="HF Sinclair Corporation"/>
    <x v="128"/>
    <x v="3"/>
    <x v="26"/>
    <n v="2026"/>
    <n v="1"/>
    <n v="0.80645161290322576"/>
    <n v="6.8145161290322589"/>
    <m/>
  </r>
  <r>
    <x v="4"/>
    <s v="NA"/>
    <s v="U.S.A."/>
    <s v="HF Sinclair Corporation"/>
    <x v="128"/>
    <x v="3"/>
    <x v="24"/>
    <n v="2026"/>
    <n v="1"/>
    <n v="0.45161290322580644"/>
    <n v="3.8161290322580648"/>
    <m/>
  </r>
  <r>
    <x v="4"/>
    <s v="NA"/>
    <s v="U.S.A."/>
    <s v="Wyoming Refining Company"/>
    <x v="129"/>
    <x v="3"/>
    <x v="26"/>
    <n v="2026"/>
    <n v="1"/>
    <n v="0.80645161290322576"/>
    <n v="2.883064516129032"/>
    <m/>
  </r>
  <r>
    <x v="4"/>
    <s v="NA"/>
    <s v="U.S.A."/>
    <s v="Wyoming Refining Company"/>
    <x v="129"/>
    <x v="3"/>
    <x v="24"/>
    <n v="2026"/>
    <n v="1"/>
    <n v="0.8"/>
    <n v="2.8600000000000003"/>
    <m/>
  </r>
  <r>
    <x v="4"/>
    <s v="NA"/>
    <s v="U.S.A."/>
    <s v="Suncor Energy Incorporated"/>
    <x v="130"/>
    <x v="3"/>
    <x v="26"/>
    <n v="2026"/>
    <n v="1"/>
    <n v="0.80645161290322576"/>
    <n v="14.834677419354838"/>
    <m/>
  </r>
  <r>
    <x v="4"/>
    <s v="NA"/>
    <s v="U.S.A."/>
    <s v="Suncor Energy Incorporated"/>
    <x v="130"/>
    <x v="3"/>
    <x v="24"/>
    <n v="2026"/>
    <n v="1"/>
    <n v="0.3"/>
    <n v="5.5184999999999995"/>
    <m/>
  </r>
  <r>
    <x v="4"/>
    <s v="NA"/>
    <s v="U.S.A."/>
    <s v="HF Sinclair Corporation"/>
    <x v="128"/>
    <x v="0"/>
    <x v="26"/>
    <n v="2026"/>
    <n v="1"/>
    <n v="0.80645161290322576"/>
    <n v="5.1411290322580641"/>
    <m/>
  </r>
  <r>
    <x v="4"/>
    <s v="NA"/>
    <s v="U.S.A."/>
    <s v="HF Sinclair Corporation"/>
    <x v="128"/>
    <x v="0"/>
    <x v="24"/>
    <n v="2026"/>
    <n v="1"/>
    <n v="0.45161290322580644"/>
    <n v="2.879032258064516"/>
    <m/>
  </r>
  <r>
    <x v="4"/>
    <s v="NA"/>
    <s v="U.S.A."/>
    <s v="Wyoming Refining Company"/>
    <x v="129"/>
    <x v="0"/>
    <x v="26"/>
    <n v="2026"/>
    <n v="1"/>
    <n v="0.80645161290322576"/>
    <n v="2.193548387096774"/>
    <m/>
  </r>
  <r>
    <x v="4"/>
    <s v="NA"/>
    <s v="U.S.A."/>
    <s v="Wyoming Refining Company"/>
    <x v="129"/>
    <x v="0"/>
    <x v="24"/>
    <n v="2026"/>
    <n v="1"/>
    <n v="0.8"/>
    <n v="2.1760000000000002"/>
    <m/>
  </r>
  <r>
    <x v="4"/>
    <s v="NA"/>
    <s v="U.S.A."/>
    <s v="Suncor Energy Incorporated"/>
    <x v="130"/>
    <x v="0"/>
    <x v="26"/>
    <n v="2026"/>
    <n v="1"/>
    <n v="0.80645161290322576"/>
    <n v="6.854838709677419"/>
    <m/>
  </r>
  <r>
    <x v="4"/>
    <s v="NA"/>
    <s v="U.S.A."/>
    <s v="Suncor Energy Incorporated"/>
    <x v="130"/>
    <x v="0"/>
    <x v="24"/>
    <n v="2026"/>
    <n v="1"/>
    <n v="0.3"/>
    <n v="2.5499999999999998"/>
    <m/>
  </r>
  <r>
    <x v="4"/>
    <s v="NA"/>
    <s v="U.S.A."/>
    <s v="Par Pacific Holdings Incorporated"/>
    <x v="67"/>
    <x v="2"/>
    <x v="24"/>
    <n v="2026"/>
    <n v="1"/>
    <n v="1"/>
    <n v="15.75"/>
    <m/>
  </r>
  <r>
    <x v="4"/>
    <s v="NA"/>
    <s v="U.S.A."/>
    <s v="Silver Eagle Refining Incorporated"/>
    <x v="131"/>
    <x v="2"/>
    <x v="24"/>
    <n v="2026"/>
    <n v="1"/>
    <n v="0.43333333333333335"/>
    <n v="0.14733333333333334"/>
    <m/>
  </r>
  <r>
    <x v="4"/>
    <s v="NA"/>
    <s v="U.S.A."/>
    <s v="Silver Eagle Refining Incorporated"/>
    <x v="131"/>
    <x v="0"/>
    <x v="24"/>
    <n v="2026"/>
    <n v="1"/>
    <n v="0.43333333333333335"/>
    <n v="1.105"/>
    <m/>
  </r>
  <r>
    <x v="4"/>
    <s v="NA"/>
    <s v="U.S.A."/>
    <s v="Chevron Corporation"/>
    <x v="41"/>
    <x v="3"/>
    <x v="29"/>
    <n v="2026"/>
    <n v="1"/>
    <n v="0.45161290322580644"/>
    <n v="3.8161290322580648"/>
    <s v="13 kbd FCC down 10/17-12/6. Moved to 10/17-12/6/26"/>
  </r>
  <r>
    <x v="4"/>
    <s v="NA"/>
    <s v="U.S.A."/>
    <s v="Chevron Corporation"/>
    <x v="41"/>
    <x v="1"/>
    <x v="29"/>
    <n v="2026"/>
    <n v="1"/>
    <n v="0.45161290322580644"/>
    <n v="0"/>
    <m/>
  </r>
  <r>
    <x v="4"/>
    <s v="NA"/>
    <s v="U.S.A."/>
    <s v="Chevron Corporation"/>
    <x v="41"/>
    <x v="0"/>
    <x v="29"/>
    <n v="2026"/>
    <n v="1"/>
    <n v="0.45161290322580644"/>
    <n v="3.0709677419354837"/>
    <s v="8 kbd reformer down 10/17-12/6.  Moved to 10/17-12/6/26"/>
  </r>
  <r>
    <x v="4"/>
    <s v="NA"/>
    <s v="U.S.A."/>
    <s v="Chevron Corporation"/>
    <x v="41"/>
    <x v="3"/>
    <x v="30"/>
    <n v="2026"/>
    <n v="1"/>
    <n v="1"/>
    <n v="8.4500000000000011"/>
    <s v="13 kbd FCC down 10/17-12/6. Moved to 10/17-12/6/26"/>
  </r>
  <r>
    <x v="4"/>
    <s v="NA"/>
    <s v="U.S.A."/>
    <s v="Chevron Corporation"/>
    <x v="41"/>
    <x v="1"/>
    <x v="30"/>
    <n v="2026"/>
    <n v="1"/>
    <n v="1"/>
    <n v="0"/>
    <m/>
  </r>
  <r>
    <x v="4"/>
    <s v="NA"/>
    <s v="U.S.A."/>
    <s v="Chevron Corporation"/>
    <x v="41"/>
    <x v="0"/>
    <x v="30"/>
    <n v="2026"/>
    <n v="1"/>
    <n v="1"/>
    <n v="6.8"/>
    <s v="8 kbd reformer down 10/17-12/6. Moved to 10/17-12/6/26"/>
  </r>
  <r>
    <x v="4"/>
    <s v="NA"/>
    <s v="U.S.A."/>
    <s v="Chevron Corporation"/>
    <x v="41"/>
    <x v="3"/>
    <x v="35"/>
    <n v="2026"/>
    <n v="1"/>
    <n v="0.19354838709677419"/>
    <n v="1.6354838709677419"/>
    <s v="13 kbd FCC down 10/17-12/6. Moved to 10/17-12/6/26"/>
  </r>
  <r>
    <x v="4"/>
    <s v="NA"/>
    <s v="U.S.A."/>
    <s v="Chevron Corporation"/>
    <x v="41"/>
    <x v="1"/>
    <x v="35"/>
    <n v="2026"/>
    <n v="1"/>
    <n v="0.19354838709677419"/>
    <n v="0"/>
    <m/>
  </r>
  <r>
    <x v="4"/>
    <s v="NA"/>
    <s v="U.S.A."/>
    <s v="Chevron Corporation"/>
    <x v="41"/>
    <x v="0"/>
    <x v="35"/>
    <n v="2026"/>
    <n v="1"/>
    <n v="0.19354838709677419"/>
    <n v="1.3161290322580645"/>
    <s v="8 kbd reformer down 10/17-12/6. Moved to 10/17-12/6/26"/>
  </r>
  <r>
    <x v="1"/>
    <s v="NA"/>
    <s v="U.S.A."/>
    <s v="Torrance Refining Company LLC"/>
    <x v="92"/>
    <x v="6"/>
    <x v="31"/>
    <n v="2026"/>
    <n v="1"/>
    <n v="0.32258064516129031"/>
    <n v="0.8032258064516129"/>
    <s v="8.3kbd coker 11/27-1/10"/>
  </r>
  <r>
    <x v="1"/>
    <s v="NA"/>
    <s v="U.S.A."/>
    <s v="Marathon Petroleum Corporation"/>
    <x v="132"/>
    <x v="2"/>
    <x v="31"/>
    <n v="2026"/>
    <n v="1"/>
    <n v="1"/>
    <n v="10.3"/>
    <s v="Tar Confirmed 01/2025."/>
  </r>
  <r>
    <x v="1"/>
    <s v="NA"/>
    <s v="U.S.A."/>
    <s v="Marathon Petroleum Corporation"/>
    <x v="132"/>
    <x v="2"/>
    <x v="25"/>
    <n v="2026"/>
    <n v="1"/>
    <n v="7.1428571428571425E-2"/>
    <n v="0.73571428571428577"/>
    <s v="Tar Confirmed 01/2025."/>
  </r>
  <r>
    <x v="1"/>
    <s v="NA"/>
    <s v="U.S.A."/>
    <s v="Marathon Petroleum Corporation"/>
    <x v="132"/>
    <x v="4"/>
    <x v="24"/>
    <n v="2026"/>
    <n v="1"/>
    <n v="1"/>
    <n v="11.399999999999999"/>
    <m/>
  </r>
  <r>
    <x v="1"/>
    <s v="NA"/>
    <s v="U.S.A."/>
    <s v="Marathon Petroleum Corporation"/>
    <x v="132"/>
    <x v="4"/>
    <x v="27"/>
    <n v="2026"/>
    <n v="1"/>
    <n v="3.2258064516129031E-2"/>
    <n v="0.36774193548387091"/>
    <m/>
  </r>
  <r>
    <x v="1"/>
    <s v="NA"/>
    <s v="U.S.A."/>
    <s v="Marathon Petroleum Corporation"/>
    <x v="133"/>
    <x v="0"/>
    <x v="31"/>
    <n v="2026"/>
    <n v="1"/>
    <n v="0.87096774193548387"/>
    <n v="14.806451612903226"/>
    <m/>
  </r>
  <r>
    <x v="1"/>
    <s v="NA"/>
    <s v="U.S.A."/>
    <s v="Marathon Petroleum Corporation"/>
    <x v="133"/>
    <x v="0"/>
    <x v="25"/>
    <n v="2026"/>
    <n v="1"/>
    <n v="3.5714285714285712E-2"/>
    <n v="0.6071428571428571"/>
    <m/>
  </r>
  <r>
    <x v="1"/>
    <s v="NA"/>
    <s v="U.S.A."/>
    <s v="San Joaquin Refining Company Incorporated"/>
    <x v="91"/>
    <x v="2"/>
    <x v="25"/>
    <n v="2026"/>
    <n v="1"/>
    <n v="0.39285714285714285"/>
    <n v="0.95464285714285724"/>
    <m/>
  </r>
  <r>
    <x v="1"/>
    <s v="NA"/>
    <s v="U.S.A."/>
    <s v="Par Pacific Holdings Incorporated"/>
    <x v="134"/>
    <x v="2"/>
    <x v="25"/>
    <n v="2026"/>
    <n v="1"/>
    <n v="0.5357142857142857"/>
    <n v="2.25"/>
    <m/>
  </r>
  <r>
    <x v="1"/>
    <s v="NA"/>
    <s v="U.S.A."/>
    <s v="Par Pacific Holdings Incorporated"/>
    <x v="134"/>
    <x v="2"/>
    <x v="26"/>
    <n v="2026"/>
    <n v="1"/>
    <n v="1"/>
    <n v="4.2"/>
    <m/>
  </r>
  <r>
    <x v="1"/>
    <s v="NA"/>
    <s v="U.S.A."/>
    <s v="Par Pacific Holdings Incorporated"/>
    <x v="134"/>
    <x v="2"/>
    <x v="24"/>
    <n v="2026"/>
    <n v="1"/>
    <n v="6.6666666666666666E-2"/>
    <n v="0.28000000000000003"/>
    <m/>
  </r>
  <r>
    <x v="1"/>
    <s v="NA"/>
    <s v="U.S.A."/>
    <s v="Par Pacific Holdings Incorporated"/>
    <x v="134"/>
    <x v="0"/>
    <x v="25"/>
    <n v="2026"/>
    <n v="1"/>
    <n v="0.5357142857142857"/>
    <n v="3.8249999999999997"/>
    <m/>
  </r>
  <r>
    <x v="1"/>
    <s v="NA"/>
    <s v="U.S.A."/>
    <s v="Par Pacific Holdings Incorporated"/>
    <x v="134"/>
    <x v="0"/>
    <x v="26"/>
    <n v="2026"/>
    <n v="1"/>
    <n v="1"/>
    <n v="7.14"/>
    <m/>
  </r>
  <r>
    <x v="1"/>
    <s v="NA"/>
    <s v="U.S.A."/>
    <s v="Par Pacific Holdings Incorporated"/>
    <x v="134"/>
    <x v="0"/>
    <x v="24"/>
    <n v="2026"/>
    <n v="1"/>
    <n v="6.6666666666666666E-2"/>
    <n v="0.47599999999999998"/>
    <m/>
  </r>
  <r>
    <x v="1"/>
    <s v="NA"/>
    <s v="U.S.A."/>
    <s v="Valero Refining Company"/>
    <x v="85"/>
    <x v="0"/>
    <x v="24"/>
    <n v="2026"/>
    <n v="1"/>
    <n v="1"/>
    <n v="34"/>
    <s v="40 kbd Reformer SD permanently April '26"/>
  </r>
  <r>
    <x v="1"/>
    <s v="NA"/>
    <s v="U.S.A."/>
    <s v="Valero Refining Company"/>
    <x v="85"/>
    <x v="2"/>
    <x v="24"/>
    <n v="2026"/>
    <n v="1"/>
    <n v="1"/>
    <n v="14.4"/>
    <s v="144 kbd CDU SD permanently April '26"/>
  </r>
  <r>
    <x v="1"/>
    <s v="NA"/>
    <s v="U.S.A."/>
    <s v="Valero Refining Company"/>
    <x v="85"/>
    <x v="3"/>
    <x v="24"/>
    <n v="2026"/>
    <n v="1"/>
    <n v="1"/>
    <n v="50.050000000000004"/>
    <s v="77 kbd FCCU SD permanently April '26"/>
  </r>
  <r>
    <x v="1"/>
    <s v="NA"/>
    <s v="U.S.A."/>
    <s v="Valero Refining Company"/>
    <x v="85"/>
    <x v="5"/>
    <x v="24"/>
    <n v="2026"/>
    <n v="1"/>
    <n v="1"/>
    <n v="1.8"/>
    <s v="36 kbd HDC SD permanently April '26"/>
  </r>
  <r>
    <x v="1"/>
    <s v="NA"/>
    <s v="U.S.A."/>
    <s v="Valero Refining Company"/>
    <x v="85"/>
    <x v="6"/>
    <x v="24"/>
    <n v="2026"/>
    <n v="1"/>
    <n v="1"/>
    <n v="2.8000000000000003"/>
    <s v="28kbd Coker SD permanently April '26"/>
  </r>
  <r>
    <x v="1"/>
    <s v="NA"/>
    <s v="U.S.A."/>
    <s v="Marathon Petroleum Corporation"/>
    <x v="135"/>
    <x v="14"/>
    <x v="24"/>
    <n v="2026"/>
    <n v="1"/>
    <n v="1"/>
    <n v="0"/>
    <s v="no mogas impact; PowerBI showing Atmos dist"/>
  </r>
  <r>
    <x v="1"/>
    <s v="NA"/>
    <s v="U.S.A."/>
    <s v="Valero Refining Company"/>
    <x v="85"/>
    <x v="0"/>
    <x v="27"/>
    <n v="2026"/>
    <n v="1"/>
    <n v="1"/>
    <n v="34"/>
    <s v="40 kbd Reformer SD permanently April '26"/>
  </r>
  <r>
    <x v="1"/>
    <s v="NA"/>
    <s v="U.S.A."/>
    <s v="Valero Refining Company"/>
    <x v="85"/>
    <x v="2"/>
    <x v="27"/>
    <n v="2026"/>
    <n v="1"/>
    <n v="1"/>
    <n v="14.4"/>
    <s v="144 kbd CDU SD permanently April '26"/>
  </r>
  <r>
    <x v="1"/>
    <s v="NA"/>
    <s v="U.S.A."/>
    <s v="Valero Refining Company"/>
    <x v="85"/>
    <x v="3"/>
    <x v="27"/>
    <n v="2026"/>
    <n v="1"/>
    <n v="1"/>
    <n v="50.050000000000004"/>
    <s v="77 kbd FCCU SD permanently April '26"/>
  </r>
  <r>
    <x v="1"/>
    <s v="NA"/>
    <s v="U.S.A."/>
    <s v="Valero Refining Company"/>
    <x v="85"/>
    <x v="5"/>
    <x v="27"/>
    <n v="2026"/>
    <n v="1"/>
    <n v="1"/>
    <n v="1.8"/>
    <s v="36 kbd HDC SD permanently April '26"/>
  </r>
  <r>
    <x v="1"/>
    <s v="NA"/>
    <s v="U.S.A."/>
    <s v="Valero Refining Company"/>
    <x v="85"/>
    <x v="6"/>
    <x v="27"/>
    <n v="2026"/>
    <n v="1"/>
    <n v="1"/>
    <n v="2.8000000000000003"/>
    <s v="28kbd Coker SD permanently April '26"/>
  </r>
  <r>
    <x v="1"/>
    <s v="NA"/>
    <s v="U.S.A."/>
    <s v="Valero Refining Company"/>
    <x v="85"/>
    <x v="0"/>
    <x v="32"/>
    <n v="2026"/>
    <n v="1"/>
    <n v="1"/>
    <n v="34"/>
    <s v="40 kbd Reformer SD permanently April '26"/>
  </r>
  <r>
    <x v="1"/>
    <s v="NA"/>
    <s v="U.S.A."/>
    <s v="Valero Refining Company"/>
    <x v="85"/>
    <x v="2"/>
    <x v="32"/>
    <n v="2026"/>
    <n v="1"/>
    <n v="1"/>
    <n v="14.4"/>
    <s v="144 kbd CDU SD permanently April '26"/>
  </r>
  <r>
    <x v="1"/>
    <s v="NA"/>
    <s v="U.S.A."/>
    <s v="Valero Refining Company"/>
    <x v="85"/>
    <x v="3"/>
    <x v="32"/>
    <n v="2026"/>
    <n v="1"/>
    <n v="1"/>
    <n v="50.050000000000004"/>
    <s v="77 kbd FCCU SD permanently April '26"/>
  </r>
  <r>
    <x v="1"/>
    <s v="NA"/>
    <s v="U.S.A."/>
    <s v="Valero Refining Company"/>
    <x v="85"/>
    <x v="5"/>
    <x v="32"/>
    <n v="2026"/>
    <n v="1"/>
    <n v="1"/>
    <n v="1.8"/>
    <s v="36 kbd HDC SD permanently April '26"/>
  </r>
  <r>
    <x v="1"/>
    <s v="NA"/>
    <s v="U.S.A."/>
    <s v="Valero Refining Company"/>
    <x v="85"/>
    <x v="6"/>
    <x v="32"/>
    <n v="2026"/>
    <n v="1"/>
    <n v="1"/>
    <n v="2.8000000000000003"/>
    <s v="28kbd Coker SD permanently April '26"/>
  </r>
  <r>
    <x v="1"/>
    <s v="NA"/>
    <s v="U.S.A."/>
    <s v="Valero Refining Company"/>
    <x v="85"/>
    <x v="0"/>
    <x v="33"/>
    <n v="2026"/>
    <n v="1"/>
    <n v="1"/>
    <n v="34"/>
    <s v="40 kbd Reformer SD permanently April '26"/>
  </r>
  <r>
    <x v="1"/>
    <s v="NA"/>
    <s v="U.S.A."/>
    <s v="Valero Refining Company"/>
    <x v="85"/>
    <x v="2"/>
    <x v="33"/>
    <n v="2026"/>
    <n v="1"/>
    <n v="1"/>
    <n v="14.4"/>
    <s v="144 kbd CDU SD permanently April '26"/>
  </r>
  <r>
    <x v="1"/>
    <s v="NA"/>
    <s v="U.S.A."/>
    <s v="Valero Refining Company"/>
    <x v="85"/>
    <x v="3"/>
    <x v="33"/>
    <n v="2026"/>
    <n v="1"/>
    <n v="1"/>
    <n v="50.050000000000004"/>
    <s v="77 kbd FCCU SD permanently April '26"/>
  </r>
  <r>
    <x v="1"/>
    <s v="NA"/>
    <s v="U.S.A."/>
    <s v="Valero Refining Company"/>
    <x v="85"/>
    <x v="5"/>
    <x v="33"/>
    <n v="2026"/>
    <n v="1"/>
    <n v="1"/>
    <n v="1.8"/>
    <s v="36 kbd HDC SD permanently April '26"/>
  </r>
  <r>
    <x v="1"/>
    <s v="NA"/>
    <s v="U.S.A."/>
    <s v="Valero Refining Company"/>
    <x v="85"/>
    <x v="6"/>
    <x v="33"/>
    <n v="2026"/>
    <n v="1"/>
    <n v="1"/>
    <n v="2.8000000000000003"/>
    <s v="28kbd Coker SD permanently April '26"/>
  </r>
  <r>
    <x v="1"/>
    <s v="NA"/>
    <s v="U.S.A."/>
    <s v="Valero Refining Company"/>
    <x v="85"/>
    <x v="0"/>
    <x v="34"/>
    <n v="2026"/>
    <n v="1"/>
    <n v="1"/>
    <n v="34"/>
    <s v="40 kbd Reformer SD permanently April '26"/>
  </r>
  <r>
    <x v="1"/>
    <s v="NA"/>
    <s v="U.S.A."/>
    <s v="Valero Refining Company"/>
    <x v="85"/>
    <x v="2"/>
    <x v="34"/>
    <n v="2026"/>
    <n v="1"/>
    <n v="1"/>
    <n v="14.4"/>
    <s v="144 kbd CDU SD permanently April '26"/>
  </r>
  <r>
    <x v="1"/>
    <s v="NA"/>
    <s v="U.S.A."/>
    <s v="Valero Refining Company"/>
    <x v="85"/>
    <x v="3"/>
    <x v="34"/>
    <n v="2026"/>
    <n v="1"/>
    <n v="1"/>
    <n v="50.050000000000004"/>
    <s v="77 kbd FCCU SD permanently April '26"/>
  </r>
  <r>
    <x v="1"/>
    <s v="NA"/>
    <s v="U.S.A."/>
    <s v="Valero Refining Company"/>
    <x v="85"/>
    <x v="5"/>
    <x v="34"/>
    <n v="2026"/>
    <n v="1"/>
    <n v="1"/>
    <n v="1.8"/>
    <s v="36 kbd HDC SD permanently April '26"/>
  </r>
  <r>
    <x v="1"/>
    <s v="NA"/>
    <s v="U.S.A."/>
    <s v="Valero Refining Company"/>
    <x v="85"/>
    <x v="6"/>
    <x v="34"/>
    <n v="2026"/>
    <n v="1"/>
    <n v="1"/>
    <n v="2.8000000000000003"/>
    <s v="28kbd Coker SD permanently April '26"/>
  </r>
  <r>
    <x v="1"/>
    <s v="NA"/>
    <s v="U.S.A."/>
    <s v="Valero Refining Company"/>
    <x v="85"/>
    <x v="0"/>
    <x v="28"/>
    <n v="2026"/>
    <n v="1"/>
    <n v="1"/>
    <n v="34"/>
    <s v="40 kbd Reformer SD permanently April '26"/>
  </r>
  <r>
    <x v="1"/>
    <s v="NA"/>
    <s v="U.S.A."/>
    <s v="Valero Refining Company"/>
    <x v="85"/>
    <x v="2"/>
    <x v="28"/>
    <n v="2026"/>
    <n v="1"/>
    <n v="1"/>
    <n v="14.4"/>
    <s v="144 kbd CDU SD permanently April '26"/>
  </r>
  <r>
    <x v="1"/>
    <s v="NA"/>
    <s v="U.S.A."/>
    <s v="Valero Refining Company"/>
    <x v="85"/>
    <x v="3"/>
    <x v="28"/>
    <n v="2026"/>
    <n v="1"/>
    <n v="1"/>
    <n v="50.050000000000004"/>
    <s v="77 kbd FCCU SD permanently April '26"/>
  </r>
  <r>
    <x v="1"/>
    <s v="NA"/>
    <s v="U.S.A."/>
    <s v="Valero Refining Company"/>
    <x v="85"/>
    <x v="5"/>
    <x v="28"/>
    <n v="2026"/>
    <n v="1"/>
    <n v="1"/>
    <n v="1.8"/>
    <s v="36 kbd HDC SD permanently April '26"/>
  </r>
  <r>
    <x v="1"/>
    <s v="NA"/>
    <s v="U.S.A."/>
    <s v="Valero Refining Company"/>
    <x v="85"/>
    <x v="6"/>
    <x v="28"/>
    <n v="2026"/>
    <n v="1"/>
    <n v="1"/>
    <n v="2.8000000000000003"/>
    <s v="28kbd Coker SD permanently April '26"/>
  </r>
  <r>
    <x v="1"/>
    <s v="NA"/>
    <s v="U.S.A."/>
    <s v="Valero Refining Company"/>
    <x v="85"/>
    <x v="0"/>
    <x v="29"/>
    <n v="2026"/>
    <n v="1"/>
    <n v="1"/>
    <n v="34"/>
    <s v="40 kbd Reformer SD permanently April '26"/>
  </r>
  <r>
    <x v="1"/>
    <s v="NA"/>
    <s v="U.S.A."/>
    <s v="Valero Refining Company"/>
    <x v="85"/>
    <x v="2"/>
    <x v="29"/>
    <n v="2026"/>
    <n v="1"/>
    <n v="1"/>
    <n v="14.4"/>
    <s v="144 kbd CDU SD permanently April '26"/>
  </r>
  <r>
    <x v="1"/>
    <s v="NA"/>
    <s v="U.S.A."/>
    <s v="Valero Refining Company"/>
    <x v="85"/>
    <x v="3"/>
    <x v="29"/>
    <n v="2026"/>
    <n v="1"/>
    <n v="1"/>
    <n v="50.050000000000004"/>
    <s v="77 kbd FCCU SD permanently April '26"/>
  </r>
  <r>
    <x v="1"/>
    <s v="NA"/>
    <s v="U.S.A."/>
    <s v="Valero Refining Company"/>
    <x v="85"/>
    <x v="5"/>
    <x v="29"/>
    <n v="2026"/>
    <n v="1"/>
    <n v="1"/>
    <n v="1.8"/>
    <s v="36 kbd HDC SD permanently April '26"/>
  </r>
  <r>
    <x v="1"/>
    <s v="NA"/>
    <s v="U.S.A."/>
    <s v="Valero Refining Company"/>
    <x v="85"/>
    <x v="6"/>
    <x v="29"/>
    <n v="2026"/>
    <n v="1"/>
    <n v="1"/>
    <n v="2.8000000000000003"/>
    <s v="28kbd Coker SD permanently April '26"/>
  </r>
  <r>
    <x v="1"/>
    <s v="NA"/>
    <s v="U.S.A."/>
    <s v="Valero Refining Company"/>
    <x v="85"/>
    <x v="0"/>
    <x v="30"/>
    <n v="2026"/>
    <n v="1"/>
    <n v="1"/>
    <n v="34"/>
    <s v="40 kbd Reformer SD permanently April '26"/>
  </r>
  <r>
    <x v="1"/>
    <s v="NA"/>
    <s v="U.S.A."/>
    <s v="Valero Refining Company"/>
    <x v="85"/>
    <x v="2"/>
    <x v="30"/>
    <n v="2026"/>
    <n v="1"/>
    <n v="1"/>
    <n v="14.4"/>
    <s v="144 kbd CDU SD permanently April '26"/>
  </r>
  <r>
    <x v="1"/>
    <s v="NA"/>
    <s v="U.S.A."/>
    <s v="Valero Refining Company"/>
    <x v="85"/>
    <x v="3"/>
    <x v="30"/>
    <n v="2026"/>
    <n v="1"/>
    <n v="1"/>
    <n v="50.050000000000004"/>
    <s v="77 kbd FCCU SD permanently April '26"/>
  </r>
  <r>
    <x v="1"/>
    <s v="NA"/>
    <s v="U.S.A."/>
    <s v="Valero Refining Company"/>
    <x v="85"/>
    <x v="5"/>
    <x v="30"/>
    <n v="2026"/>
    <n v="1"/>
    <n v="1"/>
    <n v="1.8"/>
    <s v="36 kbd HDC SD permanently April '26"/>
  </r>
  <r>
    <x v="1"/>
    <s v="NA"/>
    <s v="U.S.A."/>
    <s v="Valero Refining Company"/>
    <x v="85"/>
    <x v="6"/>
    <x v="30"/>
    <n v="2026"/>
    <n v="1"/>
    <n v="1"/>
    <n v="2.8000000000000003"/>
    <s v="28kbd Coker SD permanently April '26"/>
  </r>
  <r>
    <x v="1"/>
    <s v="NA"/>
    <s v="U.S.A."/>
    <s v="Valero Refining Company"/>
    <x v="85"/>
    <x v="0"/>
    <x v="35"/>
    <n v="2026"/>
    <n v="1"/>
    <n v="1"/>
    <n v="34"/>
    <s v="40 kbd Reformer SD permanently April '26"/>
  </r>
  <r>
    <x v="1"/>
    <s v="NA"/>
    <s v="U.S.A."/>
    <s v="Valero Refining Company"/>
    <x v="85"/>
    <x v="2"/>
    <x v="35"/>
    <n v="2026"/>
    <n v="1"/>
    <n v="1"/>
    <n v="14.4"/>
    <s v="144 kbd CDU SD permanently April '26"/>
  </r>
  <r>
    <x v="1"/>
    <s v="NA"/>
    <s v="U.S.A."/>
    <s v="Valero Refining Company"/>
    <x v="85"/>
    <x v="3"/>
    <x v="35"/>
    <n v="2026"/>
    <n v="1"/>
    <n v="1"/>
    <n v="50.050000000000004"/>
    <s v="77 kbd FCCU SD permanently April '26"/>
  </r>
  <r>
    <x v="1"/>
    <s v="NA"/>
    <s v="U.S.A."/>
    <s v="Valero Refining Company"/>
    <x v="85"/>
    <x v="5"/>
    <x v="35"/>
    <n v="2026"/>
    <n v="1"/>
    <n v="1"/>
    <n v="1.8"/>
    <s v="36 kbd HDC SD permanently April '26"/>
  </r>
  <r>
    <x v="1"/>
    <s v="NA"/>
    <s v="U.S.A."/>
    <s v="Valero Refining Company"/>
    <x v="85"/>
    <x v="6"/>
    <x v="35"/>
    <n v="2026"/>
    <n v="1"/>
    <n v="1"/>
    <n v="2.8000000000000003"/>
    <s v="28kbd Coker SD permanently April '26"/>
  </r>
  <r>
    <x v="1"/>
    <s v="NA"/>
    <s v="U.S.A."/>
    <s v="BP Products North America Incorporated"/>
    <x v="52"/>
    <x v="5"/>
    <x v="24"/>
    <n v="2026"/>
    <n v="1"/>
    <n v="0.66666666666666663"/>
    <n v="1.8333333333333333"/>
    <m/>
  </r>
  <r>
    <x v="1"/>
    <s v="NA"/>
    <s v="U.S.A."/>
    <s v="BP Products North America Incorporated"/>
    <x v="52"/>
    <x v="5"/>
    <x v="27"/>
    <n v="2026"/>
    <n v="1"/>
    <n v="0.80645161290322576"/>
    <n v="2.217741935483871"/>
    <m/>
  </r>
  <r>
    <x v="1"/>
    <s v="NA"/>
    <s v="U.S.A."/>
    <s v="Petro Star Incorporated"/>
    <x v="136"/>
    <x v="2"/>
    <x v="24"/>
    <n v="2026"/>
    <n v="1"/>
    <n v="0.1"/>
    <n v="1.5"/>
    <m/>
  </r>
  <r>
    <x v="1"/>
    <s v="NA"/>
    <s v="U.S.A."/>
    <s v="Petro Star Incorporated"/>
    <x v="136"/>
    <x v="2"/>
    <x v="27"/>
    <n v="2026"/>
    <n v="1"/>
    <n v="0.5161290322580645"/>
    <n v="7.741935483870968"/>
    <m/>
  </r>
  <r>
    <x v="1"/>
    <s v="NA"/>
    <s v="U.S.A."/>
    <s v="Par Hawaii Refining LLC"/>
    <x v="106"/>
    <x v="2"/>
    <x v="27"/>
    <n v="2026"/>
    <n v="1"/>
    <n v="0.53333333333333333"/>
    <n v="8.2666666666666657"/>
    <m/>
  </r>
  <r>
    <x v="1"/>
    <s v="NA"/>
    <s v="U.S.A."/>
    <s v="Par Hawaii Refining LLC"/>
    <x v="106"/>
    <x v="2"/>
    <x v="32"/>
    <n v="2026"/>
    <n v="1"/>
    <n v="0.53333333333333333"/>
    <n v="8.2666666666666657"/>
    <m/>
  </r>
  <r>
    <x v="1"/>
    <s v="NA"/>
    <s v="U.S.A."/>
    <s v="Par Hawaii Refining LLC"/>
    <x v="106"/>
    <x v="5"/>
    <x v="27"/>
    <n v="2026"/>
    <n v="1"/>
    <n v="0.53333333333333333"/>
    <n v="0.34666666666666668"/>
    <m/>
  </r>
  <r>
    <x v="1"/>
    <s v="NA"/>
    <s v="U.S.A."/>
    <s v="Par Hawaii Refining LLC"/>
    <x v="106"/>
    <x v="5"/>
    <x v="32"/>
    <n v="2026"/>
    <n v="1"/>
    <n v="0.53333333333333333"/>
    <n v="0.34666666666666668"/>
    <m/>
  </r>
  <r>
    <x v="1"/>
    <s v="NA"/>
    <s v="U.S.A."/>
    <s v="Par Hawaii Refining LLC"/>
    <x v="106"/>
    <x v="0"/>
    <x v="27"/>
    <n v="2026"/>
    <n v="1"/>
    <n v="0.53333333333333333"/>
    <n v="5.8933333333333326"/>
    <m/>
  </r>
  <r>
    <x v="1"/>
    <s v="NA"/>
    <s v="U.S.A."/>
    <s v="Par Hawaii Refining LLC"/>
    <x v="106"/>
    <x v="0"/>
    <x v="32"/>
    <n v="2026"/>
    <n v="1"/>
    <n v="0.53333333333333333"/>
    <n v="5.8933333333333326"/>
    <m/>
  </r>
  <r>
    <x v="1"/>
    <s v="NA"/>
    <s v="U.S.A."/>
    <s v="Petro Star Incorporated"/>
    <x v="137"/>
    <x v="2"/>
    <x v="27"/>
    <n v="2026"/>
    <n v="1"/>
    <n v="0.3"/>
    <n v="1.65"/>
    <m/>
  </r>
  <r>
    <x v="5"/>
    <m/>
    <m/>
    <m/>
    <x v="138"/>
    <x v="15"/>
    <x v="36"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43">
  <r>
    <x v="0"/>
    <s v="NA"/>
    <s v="U.S.A."/>
    <s v="Marathon Petroleum Corporation"/>
    <x v="0"/>
    <x v="0"/>
    <x v="0"/>
    <n v="2024"/>
    <n v="1"/>
    <m/>
    <n v="4.661290322580645"/>
    <s v="TA 1/14-2/10"/>
  </r>
  <r>
    <x v="0"/>
    <s v="NA"/>
    <s v="U.S.A."/>
    <s v="Marathon Petroleum Corporation"/>
    <x v="0"/>
    <x v="1"/>
    <x v="0"/>
    <n v="2024"/>
    <n v="1"/>
    <m/>
    <n v="0"/>
    <s v="TA 1/14-2/10"/>
  </r>
  <r>
    <x v="0"/>
    <s v="NA"/>
    <s v="U.S.A."/>
    <s v="Marathon Petroleum Corporation"/>
    <x v="0"/>
    <x v="2"/>
    <x v="0"/>
    <n v="2024"/>
    <n v="1"/>
    <m/>
    <n v="3.6741935483870969"/>
    <s v="TA 1/14-2/10"/>
  </r>
  <r>
    <x v="0"/>
    <s v="NA"/>
    <s v="U.S.A."/>
    <s v="Marathon Petroleum Corporation"/>
    <x v="0"/>
    <x v="3"/>
    <x v="0"/>
    <n v="2024"/>
    <n v="1"/>
    <m/>
    <n v="16.04032258064516"/>
    <s v="TA 1/14-2/10"/>
  </r>
  <r>
    <x v="0"/>
    <s v="NA"/>
    <s v="U.S.A."/>
    <s v="Marathon Petroleum Corporation"/>
    <x v="0"/>
    <x v="4"/>
    <x v="0"/>
    <n v="2024"/>
    <n v="1"/>
    <m/>
    <n v="6.580645161290323"/>
    <s v="TA 1/14-2/10"/>
  </r>
  <r>
    <x v="0"/>
    <s v="NA"/>
    <s v="U.S.A."/>
    <s v="Valero Refining Company"/>
    <x v="1"/>
    <x v="3"/>
    <x v="0"/>
    <n v="2024"/>
    <n v="1"/>
    <m/>
    <n v="16.890322580645162"/>
    <s v="Updated timing from 1/5-3/16 to 1/20-2/23 on 12/21/23"/>
  </r>
  <r>
    <x v="0"/>
    <s v="NA"/>
    <s v="U.S.A."/>
    <s v="Valero Refining Company"/>
    <x v="1"/>
    <x v="4"/>
    <x v="0"/>
    <n v="2024"/>
    <n v="1"/>
    <m/>
    <n v="4.258064516129032"/>
    <s v="Updated timing from 1/5-3/16 to 1/20-2/23 on 12/21/23"/>
  </r>
  <r>
    <x v="0"/>
    <s v="NA"/>
    <s v="U.S.A."/>
    <s v="Valero Refining Company"/>
    <x v="2"/>
    <x v="5"/>
    <x v="0"/>
    <n v="2024"/>
    <n v="1"/>
    <m/>
    <n v="0.67741935483870963"/>
    <s v="Moved from Feb/Mar to Jan for 30 days. 1/24-2/23"/>
  </r>
  <r>
    <x v="0"/>
    <s v="NA"/>
    <s v="U.S.A."/>
    <s v="Valero Refining Company"/>
    <x v="2"/>
    <x v="6"/>
    <x v="0"/>
    <n v="2024"/>
    <n v="1"/>
    <m/>
    <n v="2.7096774193548385"/>
    <s v="Moved from Feb/Mar to Jan for 30 days. 1/24-2/23"/>
  </r>
  <r>
    <x v="0"/>
    <s v="NA"/>
    <s v="U.S.A."/>
    <s v="Valero Refining Company"/>
    <x v="2"/>
    <x v="2"/>
    <x v="0"/>
    <n v="2024"/>
    <n v="1"/>
    <m/>
    <n v="11.29032258064516"/>
    <s v="Moved from Feb/Mar to Jan for 30 days. 1/24-2/23"/>
  </r>
  <r>
    <x v="0"/>
    <s v="NA"/>
    <s v="U.S.A."/>
    <s v="Valero Refining Company"/>
    <x v="3"/>
    <x v="0"/>
    <x v="0"/>
    <n v="2024"/>
    <n v="1"/>
    <m/>
    <n v="21.93548387096774"/>
    <s v="Major Turnaround. Jan 15 - Mar 10"/>
  </r>
  <r>
    <x v="0"/>
    <s v="NA"/>
    <s v="U.S.A."/>
    <s v="Valero Refining Company"/>
    <x v="3"/>
    <x v="5"/>
    <x v="0"/>
    <n v="2024"/>
    <n v="1"/>
    <m/>
    <n v="2.064516129032258"/>
    <s v="HDC was added to TA 1/15-2/19, and resume to full rates in Mar"/>
  </r>
  <r>
    <x v="0"/>
    <s v="NA"/>
    <s v="U.S.A."/>
    <s v="Valero Refining Company"/>
    <x v="3"/>
    <x v="6"/>
    <x v="0"/>
    <n v="2024"/>
    <n v="1"/>
    <m/>
    <n v="5.161290322580645"/>
    <s v="Major Turnaround. Jan 15 - Mar 10"/>
  </r>
  <r>
    <x v="0"/>
    <s v="NA"/>
    <s v="U.S.A."/>
    <s v="Valero Refining Company"/>
    <x v="3"/>
    <x v="2"/>
    <x v="0"/>
    <n v="2024"/>
    <n v="1"/>
    <m/>
    <n v="10.838709677419354"/>
    <s v="Major Turnaround. Jan 15 - Mar 10"/>
  </r>
  <r>
    <x v="0"/>
    <s v="NA"/>
    <s v="U.S.A."/>
    <s v="Motiva Enterprises LLC"/>
    <x v="4"/>
    <x v="6"/>
    <x v="0"/>
    <n v="2024"/>
    <n v="1"/>
    <m/>
    <n v="24.483870967741936"/>
    <s v="TA that pulled up from Oct to Jan&amp; mid Feb 1/8 - 2/11"/>
  </r>
  <r>
    <x v="0"/>
    <s v="NA"/>
    <s v="U.S.A."/>
    <s v="Motiva Enterprises LLC"/>
    <x v="4"/>
    <x v="2"/>
    <x v="0"/>
    <n v="2024"/>
    <n v="1"/>
    <m/>
    <n v="62.137096774193552"/>
    <s v="TA that pulled up from Oct to Jan&amp; mid Feb 1/8 - 2/11"/>
  </r>
  <r>
    <x v="0"/>
    <s v="NA"/>
    <s v="U.S.A."/>
    <s v="Motiva Enterprises LLC"/>
    <x v="4"/>
    <x v="1"/>
    <x v="0"/>
    <n v="2024"/>
    <n v="1"/>
    <m/>
    <n v="0"/>
    <s v="Moved to 2025 with FCC and Alky"/>
  </r>
  <r>
    <x v="0"/>
    <s v="NA"/>
    <s v="U.S.A."/>
    <s v="CITGO Petroleum Corporation"/>
    <x v="5"/>
    <x v="0"/>
    <x v="0"/>
    <n v="2024"/>
    <n v="1"/>
    <m/>
    <n v="5.9225806451612906"/>
    <s v="Planned TAR moved up from March to Jan. Reformer A 1/19-2/4"/>
  </r>
  <r>
    <x v="0"/>
    <s v="NA"/>
    <s v="U.S.A."/>
    <s v="CITGO Petroleum Corporation"/>
    <x v="5"/>
    <x v="2"/>
    <x v="0"/>
    <n v="2024"/>
    <n v="1"/>
    <m/>
    <n v="2.903225806451613"/>
    <s v="Planned maintenance Moved to Jan from Mar (1/19-2/18). Topper C sour/sweet"/>
  </r>
  <r>
    <x v="0"/>
    <s v="NA"/>
    <s v="U.S.A."/>
    <s v="CITGO Petroleum Corporation"/>
    <x v="5"/>
    <x v="3"/>
    <x v="0"/>
    <n v="2024"/>
    <n v="1"/>
    <m/>
    <n v="12.580645161290322"/>
    <s v="Planned maintenance Moved to Jan from Mar (1/19-3/17)"/>
  </r>
  <r>
    <x v="0"/>
    <s v="NA"/>
    <s v="U.S.A."/>
    <s v="HEP Javelina Company LLC"/>
    <x v="6"/>
    <x v="7"/>
    <x v="0"/>
    <n v="2024"/>
    <n v="1"/>
    <m/>
    <n v="0"/>
    <n v="0"/>
  </r>
  <r>
    <x v="0"/>
    <s v="NA"/>
    <s v="U.S.A."/>
    <s v="NOVA Chemicals Corporation"/>
    <x v="7"/>
    <x v="7"/>
    <x v="0"/>
    <n v="2024"/>
    <n v="1"/>
    <m/>
    <n v="0"/>
    <n v="0"/>
  </r>
  <r>
    <x v="0"/>
    <s v="NA"/>
    <s v="U.S.A."/>
    <s v="Marathon Petroleum Corporation"/>
    <x v="8"/>
    <x v="2"/>
    <x v="0"/>
    <n v="2024"/>
    <n v="1"/>
    <m/>
    <n v="21.29032258064516"/>
    <s v="Estimated start Jan 19 to Mar 3"/>
  </r>
  <r>
    <x v="0"/>
    <s v="NA"/>
    <s v="U.S.A."/>
    <s v="Marathon Petroleum Corporation"/>
    <x v="8"/>
    <x v="5"/>
    <x v="0"/>
    <n v="2024"/>
    <n v="1"/>
    <m/>
    <n v="2.2064516129032259"/>
    <s v="Estimated start Jan 19 to Mar 3"/>
  </r>
  <r>
    <x v="0"/>
    <s v="NA"/>
    <s v="U.S.A."/>
    <s v="Marathon Petroleum Corporation"/>
    <x v="8"/>
    <x v="6"/>
    <x v="0"/>
    <n v="2024"/>
    <n v="1"/>
    <m/>
    <n v="1.3548387096774193"/>
    <s v="Estimated start Jan 19 to Mar 3"/>
  </r>
  <r>
    <x v="0"/>
    <s v="NA"/>
    <s v="U.S.A."/>
    <s v="Flint Hills Resources LLC"/>
    <x v="9"/>
    <x v="1"/>
    <x v="0"/>
    <n v="2024"/>
    <n v="1"/>
    <m/>
    <n v="0"/>
    <s v="Maintenance moved from September, 2023 to September, 2024. Then moved to Jan 2024"/>
  </r>
  <r>
    <x v="0"/>
    <s v="NA"/>
    <s v="U.S.A."/>
    <s v="Flint Hills Resources LLC"/>
    <x v="9"/>
    <x v="5"/>
    <x v="0"/>
    <n v="2024"/>
    <n v="1"/>
    <m/>
    <n v="0.9"/>
    <s v="Maintenance moved from September, 2023 to September, 2024. Then moved to Jan 2024 (1/5/24 - 2/9/2024)"/>
  </r>
  <r>
    <x v="0"/>
    <s v="NA"/>
    <s v="U.S.A."/>
    <s v="Flint Hills Resources LLC"/>
    <x v="9"/>
    <x v="2"/>
    <x v="0"/>
    <n v="2024"/>
    <n v="1"/>
    <m/>
    <n v="14.048387096774194"/>
    <s v="Maintenance moved from September, 2023 to September, 2024. Then moved to Jan 2024 "/>
  </r>
  <r>
    <x v="0"/>
    <s v="NA"/>
    <s v="U.S.A."/>
    <s v="Flint Hills Resources LLC"/>
    <x v="9"/>
    <x v="3"/>
    <x v="0"/>
    <n v="2024"/>
    <n v="1"/>
    <m/>
    <n v="27.258064516129036"/>
    <s v="Maintenance moved from September, 2023 to September, 2024. Then moved to Jan 2024"/>
  </r>
  <r>
    <x v="0"/>
    <s v="NA"/>
    <s v="U.S.A."/>
    <s v="Chalmette Refining LLC"/>
    <x v="10"/>
    <x v="2"/>
    <x v="0"/>
    <n v="2024"/>
    <n v="1"/>
    <m/>
    <n v="12.701612903225806"/>
    <s v="Confirmation of 105kbd Crude unit dopwn mid Jan for 28 days"/>
  </r>
  <r>
    <x v="0"/>
    <s v="NA"/>
    <s v="U.S.A."/>
    <s v="ExxonMobil Corporation"/>
    <x v="11"/>
    <x v="0"/>
    <x v="0"/>
    <n v="2024"/>
    <n v="1"/>
    <m/>
    <n v="28.516129032258064"/>
    <s v="Ta 1/15 - 3/7 includes reformer, naphtha hydrotreater and LE distillation"/>
  </r>
  <r>
    <x v="0"/>
    <s v="NA"/>
    <s v="U.S.A."/>
    <s v="ExxonMobil Corporation"/>
    <x v="12"/>
    <x v="2"/>
    <x v="0"/>
    <n v="2024"/>
    <n v="0"/>
    <m/>
    <n v="0"/>
    <s v="Morgan-Email"/>
  </r>
  <r>
    <x v="0"/>
    <s v="NA"/>
    <s v="U.S.A."/>
    <s v="ExxonMobil Corporation"/>
    <x v="12"/>
    <x v="3"/>
    <x v="0"/>
    <n v="2024"/>
    <n v="1"/>
    <m/>
    <n v="20.032258064516128"/>
    <s v="Confirmed 1/22-2/24"/>
  </r>
  <r>
    <x v="0"/>
    <s v="NA"/>
    <s v="U.S.A."/>
    <s v="ExxonMobil Chemical Company"/>
    <x v="13"/>
    <x v="7"/>
    <x v="0"/>
    <n v="2024"/>
    <n v="1"/>
    <m/>
    <n v="0"/>
    <s v="Confirmed this event will be performed in tandem with the Baton Rouge Refinery 1Q24 event."/>
  </r>
  <r>
    <x v="1"/>
    <s v="NA"/>
    <s v="U.S.A."/>
    <s v="Marathon Petroleum Corporation"/>
    <x v="14"/>
    <x v="5"/>
    <x v="0"/>
    <n v="2024"/>
    <n v="1"/>
    <m/>
    <n v="1.3177419354838711"/>
    <s v="TA had been delayed to 2025, now reporting 1/12-2/10 for 160kb Crude 1 and 40kb Crude 4, 43kb Hydrocracker, 22kb Diesel Hydrotreater "/>
  </r>
  <r>
    <x v="1"/>
    <s v="NA"/>
    <s v="U.S.A."/>
    <s v="Marathon Petroleum Corporation"/>
    <x v="14"/>
    <x v="2"/>
    <x v="0"/>
    <n v="2024"/>
    <n v="1"/>
    <m/>
    <n v="31.870967741935484"/>
    <s v="TA had been delayed to 2025, now reporting 1/12-2/10 for 160kb Crude 1 and 40kb Crude 4, 43kb Hydrocracker, 22kb Diesel Hydrotreater "/>
  </r>
  <r>
    <x v="1"/>
    <s v="NA"/>
    <s v="U.S.A."/>
    <s v="Valero Refining Company"/>
    <x v="15"/>
    <x v="1"/>
    <x v="0"/>
    <n v="2024"/>
    <n v="1"/>
    <m/>
    <n v="0"/>
    <s v="*"/>
  </r>
  <r>
    <x v="2"/>
    <s v="NA"/>
    <s v="U.S.A."/>
    <s v="Paulsboro Refining Company"/>
    <x v="16"/>
    <x v="2"/>
    <x v="1"/>
    <n v="2024"/>
    <n v="1"/>
    <n v="110"/>
    <n v="0"/>
    <s v="Moved from 2/1 start to 4/1-5/23"/>
  </r>
  <r>
    <x v="2"/>
    <s v="NA"/>
    <s v="U.S.A."/>
    <s v="Phillips 66"/>
    <x v="17"/>
    <x v="2"/>
    <x v="1"/>
    <n v="2025"/>
    <n v="1"/>
    <m/>
    <n v="0"/>
    <s v="Confirmed Event for Fall 2024. Exact date and duration unknown. Moved from Sep '24: 9/13-11/2 to Feb '25: 2/7-3/29"/>
  </r>
  <r>
    <x v="3"/>
    <s v="NA"/>
    <s v="U.S.A."/>
    <s v="Phillips 66"/>
    <x v="18"/>
    <x v="0"/>
    <x v="1"/>
    <n v="2024"/>
    <n v="1"/>
    <m/>
    <n v="13.6"/>
    <s v="Scheduled for Feb 2024"/>
  </r>
  <r>
    <x v="3"/>
    <s v="NA"/>
    <s v="U.S.A."/>
    <s v="Phillips 66"/>
    <x v="18"/>
    <x v="1"/>
    <x v="1"/>
    <n v="2024"/>
    <n v="1"/>
    <m/>
    <n v="0"/>
    <s v="Scheduled for Feb 2024"/>
  </r>
  <r>
    <x v="3"/>
    <s v="NA"/>
    <s v="U.S.A."/>
    <s v="Coffeyville Resources Refining &amp; Marketing LLC"/>
    <x v="19"/>
    <x v="8"/>
    <x v="1"/>
    <n v="2024"/>
    <n v="1"/>
    <m/>
    <n v="0"/>
    <n v="0"/>
  </r>
  <r>
    <x v="3"/>
    <s v="NA"/>
    <s v="U.S.A."/>
    <s v="Coffeyville Resources Refining &amp; Marketing LLC"/>
    <x v="19"/>
    <x v="0"/>
    <x v="1"/>
    <n v="2024"/>
    <n v="1"/>
    <m/>
    <n v="0"/>
    <n v="0"/>
  </r>
  <r>
    <x v="3"/>
    <s v="NA"/>
    <s v="U.S.A."/>
    <s v="Coffeyville Resources Refining &amp; Marketing LLC"/>
    <x v="19"/>
    <x v="9"/>
    <x v="1"/>
    <n v="2024"/>
    <n v="1"/>
    <m/>
    <n v="0"/>
    <n v="0"/>
  </r>
  <r>
    <x v="3"/>
    <s v="NA"/>
    <s v="U.S.A."/>
    <s v="Coffeyville Resources Refining &amp; Marketing LLC"/>
    <x v="19"/>
    <x v="1"/>
    <x v="1"/>
    <n v="2024"/>
    <n v="1"/>
    <m/>
    <n v="0"/>
    <n v="0"/>
  </r>
  <r>
    <x v="3"/>
    <s v="NA"/>
    <s v="U.S.A."/>
    <s v="Coffeyville Resources Refining &amp; Marketing LLC"/>
    <x v="19"/>
    <x v="6"/>
    <x v="1"/>
    <n v="2024"/>
    <n v="1"/>
    <m/>
    <n v="0"/>
    <n v="0"/>
  </r>
  <r>
    <x v="3"/>
    <s v="NA"/>
    <s v="U.S.A."/>
    <s v="Coffeyville Resources Refining &amp; Marketing LLC"/>
    <x v="19"/>
    <x v="2"/>
    <x v="1"/>
    <n v="2024"/>
    <n v="1"/>
    <m/>
    <n v="0"/>
    <n v="0"/>
  </r>
  <r>
    <x v="3"/>
    <s v="NA"/>
    <s v="U.S.A."/>
    <s v="Coffeyville Resources Refining &amp; Marketing LLC"/>
    <x v="19"/>
    <x v="3"/>
    <x v="1"/>
    <n v="2024"/>
    <n v="1"/>
    <m/>
    <n v="0"/>
    <n v="0"/>
  </r>
  <r>
    <x v="3"/>
    <s v="NA"/>
    <s v="U.S.A."/>
    <s v="Coffeyville Resources Refining &amp; Marketing LLC"/>
    <x v="19"/>
    <x v="4"/>
    <x v="1"/>
    <n v="2024"/>
    <n v="1"/>
    <m/>
    <n v="0"/>
    <n v="0"/>
  </r>
  <r>
    <x v="0"/>
    <s v="NA"/>
    <s v="U.S.A."/>
    <s v="Marathon Petroleum Corporation"/>
    <x v="0"/>
    <x v="0"/>
    <x v="1"/>
    <n v="2024"/>
    <n v="1"/>
    <m/>
    <n v="8.5"/>
    <s v="TA 1/14-2/10. SU delayed until mid march"/>
  </r>
  <r>
    <x v="0"/>
    <s v="NA"/>
    <s v="U.S.A."/>
    <s v="Marathon Petroleum Corporation"/>
    <x v="0"/>
    <x v="1"/>
    <x v="1"/>
    <n v="2024"/>
    <n v="1"/>
    <m/>
    <n v="0"/>
    <s v="TA 1/14-2/10. SU delayed until mid march"/>
  </r>
  <r>
    <x v="0"/>
    <s v="NA"/>
    <s v="U.S.A."/>
    <s v="Marathon Petroleum Corporation"/>
    <x v="0"/>
    <x v="2"/>
    <x v="1"/>
    <n v="2024"/>
    <n v="1"/>
    <m/>
    <n v="6.7"/>
    <s v="TA 1/14-2/10. SU delayed until mid march"/>
  </r>
  <r>
    <x v="0"/>
    <s v="NA"/>
    <s v="U.S.A."/>
    <s v="Marathon Petroleum Corporation"/>
    <x v="0"/>
    <x v="3"/>
    <x v="1"/>
    <n v="2024"/>
    <n v="1"/>
    <m/>
    <n v="29.25"/>
    <s v="TA 1/14-2/10. SU delayed until mid march"/>
  </r>
  <r>
    <x v="0"/>
    <s v="NA"/>
    <s v="U.S.A."/>
    <s v="Marathon Petroleum Corporation"/>
    <x v="0"/>
    <x v="4"/>
    <x v="1"/>
    <n v="2024"/>
    <n v="1"/>
    <m/>
    <n v="12"/>
    <s v="TA 1/14-2/10. SU delayed until mid march"/>
  </r>
  <r>
    <x v="0"/>
    <s v="NA"/>
    <s v="U.S.A."/>
    <s v="Valero Refining Company"/>
    <x v="1"/>
    <x v="3"/>
    <x v="1"/>
    <n v="2024"/>
    <n v="1"/>
    <m/>
    <n v="37.751724137931035"/>
    <s v="Updated timing from 1/5-3/16 to 1/20-2/23 on 12/21/23"/>
  </r>
  <r>
    <x v="0"/>
    <s v="NA"/>
    <s v="U.S.A."/>
    <s v="Valero Refining Company"/>
    <x v="1"/>
    <x v="4"/>
    <x v="1"/>
    <n v="2024"/>
    <n v="1"/>
    <m/>
    <n v="9.5172413793103452"/>
    <s v="Updated timing from 1/5-3/16 to 1/20-2/23 on 12/21/23"/>
  </r>
  <r>
    <x v="0"/>
    <s v="NA"/>
    <s v="U.S.A."/>
    <s v="Valero Refining Company"/>
    <x v="2"/>
    <x v="5"/>
    <x v="1"/>
    <n v="2024"/>
    <n v="1"/>
    <m/>
    <n v="2.3793103448275863"/>
    <s v="Moved from Feb/Mar to Jan for 30 days. 1/24-2/23"/>
  </r>
  <r>
    <x v="0"/>
    <s v="NA"/>
    <s v="U.S.A."/>
    <s v="Valero Refining Company"/>
    <x v="2"/>
    <x v="6"/>
    <x v="1"/>
    <n v="2024"/>
    <n v="1"/>
    <m/>
    <n v="9.5172413793103452"/>
    <s v="Moved from Feb/Mar to Jan for 30 days. 1/24-2/23"/>
  </r>
  <r>
    <x v="0"/>
    <s v="NA"/>
    <s v="U.S.A."/>
    <s v="Valero Refining Company"/>
    <x v="2"/>
    <x v="2"/>
    <x v="1"/>
    <n v="2024"/>
    <n v="1"/>
    <m/>
    <n v="39.655172413793103"/>
    <s v="Moved from Feb/Mar to Jan for 30 days. 1/24-2/23"/>
  </r>
  <r>
    <x v="0"/>
    <s v="NA"/>
    <s v="U.S.A."/>
    <s v="Valero Refining Company"/>
    <x v="3"/>
    <x v="0"/>
    <x v="1"/>
    <n v="2024"/>
    <n v="1"/>
    <m/>
    <n v="42.5"/>
    <s v="Major Turnaround. Jan 15 - Mar 10"/>
  </r>
  <r>
    <x v="0"/>
    <s v="NA"/>
    <s v="U.S.A."/>
    <s v="Valero Refining Company"/>
    <x v="3"/>
    <x v="5"/>
    <x v="1"/>
    <n v="2024"/>
    <n v="1"/>
    <m/>
    <n v="2.6206896551724137"/>
    <s v="HDC was added to TA 1/15-2/19, and resume to full rates in Mar"/>
  </r>
  <r>
    <x v="0"/>
    <s v="NA"/>
    <s v="U.S.A."/>
    <s v="Valero Refining Company"/>
    <x v="3"/>
    <x v="6"/>
    <x v="1"/>
    <n v="2024"/>
    <n v="1"/>
    <m/>
    <n v="22"/>
    <s v="Major Turnaround. Jan 15 - Mar 10"/>
  </r>
  <r>
    <x v="0"/>
    <s v="NA"/>
    <s v="U.S.A."/>
    <s v="Valero Refining Company"/>
    <x v="3"/>
    <x v="2"/>
    <x v="1"/>
    <n v="2024"/>
    <n v="1"/>
    <m/>
    <n v="21"/>
    <s v="Major Turnaround. Jan 15 - Mar 10"/>
  </r>
  <r>
    <x v="0"/>
    <s v="NA"/>
    <s v="U.S.A."/>
    <s v="Motiva Enterprises LLC"/>
    <x v="4"/>
    <x v="6"/>
    <x v="1"/>
    <n v="2024"/>
    <n v="1"/>
    <m/>
    <n v="12.517241379310345"/>
    <s v="TA that pulled up from Oct to Jan&amp; mid Feb 1/8 - 2/11"/>
  </r>
  <r>
    <x v="0"/>
    <s v="NA"/>
    <s v="U.S.A."/>
    <s v="Motiva Enterprises LLC"/>
    <x v="4"/>
    <x v="2"/>
    <x v="1"/>
    <n v="2024"/>
    <n v="1"/>
    <m/>
    <n v="31.767241379310345"/>
    <s v="TA that pulled up from Oct to Jan&amp; mid Feb 1/8 - 2/11"/>
  </r>
  <r>
    <x v="0"/>
    <s v="NA"/>
    <s v="U.S.A."/>
    <s v="Motiva Enterprises LLC"/>
    <x v="4"/>
    <x v="1"/>
    <x v="1"/>
    <n v="2024"/>
    <n v="1"/>
    <m/>
    <n v="0"/>
    <s v="Moved to 2025 with FCC and Alky"/>
  </r>
  <r>
    <x v="0"/>
    <s v="NA"/>
    <s v="U.S.A."/>
    <s v="CITGO Petroleum Corporation"/>
    <x v="5"/>
    <x v="0"/>
    <x v="1"/>
    <n v="2024"/>
    <n v="1"/>
    <m/>
    <n v="1.9741935483870967"/>
    <s v="Planned TAR moved up from March to Jan. Reformer A"/>
  </r>
  <r>
    <x v="0"/>
    <s v="NA"/>
    <s v="U.S.A."/>
    <s v="CITGO Petroleum Corporation"/>
    <x v="5"/>
    <x v="2"/>
    <x v="1"/>
    <n v="2024"/>
    <n v="1"/>
    <m/>
    <n v="4.8413793103448279"/>
    <s v="Planned maintenance moved (2/16-3/17)"/>
  </r>
  <r>
    <x v="0"/>
    <s v="NA"/>
    <s v="U.S.A."/>
    <s v="CITGO Petroleum Corporation"/>
    <x v="5"/>
    <x v="3"/>
    <x v="1"/>
    <n v="2024"/>
    <n v="1"/>
    <m/>
    <n v="32.5"/>
    <s v="Planned maintenance Moved to Jan from Mar (1/19-3/17)"/>
  </r>
  <r>
    <x v="0"/>
    <s v="NA"/>
    <s v="U.S.A."/>
    <s v="CITGO Petroleum Corporation"/>
    <x v="5"/>
    <x v="0"/>
    <x v="1"/>
    <n v="2024"/>
    <n v="1"/>
    <m/>
    <n v="15.827586206896552"/>
    <s v="Planned TAR moved up from March to Jan. Reformer B 2/5-2/18"/>
  </r>
  <r>
    <x v="0"/>
    <s v="NA"/>
    <s v="U.S.A."/>
    <s v="CITGO Petroleum Corporation"/>
    <x v="5"/>
    <x v="2"/>
    <x v="1"/>
    <n v="2024"/>
    <n v="1"/>
    <m/>
    <n v="4.6551724137931032"/>
    <s v="Planned maintenance Moved to Jan from Mar (1/19-2/18). Topper C sour/sweet"/>
  </r>
  <r>
    <x v="0"/>
    <s v="NA"/>
    <s v="U.S.A."/>
    <s v="Houston Refining LP"/>
    <x v="20"/>
    <x v="6"/>
    <x v="1"/>
    <n v="2024"/>
    <n v="1"/>
    <m/>
    <n v="5.88"/>
    <s v="Planned maintenance."/>
  </r>
  <r>
    <x v="0"/>
    <s v="NA"/>
    <s v="U.S.A."/>
    <s v="Houston Refining LP"/>
    <x v="20"/>
    <x v="2"/>
    <x v="1"/>
    <n v="2024"/>
    <n v="1"/>
    <m/>
    <n v="17.5"/>
    <s v="Planned maintenance."/>
  </r>
  <r>
    <x v="0"/>
    <s v="NA"/>
    <s v="U.S.A."/>
    <s v="NOVA Chemicals Corporation"/>
    <x v="7"/>
    <x v="7"/>
    <x v="1"/>
    <n v="2024"/>
    <n v="1"/>
    <m/>
    <n v="0"/>
    <n v="0"/>
  </r>
  <r>
    <x v="0"/>
    <s v="NA"/>
    <s v="U.S.A."/>
    <s v="Marathon Petroleum Corporation"/>
    <x v="8"/>
    <x v="5"/>
    <x v="1"/>
    <n v="2024"/>
    <n v="1"/>
    <m/>
    <n v="5.7"/>
    <s v="Estimated start Jan 19 to Mar 3"/>
  </r>
  <r>
    <x v="0"/>
    <s v="NA"/>
    <s v="U.S.A."/>
    <s v="Marathon Petroleum Corporation"/>
    <x v="8"/>
    <x v="6"/>
    <x v="1"/>
    <n v="2024"/>
    <n v="1"/>
    <m/>
    <n v="3.5"/>
    <s v="Estimated start Jan 19 to Mar 3"/>
  </r>
  <r>
    <x v="0"/>
    <s v="NA"/>
    <s v="U.S.A."/>
    <s v="Marathon Petroleum Corporation"/>
    <x v="8"/>
    <x v="2"/>
    <x v="1"/>
    <n v="2024"/>
    <n v="1"/>
    <m/>
    <n v="27.5"/>
    <s v="Estimated start Jan 19 to Mar 3"/>
  </r>
  <r>
    <x v="0"/>
    <s v="NA"/>
    <s v="U.S.A."/>
    <s v="Marathon Petroleum Corporation"/>
    <x v="21"/>
    <x v="2"/>
    <x v="1"/>
    <n v="2024"/>
    <n v="1"/>
    <m/>
    <n v="4.2206896551724142"/>
    <s v="Pulled up from 2026 to 2/12-3/3"/>
  </r>
  <r>
    <x v="0"/>
    <s v="NA"/>
    <s v="U.S.A."/>
    <s v="Marathon Petroleum Corporation"/>
    <x v="21"/>
    <x v="3"/>
    <x v="1"/>
    <n v="2024"/>
    <n v="1"/>
    <m/>
    <n v="11.05"/>
    <s v="Pulled up from 2026 to 2/12-3/3"/>
  </r>
  <r>
    <x v="0"/>
    <s v="NA"/>
    <s v="U.S.A."/>
    <s v="Marathon Petroleum Corporation"/>
    <x v="21"/>
    <x v="4"/>
    <x v="1"/>
    <n v="2024"/>
    <n v="1"/>
    <m/>
    <n v="2.9310344827586206"/>
    <s v="Pulled up from 2026 to 2/12-3/3"/>
  </r>
  <r>
    <x v="0"/>
    <s v="NA"/>
    <s v="U.S.A."/>
    <s v="Deer Park Refining LP"/>
    <x v="22"/>
    <x v="0"/>
    <x v="1"/>
    <n v="2024"/>
    <n v="1"/>
    <m/>
    <n v="12.310344827586208"/>
    <s v="Short maintenance Jan 31-feb 13"/>
  </r>
  <r>
    <x v="0"/>
    <s v="NA"/>
    <s v="U.S.A."/>
    <s v="Flint Hills Resources LLC"/>
    <x v="9"/>
    <x v="1"/>
    <x v="1"/>
    <n v="2024"/>
    <n v="1"/>
    <m/>
    <n v="0"/>
    <s v="Maintenance moved from September, 2023 to September, 2024. Then moved to Jan 2024"/>
  </r>
  <r>
    <x v="0"/>
    <s v="NA"/>
    <s v="U.S.A."/>
    <s v="Flint Hills Resources LLC"/>
    <x v="9"/>
    <x v="5"/>
    <x v="1"/>
    <n v="2024"/>
    <n v="1"/>
    <m/>
    <n v="1.2"/>
    <s v="Maintenance moved from September, 2023 to September, 2024. Then moved to Jan 2024"/>
  </r>
  <r>
    <x v="0"/>
    <s v="NA"/>
    <s v="U.S.A."/>
    <s v="Flint Hills Resources LLC"/>
    <x v="9"/>
    <x v="2"/>
    <x v="1"/>
    <n v="2024"/>
    <n v="1"/>
    <m/>
    <n v="4.862903225806452"/>
    <s v="Maintenance moved from September, 2023 to September, 2024. Then moved to Jan 2024 (1/5/24 - 2/9/2024)"/>
  </r>
  <r>
    <x v="0"/>
    <s v="NA"/>
    <s v="U.S.A."/>
    <s v="Flint Hills Resources LLC"/>
    <x v="9"/>
    <x v="3"/>
    <x v="1"/>
    <n v="2024"/>
    <n v="1"/>
    <m/>
    <n v="9.4354838709677438"/>
    <s v="Maintenance moved from September, 2023 to September, 2024. Then moved to Jan 2024"/>
  </r>
  <r>
    <x v="0"/>
    <s v="NA"/>
    <s v="U.S.A."/>
    <s v="LyondellBasell Industries NV"/>
    <x v="23"/>
    <x v="7"/>
    <x v="1"/>
    <n v="2024"/>
    <n v="1"/>
    <m/>
    <n v="0"/>
    <s v="Turnaround is planned to begin in the first quarter of 2024."/>
  </r>
  <r>
    <x v="0"/>
    <s v="NA"/>
    <s v="U.S.A."/>
    <s v="Magellan Midstream Partners LP"/>
    <x v="24"/>
    <x v="10"/>
    <x v="1"/>
    <n v="2024"/>
    <n v="1"/>
    <m/>
    <n v="0"/>
    <s v="Planned maintenance."/>
  </r>
  <r>
    <x v="0"/>
    <s v="NA"/>
    <s v="U.S.A."/>
    <s v="Chalmette Refining LLC"/>
    <x v="10"/>
    <x v="2"/>
    <x v="1"/>
    <n v="2024"/>
    <n v="1"/>
    <m/>
    <n v="1.4482758620689655"/>
    <s v="Confirmation of 105kbd Crude unit dopwn mid Jan for 20 days"/>
  </r>
  <r>
    <x v="0"/>
    <s v="NA"/>
    <s v="U.S.A."/>
    <s v="WRB Refining LP"/>
    <x v="25"/>
    <x v="1"/>
    <x v="1"/>
    <n v="2024"/>
    <n v="1"/>
    <m/>
    <n v="0"/>
    <s v="Catalyst."/>
  </r>
  <r>
    <x v="0"/>
    <s v="NA"/>
    <s v="U.S.A."/>
    <s v="ExxonMobil Corporation"/>
    <x v="26"/>
    <x v="0"/>
    <x v="1"/>
    <n v="2024"/>
    <n v="1"/>
    <m/>
    <n v="19.051724137931036"/>
    <s v="Planned Maintenance."/>
  </r>
  <r>
    <x v="0"/>
    <s v="NA"/>
    <s v="U.S.A."/>
    <s v="ExxonMobil Corporation"/>
    <x v="26"/>
    <x v="5"/>
    <x v="1"/>
    <n v="2024"/>
    <n v="1"/>
    <m/>
    <n v="3.4482758620689653"/>
    <s v="HDC 2/19 - 3/19"/>
  </r>
  <r>
    <x v="0"/>
    <s v="NA"/>
    <s v="U.S.A."/>
    <s v="ExxonMobil Corporation"/>
    <x v="11"/>
    <x v="0"/>
    <x v="1"/>
    <n v="2024"/>
    <n v="1"/>
    <m/>
    <n v="55.25"/>
    <s v="Ta 1/15 - 3/7 includes reformer, naphtha hydrotreater and LE distillation"/>
  </r>
  <r>
    <x v="0"/>
    <s v="NA"/>
    <s v="U.S.A."/>
    <s v="ExxonMobil Corporation"/>
    <x v="11"/>
    <x v="2"/>
    <x v="1"/>
    <n v="2024"/>
    <n v="1"/>
    <m/>
    <n v="0"/>
    <s v="Major Turnaround."/>
  </r>
  <r>
    <x v="0"/>
    <s v="NA"/>
    <s v="U.S.A."/>
    <s v="ExxonMobil Corporation"/>
    <x v="12"/>
    <x v="2"/>
    <x v="1"/>
    <n v="2024"/>
    <n v="0"/>
    <m/>
    <n v="0"/>
    <s v="Morgan-Email"/>
  </r>
  <r>
    <x v="0"/>
    <s v="NA"/>
    <s v="U.S.A."/>
    <s v="ExxonMobil Corporation"/>
    <x v="12"/>
    <x v="3"/>
    <x v="1"/>
    <n v="2024"/>
    <n v="1"/>
    <m/>
    <n v="57.103448275862071"/>
    <s v="Confirmed 1/22-2/24"/>
  </r>
  <r>
    <x v="0"/>
    <s v="NA"/>
    <s v="U.S.A."/>
    <s v="ExxonMobil Chemical Company"/>
    <x v="13"/>
    <x v="7"/>
    <x v="1"/>
    <n v="2024"/>
    <n v="1"/>
    <m/>
    <n v="0"/>
    <s v="Confirmed this event will be performed in tandem with the Baton Rouge Refinery 1Q24 event."/>
  </r>
  <r>
    <x v="0"/>
    <s v="NA"/>
    <s v="U.S.A."/>
    <s v="Marathon Petroleum Corporation"/>
    <x v="27"/>
    <x v="2"/>
    <x v="1"/>
    <n v="2025"/>
    <n v="1"/>
    <n v="0.21428571428571427"/>
    <n v="14.196428571428571"/>
    <s v="265 kbd Crude outage 1/6-2/10"/>
  </r>
  <r>
    <x v="4"/>
    <s v="NA"/>
    <s v="U.S.A."/>
    <s v="Marathon Petroleum Corporation"/>
    <x v="28"/>
    <x v="0"/>
    <x v="1"/>
    <n v="2024"/>
    <n v="1"/>
    <m/>
    <n v="5.9793103448275851"/>
    <s v="Confirmed for Feb 2024. 2/12-3/27"/>
  </r>
  <r>
    <x v="4"/>
    <s v="NA"/>
    <s v="U.S.A."/>
    <s v="Marathon Petroleum Corporation"/>
    <x v="28"/>
    <x v="1"/>
    <x v="1"/>
    <n v="2024"/>
    <n v="1"/>
    <m/>
    <n v="0"/>
    <s v="Confirmed for Feb 2024. 2/12-3/27"/>
  </r>
  <r>
    <x v="4"/>
    <s v="NA"/>
    <s v="U.S.A."/>
    <s v="Marathon Petroleum Corporation"/>
    <x v="28"/>
    <x v="2"/>
    <x v="1"/>
    <n v="2024"/>
    <n v="1"/>
    <m/>
    <n v="3.7517241379310349"/>
    <s v="Confirmed for Feb 2024. 2/12-3/27"/>
  </r>
  <r>
    <x v="4"/>
    <s v="NA"/>
    <s v="U.S.A."/>
    <s v="Marathon Petroleum Corporation"/>
    <x v="28"/>
    <x v="3"/>
    <x v="1"/>
    <n v="2024"/>
    <n v="1"/>
    <m/>
    <n v="10.059310344827587"/>
    <s v="Confirmed for Feb 2024. 2/12-3/27"/>
  </r>
  <r>
    <x v="4"/>
    <s v="NA"/>
    <s v="U.S.A."/>
    <s v="Marathon Petroleum Corporation"/>
    <x v="28"/>
    <x v="4"/>
    <x v="1"/>
    <n v="2024"/>
    <n v="1"/>
    <m/>
    <n v="2.9310344827586206"/>
    <s v="Confirmed for Feb 2024. 2/12-3/27"/>
  </r>
  <r>
    <x v="4"/>
    <s v="NA"/>
    <s v="U.S.A."/>
    <s v="Big West Oil LLC"/>
    <x v="29"/>
    <x v="0"/>
    <x v="1"/>
    <n v="2024"/>
    <n v="1"/>
    <m/>
    <n v="6.1551724137931032"/>
    <s v="Planned TAR for Spring of 2024. Moved up to 2/8-3/8"/>
  </r>
  <r>
    <x v="4"/>
    <s v="NA"/>
    <s v="U.S.A."/>
    <s v="Big West Oil LLC"/>
    <x v="29"/>
    <x v="2"/>
    <x v="1"/>
    <n v="2024"/>
    <n v="1"/>
    <m/>
    <n v="2.2448275862068967"/>
    <s v="Planned TAR for Spring of 2024. Moved up to 2/8-3/8"/>
  </r>
  <r>
    <x v="4"/>
    <s v="NA"/>
    <s v="U.S.A."/>
    <s v="Big West Oil LLC"/>
    <x v="29"/>
    <x v="3"/>
    <x v="1"/>
    <n v="2024"/>
    <n v="1"/>
    <m/>
    <n v="4.9965517241379311"/>
    <s v="Planned TAR for Spring of 2024. Moved up to 2/8-3/8"/>
  </r>
  <r>
    <x v="4"/>
    <s v="NA"/>
    <s v="U.S.A."/>
    <s v="Big West Oil LLC"/>
    <x v="29"/>
    <x v="4"/>
    <x v="1"/>
    <n v="2024"/>
    <n v="1"/>
    <m/>
    <n v="2.0275862068965518"/>
    <s v="Planned TAR for Spring of 2024. Moved up to 2/8-3/8"/>
  </r>
  <r>
    <x v="1"/>
    <s v="NA"/>
    <s v="U.S.A."/>
    <s v="Marathon Petroleum Corporation"/>
    <x v="14"/>
    <x v="2"/>
    <x v="1"/>
    <n v="2024"/>
    <n v="1"/>
    <m/>
    <n v="17.931034482758623"/>
    <s v="TA had been delayed to 2025, now reporting 1/12-2/10 for 160kb Crude 1 and 40kb Crude 4, 43kb Hydrocracker, 22kb Diesel Hydrotreater "/>
  </r>
  <r>
    <x v="1"/>
    <s v="NA"/>
    <s v="U.S.A."/>
    <s v="Marathon Petroleum Corporation"/>
    <x v="14"/>
    <x v="5"/>
    <x v="1"/>
    <n v="2024"/>
    <n v="1"/>
    <m/>
    <n v="0.74137931034482774"/>
    <s v="TA had been delayed to 2025, now reporting 1/12-2/10 for 160kb Crude 1 and 40kb Crude 4, 43kb Hydrocracker, 22kb Diesel Hydrotreater "/>
  </r>
  <r>
    <x v="1"/>
    <s v="NA"/>
    <s v="U.S.A."/>
    <s v="Valero Refining Company"/>
    <x v="15"/>
    <x v="2"/>
    <x v="1"/>
    <n v="2024"/>
    <n v="1"/>
    <m/>
    <n v="0"/>
    <s v="Maintenanance moved to 1/10/2025 from scheduled for 2/4 - 3/4 "/>
  </r>
  <r>
    <x v="1"/>
    <s v="NA"/>
    <s v="U.S.A."/>
    <s v="Valero Refining Company"/>
    <x v="15"/>
    <x v="1"/>
    <x v="1"/>
    <n v="2024"/>
    <n v="1"/>
    <m/>
    <n v="0"/>
    <s v="*"/>
  </r>
  <r>
    <x v="1"/>
    <s v="NA"/>
    <s v="U.S.A."/>
    <s v="Phillips 66"/>
    <x v="30"/>
    <x v="3"/>
    <x v="1"/>
    <n v="2024"/>
    <n v="1"/>
    <m/>
    <n v="21.293103448275865"/>
    <s v="Planned Ta FCC (50), Alky (15), Ref (20) Feb 10 - Mar 31"/>
  </r>
  <r>
    <x v="1"/>
    <s v="NA"/>
    <s v="U.S.A."/>
    <s v="Phillips 66"/>
    <x v="30"/>
    <x v="0"/>
    <x v="1"/>
    <n v="2024"/>
    <n v="1"/>
    <m/>
    <n v="11.137931034482758"/>
    <s v="Planned Ta FCC (50), Alky (15), Ref (20) Feb 10 - Mar 31"/>
  </r>
  <r>
    <x v="2"/>
    <s v="NA"/>
    <s v="U.S.A."/>
    <s v="Paulsboro Refining Company"/>
    <x v="16"/>
    <x v="2"/>
    <x v="2"/>
    <n v="2024"/>
    <n v="1"/>
    <m/>
    <n v="0"/>
    <s v="Moved from 2/1 start to 4/1-5/23"/>
  </r>
  <r>
    <x v="2"/>
    <s v="NA"/>
    <m/>
    <s v="Delaware City Refining Company LLC"/>
    <x v="31"/>
    <x v="3"/>
    <x v="2"/>
    <n v="2024"/>
    <n v="1"/>
    <m/>
    <n v="44.853333333000002"/>
    <s v="Confirmed the outage will happen next year March 2024"/>
  </r>
  <r>
    <x v="3"/>
    <s v="NA"/>
    <s v="U.S.A."/>
    <s v="CVR Energy Incorporated"/>
    <x v="32"/>
    <x v="8"/>
    <x v="2"/>
    <n v="2024"/>
    <n v="1"/>
    <m/>
    <n v="0"/>
    <s v="Rescheduled to Spring 2024. May be further delayed until Fall 2024."/>
  </r>
  <r>
    <x v="3"/>
    <s v="NA"/>
    <s v="U.S.A."/>
    <s v="CVR Energy Incorporated"/>
    <x v="32"/>
    <x v="0"/>
    <x v="2"/>
    <n v="2024"/>
    <n v="1"/>
    <m/>
    <n v="13.95"/>
    <s v="Rescheduled to Spring 2024. May be further delayed until Fall 2024."/>
  </r>
  <r>
    <x v="3"/>
    <s v="NA"/>
    <s v="U.S.A."/>
    <s v="CVR Energy Incorporated"/>
    <x v="32"/>
    <x v="1"/>
    <x v="2"/>
    <n v="2024"/>
    <n v="1"/>
    <m/>
    <n v="0"/>
    <s v="Rescheduled to Spring 2024. May be further delayed until Fall 2024."/>
  </r>
  <r>
    <x v="3"/>
    <s v="NA"/>
    <s v="U.S.A."/>
    <s v="CVR Energy Incorporated"/>
    <x v="32"/>
    <x v="2"/>
    <x v="2"/>
    <n v="2024"/>
    <n v="1"/>
    <m/>
    <n v="3.6166666670000001"/>
    <s v="Rescheduled to Spring 2024. May be further delayed until Fall 2024."/>
  </r>
  <r>
    <x v="3"/>
    <s v="NA"/>
    <s v="U.S.A."/>
    <s v="CVR Energy Incorporated"/>
    <x v="32"/>
    <x v="3"/>
    <x v="2"/>
    <n v="2024"/>
    <n v="1"/>
    <m/>
    <n v="12.586"/>
    <s v="Rescheduled to Spring 2024. May be further delayed until Fall 2024."/>
  </r>
  <r>
    <x v="3"/>
    <s v="NA"/>
    <s v="U.S.A."/>
    <s v="CVR Energy Incorporated"/>
    <x v="32"/>
    <x v="4"/>
    <x v="2"/>
    <n v="2024"/>
    <n v="1"/>
    <m/>
    <n v="4.6500000000000004"/>
    <s v="Rescheduled to Spring 2024. May be further delayed until Fall 2024."/>
  </r>
  <r>
    <x v="3"/>
    <s v="NA"/>
    <s v="U.S.A."/>
    <s v="Toledo Refining Company LLC"/>
    <x v="33"/>
    <x v="0"/>
    <x v="2"/>
    <n v="2024"/>
    <n v="1"/>
    <m/>
    <n v="24.677419354838708"/>
    <s v="Moved from May to 3/29-5/7. No 3/1-4/10"/>
  </r>
  <r>
    <x v="3"/>
    <s v="NA"/>
    <s v="U.S.A."/>
    <s v="Toledo Refining Company LLC"/>
    <x v="33"/>
    <x v="2"/>
    <x v="2"/>
    <n v="2024"/>
    <n v="1"/>
    <m/>
    <n v="8.7096774193548381"/>
    <s v="Moved from May to 3/29-5/7. No 3/1-4/10"/>
  </r>
  <r>
    <x v="3"/>
    <s v="NA"/>
    <s v="U.S.A."/>
    <s v="Toledo Refining Company LLC"/>
    <x v="33"/>
    <x v="4"/>
    <x v="2"/>
    <n v="2024"/>
    <n v="1"/>
    <m/>
    <n v="8.7096774193548399"/>
    <s v="Moved from May to 3/29-5/7. No 3/1-4/10"/>
  </r>
  <r>
    <x v="3"/>
    <s v="NA"/>
    <s v="U.S.A."/>
    <s v="Marathon Petroleum Corporation"/>
    <x v="34"/>
    <x v="2"/>
    <x v="2"/>
    <n v="2024"/>
    <n v="1"/>
    <m/>
    <n v="12.75"/>
    <s v="CDU added to maintenance on 3/18-4/16"/>
  </r>
  <r>
    <x v="3"/>
    <s v="NA"/>
    <s v="U.S.A."/>
    <s v="Marathon Petroleum Corporation"/>
    <x v="34"/>
    <x v="6"/>
    <x v="2"/>
    <n v="2024"/>
    <n v="1"/>
    <m/>
    <n v="1.2"/>
    <s v="Planned outages now 3/18-4/16 "/>
  </r>
  <r>
    <x v="3"/>
    <s v="NA"/>
    <s v="U.S.A."/>
    <s v="Marathon Petroleum Corporation"/>
    <x v="34"/>
    <x v="0"/>
    <x v="2"/>
    <n v="2024"/>
    <n v="1"/>
    <m/>
    <n v="17"/>
    <s v="Reformer outages added now 3/18-4/16"/>
  </r>
  <r>
    <x v="3"/>
    <s v="NA"/>
    <s v="U.S.A."/>
    <s v="Valero Refining Company"/>
    <x v="35"/>
    <x v="2"/>
    <x v="2"/>
    <n v="2024"/>
    <n v="1"/>
    <m/>
    <n v="26.25"/>
    <s v="Event rescheduled to occur in Spring 2024."/>
  </r>
  <r>
    <x v="3"/>
    <s v="NA"/>
    <s v="U.S.A."/>
    <s v="Coffeyville Resources Refining &amp; Marketing LLC"/>
    <x v="19"/>
    <x v="8"/>
    <x v="2"/>
    <n v="2024"/>
    <n v="1"/>
    <m/>
    <n v="0"/>
    <n v="0"/>
  </r>
  <r>
    <x v="3"/>
    <s v="NA"/>
    <s v="U.S.A."/>
    <s v="Coffeyville Resources Refining &amp; Marketing LLC"/>
    <x v="19"/>
    <x v="0"/>
    <x v="2"/>
    <n v="2024"/>
    <n v="1"/>
    <m/>
    <n v="0"/>
    <n v="0"/>
  </r>
  <r>
    <x v="3"/>
    <s v="NA"/>
    <s v="U.S.A."/>
    <s v="Coffeyville Resources Refining &amp; Marketing LLC"/>
    <x v="19"/>
    <x v="9"/>
    <x v="2"/>
    <n v="2024"/>
    <n v="1"/>
    <m/>
    <n v="0"/>
    <n v="0"/>
  </r>
  <r>
    <x v="3"/>
    <s v="NA"/>
    <s v="U.S.A."/>
    <s v="Coffeyville Resources Refining &amp; Marketing LLC"/>
    <x v="19"/>
    <x v="1"/>
    <x v="2"/>
    <n v="2024"/>
    <n v="1"/>
    <m/>
    <n v="0"/>
    <n v="0"/>
  </r>
  <r>
    <x v="3"/>
    <s v="NA"/>
    <s v="U.S.A."/>
    <s v="Coffeyville Resources Refining &amp; Marketing LLC"/>
    <x v="19"/>
    <x v="6"/>
    <x v="2"/>
    <n v="2024"/>
    <n v="1"/>
    <m/>
    <n v="0"/>
    <n v="0"/>
  </r>
  <r>
    <x v="3"/>
    <s v="NA"/>
    <s v="U.S.A."/>
    <s v="Coffeyville Resources Refining &amp; Marketing LLC"/>
    <x v="19"/>
    <x v="2"/>
    <x v="2"/>
    <n v="2024"/>
    <n v="1"/>
    <m/>
    <n v="0"/>
    <n v="0"/>
  </r>
  <r>
    <x v="3"/>
    <s v="NA"/>
    <s v="U.S.A."/>
    <s v="Coffeyville Resources Refining &amp; Marketing LLC"/>
    <x v="19"/>
    <x v="3"/>
    <x v="2"/>
    <n v="2024"/>
    <n v="1"/>
    <m/>
    <n v="0"/>
    <n v="0"/>
  </r>
  <r>
    <x v="3"/>
    <s v="NA"/>
    <s v="U.S.A."/>
    <s v="Coffeyville Resources Refining &amp; Marketing LLC"/>
    <x v="19"/>
    <x v="4"/>
    <x v="2"/>
    <n v="2024"/>
    <n v="1"/>
    <m/>
    <n v="0"/>
    <n v="0"/>
  </r>
  <r>
    <x v="0"/>
    <s v="NA"/>
    <s v="U.S.A."/>
    <s v="Marathon Petroleum Corporation"/>
    <x v="0"/>
    <x v="0"/>
    <x v="2"/>
    <n v="2024"/>
    <n v="1"/>
    <m/>
    <n v="2.7419354838709675"/>
    <s v="TA 1/14-2/10. SU delayed until mid march"/>
  </r>
  <r>
    <x v="0"/>
    <s v="NA"/>
    <s v="U.S.A."/>
    <s v="Marathon Petroleum Corporation"/>
    <x v="0"/>
    <x v="1"/>
    <x v="2"/>
    <n v="2024"/>
    <n v="1"/>
    <m/>
    <n v="0"/>
    <s v="TA 1/14-2/10. SU delayed until mid march"/>
  </r>
  <r>
    <x v="0"/>
    <s v="NA"/>
    <s v="U.S.A."/>
    <s v="Marathon Petroleum Corporation"/>
    <x v="0"/>
    <x v="2"/>
    <x v="2"/>
    <n v="2024"/>
    <n v="1"/>
    <m/>
    <n v="2.161290322580645"/>
    <s v="TA 1/14-2/10. SU delayed until mid march"/>
  </r>
  <r>
    <x v="0"/>
    <s v="NA"/>
    <s v="U.S.A."/>
    <s v="Marathon Petroleum Corporation"/>
    <x v="0"/>
    <x v="3"/>
    <x v="2"/>
    <n v="2024"/>
    <n v="1"/>
    <m/>
    <n v="9.435483870967742"/>
    <s v="TA 1/14-2/10. SU delayed until mid march"/>
  </r>
  <r>
    <x v="0"/>
    <s v="NA"/>
    <s v="U.S.A."/>
    <s v="Marathon Petroleum Corporation"/>
    <x v="0"/>
    <x v="4"/>
    <x v="2"/>
    <n v="2024"/>
    <n v="1"/>
    <m/>
    <n v="3.870967741935484"/>
    <s v="TA 1/14-2/10. SU delayed until mid march"/>
  </r>
  <r>
    <x v="0"/>
    <s v="NA"/>
    <s v="U.S.A."/>
    <s v="Valero Refining Company"/>
    <x v="1"/>
    <x v="3"/>
    <x v="2"/>
    <n v="2024"/>
    <n v="1"/>
    <m/>
    <n v="0"/>
    <s v="Updated timing from 1/5-3/16 to 1/20-2/23 on 12/21/23"/>
  </r>
  <r>
    <x v="0"/>
    <s v="NA"/>
    <s v="U.S.A."/>
    <s v="Valero Refining Company"/>
    <x v="1"/>
    <x v="4"/>
    <x v="2"/>
    <n v="2024"/>
    <n v="1"/>
    <m/>
    <n v="0"/>
    <s v="Updated timing from 1/5-3/16 to 1/20-2/23 on 12/21/23"/>
  </r>
  <r>
    <x v="0"/>
    <s v="NA"/>
    <s v="U.S.A."/>
    <s v="Phillips 66"/>
    <x v="36"/>
    <x v="0"/>
    <x v="2"/>
    <n v="2024"/>
    <n v="1"/>
    <m/>
    <n v="29.75"/>
    <s v="3/1-4/11"/>
  </r>
  <r>
    <x v="0"/>
    <s v="NA"/>
    <s v="U.S.A."/>
    <s v="Cross Oil Refining &amp; Marketing Incorporated"/>
    <x v="37"/>
    <x v="8"/>
    <x v="2"/>
    <n v="2024"/>
    <n v="1"/>
    <m/>
    <n v="0"/>
    <s v="Planned maintenance."/>
  </r>
  <r>
    <x v="0"/>
    <s v="NA"/>
    <s v="U.S.A."/>
    <s v="Cross Oil Refining &amp; Marketing Incorporated"/>
    <x v="37"/>
    <x v="1"/>
    <x v="2"/>
    <n v="2024"/>
    <n v="1"/>
    <m/>
    <n v="0"/>
    <s v="Maintenance Turnaround moved from March 2023 to March 2024."/>
  </r>
  <r>
    <x v="0"/>
    <s v="NA"/>
    <s v="U.S.A."/>
    <s v="Cross Oil Refining &amp; Marketing Incorporated"/>
    <x v="37"/>
    <x v="2"/>
    <x v="2"/>
    <n v="2024"/>
    <n v="1"/>
    <m/>
    <n v="0.49"/>
    <s v="Planned Maintenance."/>
  </r>
  <r>
    <x v="0"/>
    <s v="NA"/>
    <s v="U.S.A."/>
    <s v="Valero Refining Company"/>
    <x v="3"/>
    <x v="0"/>
    <x v="2"/>
    <n v="2024"/>
    <n v="1"/>
    <m/>
    <n v="13.709677419354838"/>
    <s v="Major Turnaround. Jan 15 - Mar 10"/>
  </r>
  <r>
    <x v="0"/>
    <s v="NA"/>
    <s v="U.S.A."/>
    <s v="Valero Refining Company"/>
    <x v="3"/>
    <x v="1"/>
    <x v="2"/>
    <n v="2024"/>
    <n v="1"/>
    <m/>
    <n v="0"/>
    <s v="Major Turnaround."/>
  </r>
  <r>
    <x v="0"/>
    <s v="NA"/>
    <s v="U.S.A."/>
    <s v="Valero Refining Company"/>
    <x v="3"/>
    <x v="6"/>
    <x v="2"/>
    <n v="2024"/>
    <n v="1"/>
    <m/>
    <n v="3.225806451612903"/>
    <s v="Major Turnaround. Jan 15 - Mar 10"/>
  </r>
  <r>
    <x v="0"/>
    <s v="NA"/>
    <s v="U.S.A."/>
    <s v="Valero Refining Company"/>
    <x v="3"/>
    <x v="2"/>
    <x v="2"/>
    <n v="2024"/>
    <n v="1"/>
    <m/>
    <n v="6.774193548387097"/>
    <s v="Major Turnaround. Jan 15 - Mar 10"/>
  </r>
  <r>
    <x v="0"/>
    <s v="NA"/>
    <s v="U.S.A."/>
    <s v="Chevron Corporation"/>
    <x v="38"/>
    <x v="2"/>
    <x v="2"/>
    <n v="2024"/>
    <n v="1"/>
    <m/>
    <n v="46.774193548387096"/>
    <s v="Major Turnaround. 4/5-5/19 (175kbd). Now 3/2-4/15"/>
  </r>
  <r>
    <x v="0"/>
    <s v="NA"/>
    <s v="U.S.A."/>
    <s v="Chevron Corporation"/>
    <x v="39"/>
    <x v="0"/>
    <x v="2"/>
    <n v="2024"/>
    <n v="1"/>
    <m/>
    <n v="10.529032258064515"/>
    <s v="Ref 3 (24kb) 3/15-5/9"/>
  </r>
  <r>
    <x v="0"/>
    <s v="NA"/>
    <s v="U.S.A."/>
    <s v="CITGO Petroleum Corporation"/>
    <x v="5"/>
    <x v="2"/>
    <x v="2"/>
    <n v="2024"/>
    <n v="1"/>
    <m/>
    <n v="5.9225806451612915"/>
    <s v="Planned maintenance moved (2/16-3/17)"/>
  </r>
  <r>
    <x v="0"/>
    <s v="NA"/>
    <s v="U.S.A."/>
    <s v="CITGO Petroleum Corporation"/>
    <x v="5"/>
    <x v="3"/>
    <x v="2"/>
    <n v="2024"/>
    <n v="1"/>
    <m/>
    <n v="17.822580645161292"/>
    <s v="Planned maintenance Moved to Jan from Mar (1/19-3/17)"/>
  </r>
  <r>
    <x v="0"/>
    <s v="NA"/>
    <s v="U.S.A."/>
    <s v="Houston Refining LP"/>
    <x v="20"/>
    <x v="6"/>
    <x v="2"/>
    <n v="2024"/>
    <n v="1"/>
    <m/>
    <n v="6.72"/>
    <s v="Planned maintenance."/>
  </r>
  <r>
    <x v="0"/>
    <s v="NA"/>
    <s v="U.S.A."/>
    <s v="Houston Refining LP"/>
    <x v="20"/>
    <x v="2"/>
    <x v="2"/>
    <n v="2024"/>
    <n v="1"/>
    <m/>
    <n v="17.5"/>
    <s v="Planned maintenance."/>
  </r>
  <r>
    <x v="0"/>
    <s v="NA"/>
    <s v="U.S.A."/>
    <s v="NOVA Chemicals Corporation"/>
    <x v="7"/>
    <x v="7"/>
    <x v="2"/>
    <n v="2024"/>
    <n v="1"/>
    <m/>
    <n v="0"/>
    <n v="0"/>
  </r>
  <r>
    <x v="0"/>
    <s v="NA"/>
    <s v="U.S.A."/>
    <s v="Marathon Petroleum Corporation"/>
    <x v="8"/>
    <x v="2"/>
    <x v="2"/>
    <n v="2024"/>
    <n v="1"/>
    <m/>
    <n v="1.064516129032258"/>
    <s v="Estimated start Jan 19 to Mar 3"/>
  </r>
  <r>
    <x v="0"/>
    <s v="NA"/>
    <s v="U.S.A."/>
    <s v="Marathon Petroleum Corporation"/>
    <x v="8"/>
    <x v="5"/>
    <x v="2"/>
    <n v="2024"/>
    <n v="1"/>
    <m/>
    <n v="0.55161290322580647"/>
    <s v="Estimated start Jan 19 to Mar 3"/>
  </r>
  <r>
    <x v="0"/>
    <s v="NA"/>
    <s v="U.S.A."/>
    <s v="Marathon Petroleum Corporation"/>
    <x v="8"/>
    <x v="6"/>
    <x v="2"/>
    <n v="2024"/>
    <n v="1"/>
    <m/>
    <n v="0.33870967741935482"/>
    <s v="Estimated start Jan 19 to Mar 3"/>
  </r>
  <r>
    <x v="0"/>
    <s v="NA"/>
    <s v="U.S.A."/>
    <s v="Marathon Petroleum Corporation"/>
    <x v="21"/>
    <x v="2"/>
    <x v="2"/>
    <n v="2024"/>
    <n v="1"/>
    <m/>
    <n v="0.6967741935483871"/>
    <s v="Pulled up from 2026 to 2/12-3/3"/>
  </r>
  <r>
    <x v="0"/>
    <s v="NA"/>
    <s v="U.S.A."/>
    <s v="Marathon Petroleum Corporation"/>
    <x v="21"/>
    <x v="3"/>
    <x v="2"/>
    <n v="2024"/>
    <n v="1"/>
    <m/>
    <n v="1.0693548387096776"/>
    <s v="Pulled up from 2026 to 2/12-3/3"/>
  </r>
  <r>
    <x v="0"/>
    <s v="NA"/>
    <s v="U.S.A."/>
    <s v="Marathon Petroleum Corporation"/>
    <x v="21"/>
    <x v="4"/>
    <x v="2"/>
    <n v="2024"/>
    <n v="1"/>
    <m/>
    <n v="0.28364849833147937"/>
    <s v="Pulled up from 2026 to 2/12-3/3"/>
  </r>
  <r>
    <x v="0"/>
    <s v="NA"/>
    <s v="U.S.A."/>
    <s v="Deer Park Refining LP"/>
    <x v="22"/>
    <x v="5"/>
    <x v="2"/>
    <n v="2024"/>
    <n v="1"/>
    <m/>
    <n v="0.21612903225806451"/>
    <s v="Moved from Sp/Oct to Mar 8 - Apr 6 2024. Now Mar 29 - May 2. Added CDU"/>
  </r>
  <r>
    <x v="0"/>
    <s v="NA"/>
    <s v="U.S.A."/>
    <s v="Deer Park Refining LP"/>
    <x v="22"/>
    <x v="2"/>
    <x v="2"/>
    <n v="2024"/>
    <n v="1"/>
    <m/>
    <n v="1.129032258064516"/>
    <s v="Moved from Sp/Oct to Mar 8 - Apr 6 2024. Now Mar 29 - May 2. Added CDU"/>
  </r>
  <r>
    <x v="0"/>
    <s v="NA"/>
    <s v="U.S.A."/>
    <s v="LyondellBasell Industries NV"/>
    <x v="23"/>
    <x v="7"/>
    <x v="2"/>
    <n v="2024"/>
    <n v="1"/>
    <m/>
    <n v="0"/>
    <s v="Turnaround is planned to begin in the first quarter of 2024."/>
  </r>
  <r>
    <x v="0"/>
    <s v="NA"/>
    <s v="U.S.A."/>
    <s v="Magellan Midstream Partners LP"/>
    <x v="24"/>
    <x v="10"/>
    <x v="2"/>
    <n v="2024"/>
    <n v="1"/>
    <m/>
    <n v="0"/>
    <s v="Planned maintenance."/>
  </r>
  <r>
    <x v="0"/>
    <s v="NA"/>
    <s v="U.S.A."/>
    <s v="WRB Refining LP"/>
    <x v="25"/>
    <x v="1"/>
    <x v="2"/>
    <n v="2024"/>
    <n v="1"/>
    <m/>
    <n v="0"/>
    <s v="Catalyst."/>
  </r>
  <r>
    <x v="0"/>
    <s v="NA"/>
    <s v="U.S.A."/>
    <s v="ExxonMobil Corporation"/>
    <x v="26"/>
    <x v="0"/>
    <x v="2"/>
    <n v="2024"/>
    <n v="1"/>
    <m/>
    <n v="33.862903225806448"/>
    <s v="Reformer 2/19-3/19"/>
  </r>
  <r>
    <x v="0"/>
    <s v="NA"/>
    <s v="U.S.A."/>
    <s v="ExxonMobil Corporation"/>
    <x v="26"/>
    <x v="5"/>
    <x v="2"/>
    <n v="2024"/>
    <n v="1"/>
    <m/>
    <n v="6.129032258064516"/>
    <s v="HDC 2/19 - 3/19"/>
  </r>
  <r>
    <x v="0"/>
    <s v="NA"/>
    <s v="U.S.A."/>
    <s v="ExxonMobil Corporation"/>
    <x v="11"/>
    <x v="2"/>
    <x v="2"/>
    <n v="2024"/>
    <n v="1"/>
    <m/>
    <n v="0"/>
    <s v="Major Turnaround."/>
  </r>
  <r>
    <x v="0"/>
    <s v="NA"/>
    <s v="U.S.A."/>
    <s v="ExxonMobil Corporation"/>
    <x v="11"/>
    <x v="0"/>
    <x v="2"/>
    <n v="2024"/>
    <n v="1"/>
    <m/>
    <n v="12.475806451612904"/>
    <s v="Ta 1/15 - 3/7 includes reformer, naphtha hydrotreater and LE distillation"/>
  </r>
  <r>
    <x v="0"/>
    <s v="NA"/>
    <s v="U.S.A."/>
    <s v="INEOS Olefins &amp; Polymers"/>
    <x v="40"/>
    <x v="7"/>
    <x v="2"/>
    <n v="2024"/>
    <n v="1"/>
    <m/>
    <n v="0"/>
    <n v="0"/>
  </r>
  <r>
    <x v="4"/>
    <s v="NA"/>
    <s v="U.S.A."/>
    <s v="Marathon Petroleum Corporation"/>
    <x v="28"/>
    <x v="0"/>
    <x v="2"/>
    <n v="2024"/>
    <n v="1"/>
    <m/>
    <n v="8.8838709677419345"/>
    <s v="Confirmed for Feb 2024"/>
  </r>
  <r>
    <x v="4"/>
    <s v="NA"/>
    <s v="U.S.A."/>
    <s v="Marathon Petroleum Corporation"/>
    <x v="28"/>
    <x v="1"/>
    <x v="2"/>
    <n v="2024"/>
    <n v="1"/>
    <m/>
    <n v="0"/>
    <s v="*"/>
  </r>
  <r>
    <x v="4"/>
    <s v="NA"/>
    <s v="U.S.A."/>
    <s v="Marathon Petroleum Corporation"/>
    <x v="28"/>
    <x v="2"/>
    <x v="2"/>
    <n v="2024"/>
    <n v="1"/>
    <m/>
    <n v="5.5741935483870968"/>
    <s v="Confirmed for Feb 2024"/>
  </r>
  <r>
    <x v="4"/>
    <s v="NA"/>
    <s v="U.S.A."/>
    <s v="Marathon Petroleum Corporation"/>
    <x v="28"/>
    <x v="3"/>
    <x v="2"/>
    <n v="2024"/>
    <n v="1"/>
    <m/>
    <n v="14.945806451612903"/>
    <s v="Confirmed for Feb 2024"/>
  </r>
  <r>
    <x v="4"/>
    <s v="NA"/>
    <s v="U.S.A."/>
    <s v="Marathon Petroleum Corporation"/>
    <x v="28"/>
    <x v="4"/>
    <x v="2"/>
    <n v="2024"/>
    <n v="1"/>
    <m/>
    <n v="4.354838709677419"/>
    <s v="Planned work confirmed for 2024"/>
  </r>
  <r>
    <x v="4"/>
    <s v="NA"/>
    <s v="U.S.A."/>
    <s v="Chevron Corporation"/>
    <x v="41"/>
    <x v="2"/>
    <x v="2"/>
    <n v="2024"/>
    <n v="1"/>
    <m/>
    <n v="2.935483870967742"/>
    <s v="Updated 2/5 per IIR - Outage from 3/24 - 4/27. Pulled up from Oct - Nov 2024"/>
  </r>
  <r>
    <x v="4"/>
    <s v="NA"/>
    <s v="U.S.A."/>
    <s v="Chevron Corporation"/>
    <x v="41"/>
    <x v="8"/>
    <x v="2"/>
    <n v="2024"/>
    <n v="1"/>
    <m/>
    <n v="0"/>
    <s v="Updated 2/5 per IIR - Outage from 3/24 - 4/27. Pulled up from Oct - Nov 2024"/>
  </r>
  <r>
    <x v="4"/>
    <s v="NA"/>
    <s v="U.S.A."/>
    <s v="Big West Oil LLC"/>
    <x v="29"/>
    <x v="0"/>
    <x v="2"/>
    <n v="2024"/>
    <n v="1"/>
    <m/>
    <n v="2.193548387096774"/>
    <s v="Planned TAR for Spring of 2024. Moved up to 2/8-3/8"/>
  </r>
  <r>
    <x v="4"/>
    <s v="NA"/>
    <s v="U.S.A."/>
    <s v="Big West Oil LLC"/>
    <x v="29"/>
    <x v="2"/>
    <x v="2"/>
    <n v="2024"/>
    <n v="1"/>
    <m/>
    <n v="0.8"/>
    <s v="Planned TAR for Spring of 2024. Moved up to 2/8-3/8"/>
  </r>
  <r>
    <x v="4"/>
    <s v="NA"/>
    <s v="U.S.A."/>
    <s v="Big West Oil LLC"/>
    <x v="29"/>
    <x v="3"/>
    <x v="2"/>
    <n v="2024"/>
    <n v="1"/>
    <m/>
    <n v="1.7806451612903225"/>
    <s v="Planned TAR for Spring of 2024. Moved up to 2/8-3/8"/>
  </r>
  <r>
    <x v="4"/>
    <s v="NA"/>
    <s v="U.S.A."/>
    <s v="Big West Oil LLC"/>
    <x v="29"/>
    <x v="4"/>
    <x v="2"/>
    <n v="2024"/>
    <n v="1"/>
    <m/>
    <n v="0.72258064516129028"/>
    <s v="Planned TAR for Spring of 2024. Moved up to 2/8-3/8"/>
  </r>
  <r>
    <x v="1"/>
    <s v="NA"/>
    <s v="U.S.A."/>
    <s v="Kern Oil &amp; Refining Company"/>
    <x v="42"/>
    <x v="1"/>
    <x v="2"/>
    <n v="2024"/>
    <n v="1"/>
    <m/>
    <n v="0"/>
    <n v="0"/>
  </r>
  <r>
    <x v="1"/>
    <s v="NA"/>
    <s v="U.S.A."/>
    <s v="Kern Oil &amp; Refining Company"/>
    <x v="42"/>
    <x v="2"/>
    <x v="2"/>
    <n v="2024"/>
    <n v="1"/>
    <m/>
    <n v="0"/>
    <n v="0"/>
  </r>
  <r>
    <x v="1"/>
    <s v="NA"/>
    <s v="U.S.A."/>
    <s v="HF Sinclair Corporation"/>
    <x v="43"/>
    <x v="3"/>
    <x v="2"/>
    <n v="2024"/>
    <n v="1"/>
    <m/>
    <n v="16.433333333"/>
    <s v="Planned maintenance."/>
  </r>
  <r>
    <x v="1"/>
    <s v="NA"/>
    <s v="U.S.A."/>
    <s v="HF Sinclair Corporation"/>
    <x v="43"/>
    <x v="4"/>
    <x v="2"/>
    <n v="2024"/>
    <n v="1"/>
    <m/>
    <n v="5.61"/>
    <s v="Planned maintenance."/>
  </r>
  <r>
    <x v="1"/>
    <s v="NA"/>
    <s v="U.S.A."/>
    <s v="Valero Refining Company"/>
    <x v="15"/>
    <x v="1"/>
    <x v="2"/>
    <n v="2024"/>
    <n v="1"/>
    <m/>
    <n v="0"/>
    <s v="*"/>
  </r>
  <r>
    <x v="1"/>
    <s v="NA"/>
    <s v="U.S.A."/>
    <s v="Phillips 66"/>
    <x v="30"/>
    <x v="3"/>
    <x v="2"/>
    <n v="2024"/>
    <n v="1"/>
    <m/>
    <n v="32.5"/>
    <s v="Planned Ta FCC (50), Alky (15), Ref (20) Feb 10 - Mar 31"/>
  </r>
  <r>
    <x v="1"/>
    <s v="NA"/>
    <s v="U.S.A."/>
    <s v="Phillips 66"/>
    <x v="30"/>
    <x v="0"/>
    <x v="2"/>
    <n v="2024"/>
    <n v="1"/>
    <m/>
    <n v="17"/>
    <s v="Planned Ta FCC (50), Alky (15), Ref (20) Feb 10 - Mar 31"/>
  </r>
  <r>
    <x v="2"/>
    <s v="NA"/>
    <s v="U.S.A."/>
    <s v="Paulsboro Refining Company"/>
    <x v="16"/>
    <x v="2"/>
    <x v="3"/>
    <n v="2024"/>
    <n v="1"/>
    <n v="110"/>
    <n v="27.5"/>
    <s v="Moved from 2/1 start to 4/1-5/23"/>
  </r>
  <r>
    <x v="2"/>
    <s v="NA"/>
    <s v="U.S.A."/>
    <s v="Delaware City Refining Company LLC"/>
    <x v="31"/>
    <x v="3"/>
    <x v="3"/>
    <n v="2024"/>
    <n v="1"/>
    <m/>
    <n v="1.546666667"/>
    <s v="Confirmed the outage will happen next year March 2024"/>
  </r>
  <r>
    <x v="3"/>
    <s v="NA"/>
    <s v="U.S.A."/>
    <s v="CVR Energy Incorporated"/>
    <x v="32"/>
    <x v="8"/>
    <x v="3"/>
    <n v="2024"/>
    <n v="1"/>
    <m/>
    <n v="0"/>
    <s v="Rescheduled to Spring 2024. May be further delayed until Fall 2024."/>
  </r>
  <r>
    <x v="3"/>
    <s v="NA"/>
    <s v="U.S.A."/>
    <s v="CVR Energy Incorporated"/>
    <x v="32"/>
    <x v="0"/>
    <x v="3"/>
    <n v="2024"/>
    <n v="1"/>
    <m/>
    <n v="6.3"/>
    <s v="Rescheduled to Spring 2024. May be further delayed until Fall 2024."/>
  </r>
  <r>
    <x v="3"/>
    <s v="NA"/>
    <s v="U.S.A."/>
    <s v="CVR Energy Incorporated"/>
    <x v="32"/>
    <x v="1"/>
    <x v="3"/>
    <n v="2024"/>
    <n v="1"/>
    <m/>
    <n v="0"/>
    <s v="Rescheduled to Spring 2024. May be further delayed until Fall 2024."/>
  </r>
  <r>
    <x v="3"/>
    <s v="NA"/>
    <s v="U.S.A."/>
    <s v="CVR Energy Incorporated"/>
    <x v="32"/>
    <x v="2"/>
    <x v="3"/>
    <n v="2024"/>
    <n v="1"/>
    <m/>
    <n v="1.6333333329999999"/>
    <s v="Rescheduled to Spring 2024. May be further delayed until Fall 2024."/>
  </r>
  <r>
    <x v="3"/>
    <s v="NA"/>
    <s v="U.S.A."/>
    <s v="CVR Energy Incorporated"/>
    <x v="32"/>
    <x v="3"/>
    <x v="3"/>
    <n v="2024"/>
    <n v="1"/>
    <m/>
    <n v="5.6840000000000002"/>
    <s v="Rescheduled to Spring 2024. May be further delayed until Fall 2024."/>
  </r>
  <r>
    <x v="3"/>
    <s v="NA"/>
    <s v="U.S.A."/>
    <s v="CVR Energy Incorporated"/>
    <x v="32"/>
    <x v="4"/>
    <x v="3"/>
    <n v="2024"/>
    <n v="1"/>
    <m/>
    <n v="2.1"/>
    <s v="Rescheduled to Spring 2024. May be further delayed until Fall 2024."/>
  </r>
  <r>
    <x v="3"/>
    <s v="NA"/>
    <s v="U.S.A."/>
    <s v="Toledo Refining Company LLC"/>
    <x v="33"/>
    <x v="0"/>
    <x v="3"/>
    <n v="2024"/>
    <n v="1"/>
    <m/>
    <n v="8.5"/>
    <s v="Moved from May to 3/29-5/7. No 3/1-4/10"/>
  </r>
  <r>
    <x v="3"/>
    <s v="NA"/>
    <s v="U.S.A."/>
    <s v="Toledo Refining Company LLC"/>
    <x v="33"/>
    <x v="2"/>
    <x v="3"/>
    <n v="2024"/>
    <n v="1"/>
    <m/>
    <n v="3"/>
    <s v="Moved from May to 3/29-5/7. No 3/1-4/10"/>
  </r>
  <r>
    <x v="3"/>
    <s v="NA"/>
    <s v="U.S.A."/>
    <s v="Toledo Refining Company LLC"/>
    <x v="33"/>
    <x v="4"/>
    <x v="3"/>
    <n v="2024"/>
    <n v="1"/>
    <m/>
    <n v="3"/>
    <s v="Moved from May to 3/29-5/7. No 3/1-4/10"/>
  </r>
  <r>
    <x v="3"/>
    <s v="NA"/>
    <s v="U.S.A."/>
    <s v="Cenovus Energy Incorporated"/>
    <x v="44"/>
    <x v="4"/>
    <x v="3"/>
    <n v="2024"/>
    <n v="1"/>
    <m/>
    <n v="2"/>
    <s v="Planned Ta mid April - mid-May"/>
  </r>
  <r>
    <x v="3"/>
    <s v="NA"/>
    <s v="U.S.A."/>
    <s v="Marathon Petroleum Corporation"/>
    <x v="34"/>
    <x v="2"/>
    <x v="3"/>
    <n v="2024"/>
    <n v="1"/>
    <m/>
    <n v="12.75"/>
    <s v="CDU added to maintenance on 3/18-4/16"/>
  </r>
  <r>
    <x v="3"/>
    <s v="NA"/>
    <s v="U.S.A."/>
    <s v="Marathon Petroleum Corporation"/>
    <x v="34"/>
    <x v="6"/>
    <x v="3"/>
    <n v="2024"/>
    <n v="1"/>
    <m/>
    <n v="1.2"/>
    <s v="Planned outages now 3/18-4/16 "/>
  </r>
  <r>
    <x v="3"/>
    <s v="NA"/>
    <s v="U.S.A."/>
    <s v="Marathon Petroleum Corporation"/>
    <x v="34"/>
    <x v="0"/>
    <x v="3"/>
    <n v="2024"/>
    <n v="1"/>
    <m/>
    <n v="17"/>
    <s v="Reformer outages added now 3/18-4/16"/>
  </r>
  <r>
    <x v="3"/>
    <s v="NA"/>
    <s v="U.S.A."/>
    <s v="Countrymark Cooperative LLP"/>
    <x v="45"/>
    <x v="2"/>
    <x v="3"/>
    <n v="2024"/>
    <n v="1"/>
    <m/>
    <n v="13.65"/>
    <s v="Maintenance planned for April 2024"/>
  </r>
  <r>
    <x v="3"/>
    <s v="NA"/>
    <s v="U.S.A."/>
    <s v="Valero Refining Company"/>
    <x v="35"/>
    <x v="2"/>
    <x v="3"/>
    <n v="2024"/>
    <n v="1"/>
    <m/>
    <n v="4.3749999992045447"/>
    <s v="Event rescheduled to occur in Spring 2024."/>
  </r>
  <r>
    <x v="3"/>
    <s v="NA"/>
    <s v="U.S.A."/>
    <s v="Marathon Petroleum Corporation"/>
    <x v="46"/>
    <x v="0"/>
    <x v="3"/>
    <n v="2024"/>
    <n v="1"/>
    <m/>
    <n v="11.05"/>
    <s v="On schedule for April 2024"/>
  </r>
  <r>
    <x v="3"/>
    <s v="NA"/>
    <s v="U.S.A."/>
    <s v="Marathon Petroleum Corporation"/>
    <x v="46"/>
    <x v="9"/>
    <x v="3"/>
    <n v="2024"/>
    <n v="1"/>
    <m/>
    <n v="0"/>
    <s v="On schedule for April 2024"/>
  </r>
  <r>
    <x v="3"/>
    <s v="NA"/>
    <s v="U.S.A."/>
    <s v="Marathon Petroleum Corporation"/>
    <x v="46"/>
    <x v="1"/>
    <x v="3"/>
    <n v="2024"/>
    <n v="1"/>
    <m/>
    <n v="0"/>
    <s v="*"/>
  </r>
  <r>
    <x v="3"/>
    <s v="NA"/>
    <s v="U.S.A."/>
    <s v="Marathon Petroleum Corporation"/>
    <x v="46"/>
    <x v="2"/>
    <x v="3"/>
    <n v="2024"/>
    <n v="1"/>
    <m/>
    <n v="7.6"/>
    <s v="On schedule for April 2024"/>
  </r>
  <r>
    <x v="3"/>
    <s v="NA"/>
    <s v="U.S.A."/>
    <s v="Marathon Petroleum Corporation"/>
    <x v="46"/>
    <x v="3"/>
    <x v="3"/>
    <n v="2024"/>
    <n v="1"/>
    <m/>
    <n v="15.08"/>
    <s v="On schedule for April 2024"/>
  </r>
  <r>
    <x v="3"/>
    <s v="NA"/>
    <s v="U.S.A."/>
    <s v="Marathon Petroleum Corporation"/>
    <x v="46"/>
    <x v="4"/>
    <x v="3"/>
    <n v="2024"/>
    <n v="1"/>
    <m/>
    <n v="4.5"/>
    <s v="Remains on schedule for Spring 2024. 4/1-5/15"/>
  </r>
  <r>
    <x v="3"/>
    <s v="NA"/>
    <s v="U.S.A."/>
    <s v="CITGO Petroleum Corporation"/>
    <x v="47"/>
    <x v="2"/>
    <x v="3"/>
    <n v="2024"/>
    <n v="1"/>
    <m/>
    <n v="18"/>
    <s v="Pulled from 2025 to 4/1-5/21"/>
  </r>
  <r>
    <x v="3"/>
    <s v="NA"/>
    <s v="U.S.A."/>
    <s v="CITGO Petroleum Corporation"/>
    <x v="47"/>
    <x v="3"/>
    <x v="3"/>
    <n v="2024"/>
    <n v="1"/>
    <m/>
    <n v="38.35"/>
    <s v="Pulled from 2025 to 4/1-5/21"/>
  </r>
  <r>
    <x v="3"/>
    <s v="NA"/>
    <s v="U.S.A."/>
    <s v="CITGO Petroleum Corporation"/>
    <x v="47"/>
    <x v="4"/>
    <x v="3"/>
    <n v="2024"/>
    <n v="1"/>
    <m/>
    <n v="3.5"/>
    <s v="Pulled from 2025 to 4/1-5/21"/>
  </r>
  <r>
    <x v="3"/>
    <s v="NA"/>
    <s v="U.S.A."/>
    <s v="CITGO Petroleum Corporation"/>
    <x v="47"/>
    <x v="0"/>
    <x v="3"/>
    <n v="2024"/>
    <n v="1"/>
    <m/>
    <n v="23.8"/>
    <s v="Pulled from 2025 to 4/1-5/21"/>
  </r>
  <r>
    <x v="3"/>
    <s v="NA"/>
    <s v="U.S.A."/>
    <s v="CITGO Petroleum Corporation"/>
    <x v="47"/>
    <x v="6"/>
    <x v="3"/>
    <n v="2024"/>
    <n v="1"/>
    <m/>
    <n v="1.8"/>
    <s v="Pulled from 2025 to 4/1-5/21"/>
  </r>
  <r>
    <x v="3"/>
    <s v="NA"/>
    <s v="U.S.A."/>
    <s v="ExxonMobil"/>
    <x v="48"/>
    <x v="2"/>
    <x v="3"/>
    <n v="2024"/>
    <n v="1"/>
    <m/>
    <n v="27"/>
    <s v="Joliet T/A April - Mid May"/>
  </r>
  <r>
    <x v="3"/>
    <s v="NA"/>
    <s v="U.S.A."/>
    <s v="ExxonMobil"/>
    <x v="48"/>
    <x v="3"/>
    <x v="3"/>
    <n v="2024"/>
    <n v="1"/>
    <m/>
    <n v="58.5"/>
    <s v="Joliet T/A April - Mid May"/>
  </r>
  <r>
    <x v="3"/>
    <s v="NA"/>
    <s v="U.S.A."/>
    <s v="ExxonMobil"/>
    <x v="48"/>
    <x v="4"/>
    <x v="3"/>
    <n v="2024"/>
    <n v="1"/>
    <m/>
    <n v="5"/>
    <s v="Joliet T/A April - Mid May"/>
  </r>
  <r>
    <x v="3"/>
    <s v="NA"/>
    <s v="U.S.A."/>
    <s v="ExxonMobil"/>
    <x v="48"/>
    <x v="0"/>
    <x v="3"/>
    <n v="2024"/>
    <n v="1"/>
    <m/>
    <n v="42.5"/>
    <s v="Joliet T/A April - Mid May"/>
  </r>
  <r>
    <x v="3"/>
    <s v="NA"/>
    <s v="U.S.A."/>
    <s v="ExxonMobil"/>
    <x v="48"/>
    <x v="6"/>
    <x v="3"/>
    <n v="2024"/>
    <n v="1"/>
    <m/>
    <n v="5.6000000000000005"/>
    <s v="Joliet T/A April - Mid May"/>
  </r>
  <r>
    <x v="0"/>
    <s v="NA"/>
    <s v="U.S.A."/>
    <s v="Phillips 66"/>
    <x v="36"/>
    <x v="0"/>
    <x v="3"/>
    <n v="2024"/>
    <n v="1"/>
    <m/>
    <n v="10.908333333333333"/>
    <s v="3/1-4/11"/>
  </r>
  <r>
    <x v="0"/>
    <s v="NA"/>
    <s v="U.S.A."/>
    <s v="Chevron Corporation"/>
    <x v="38"/>
    <x v="2"/>
    <x v="3"/>
    <n v="2024"/>
    <n v="1"/>
    <m/>
    <n v="25"/>
    <s v="Major Turnaround. 4/5-5/19 (175kbd). Now 3/2-4/15"/>
  </r>
  <r>
    <x v="0"/>
    <s v="NA"/>
    <s v="U.S.A."/>
    <s v="Chevron Corporation"/>
    <x v="39"/>
    <x v="0"/>
    <x v="3"/>
    <n v="2024"/>
    <n v="1"/>
    <m/>
    <n v="20.399999999999999"/>
    <s v="Ref 3 (24kb) 3/15-5/9"/>
  </r>
  <r>
    <x v="0"/>
    <s v="NA"/>
    <s v="U.S.A."/>
    <s v="Dow Incorporated"/>
    <x v="49"/>
    <x v="7"/>
    <x v="3"/>
    <n v="2024"/>
    <n v="1"/>
    <m/>
    <n v="0"/>
    <n v="0"/>
  </r>
  <r>
    <x v="0"/>
    <s v="NA"/>
    <s v="U.S.A."/>
    <s v="Deer Park Refining LP"/>
    <x v="22"/>
    <x v="5"/>
    <x v="3"/>
    <n v="2024"/>
    <n v="1"/>
    <m/>
    <n v="3.35"/>
    <s v="Moved from Sp/Oct to Mar 8 - Apr 6 2024. Now Mar 29 - May 2. Added CDU"/>
  </r>
  <r>
    <x v="0"/>
    <s v="NA"/>
    <s v="U.S.A."/>
    <s v="Deer Park Refining LP"/>
    <x v="22"/>
    <x v="2"/>
    <x v="3"/>
    <n v="2024"/>
    <n v="1"/>
    <m/>
    <n v="17.5"/>
    <s v="Moved from Sp/Oct to Mar 8 - Apr 6 2024. Now Mar 29 - May 2. Added CDU"/>
  </r>
  <r>
    <x v="0"/>
    <s v="NA"/>
    <s v="U.S.A."/>
    <s v="LyondellBasell Industries NV"/>
    <x v="23"/>
    <x v="7"/>
    <x v="3"/>
    <n v="2024"/>
    <n v="1"/>
    <m/>
    <n v="0"/>
    <s v="Turnaround is planned to begin in the first quarter of 2024."/>
  </r>
  <r>
    <x v="0"/>
    <s v="NA"/>
    <s v="U.S.A."/>
    <s v="WRB Refining LP"/>
    <x v="25"/>
    <x v="9"/>
    <x v="3"/>
    <n v="2024"/>
    <n v="1"/>
    <m/>
    <n v="0"/>
    <s v="Catalyst."/>
  </r>
  <r>
    <x v="0"/>
    <s v="NA"/>
    <s v="U.S.A."/>
    <s v="WRB Refining LP"/>
    <x v="25"/>
    <x v="1"/>
    <x v="3"/>
    <n v="2024"/>
    <n v="1"/>
    <m/>
    <n v="0"/>
    <s v="Catalyst."/>
  </r>
  <r>
    <x v="0"/>
    <s v="NA"/>
    <s v="U.S.A."/>
    <s v="Valero Refining Company"/>
    <x v="50"/>
    <x v="5"/>
    <x v="3"/>
    <n v="2024"/>
    <n v="1"/>
    <m/>
    <n v="1.65"/>
    <s v="5 year run"/>
  </r>
  <r>
    <x v="0"/>
    <s v="NA"/>
    <s v="U.S.A."/>
    <s v="INEOS Olefins &amp; Polymers"/>
    <x v="40"/>
    <x v="7"/>
    <x v="3"/>
    <n v="2024"/>
    <n v="1"/>
    <m/>
    <n v="0"/>
    <n v="0"/>
  </r>
  <r>
    <x v="4"/>
    <s v="NA"/>
    <s v="U.S.A."/>
    <s v="HF Sinclair Corporation"/>
    <x v="51"/>
    <x v="0"/>
    <x v="3"/>
    <n v="2024"/>
    <n v="1"/>
    <m/>
    <n v="4.306666667"/>
    <n v="0"/>
  </r>
  <r>
    <x v="4"/>
    <s v="NA"/>
    <s v="U.S.A."/>
    <s v="Marathon Petroleum Corporation"/>
    <x v="28"/>
    <x v="0"/>
    <x v="3"/>
    <n v="2024"/>
    <n v="1"/>
    <m/>
    <n v="0"/>
    <s v="Confirmed for Feb 2024. 2/12-3/27"/>
  </r>
  <r>
    <x v="4"/>
    <s v="NA"/>
    <s v="U.S.A."/>
    <s v="Chevron Corporation"/>
    <x v="41"/>
    <x v="8"/>
    <x v="3"/>
    <n v="2024"/>
    <n v="1"/>
    <m/>
    <n v="0"/>
    <s v="Updated 2/5 per IIR - Outage from 3/24 - 4/27. Pulled up from Oct - Nov 2024"/>
  </r>
  <r>
    <x v="4"/>
    <s v="NA"/>
    <s v="U.S.A."/>
    <s v="Chevron Corporation"/>
    <x v="41"/>
    <x v="2"/>
    <x v="3"/>
    <n v="2024"/>
    <n v="1"/>
    <m/>
    <n v="11.700000000000001"/>
    <s v="Updated 2/5 per IIR - Outage from 3/24 - 4/27. Pulled up from Oct - Nov 2024"/>
  </r>
  <r>
    <x v="4"/>
    <s v="NA"/>
    <s v="U.S.A."/>
    <s v="Big West Oil LLC"/>
    <x v="29"/>
    <x v="0"/>
    <x v="3"/>
    <n v="2024"/>
    <n v="1"/>
    <m/>
    <n v="0"/>
    <s v="Planned TAR for Spring of 2024. Moved up to 2/8-3/8"/>
  </r>
  <r>
    <x v="1"/>
    <s v="NA"/>
    <s v="U.S.A."/>
    <s v="Kern Oil &amp; Refining Company"/>
    <x v="42"/>
    <x v="1"/>
    <x v="3"/>
    <n v="2024"/>
    <n v="1"/>
    <m/>
    <n v="0"/>
    <n v="0"/>
  </r>
  <r>
    <x v="1"/>
    <s v="NA"/>
    <s v="U.S.A."/>
    <s v="BP Products North America Incorporated"/>
    <x v="52"/>
    <x v="6"/>
    <x v="3"/>
    <n v="2024"/>
    <n v="1"/>
    <m/>
    <n v="8.25"/>
    <s v="Planned maintenance - swoop. 4/5-4/19"/>
  </r>
  <r>
    <x v="1"/>
    <s v="NA"/>
    <s v="U.S.A."/>
    <s v="BP Products North America Incorporated"/>
    <x v="52"/>
    <x v="2"/>
    <x v="3"/>
    <n v="2024"/>
    <n v="1"/>
    <m/>
    <n v="31.25"/>
    <s v="Planned maintenance - swoop. 4/5-4/19"/>
  </r>
  <r>
    <x v="1"/>
    <s v="NA"/>
    <s v="U.S.A."/>
    <s v="Chevron Corporation"/>
    <x v="53"/>
    <x v="2"/>
    <x v="3"/>
    <n v="2024"/>
    <n v="1"/>
    <m/>
    <n v="21.25"/>
    <s v="Palnned Cdu outage 4/15-5/24"/>
  </r>
  <r>
    <x v="1"/>
    <s v="NA"/>
    <s v="U.S.A."/>
    <s v="Martinez Refining Company LLC"/>
    <x v="54"/>
    <x v="6"/>
    <x v="3"/>
    <n v="2024"/>
    <n v="1"/>
    <m/>
    <n v="0.58666666666666667"/>
    <s v="Apr 22-may 17th updated from original plan 5/15-6/14 for ref/coker/hdc"/>
  </r>
  <r>
    <x v="1"/>
    <s v="NA"/>
    <s v="U.S.A."/>
    <s v="Martinez Refining Company LLC"/>
    <x v="54"/>
    <x v="5"/>
    <x v="3"/>
    <n v="2024"/>
    <n v="1"/>
    <m/>
    <n v="0.55999999999999994"/>
    <s v="Apr 22-may 17th updated from original plan 5/15-6/14 for ref/coker/hdc"/>
  </r>
  <r>
    <x v="1"/>
    <s v="NA"/>
    <s v="U.S.A."/>
    <s v="Martinez Refining Company LLC"/>
    <x v="54"/>
    <x v="0"/>
    <x v="3"/>
    <n v="2024"/>
    <n v="1"/>
    <m/>
    <n v="6.8"/>
    <s v="Apr 22-may 17th updated from original plan 5/15-6/14 for ref/coker/hdc"/>
  </r>
  <r>
    <x v="1"/>
    <s v="NA"/>
    <s v="U.S.A."/>
    <s v="HF Sinclair Corporation"/>
    <x v="43"/>
    <x v="3"/>
    <x v="3"/>
    <n v="2024"/>
    <n v="1"/>
    <m/>
    <n v="27.066666667"/>
    <s v="Planned maintenance."/>
  </r>
  <r>
    <x v="1"/>
    <s v="NA"/>
    <s v="U.S.A."/>
    <s v="HF Sinclair Corporation"/>
    <x v="43"/>
    <x v="4"/>
    <x v="3"/>
    <n v="2024"/>
    <n v="1"/>
    <m/>
    <n v="9.24"/>
    <s v="Planned maintenance."/>
  </r>
  <r>
    <x v="1"/>
    <s v="NA"/>
    <s v="U.S.A."/>
    <s v="Petro Star Incorporated"/>
    <x v="55"/>
    <x v="2"/>
    <x v="3"/>
    <n v="2024"/>
    <n v="1"/>
    <m/>
    <n v="0.24"/>
    <s v="Planned maintenance."/>
  </r>
  <r>
    <x v="2"/>
    <s v="NA"/>
    <s v="U.S.A."/>
    <s v="Paulsboro Refining Company"/>
    <x v="16"/>
    <x v="2"/>
    <x v="4"/>
    <n v="2024"/>
    <n v="1"/>
    <m/>
    <n v="8.1612903225806459"/>
    <s v="Moved from 2/1 start to 4/1-5/23"/>
  </r>
  <r>
    <x v="3"/>
    <s v="NA"/>
    <s v="U.S.A."/>
    <s v="Toledo Refining Company LLC"/>
    <x v="33"/>
    <x v="0"/>
    <x v="4"/>
    <n v="2024"/>
    <n v="1"/>
    <m/>
    <n v="0"/>
    <s v="Moved from May to 3/29-5/7. No 3/1-4/10"/>
  </r>
  <r>
    <x v="3"/>
    <s v="NA"/>
    <s v="U.S.A."/>
    <s v="Toledo Refining Company LLC"/>
    <x v="33"/>
    <x v="2"/>
    <x v="4"/>
    <n v="2024"/>
    <n v="1"/>
    <m/>
    <n v="0"/>
    <s v="Moved from May to 3/29-5/7. No 3/1-4/10"/>
  </r>
  <r>
    <x v="3"/>
    <s v="NA"/>
    <s v="U.S.A."/>
    <s v="Toledo Refining Company LLC"/>
    <x v="33"/>
    <x v="4"/>
    <x v="4"/>
    <n v="2024"/>
    <n v="1"/>
    <m/>
    <n v="0"/>
    <s v="Moved from May to 3/29-5/7. No 3/1-4/10"/>
  </r>
  <r>
    <x v="3"/>
    <s v="NA"/>
    <s v="U.S.A."/>
    <s v="Cenovus Energy Incorporated"/>
    <x v="44"/>
    <x v="4"/>
    <x v="4"/>
    <n v="2024"/>
    <n v="1"/>
    <m/>
    <n v="2"/>
    <s v="Planned Ta mid April - mid-May"/>
  </r>
  <r>
    <x v="3"/>
    <s v="NA"/>
    <s v="U.S.A."/>
    <s v="Countrymark Cooperative LLP"/>
    <x v="45"/>
    <x v="2"/>
    <x v="4"/>
    <n v="2024"/>
    <n v="1"/>
    <m/>
    <n v="2.032258064516129"/>
    <s v="Maintenance planned for April 2024"/>
  </r>
  <r>
    <x v="3"/>
    <s v="NA"/>
    <s v="U.S.A."/>
    <s v="Marathon Petroleum Corporation"/>
    <x v="46"/>
    <x v="0"/>
    <x v="4"/>
    <n v="2024"/>
    <n v="1"/>
    <m/>
    <n v="5.5250000000000004"/>
    <s v="On schedule for April 2024"/>
  </r>
  <r>
    <x v="3"/>
    <s v="NA"/>
    <s v="U.S.A."/>
    <s v="Marathon Petroleum Corporation"/>
    <x v="46"/>
    <x v="9"/>
    <x v="4"/>
    <n v="2024"/>
    <n v="1"/>
    <m/>
    <n v="0"/>
    <s v="On schedule for April 2024"/>
  </r>
  <r>
    <x v="3"/>
    <s v="NA"/>
    <s v="U.S.A."/>
    <s v="Marathon Petroleum Corporation"/>
    <x v="46"/>
    <x v="1"/>
    <x v="4"/>
    <n v="2024"/>
    <n v="1"/>
    <m/>
    <n v="0"/>
    <s v="*"/>
  </r>
  <r>
    <x v="3"/>
    <s v="NA"/>
    <s v="U.S.A."/>
    <s v="Marathon Petroleum Corporation"/>
    <x v="46"/>
    <x v="2"/>
    <x v="4"/>
    <n v="2024"/>
    <n v="1"/>
    <m/>
    <n v="3.8"/>
    <s v="On schedule for April 2024"/>
  </r>
  <r>
    <x v="3"/>
    <s v="NA"/>
    <s v="U.S.A."/>
    <s v="Marathon Petroleum Corporation"/>
    <x v="46"/>
    <x v="3"/>
    <x v="4"/>
    <n v="2024"/>
    <n v="1"/>
    <m/>
    <n v="7.54"/>
    <s v="On schedule for April 2024"/>
  </r>
  <r>
    <x v="3"/>
    <s v="NA"/>
    <s v="U.S.A."/>
    <s v="Marathon Petroleum Corporation"/>
    <x v="46"/>
    <x v="4"/>
    <x v="4"/>
    <n v="2024"/>
    <n v="1"/>
    <m/>
    <n v="2.25"/>
    <s v="Remains on schedule for Spring 2024."/>
  </r>
  <r>
    <x v="3"/>
    <s v="NA"/>
    <s v="U.S.A."/>
    <s v="CITGO Petroleum Corporation"/>
    <x v="47"/>
    <x v="2"/>
    <x v="4"/>
    <n v="2024"/>
    <n v="1"/>
    <m/>
    <n v="12.193548387096774"/>
    <s v="Pulled from 2025 to 4/1-5/21"/>
  </r>
  <r>
    <x v="3"/>
    <s v="NA"/>
    <s v="U.S.A."/>
    <s v="CITGO Petroleum Corporation"/>
    <x v="47"/>
    <x v="3"/>
    <x v="4"/>
    <n v="2024"/>
    <n v="1"/>
    <m/>
    <n v="25.979032258064517"/>
    <s v="Pulled from 2025 to 4/1-5/21"/>
  </r>
  <r>
    <x v="3"/>
    <s v="NA"/>
    <s v="U.S.A."/>
    <s v="CITGO Petroleum Corporation"/>
    <x v="47"/>
    <x v="4"/>
    <x v="4"/>
    <n v="2024"/>
    <n v="1"/>
    <m/>
    <n v="2.370967741935484"/>
    <s v="Pulled from 2025 to 4/1-5/21"/>
  </r>
  <r>
    <x v="3"/>
    <s v="NA"/>
    <s v="U.S.A."/>
    <s v="CITGO Petroleum Corporation"/>
    <x v="47"/>
    <x v="0"/>
    <x v="4"/>
    <n v="2024"/>
    <n v="1"/>
    <m/>
    <n v="16.122580645161289"/>
    <s v="Pulled from 2025 to 4/1-5/21"/>
  </r>
  <r>
    <x v="3"/>
    <s v="NA"/>
    <s v="U.S.A."/>
    <s v="CITGO Petroleum Corporation"/>
    <x v="47"/>
    <x v="6"/>
    <x v="4"/>
    <n v="2024"/>
    <n v="1"/>
    <m/>
    <n v="1.2193548387096775"/>
    <s v="Pulled from 2025 to 4/1-5/21"/>
  </r>
  <r>
    <x v="3"/>
    <s v="NA"/>
    <s v="U.S.A."/>
    <s v="ExxonMobil"/>
    <x v="48"/>
    <x v="2"/>
    <x v="4"/>
    <n v="2024"/>
    <n v="1"/>
    <m/>
    <n v="13.064516129032258"/>
    <s v="Joliet T/A April - Mid May"/>
  </r>
  <r>
    <x v="3"/>
    <s v="NA"/>
    <s v="U.S.A."/>
    <s v="ExxonMobil"/>
    <x v="48"/>
    <x v="3"/>
    <x v="4"/>
    <n v="2024"/>
    <n v="1"/>
    <m/>
    <n v="28.306451612903224"/>
    <s v="Joliet T/A April - Mid May"/>
  </r>
  <r>
    <x v="3"/>
    <s v="NA"/>
    <s v="U.S.A."/>
    <s v="ExxonMobil"/>
    <x v="48"/>
    <x v="4"/>
    <x v="4"/>
    <n v="2024"/>
    <n v="1"/>
    <m/>
    <n v="2.4193548387096775"/>
    <s v="Joliet T/A April - Mid May"/>
  </r>
  <r>
    <x v="3"/>
    <s v="NA"/>
    <s v="U.S.A."/>
    <s v="ExxonMobil"/>
    <x v="48"/>
    <x v="0"/>
    <x v="4"/>
    <n v="2024"/>
    <n v="1"/>
    <m/>
    <n v="20.56451612903226"/>
    <s v="Joliet T/A April - Mid May"/>
  </r>
  <r>
    <x v="3"/>
    <s v="NA"/>
    <s v="U.S.A."/>
    <s v="ExxonMobil"/>
    <x v="48"/>
    <x v="6"/>
    <x v="4"/>
    <n v="2024"/>
    <n v="1"/>
    <m/>
    <n v="2.709677419354839"/>
    <s v="Joliet T/A April - Mid May"/>
  </r>
  <r>
    <x v="0"/>
    <s v="NA"/>
    <s v="U.S.A."/>
    <s v="Chevron Corporation"/>
    <x v="39"/>
    <x v="0"/>
    <x v="4"/>
    <n v="2024"/>
    <n v="1"/>
    <m/>
    <n v="5.9225806451612906"/>
    <s v="Ref 3 (24kb) 3/15-5/9"/>
  </r>
  <r>
    <x v="0"/>
    <s v="NA"/>
    <s v="U.S.A."/>
    <s v="Dow Incorporated"/>
    <x v="49"/>
    <x v="7"/>
    <x v="4"/>
    <n v="2024"/>
    <n v="1"/>
    <m/>
    <n v="0"/>
    <n v="0"/>
  </r>
  <r>
    <x v="0"/>
    <s v="NA"/>
    <s v="U.S.A."/>
    <s v="Deer Park Refining LP"/>
    <x v="22"/>
    <x v="5"/>
    <x v="4"/>
    <n v="2024"/>
    <n v="1"/>
    <m/>
    <n v="0.21612903225806451"/>
    <s v="Moved from Sp/Oct to Mar 8 - Apr 6 2024. Now Mar 29 - May 2. Added CDU"/>
  </r>
  <r>
    <x v="0"/>
    <s v="NA"/>
    <s v="U.S.A."/>
    <s v="Deer Park Refining LP"/>
    <x v="22"/>
    <x v="2"/>
    <x v="4"/>
    <n v="2024"/>
    <n v="1"/>
    <m/>
    <n v="1.129032258064516"/>
    <s v="Moved from Sp/Oct to Mar 8 - Apr 6 2024. Now Mar 29 - May 2. Added CDU"/>
  </r>
  <r>
    <x v="0"/>
    <s v="NA"/>
    <s v="U.S.A."/>
    <s v="CITGO Petroleum Corporation"/>
    <x v="56"/>
    <x v="0"/>
    <x v="4"/>
    <n v="2024"/>
    <n v="1"/>
    <m/>
    <n v="13.161290322580646"/>
    <s v="Updated timing from 3/15-4/25 to 5/6-6/28"/>
  </r>
  <r>
    <x v="0"/>
    <s v="NA"/>
    <s v="U.S.A."/>
    <s v="CITGO Petroleum Corporation"/>
    <x v="56"/>
    <x v="1"/>
    <x v="4"/>
    <n v="2024"/>
    <n v="1"/>
    <m/>
    <n v="0"/>
    <s v="Updated timing from 3/15-4/25 to 5/6-6/28"/>
  </r>
  <r>
    <x v="0"/>
    <s v="NA"/>
    <s v="U.S.A."/>
    <s v="CITGO Petroleum Corporation"/>
    <x v="56"/>
    <x v="6"/>
    <x v="4"/>
    <n v="2024"/>
    <n v="1"/>
    <m/>
    <n v="2.2709677419354839"/>
    <s v="Updated timing from 3/15-4/25 to 5/6-6/28"/>
  </r>
  <r>
    <x v="0"/>
    <s v="NA"/>
    <s v="U.S.A."/>
    <s v="Buckeye Texas Processing LLC"/>
    <x v="57"/>
    <x v="10"/>
    <x v="4"/>
    <n v="2024"/>
    <n v="1"/>
    <m/>
    <n v="0"/>
    <s v="Planned turnaround."/>
  </r>
  <r>
    <x v="0"/>
    <s v="NA"/>
    <s v="U.S.A."/>
    <s v="WRB Refining LP"/>
    <x v="25"/>
    <x v="9"/>
    <x v="4"/>
    <n v="2024"/>
    <n v="1"/>
    <m/>
    <n v="0"/>
    <s v="Catalyst."/>
  </r>
  <r>
    <x v="0"/>
    <s v="NA"/>
    <s v="U.S.A."/>
    <s v="WRB Refining LP"/>
    <x v="25"/>
    <x v="1"/>
    <x v="4"/>
    <n v="2024"/>
    <n v="1"/>
    <m/>
    <n v="0"/>
    <s v="Catalyst."/>
  </r>
  <r>
    <x v="0"/>
    <s v="NA"/>
    <s v="U.S.A."/>
    <s v="Valero Refining Company"/>
    <x v="50"/>
    <x v="5"/>
    <x v="4"/>
    <n v="2024"/>
    <n v="1"/>
    <m/>
    <n v="5.5E-2"/>
    <s v="5 year run"/>
  </r>
  <r>
    <x v="0"/>
    <s v="NA"/>
    <s v="U.S.A."/>
    <s v="INEOS Olefins &amp; Polymers"/>
    <x v="40"/>
    <x v="7"/>
    <x v="4"/>
    <n v="2024"/>
    <n v="1"/>
    <m/>
    <n v="0"/>
    <n v="0"/>
  </r>
  <r>
    <x v="4"/>
    <s v="NA"/>
    <s v="U.S.A."/>
    <s v="HF Sinclair Corporation"/>
    <x v="51"/>
    <x v="0"/>
    <x v="4"/>
    <n v="2024"/>
    <n v="1"/>
    <m/>
    <n v="4.76"/>
    <n v="0"/>
  </r>
  <r>
    <x v="4"/>
    <s v="NA"/>
    <s v="U.S.A."/>
    <s v="Silver Eagle Refining Incorporated"/>
    <x v="58"/>
    <x v="0"/>
    <x v="4"/>
    <n v="2024"/>
    <n v="1"/>
    <m/>
    <n v="0.85"/>
    <s v="Planned Refinery Wide Maintenance for May 2024."/>
  </r>
  <r>
    <x v="4"/>
    <s v="NA"/>
    <s v="U.S.A."/>
    <s v="Silver Eagle Refining Incorporated"/>
    <x v="58"/>
    <x v="1"/>
    <x v="4"/>
    <n v="2024"/>
    <n v="1"/>
    <m/>
    <n v="0"/>
    <s v="Planned Refinery Wide Maintenance for May 2024."/>
  </r>
  <r>
    <x v="4"/>
    <s v="NA"/>
    <s v="U.S.A."/>
    <s v="Silver Eagle Refining Incorporated"/>
    <x v="58"/>
    <x v="2"/>
    <x v="4"/>
    <n v="2024"/>
    <n v="1"/>
    <m/>
    <n v="5.6666666999999997E-2"/>
    <s v="Planned Refinery Wide Maintenance for May 2024."/>
  </r>
  <r>
    <x v="1"/>
    <s v="NA"/>
    <s v="U.S.A."/>
    <s v="BP Products North America Incorporated"/>
    <x v="52"/>
    <x v="6"/>
    <x v="4"/>
    <n v="2024"/>
    <n v="1"/>
    <m/>
    <n v="0"/>
    <s v="Planned maintenance - swoop. 4/5-4/19"/>
  </r>
  <r>
    <x v="1"/>
    <s v="NA"/>
    <s v="U.S.A."/>
    <s v="Chevron Corporation"/>
    <x v="53"/>
    <x v="2"/>
    <x v="4"/>
    <n v="2024"/>
    <n v="1"/>
    <m/>
    <n v="32.903225806451616"/>
    <s v="Palnned Cdu outage 4/15-5/24"/>
  </r>
  <r>
    <x v="1"/>
    <s v="NA"/>
    <s v="U.S.A."/>
    <s v="Martinez Refining Company LLC"/>
    <x v="54"/>
    <x v="6"/>
    <x v="4"/>
    <n v="2024"/>
    <n v="1"/>
    <m/>
    <n v="1.2064516129032257"/>
    <s v="Apr 22-may 17th updated from original plan 5/15-6/14 for ref/coker/hdc"/>
  </r>
  <r>
    <x v="1"/>
    <s v="NA"/>
    <s v="U.S.A."/>
    <s v="Martinez Refining Company LLC"/>
    <x v="54"/>
    <x v="5"/>
    <x v="4"/>
    <n v="2024"/>
    <n v="1"/>
    <m/>
    <n v="1.1516129032258065"/>
    <s v="Apr 22-may 17th updated from original plan 5/15-6/14 for ref/coker/hdc"/>
  </r>
  <r>
    <x v="1"/>
    <s v="NA"/>
    <s v="U.S.A."/>
    <s v="Martinez Refining Company LLC"/>
    <x v="54"/>
    <x v="0"/>
    <x v="4"/>
    <n v="2024"/>
    <n v="1"/>
    <m/>
    <n v="13.983870967741932"/>
    <s v="Apr 22-may 17th updated from original plan 5/15-6/14 for ref/coker/hdc"/>
  </r>
  <r>
    <x v="1"/>
    <s v="NA"/>
    <s v="U.S.A."/>
    <s v="Petro Star Incorporated"/>
    <x v="59"/>
    <x v="2"/>
    <x v="4"/>
    <n v="2024"/>
    <n v="1"/>
    <n v="0.7"/>
    <n v="3.8499999999999996"/>
    <s v="Planned CDU 22 kbd may 9-18"/>
  </r>
  <r>
    <x v="1"/>
    <s v="NA"/>
    <s v="U.S.A."/>
    <s v="Chevron Corporation"/>
    <x v="60"/>
    <x v="2"/>
    <x v="4"/>
    <n v="2024"/>
    <n v="1"/>
    <m/>
    <n v="19.354838709677416"/>
    <s v="Planned TA CDU (240kbd), FCC (80), alky (20), Ref (68). 5/6-6/4"/>
  </r>
  <r>
    <x v="1"/>
    <s v="NA"/>
    <s v="U.S.A."/>
    <s v="Chevron Corporation"/>
    <x v="60"/>
    <x v="3"/>
    <x v="4"/>
    <n v="2024"/>
    <n v="1"/>
    <m/>
    <n v="41.935483870967737"/>
    <s v="Planned TA CDU (240kbd), FCC (80), alky (20), Ref (68). 5/6-6/4"/>
  </r>
  <r>
    <x v="1"/>
    <s v="NA"/>
    <s v="U.S.A."/>
    <s v="Chevron Corporation"/>
    <x v="60"/>
    <x v="0"/>
    <x v="4"/>
    <n v="2024"/>
    <n v="1"/>
    <m/>
    <n v="46.612903225806448"/>
    <s v="Planned TA CDU (240kbd), FCC (80), alky (20), Ref (68). 5/6-6/4"/>
  </r>
  <r>
    <x v="1"/>
    <s v="NA"/>
    <s v="U.S.A."/>
    <s v="Petro Star Incorporated"/>
    <x v="55"/>
    <x v="2"/>
    <x v="4"/>
    <n v="2024"/>
    <n v="1"/>
    <m/>
    <n v="0.96"/>
    <s v="Planned maintenance."/>
  </r>
  <r>
    <x v="2"/>
    <s v="NA"/>
    <s v="U.S.A."/>
    <s v="The International Group Incorporated"/>
    <x v="61"/>
    <x v="8"/>
    <x v="5"/>
    <n v="2024"/>
    <n v="1"/>
    <m/>
    <n v="0"/>
    <s v="Confirmed on a 4 year run"/>
  </r>
  <r>
    <x v="0"/>
    <s v="NA"/>
    <s v="U.S.A."/>
    <s v="Dow Incorporated"/>
    <x v="49"/>
    <x v="7"/>
    <x v="5"/>
    <n v="2024"/>
    <n v="1"/>
    <m/>
    <n v="0"/>
    <n v="0"/>
  </r>
  <r>
    <x v="0"/>
    <s v="NA"/>
    <s v="U.S.A."/>
    <s v="CITGO Petroleum Corporation"/>
    <x v="56"/>
    <x v="0"/>
    <x v="5"/>
    <n v="2024"/>
    <n v="1"/>
    <m/>
    <n v="23.8"/>
    <s v="Updated timing from 3/15-4/25 to 5/6-6/28"/>
  </r>
  <r>
    <x v="0"/>
    <s v="NA"/>
    <s v="U.S.A."/>
    <s v="CITGO Petroleum Corporation"/>
    <x v="56"/>
    <x v="1"/>
    <x v="5"/>
    <n v="2024"/>
    <n v="1"/>
    <m/>
    <n v="0"/>
    <s v="Updated timing from 3/15-4/25 to 5/6-6/28"/>
  </r>
  <r>
    <x v="0"/>
    <s v="NA"/>
    <s v="U.S.A."/>
    <s v="CITGO Petroleum Corporation"/>
    <x v="56"/>
    <x v="6"/>
    <x v="5"/>
    <n v="2024"/>
    <n v="1"/>
    <m/>
    <n v="4.1066666666666674"/>
    <s v="Updated timing from 3/15-4/25 to 5/6-6/28"/>
  </r>
  <r>
    <x v="0"/>
    <s v="NA"/>
    <s v="U.S.A."/>
    <s v="ExxonMobil Corporation"/>
    <x v="26"/>
    <x v="3"/>
    <x v="5"/>
    <n v="2024"/>
    <n v="1"/>
    <m/>
    <n v="16.25"/>
    <s v="Colonial outage in June"/>
  </r>
  <r>
    <x v="0"/>
    <s v="NA"/>
    <s v="U.S.A."/>
    <s v="ExxonMobil Corporation"/>
    <x v="26"/>
    <x v="2"/>
    <x v="5"/>
    <n v="2024"/>
    <n v="1"/>
    <m/>
    <n v="15"/>
    <s v="Colonial outage in June"/>
  </r>
  <r>
    <x v="1"/>
    <s v="NA"/>
    <s v="U.S.A."/>
    <s v="Chevron Corporation"/>
    <x v="60"/>
    <x v="2"/>
    <x v="5"/>
    <n v="2024"/>
    <n v="1"/>
    <m/>
    <n v="3.2"/>
    <s v="Planned TA CDU (240kbd), FCC (80), alky (20), Ref (68). 5/6-6/4"/>
  </r>
  <r>
    <x v="1"/>
    <s v="NA"/>
    <s v="U.S.A."/>
    <s v="Chevron Corporation"/>
    <x v="60"/>
    <x v="3"/>
    <x v="5"/>
    <n v="2024"/>
    <n v="1"/>
    <m/>
    <n v="6.9333333333333336"/>
    <s v="Planned TA CDU (240kbd), FCC (80), alky (20), Ref (68). 5/6-6/4"/>
  </r>
  <r>
    <x v="1"/>
    <s v="NA"/>
    <s v="U.S.A."/>
    <s v="Chevron Corporation"/>
    <x v="60"/>
    <x v="0"/>
    <x v="5"/>
    <n v="2024"/>
    <n v="1"/>
    <m/>
    <n v="7.7066666666666661"/>
    <s v="Planned TA CDU (240kbd), FCC (80), alky (20), Ref (68). 5/6-6/4"/>
  </r>
  <r>
    <x v="1"/>
    <s v="NA"/>
    <s v="U.S.A."/>
    <s v="Phillips 66"/>
    <x v="30"/>
    <x v="3"/>
    <x v="5"/>
    <n v="2024"/>
    <n v="1"/>
    <m/>
    <n v="15.166666666666666"/>
    <s v="Added planned Ta for FCC 6/1-16"/>
  </r>
  <r>
    <x v="1"/>
    <s v="NA"/>
    <s v="U.S.A."/>
    <s v="Phillips 66"/>
    <x v="30"/>
    <x v="3"/>
    <x v="5"/>
    <n v="2024"/>
    <n v="1"/>
    <m/>
    <n v="15.166666666666666"/>
    <s v="Added planned Ta for FCC 6/1-16"/>
  </r>
  <r>
    <x v="3"/>
    <s v="NA"/>
    <s v="U.S.A."/>
    <s v="Toledo Refining Company LLC"/>
    <x v="33"/>
    <x v="1"/>
    <x v="6"/>
    <n v="2024"/>
    <n v="1"/>
    <m/>
    <n v="0"/>
    <s v="Planned maintenance."/>
  </r>
  <r>
    <x v="3"/>
    <s v="NA"/>
    <s v="U.S.A."/>
    <s v="Toledo Refining Company LLC"/>
    <x v="33"/>
    <x v="2"/>
    <x v="6"/>
    <n v="2024"/>
    <n v="1"/>
    <m/>
    <n v="3.916666666666667"/>
    <n v="0"/>
  </r>
  <r>
    <x v="3"/>
    <s v="NA"/>
    <s v="U.S.A."/>
    <s v="Toledo Refining Company LLC"/>
    <x v="33"/>
    <x v="4"/>
    <x v="6"/>
    <n v="2024"/>
    <n v="1"/>
    <m/>
    <n v="0"/>
    <s v="Planned maintenance."/>
  </r>
  <r>
    <x v="0"/>
    <s v="NA"/>
    <s v="U.S.A."/>
    <s v="Valero Refining Company"/>
    <x v="62"/>
    <x v="8"/>
    <x v="6"/>
    <n v="2024"/>
    <n v="1"/>
    <m/>
    <n v="0"/>
    <s v="Accelerated from October, 2024 to July, 2024. major turnaround. Moved from 7/12-8/22 to now 8/2-9/12"/>
  </r>
  <r>
    <x v="0"/>
    <s v="NA"/>
    <s v="U.S.A."/>
    <s v="Indorama Ventures Oxides &amp; Glycols LLC"/>
    <x v="63"/>
    <x v="7"/>
    <x v="6"/>
    <n v="2024"/>
    <n v="1"/>
    <m/>
    <n v="0"/>
    <n v="0"/>
  </r>
  <r>
    <x v="0"/>
    <s v="NA"/>
    <s v="U.S.A."/>
    <s v="ExxonMobil Corporation"/>
    <x v="26"/>
    <x v="6"/>
    <x v="6"/>
    <n v="2024"/>
    <n v="1"/>
    <m/>
    <n v="6.67741935483871"/>
    <s v="CUB down for top off now 7/8-8/8"/>
  </r>
  <r>
    <x v="0"/>
    <s v="NA"/>
    <s v="U.S.A."/>
    <s v="ExxonMobil Corporation"/>
    <x v="26"/>
    <x v="2"/>
    <x v="6"/>
    <n v="2024"/>
    <n v="1"/>
    <m/>
    <n v="43.588709677419352"/>
    <s v="CUB down for top off now 7/8-8/8"/>
  </r>
  <r>
    <x v="0"/>
    <s v="NA"/>
    <s v="U.S.A."/>
    <s v="Hunt Refining Company"/>
    <x v="64"/>
    <x v="6"/>
    <x v="6"/>
    <n v="2025"/>
    <n v="1"/>
    <n v="0.64516129032258063"/>
    <n v="6.193548387096774"/>
    <s v="32 kbd DCU down 7/11-8/9"/>
  </r>
  <r>
    <x v="3"/>
    <s v="NA"/>
    <s v="U.S.A."/>
    <s v="Flint Hills Resources LLC"/>
    <x v="65"/>
    <x v="2"/>
    <x v="7"/>
    <n v="2024"/>
    <n v="1"/>
    <n v="0"/>
    <n v="0"/>
    <s v="CDU outage was cancelled"/>
  </r>
  <r>
    <x v="0"/>
    <s v="NA"/>
    <s v="U.S.A."/>
    <s v="Valero Refining Company"/>
    <x v="62"/>
    <x v="8"/>
    <x v="7"/>
    <n v="2024"/>
    <n v="1"/>
    <m/>
    <n v="0"/>
    <s v="Accelerated from October, 2024 to July, 2024. major turnaround. Moved from 7/12-8/22 to now 8/2-9/12"/>
  </r>
  <r>
    <x v="0"/>
    <s v="NA"/>
    <s v="U.S.A."/>
    <s v="Valero Refining Company"/>
    <x v="62"/>
    <x v="0"/>
    <x v="7"/>
    <n v="2024"/>
    <n v="1"/>
    <m/>
    <n v="22.264516129032259"/>
    <s v="Accelerated from October, 2024 to July, 2024. major turnaround. Moved from 7/12-8/22 to now 8/2-9/12"/>
  </r>
  <r>
    <x v="0"/>
    <s v="NA"/>
    <s v="U.S.A."/>
    <s v="Valero Refining Company"/>
    <x v="62"/>
    <x v="2"/>
    <x v="7"/>
    <n v="2024"/>
    <n v="1"/>
    <m/>
    <n v="10.758064516129032"/>
    <s v="Accelerated from October, 2024 to July, 2024. major turnaround. Moved from 7/12-8/22 to now 8/2-9/12"/>
  </r>
  <r>
    <x v="0"/>
    <s v="NA"/>
    <s v="U.S.A."/>
    <s v="Valero Refining Company"/>
    <x v="62"/>
    <x v="3"/>
    <x v="7"/>
    <n v="2024"/>
    <n v="1"/>
    <m/>
    <n v="46.21290322580645"/>
    <s v="Accelerated from October, 2024 to July, 2024. major turnaround. Moved from 7/12-8/22 to now 8/2-9/12"/>
  </r>
  <r>
    <x v="0"/>
    <s v="NA"/>
    <s v="U.S.A."/>
    <s v="Valero Refining Company"/>
    <x v="62"/>
    <x v="4"/>
    <x v="7"/>
    <n v="2024"/>
    <n v="1"/>
    <m/>
    <n v="4.8449999999999998"/>
    <s v="Accelerated from October, 2024 to July, 2024. major turnaround. Moved from 7/12-8/22 to now 8/2-9/12"/>
  </r>
  <r>
    <x v="0"/>
    <s v="NA"/>
    <s v="U.S.A."/>
    <s v="Eastman Chemical Company"/>
    <x v="66"/>
    <x v="7"/>
    <x v="7"/>
    <n v="2024"/>
    <n v="1"/>
    <m/>
    <n v="0"/>
    <s v="Start date is tentative."/>
  </r>
  <r>
    <x v="0"/>
    <s v="NA"/>
    <s v="U.S.A."/>
    <s v="CITGO Petroleum Corporation"/>
    <x v="5"/>
    <x v="0"/>
    <x v="7"/>
    <n v="2024"/>
    <n v="1"/>
    <m/>
    <n v="0"/>
    <s v="Citgo Lake Chalres planned work 8/9 - 10/23 - However, only taking Sep/Oct since 90 days seems too long for Secondary unit turnarounds"/>
  </r>
  <r>
    <x v="0"/>
    <s v="NA"/>
    <s v="U.S.A."/>
    <s v="CITGO Petroleum Corporation"/>
    <x v="5"/>
    <x v="1"/>
    <x v="7"/>
    <n v="2024"/>
    <n v="1"/>
    <m/>
    <n v="0"/>
    <s v="Citgo Lake Chalres planned work 8/9 - 10/23 - However, only taking Sep/Oct since 90 days seems too long for Secondary unit turnarounds"/>
  </r>
  <r>
    <x v="0"/>
    <s v="NA"/>
    <s v="U.S.A."/>
    <s v="ExxonMobil Corporation"/>
    <x v="26"/>
    <x v="6"/>
    <x v="7"/>
    <n v="2024"/>
    <n v="1"/>
    <m/>
    <n v="2.3225806451612905"/>
    <s v="CUB down for top off now 7/8-8/8"/>
  </r>
  <r>
    <x v="0"/>
    <s v="NA"/>
    <s v="U.S.A."/>
    <s v="ExxonMobil Corporation"/>
    <x v="26"/>
    <x v="2"/>
    <x v="7"/>
    <n v="2024"/>
    <n v="1"/>
    <m/>
    <n v="15.161290322580646"/>
    <s v="CUB down for top off now 7/8-8/8"/>
  </r>
  <r>
    <x v="0"/>
    <s v="NA"/>
    <s v="U.S.A."/>
    <s v="Hunt Refining Company"/>
    <x v="64"/>
    <x v="6"/>
    <x v="7"/>
    <n v="2025"/>
    <n v="1"/>
    <n v="0.64516129032258063"/>
    <n v="6.193548387096774"/>
    <s v="32 kbd DCU down 7/11-8/9"/>
  </r>
  <r>
    <x v="4"/>
    <s v="NA"/>
    <s v="U.S.A."/>
    <s v="Par Pacific Holdings Incorporated"/>
    <x v="67"/>
    <x v="8"/>
    <x v="7"/>
    <n v="2024"/>
    <n v="1"/>
    <m/>
    <n v="0"/>
    <s v="Changed to coker Ta not FCC/alky 8/1-9/29"/>
  </r>
  <r>
    <x v="4"/>
    <s v="NA"/>
    <s v="U.S.A."/>
    <s v="Par Pacific Holdings Incorporated"/>
    <x v="67"/>
    <x v="1"/>
    <x v="7"/>
    <n v="2024"/>
    <n v="1"/>
    <m/>
    <n v="0"/>
    <s v="Changed to coker Ta not FCC/alky 8/1-9/29"/>
  </r>
  <r>
    <x v="4"/>
    <s v="NA"/>
    <s v="U.S.A."/>
    <s v="Par Pacific Holdings Incorporated"/>
    <x v="67"/>
    <x v="6"/>
    <x v="7"/>
    <n v="2024"/>
    <n v="1"/>
    <m/>
    <n v="3"/>
    <s v="Changed to coker Ta not FCC/alky 8/1-9/29"/>
  </r>
  <r>
    <x v="4"/>
    <s v="NA"/>
    <s v="U.S.A."/>
    <s v="Par Pacific Holdings Incorporated"/>
    <x v="67"/>
    <x v="3"/>
    <x v="7"/>
    <n v="2024"/>
    <n v="1"/>
    <m/>
    <n v="0"/>
    <s v="Changed to coker Ta not FCC/alky 8/1-9/29"/>
  </r>
  <r>
    <x v="4"/>
    <s v="NA"/>
    <s v="U.S.A."/>
    <s v="Par Pacific Holdings Incorporated"/>
    <x v="67"/>
    <x v="4"/>
    <x v="7"/>
    <n v="2024"/>
    <n v="1"/>
    <m/>
    <n v="0"/>
    <s v="Changed to coker Ta not FCC/alky 8/1-9/29"/>
  </r>
  <r>
    <x v="1"/>
    <s v="NA"/>
    <s v="U.S.A."/>
    <s v="Chevron Corporation"/>
    <x v="53"/>
    <x v="3"/>
    <x v="7"/>
    <n v="2024"/>
    <n v="0.45161290322580644"/>
    <m/>
    <n v="21.429032258064517"/>
    <s v="Palnned FCC TA 8/3-16. Added on 8/3"/>
  </r>
  <r>
    <x v="2"/>
    <s v="NA"/>
    <s v="U.S.A."/>
    <s v="Monroe Energy LLC"/>
    <x v="68"/>
    <x v="3"/>
    <x v="8"/>
    <n v="2024"/>
    <n v="1"/>
    <m/>
    <n v="34.450000000000003"/>
    <n v="0"/>
  </r>
  <r>
    <x v="2"/>
    <s v="NA"/>
    <s v="U.S.A."/>
    <s v="Monroe Energy LLC"/>
    <x v="68"/>
    <x v="8"/>
    <x v="8"/>
    <n v="2024"/>
    <n v="1"/>
    <m/>
    <n v="0"/>
    <n v="0"/>
  </r>
  <r>
    <x v="2"/>
    <s v="NA"/>
    <s v="U.S.A."/>
    <s v="Phillips 66"/>
    <x v="17"/>
    <x v="8"/>
    <x v="8"/>
    <n v="2024"/>
    <n v="1"/>
    <m/>
    <n v="0"/>
    <n v="0"/>
  </r>
  <r>
    <x v="3"/>
    <s v="NA"/>
    <s v="U.S.A."/>
    <s v="BP Products North America Incorporated"/>
    <x v="69"/>
    <x v="0"/>
    <x v="8"/>
    <n v="2024"/>
    <n v="1"/>
    <m/>
    <n v="27.625"/>
    <s v="Original outage 9/6-9/20. Now Cdu and Coker only starting Jul 26 - Sep 24. moved back to 9/6-9/20"/>
  </r>
  <r>
    <x v="3"/>
    <s v="NA"/>
    <s v="U.S.A."/>
    <s v="BP Products North America Incorporated"/>
    <x v="69"/>
    <x v="1"/>
    <x v="8"/>
    <n v="2024"/>
    <n v="1"/>
    <m/>
    <n v="0"/>
    <n v="0"/>
  </r>
  <r>
    <x v="3"/>
    <s v="NA"/>
    <s v="U.S.A."/>
    <s v="BP Products North America Incorporated"/>
    <x v="69"/>
    <x v="6"/>
    <x v="8"/>
    <n v="2024"/>
    <n v="1"/>
    <m/>
    <n v="5.666666666666667"/>
    <s v="9/6-11/4. Moved to starting Jul 26 - Sep 24. moved back to 9/6-11/4"/>
  </r>
  <r>
    <x v="3"/>
    <s v="NA"/>
    <s v="U.S.A."/>
    <s v="BP Products North America Incorporated"/>
    <x v="69"/>
    <x v="2"/>
    <x v="8"/>
    <n v="2024"/>
    <n v="1"/>
    <m/>
    <n v="34"/>
    <s v="9/6-11/4. Moved to starting Jul 26 - Sep 24. moved back to 9/6-11/4"/>
  </r>
  <r>
    <x v="3"/>
    <s v="NA"/>
    <s v="U.S.A."/>
    <s v="HF Sinclair Corporation"/>
    <x v="70"/>
    <x v="8"/>
    <x v="8"/>
    <n v="2024"/>
    <n v="1"/>
    <m/>
    <n v="0"/>
    <s v="Planned maintenance"/>
  </r>
  <r>
    <x v="3"/>
    <s v="NA"/>
    <s v="U.S.A."/>
    <s v="Phillips 66"/>
    <x v="18"/>
    <x v="2"/>
    <x v="8"/>
    <n v="2024"/>
    <n v="1"/>
    <n v="0.2"/>
    <n v="1.9000000000000001"/>
    <s v="Scheduled CDU/Ref 9/24-10/5 and FCC 9/14-23"/>
  </r>
  <r>
    <x v="3"/>
    <s v="NA"/>
    <s v="U.S.A."/>
    <s v="Phillips 66"/>
    <x v="18"/>
    <x v="0"/>
    <x v="8"/>
    <n v="2024"/>
    <n v="1"/>
    <n v="0.2"/>
    <n v="3.4000000000000004"/>
    <s v="Scheduled CDU/Ref 9/24-10/5 and FCC 9/14-23"/>
  </r>
  <r>
    <x v="3"/>
    <s v="NA"/>
    <s v="U.S.A."/>
    <s v="Phillips 66"/>
    <x v="18"/>
    <x v="3"/>
    <x v="8"/>
    <n v="2024"/>
    <n v="1"/>
    <n v="0.53333333333333333"/>
    <n v="9.0133333333333336"/>
    <s v="Scheduled CDU/Ref 9/24-10/5 and FCC 9/14-23"/>
  </r>
  <r>
    <x v="3"/>
    <s v="NA"/>
    <s v="U.S.A."/>
    <s v="Flint Hills Resources LLC"/>
    <x v="65"/>
    <x v="2"/>
    <x v="8"/>
    <n v="2024"/>
    <n v="1"/>
    <n v="0"/>
    <n v="0"/>
    <n v="0"/>
  </r>
  <r>
    <x v="3"/>
    <s v="NA"/>
    <s v="U.S.A."/>
    <s v="Cenovus Energy Incorporated"/>
    <x v="71"/>
    <x v="0"/>
    <x v="8"/>
    <n v="2024"/>
    <n v="1"/>
    <m/>
    <n v="12.466666666666665"/>
    <s v="Reformer down 9/13-9/24"/>
  </r>
  <r>
    <x v="3"/>
    <s v="NA"/>
    <s v="U.S.A."/>
    <s v="Cenovus Energy Incorporated"/>
    <x v="71"/>
    <x v="6"/>
    <x v="8"/>
    <n v="2024"/>
    <n v="1"/>
    <m/>
    <n v="1.7566666666666666"/>
    <s v="Coker down 9/13-10/27"/>
  </r>
  <r>
    <x v="3"/>
    <s v="NA"/>
    <s v="U.S.A."/>
    <s v="Cenovus Energy Incorporated"/>
    <x v="71"/>
    <x v="2"/>
    <x v="8"/>
    <n v="2024"/>
    <n v="0.63600000000000001"/>
    <m/>
    <n v="8.4733333333333327"/>
    <s v="52 kbd CDU down 9/25-10/27 (no reformer with it). 172 kbd CDU down 9/13-9/24 (with a reformer)"/>
  </r>
  <r>
    <x v="3"/>
    <s v="NA"/>
    <s v="U.S.A."/>
    <s v="Cenovus Energy Incorporated"/>
    <x v="71"/>
    <x v="3"/>
    <x v="8"/>
    <n v="2024"/>
    <n v="1"/>
    <m/>
    <n v="16.574999999999999"/>
    <s v="FCC down from 9/13-10/27"/>
  </r>
  <r>
    <x v="3"/>
    <s v="NA"/>
    <s v="U.S.A."/>
    <s v="CITGO Petroleum Corporation"/>
    <x v="47"/>
    <x v="0"/>
    <x v="8"/>
    <n v="2024"/>
    <n v="1"/>
    <m/>
    <n v="13.6"/>
    <s v="Added planned outage for 9/6/24-9/30-24"/>
  </r>
  <r>
    <x v="3"/>
    <s v="NA"/>
    <s v="U.S.A."/>
    <s v="CITGO Petroleum Corporation"/>
    <x v="47"/>
    <x v="0"/>
    <x v="8"/>
    <n v="2024"/>
    <n v="1"/>
    <m/>
    <n v="14.166666666666666"/>
    <s v="Pulled from 2025 to 4/1-5/21"/>
  </r>
  <r>
    <x v="3"/>
    <s v="NA"/>
    <s v="U.S.A."/>
    <s v="HF Sinclair Corporation"/>
    <x v="72"/>
    <x v="2"/>
    <x v="8"/>
    <n v="2024"/>
    <n v="1"/>
    <n v="0.13333333333333333"/>
    <n v="5.5466666666666669"/>
    <n v="0"/>
  </r>
  <r>
    <x v="3"/>
    <s v="NA"/>
    <s v="U.S.A."/>
    <s v="HF Sinclair Corporation"/>
    <x v="72"/>
    <x v="6"/>
    <x v="8"/>
    <n v="2024"/>
    <n v="1"/>
    <n v="0.13333333333333333"/>
    <n v="2.1333333333333333"/>
    <n v="0"/>
  </r>
  <r>
    <x v="3"/>
    <s v="NA"/>
    <s v="U.S.A."/>
    <s v="HF Sinclair Corporation"/>
    <x v="72"/>
    <x v="3"/>
    <x v="8"/>
    <n v="2024"/>
    <n v="1"/>
    <n v="0.13333333333333333"/>
    <n v="5.2"/>
    <n v="0"/>
  </r>
  <r>
    <x v="3"/>
    <s v="NA"/>
    <s v="U.S.A."/>
    <s v="Marathon Petroleum Corporation"/>
    <x v="73"/>
    <x v="8"/>
    <x v="8"/>
    <n v="2024"/>
    <n v="1"/>
    <n v="1"/>
    <n v="0"/>
    <n v="0"/>
  </r>
  <r>
    <x v="3"/>
    <s v="NA"/>
    <s v="U.S.A."/>
    <s v="Marathon Petroleum Corporation"/>
    <x v="73"/>
    <x v="0"/>
    <x v="8"/>
    <n v="2024"/>
    <n v="1"/>
    <n v="1"/>
    <n v="0"/>
    <n v="0"/>
  </r>
  <r>
    <x v="3"/>
    <s v="NA"/>
    <s v="U.S.A."/>
    <s v="Marathon Petroleum Corporation"/>
    <x v="73"/>
    <x v="1"/>
    <x v="8"/>
    <n v="2024"/>
    <n v="1"/>
    <n v="1"/>
    <n v="0"/>
    <n v="0"/>
  </r>
  <r>
    <x v="3"/>
    <s v="NA"/>
    <s v="U.S.A."/>
    <s v="Marathon Petroleum Corporation"/>
    <x v="73"/>
    <x v="6"/>
    <x v="8"/>
    <n v="2024"/>
    <n v="1"/>
    <n v="1"/>
    <n v="0"/>
    <n v="0"/>
  </r>
  <r>
    <x v="3"/>
    <s v="NA"/>
    <s v="U.S.A."/>
    <s v="Marathon Petroleum Corporation"/>
    <x v="73"/>
    <x v="2"/>
    <x v="8"/>
    <n v="2024"/>
    <n v="1"/>
    <n v="1"/>
    <n v="0"/>
    <n v="0"/>
  </r>
  <r>
    <x v="3"/>
    <s v="NA"/>
    <s v="U.S.A."/>
    <s v="Marathon Petroleum Corporation"/>
    <x v="73"/>
    <x v="3"/>
    <x v="8"/>
    <n v="2024"/>
    <n v="1"/>
    <n v="1"/>
    <n v="0"/>
    <n v="0"/>
  </r>
  <r>
    <x v="3"/>
    <s v="NA"/>
    <s v="U.S.A."/>
    <s v="Marathon Petroleum Corporation"/>
    <x v="73"/>
    <x v="4"/>
    <x v="8"/>
    <n v="2024"/>
    <n v="1"/>
    <n v="1"/>
    <n v="0"/>
    <n v="0"/>
  </r>
  <r>
    <x v="3"/>
    <s v="NA"/>
    <s v="U.S.A."/>
    <s v="Marathon Petroleum Corporation"/>
    <x v="73"/>
    <x v="8"/>
    <x v="8"/>
    <n v="2024"/>
    <n v="1"/>
    <n v="0.6"/>
    <n v="0"/>
    <n v="0"/>
  </r>
  <r>
    <x v="3"/>
    <s v="NA"/>
    <s v="U.S.A."/>
    <s v="Marathon Petroleum Corporation"/>
    <x v="73"/>
    <x v="0"/>
    <x v="8"/>
    <n v="2024"/>
    <n v="1"/>
    <n v="0.6"/>
    <n v="11.22"/>
    <n v="0"/>
  </r>
  <r>
    <x v="3"/>
    <s v="NA"/>
    <s v="U.S.A."/>
    <s v="Marathon Petroleum Corporation"/>
    <x v="73"/>
    <x v="1"/>
    <x v="8"/>
    <n v="2024"/>
    <n v="1"/>
    <n v="0.6"/>
    <n v="0"/>
    <n v="0"/>
  </r>
  <r>
    <x v="3"/>
    <s v="NA"/>
    <s v="U.S.A."/>
    <s v="Marathon Petroleum Corporation"/>
    <x v="73"/>
    <x v="6"/>
    <x v="8"/>
    <n v="2024"/>
    <n v="1"/>
    <n v="0.6"/>
    <n v="1.68"/>
    <n v="0"/>
  </r>
  <r>
    <x v="3"/>
    <s v="NA"/>
    <s v="U.S.A."/>
    <s v="Marathon Petroleum Corporation"/>
    <x v="73"/>
    <x v="2"/>
    <x v="8"/>
    <n v="2024"/>
    <n v="1"/>
    <n v="0.6"/>
    <n v="8.82"/>
    <n v="0"/>
  </r>
  <r>
    <x v="3"/>
    <s v="NA"/>
    <s v="U.S.A."/>
    <s v="Marathon Petroleum Corporation"/>
    <x v="73"/>
    <x v="3"/>
    <x v="8"/>
    <n v="2024"/>
    <n v="1"/>
    <n v="0.6"/>
    <n v="23.400000000000002"/>
    <n v="0"/>
  </r>
  <r>
    <x v="3"/>
    <s v="NA"/>
    <s v="U.S.A."/>
    <s v="Marathon Petroleum Corporation"/>
    <x v="73"/>
    <x v="4"/>
    <x v="8"/>
    <n v="2024"/>
    <n v="1"/>
    <n v="0.6"/>
    <n v="5.6999999999999993"/>
    <n v="0"/>
  </r>
  <r>
    <x v="0"/>
    <s v="NA"/>
    <s v="U.S.A."/>
    <s v="Westlake Petrochemicals Corporation"/>
    <x v="74"/>
    <x v="7"/>
    <x v="8"/>
    <n v="2024"/>
    <n v="1"/>
    <m/>
    <n v="0"/>
    <n v="0"/>
  </r>
  <r>
    <x v="0"/>
    <s v="NA"/>
    <s v="U.S.A."/>
    <s v="Calumet Specialty Products Partners LP"/>
    <x v="75"/>
    <x v="8"/>
    <x v="8"/>
    <n v="2024"/>
    <n v="1"/>
    <m/>
    <n v="0"/>
    <s v="Planned Pit Stop for September 2024. If all units are running well by this time, maintenance may get pushed to 1Q25."/>
  </r>
  <r>
    <x v="0"/>
    <s v="NA"/>
    <s v="U.S.A."/>
    <s v="Calumet Specialty Products Partners LP"/>
    <x v="75"/>
    <x v="0"/>
    <x v="8"/>
    <n v="2024"/>
    <n v="1"/>
    <m/>
    <n v="1.586666667"/>
    <s v="Planned Pit Stop for September 2024. If all units are running well by this time, maintenance may get pushed to 1Q25."/>
  </r>
  <r>
    <x v="0"/>
    <s v="NA"/>
    <s v="U.S.A."/>
    <s v="Calumet Specialty Products Partners LP"/>
    <x v="75"/>
    <x v="1"/>
    <x v="8"/>
    <n v="2024"/>
    <n v="1"/>
    <m/>
    <n v="0"/>
    <s v="Planned Pit Stop for September 2024. If all units are running well by this time, maintenance may get pushed to 1Q25."/>
  </r>
  <r>
    <x v="0"/>
    <s v="NA"/>
    <s v="U.S.A."/>
    <s v="Calumet Specialty Products Partners LP"/>
    <x v="75"/>
    <x v="2"/>
    <x v="8"/>
    <n v="2024"/>
    <n v="1"/>
    <m/>
    <n v="0.32666666700000002"/>
    <s v="Planned Pit Stop for September 2024. If all units are running well by this time, maintenance may get pushed to 1Q25."/>
  </r>
  <r>
    <x v="0"/>
    <s v="NA"/>
    <s v="U.S.A."/>
    <s v="Valero Refining Company"/>
    <x v="76"/>
    <x v="5"/>
    <x v="8"/>
    <n v="2024"/>
    <n v="1"/>
    <m/>
    <n v="1.8333333333333333"/>
    <s v="9/10-10/24"/>
  </r>
  <r>
    <x v="0"/>
    <s v="NA"/>
    <s v="U.S.A."/>
    <s v="Chevron Phillips Chemical Company LP"/>
    <x v="77"/>
    <x v="7"/>
    <x v="8"/>
    <n v="2024"/>
    <n v="1"/>
    <m/>
    <n v="0"/>
    <n v="0"/>
  </r>
  <r>
    <x v="0"/>
    <s v="NA"/>
    <s v="U.S.A."/>
    <s v="Chevron Corporation"/>
    <x v="38"/>
    <x v="6"/>
    <x v="8"/>
    <n v="2024"/>
    <n v="1"/>
    <m/>
    <n v="19.260000000000002"/>
    <s v="Major turnaround."/>
  </r>
  <r>
    <x v="0"/>
    <s v="NA"/>
    <s v="U.S.A."/>
    <s v="Shell Oil Products US"/>
    <x v="78"/>
    <x v="5"/>
    <x v="8"/>
    <n v="2024"/>
    <n v="1"/>
    <m/>
    <n v="1.1000000000000001"/>
    <s v="Event rescheduled as a result of extended outage following Hurricane Ida. Down 9/15-10/24 moved 10 days"/>
  </r>
  <r>
    <x v="0"/>
    <s v="NA"/>
    <s v="U.S.A."/>
    <s v="Valero Refining Company"/>
    <x v="62"/>
    <x v="0"/>
    <x v="8"/>
    <n v="2024"/>
    <n v="1"/>
    <m/>
    <n v="9.5200000000000014"/>
    <s v="Accelerated from October, 2024 to July, 2024. major turnaround. Moved from 7/12-8/22 to now 8/2-9/12"/>
  </r>
  <r>
    <x v="0"/>
    <s v="NA"/>
    <s v="U.S.A."/>
    <s v="Valero Refining Company"/>
    <x v="62"/>
    <x v="2"/>
    <x v="8"/>
    <n v="2024"/>
    <n v="1"/>
    <m/>
    <n v="4.5999999999999996"/>
    <s v="Accelerated from October, 2024 to July, 2024. major turnaround. Moved from 7/12-8/22 to now 8/2-9/12"/>
  </r>
  <r>
    <x v="0"/>
    <s v="NA"/>
    <s v="U.S.A."/>
    <s v="Valero Refining Company"/>
    <x v="62"/>
    <x v="3"/>
    <x v="8"/>
    <n v="2024"/>
    <n v="1"/>
    <m/>
    <n v="19.759999999999998"/>
    <s v="Accelerated from October, 2024 to July, 2024. major turnaround. Moved from 7/12-8/22 to now 8/2-9/12"/>
  </r>
  <r>
    <x v="0"/>
    <s v="NA"/>
    <s v="U.S.A."/>
    <s v="Valero Refining Company"/>
    <x v="62"/>
    <x v="4"/>
    <x v="8"/>
    <n v="2024"/>
    <n v="1"/>
    <m/>
    <n v="2"/>
    <s v="Accelerated from October, 2024 to July, 2024. major turnaround. Moved from 7/12-8/22 to now 8/2-9/12"/>
  </r>
  <r>
    <x v="0"/>
    <s v="NA"/>
    <s v="U.S.A."/>
    <s v="Eastman Chemical Company"/>
    <x v="66"/>
    <x v="7"/>
    <x v="8"/>
    <n v="2024"/>
    <n v="1"/>
    <m/>
    <n v="0"/>
    <s v="Start date is tentative."/>
  </r>
  <r>
    <x v="0"/>
    <s v="NA"/>
    <s v="U.S.A."/>
    <s v="Phillips 66"/>
    <x v="79"/>
    <x v="1"/>
    <x v="8"/>
    <n v="2024"/>
    <n v="1"/>
    <m/>
    <n v="0"/>
    <n v="0"/>
  </r>
  <r>
    <x v="0"/>
    <s v="NA"/>
    <s v="U.S.A."/>
    <s v="Phillips 66"/>
    <x v="79"/>
    <x v="3"/>
    <x v="8"/>
    <n v="2024"/>
    <n v="1"/>
    <m/>
    <n v="14.950000000000001"/>
    <n v="0"/>
  </r>
  <r>
    <x v="0"/>
    <s v="NA"/>
    <s v="U.S.A."/>
    <s v="Phillips 66"/>
    <x v="79"/>
    <x v="4"/>
    <x v="8"/>
    <n v="2024"/>
    <n v="1"/>
    <m/>
    <n v="3.42"/>
    <n v="0"/>
  </r>
  <r>
    <x v="0"/>
    <s v="NA"/>
    <s v="U.S.A."/>
    <s v="CITGO Petroleum Corporation"/>
    <x v="5"/>
    <x v="0"/>
    <x v="8"/>
    <n v="2024"/>
    <n v="1"/>
    <m/>
    <n v="44.199999999999996"/>
    <s v="Citgo Lake Chalres planned work 8/9 - 10/23 - However, only taking Sep/Oct since 90 days seems too long for Secondary unit turnarounds"/>
  </r>
  <r>
    <x v="0"/>
    <s v="NA"/>
    <s v="U.S.A."/>
    <s v="CITGO Petroleum Corporation"/>
    <x v="5"/>
    <x v="5"/>
    <x v="8"/>
    <n v="2024"/>
    <n v="1"/>
    <m/>
    <n v="7.6000000000000005"/>
    <s v="Citgo Lake Chalres planned work 8/9 - 10/23 - However, only taking Sep/Oct since 90 days seems too long for Secondary unit turnarounds"/>
  </r>
  <r>
    <x v="0"/>
    <s v="NA"/>
    <s v="U.S.A."/>
    <s v="Marathon Petroleum Corporation"/>
    <x v="8"/>
    <x v="2"/>
    <x v="8"/>
    <n v="2024"/>
    <n v="1"/>
    <m/>
    <n v="16.916666666666668"/>
    <s v="Just added in July 2024. Staggering two 145 kbd crude units from 9/14-10/11"/>
  </r>
  <r>
    <x v="0"/>
    <s v="NA"/>
    <s v="U.S.A."/>
    <s v="Marathon Petroleum Corporation"/>
    <x v="8"/>
    <x v="2"/>
    <x v="8"/>
    <n v="2024"/>
    <n v="1"/>
    <m/>
    <n v="2.4166666666666665"/>
    <s v="Just added in July 2024. Staggering two 145 kbd crude units from 9/14-10/11"/>
  </r>
  <r>
    <x v="0"/>
    <s v="NA"/>
    <s v="U.S.A."/>
    <s v="Marathon Petroleum Corporation"/>
    <x v="27"/>
    <x v="5"/>
    <x v="8"/>
    <n v="2024"/>
    <n v="1"/>
    <m/>
    <n v="2.1"/>
    <s v="Updated timing from Apr-May to Sep 6-Oct10, now it's 9/10-11/4"/>
  </r>
  <r>
    <x v="0"/>
    <s v="NA"/>
    <s v="U.S.A."/>
    <s v="Deer Park Refining LP"/>
    <x v="22"/>
    <x v="1"/>
    <x v="8"/>
    <n v="2024"/>
    <n v="1"/>
    <m/>
    <n v="0"/>
    <s v="Moved from Sp/Oct to Mar 8 - Apr 6 2024. Now Mar 29 - May 2. Added CDU"/>
  </r>
  <r>
    <x v="0"/>
    <s v="NA"/>
    <s v="U.S.A."/>
    <s v="ExxonMobil Corporation"/>
    <x v="26"/>
    <x v="6"/>
    <x v="8"/>
    <n v="2024"/>
    <n v="1"/>
    <m/>
    <n v="4.2"/>
    <s v="Major Turnaround."/>
  </r>
  <r>
    <x v="0"/>
    <s v="NA"/>
    <s v="U.S.A."/>
    <s v="ExxonMobil Corporation"/>
    <x v="26"/>
    <x v="2"/>
    <x v="8"/>
    <n v="2024"/>
    <n v="1"/>
    <m/>
    <n v="2.94"/>
    <s v="Moved February 2024 to August 2024."/>
  </r>
  <r>
    <x v="0"/>
    <s v="NA"/>
    <s v="U.S.A."/>
    <s v="Phillips 66"/>
    <x v="79"/>
    <x v="2"/>
    <x v="8"/>
    <n v="2025"/>
    <n v="1"/>
    <n v="1"/>
    <n v="20"/>
    <s v="Updted maint from Mar to 9/1-10/05"/>
  </r>
  <r>
    <x v="4"/>
    <s v="NA"/>
    <s v="U.S.A."/>
    <s v="HF Sinclair Corporation"/>
    <x v="51"/>
    <x v="3"/>
    <x v="8"/>
    <n v="2024"/>
    <n v="1"/>
    <m/>
    <n v="3.4413333330000002"/>
    <n v="0"/>
  </r>
  <r>
    <x v="4"/>
    <s v="NA"/>
    <s v="U.S.A."/>
    <s v="HF Sinclair Corporation"/>
    <x v="51"/>
    <x v="4"/>
    <x v="8"/>
    <n v="2024"/>
    <n v="1"/>
    <m/>
    <n v="1.74"/>
    <n v="0"/>
  </r>
  <r>
    <x v="4"/>
    <s v="NA"/>
    <s v="U.S.A."/>
    <s v="HF Sinclair Corporation"/>
    <x v="80"/>
    <x v="6"/>
    <x v="8"/>
    <n v="2024"/>
    <n v="1"/>
    <m/>
    <n v="4.6399999999999997"/>
    <s v="Confirmed for Fall of 2024"/>
  </r>
  <r>
    <x v="4"/>
    <s v="NA"/>
    <s v="U.S.A."/>
    <s v="Par Pacific Holdings Incorporated"/>
    <x v="67"/>
    <x v="8"/>
    <x v="8"/>
    <n v="2024"/>
    <n v="1"/>
    <m/>
    <n v="0"/>
    <s v="Changed to coker Ta not FCC/alky 8/1-9/29"/>
  </r>
  <r>
    <x v="4"/>
    <s v="NA"/>
    <s v="U.S.A."/>
    <s v="Par Pacific Holdings Incorporated"/>
    <x v="67"/>
    <x v="1"/>
    <x v="8"/>
    <n v="2024"/>
    <n v="1"/>
    <m/>
    <n v="0"/>
    <s v="Changed to coker Ta not FCC/alky 8/1-9/29"/>
  </r>
  <r>
    <x v="4"/>
    <s v="NA"/>
    <s v="U.S.A."/>
    <s v="Par Pacific Holdings Incorporated"/>
    <x v="67"/>
    <x v="6"/>
    <x v="8"/>
    <n v="2024"/>
    <n v="1"/>
    <m/>
    <n v="2.9"/>
    <s v="Changed to coker Ta not FCC/alky 8/1-9/29"/>
  </r>
  <r>
    <x v="4"/>
    <s v="NA"/>
    <s v="U.S.A."/>
    <s v="Par Pacific Holdings Incorporated"/>
    <x v="67"/>
    <x v="3"/>
    <x v="8"/>
    <n v="2024"/>
    <n v="1"/>
    <m/>
    <n v="0"/>
    <s v="Changed to coker Ta not FCC/alky 8/1-9/29"/>
  </r>
  <r>
    <x v="4"/>
    <s v="NA"/>
    <s v="U.S.A."/>
    <s v="Par Pacific Holdings Incorporated"/>
    <x v="67"/>
    <x v="4"/>
    <x v="8"/>
    <n v="2024"/>
    <n v="1"/>
    <m/>
    <n v="0"/>
    <s v="Changed to coker Ta not FCC/alky 8/1-9/29"/>
  </r>
  <r>
    <x v="1"/>
    <s v="NA"/>
    <s v="U.S.A."/>
    <s v="Chevron Corporation"/>
    <x v="53"/>
    <x v="5"/>
    <x v="8"/>
    <n v="2024"/>
    <n v="0.9"/>
    <m/>
    <n v="4.95"/>
    <s v="Palnned HDC SD early sep for 50 days"/>
  </r>
  <r>
    <x v="2"/>
    <s v="NA"/>
    <s v="U.S.A."/>
    <s v="Monroe Energy LLC"/>
    <x v="68"/>
    <x v="8"/>
    <x v="9"/>
    <n v="2024"/>
    <n v="1"/>
    <m/>
    <n v="0"/>
    <n v="0"/>
  </r>
  <r>
    <x v="2"/>
    <s v="NA"/>
    <s v="U.S.A."/>
    <s v="Monroe Energy LLC"/>
    <x v="68"/>
    <x v="3"/>
    <x v="9"/>
    <n v="2024"/>
    <n v="1"/>
    <m/>
    <n v="16.66935483870968"/>
    <n v="0"/>
  </r>
  <r>
    <x v="3"/>
    <s v="NA"/>
    <s v="U.S.A."/>
    <s v="BP Products North America Incorporated"/>
    <x v="69"/>
    <x v="1"/>
    <x v="9"/>
    <n v="2024"/>
    <n v="1"/>
    <m/>
    <n v="0"/>
    <n v="0"/>
  </r>
  <r>
    <x v="3"/>
    <s v="NA"/>
    <s v="U.S.A."/>
    <s v="BP Products North America Incorporated"/>
    <x v="69"/>
    <x v="6"/>
    <x v="9"/>
    <n v="2024"/>
    <n v="1"/>
    <m/>
    <n v="25"/>
    <s v="9/6-11/4. Moved to starting Jul 26 - Sep 24. moved back to 9/6-11/4"/>
  </r>
  <r>
    <x v="3"/>
    <s v="NA"/>
    <s v="U.S.A."/>
    <s v="BP Products North America Incorporated"/>
    <x v="69"/>
    <x v="2"/>
    <x v="9"/>
    <n v="2024"/>
    <n v="1"/>
    <m/>
    <n v="63.75"/>
    <s v="9/6-11/4. Moved to starting Jul 26 - Sep 24. moved back to 9/6-11/4"/>
  </r>
  <r>
    <x v="3"/>
    <s v="NA"/>
    <s v="U.S.A."/>
    <s v="HF Sinclair Corporation"/>
    <x v="70"/>
    <x v="8"/>
    <x v="9"/>
    <n v="2024"/>
    <n v="1"/>
    <m/>
    <n v="0"/>
    <s v="Planned maintenance"/>
  </r>
  <r>
    <x v="3"/>
    <s v="NA"/>
    <s v="U.S.A."/>
    <s v="Phillips 66"/>
    <x v="18"/>
    <x v="2"/>
    <x v="9"/>
    <n v="2024"/>
    <n v="1"/>
    <n v="0.16129032258064516"/>
    <n v="1.532258064516129"/>
    <s v="Scheduled CDU/Ref 9/24-10/5 and FCC 9/14-23"/>
  </r>
  <r>
    <x v="3"/>
    <s v="NA"/>
    <s v="U.S.A."/>
    <s v="Phillips 66"/>
    <x v="18"/>
    <x v="0"/>
    <x v="9"/>
    <n v="2024"/>
    <n v="1"/>
    <n v="0.16129032258064516"/>
    <n v="2.7419354838709675"/>
    <s v="Scheduled CDU/Ref 9/24-10/5 and FCC 9/14-23"/>
  </r>
  <r>
    <x v="3"/>
    <s v="NA"/>
    <s v="U.S.A."/>
    <s v="Valero Refining Company"/>
    <x v="35"/>
    <x v="1"/>
    <x v="9"/>
    <n v="2024"/>
    <n v="1"/>
    <m/>
    <n v="0"/>
    <n v="0"/>
  </r>
  <r>
    <x v="3"/>
    <s v="NA"/>
    <s v="U.S.A."/>
    <s v="Cenovus Energy Incorporated"/>
    <x v="71"/>
    <x v="6"/>
    <x v="9"/>
    <n v="2024"/>
    <n v="1"/>
    <m/>
    <n v="2.7"/>
    <s v="Coker down 9/13-10/27"/>
  </r>
  <r>
    <x v="3"/>
    <s v="NA"/>
    <s v="U.S.A."/>
    <s v="Cenovus Energy Incorporated"/>
    <x v="71"/>
    <x v="2"/>
    <x v="9"/>
    <n v="2024"/>
    <n v="0.3"/>
    <m/>
    <n v="11.32258064516129"/>
    <s v="52 kbd CDU down 9/25-10/27 (no reformer with it). 172 kbd CDU down 9/13-9/24 (with a reformer)"/>
  </r>
  <r>
    <x v="3"/>
    <s v="NA"/>
    <s v="U.S.A."/>
    <s v="Cenovus Energy Incorporated"/>
    <x v="71"/>
    <x v="3"/>
    <x v="9"/>
    <n v="2024"/>
    <n v="1"/>
    <m/>
    <n v="25.475806451612904"/>
    <s v="FCC down from 9/13-10/27"/>
  </r>
  <r>
    <x v="3"/>
    <s v="NA"/>
    <s v="U.S.A."/>
    <s v="HF Sinclair Corporation"/>
    <x v="72"/>
    <x v="6"/>
    <x v="9"/>
    <n v="2024"/>
    <n v="1"/>
    <n v="1"/>
    <n v="2.0500000000000003"/>
    <n v="0"/>
  </r>
  <r>
    <x v="3"/>
    <s v="NA"/>
    <s v="U.S.A."/>
    <s v="HF Sinclair Corporation"/>
    <x v="72"/>
    <x v="2"/>
    <x v="9"/>
    <n v="2024"/>
    <n v="1"/>
    <n v="1"/>
    <n v="41.6"/>
    <n v="0"/>
  </r>
  <r>
    <x v="3"/>
    <s v="NA"/>
    <s v="U.S.A."/>
    <s v="HF Sinclair Corporation"/>
    <x v="72"/>
    <x v="3"/>
    <x v="9"/>
    <n v="2024"/>
    <n v="1"/>
    <n v="1"/>
    <n v="39"/>
    <n v="0"/>
  </r>
  <r>
    <x v="3"/>
    <s v="NA"/>
    <s v="U.S.A."/>
    <s v="Marathon Petroleum Corporation"/>
    <x v="73"/>
    <x v="8"/>
    <x v="9"/>
    <n v="2024"/>
    <n v="1"/>
    <n v="0.74193548387096775"/>
    <n v="0"/>
    <n v="0"/>
  </r>
  <r>
    <x v="3"/>
    <s v="NA"/>
    <s v="U.S.A."/>
    <s v="Marathon Petroleum Corporation"/>
    <x v="73"/>
    <x v="0"/>
    <x v="9"/>
    <n v="2024"/>
    <n v="1"/>
    <n v="0.74193548387096775"/>
    <n v="13.874193548387096"/>
    <n v="0"/>
  </r>
  <r>
    <x v="3"/>
    <s v="NA"/>
    <s v="U.S.A."/>
    <s v="Marathon Petroleum Corporation"/>
    <x v="73"/>
    <x v="1"/>
    <x v="9"/>
    <n v="2024"/>
    <n v="1"/>
    <n v="0.74193548387096775"/>
    <n v="0"/>
    <n v="0"/>
  </r>
  <r>
    <x v="3"/>
    <s v="NA"/>
    <s v="U.S.A."/>
    <s v="Marathon Petroleum Corporation"/>
    <x v="73"/>
    <x v="6"/>
    <x v="9"/>
    <n v="2024"/>
    <n v="1"/>
    <n v="0.74193548387096775"/>
    <n v="2.0774193548387099"/>
    <n v="0"/>
  </r>
  <r>
    <x v="3"/>
    <s v="NA"/>
    <s v="U.S.A."/>
    <s v="Marathon Petroleum Corporation"/>
    <x v="73"/>
    <x v="2"/>
    <x v="9"/>
    <n v="2024"/>
    <n v="1"/>
    <n v="0.74193548387096775"/>
    <n v="10.906451612903227"/>
    <n v="0"/>
  </r>
  <r>
    <x v="3"/>
    <s v="NA"/>
    <s v="U.S.A."/>
    <s v="Marathon Petroleum Corporation"/>
    <x v="73"/>
    <x v="3"/>
    <x v="9"/>
    <n v="2024"/>
    <n v="1"/>
    <n v="0.74193548387096775"/>
    <n v="28.935483870967744"/>
    <n v="0"/>
  </r>
  <r>
    <x v="3"/>
    <s v="NA"/>
    <s v="U.S.A."/>
    <s v="Marathon Petroleum Corporation"/>
    <x v="73"/>
    <x v="4"/>
    <x v="9"/>
    <n v="2024"/>
    <n v="1"/>
    <n v="0.74193548387096775"/>
    <n v="7.0483870967741939"/>
    <n v="0"/>
  </r>
  <r>
    <x v="3"/>
    <s v="NA"/>
    <s v="U.S.A."/>
    <s v="Valero Refining Company"/>
    <x v="35"/>
    <x v="3"/>
    <x v="9"/>
    <n v="2025"/>
    <n v="1"/>
    <m/>
    <n v="42.25"/>
    <s v="10/1-11/1 - 65 kbd FCC unit down"/>
  </r>
  <r>
    <x v="3"/>
    <s v="NA"/>
    <s v="U.S.A."/>
    <s v="Valero Refining Company"/>
    <x v="35"/>
    <x v="4"/>
    <x v="9"/>
    <n v="2025"/>
    <n v="1"/>
    <m/>
    <n v="0"/>
    <s v="10/1-11/1 - 12 kbd alky down. FCC down at same time so no impact"/>
  </r>
  <r>
    <x v="3"/>
    <s v="NA"/>
    <s v="U.S.A."/>
    <s v="Valero Refining Company"/>
    <x v="35"/>
    <x v="2"/>
    <x v="9"/>
    <n v="2025"/>
    <n v="1"/>
    <m/>
    <n v="27.5"/>
    <s v="10/1-11/1 - 110 kbd crude unit down"/>
  </r>
  <r>
    <x v="0"/>
    <s v="NA"/>
    <s v="U.S.A."/>
    <s v="Westlake Petrochemicals Corporation"/>
    <x v="74"/>
    <x v="7"/>
    <x v="9"/>
    <n v="2024"/>
    <n v="1"/>
    <m/>
    <n v="0"/>
    <n v="0"/>
  </r>
  <r>
    <x v="0"/>
    <s v="NA"/>
    <s v="U.S.A."/>
    <s v="Valero Refining Company"/>
    <x v="76"/>
    <x v="5"/>
    <x v="9"/>
    <n v="2024"/>
    <n v="1"/>
    <m/>
    <n v="2.129032258064516"/>
    <s v="9/10-10/24"/>
  </r>
  <r>
    <x v="0"/>
    <s v="NA"/>
    <s v="U.S.A."/>
    <s v="Chevron Phillips Chemical Company LP"/>
    <x v="77"/>
    <x v="7"/>
    <x v="9"/>
    <n v="2024"/>
    <n v="1"/>
    <m/>
    <n v="0"/>
    <n v="0"/>
  </r>
  <r>
    <x v="0"/>
    <s v="NA"/>
    <s v="U.S.A."/>
    <s v="Chevron Corporation"/>
    <x v="38"/>
    <x v="6"/>
    <x v="9"/>
    <n v="2024"/>
    <n v="1"/>
    <m/>
    <n v="0"/>
    <s v="Major turnaround."/>
  </r>
  <r>
    <x v="0"/>
    <s v="NA"/>
    <s v="U.S.A."/>
    <s v="Chevron Corporation"/>
    <x v="39"/>
    <x v="8"/>
    <x v="9"/>
    <n v="2024"/>
    <n v="1"/>
    <m/>
    <n v="0"/>
    <s v="Major turnaround reconfiguring to run LTO. Whole refinery down 10/4-11/13"/>
  </r>
  <r>
    <x v="0"/>
    <s v="NA"/>
    <s v="U.S.A."/>
    <s v="Chevron Corporation"/>
    <x v="39"/>
    <x v="0"/>
    <x v="9"/>
    <n v="2024"/>
    <n v="1"/>
    <m/>
    <n v="17.767741935483869"/>
    <s v="Major turnaround reconfiguring to run LTO. Whole refinery down 10/4-11/13"/>
  </r>
  <r>
    <x v="0"/>
    <s v="NA"/>
    <s v="U.S.A."/>
    <s v="Chevron Corporation"/>
    <x v="39"/>
    <x v="11"/>
    <x v="9"/>
    <n v="2024"/>
    <n v="1"/>
    <m/>
    <n v="0"/>
    <s v="Major Turnaround."/>
  </r>
  <r>
    <x v="0"/>
    <s v="NA"/>
    <s v="U.S.A."/>
    <s v="Chevron Corporation"/>
    <x v="39"/>
    <x v="1"/>
    <x v="9"/>
    <n v="2024"/>
    <n v="1"/>
    <m/>
    <n v="0"/>
    <s v="*"/>
  </r>
  <r>
    <x v="0"/>
    <s v="NA"/>
    <s v="U.S.A."/>
    <s v="Chevron Corporation"/>
    <x v="39"/>
    <x v="2"/>
    <x v="9"/>
    <n v="2024"/>
    <n v="1"/>
    <m/>
    <n v="10.103225806451615"/>
    <s v="Major turnaround reconfiguring to run LTO. Whole refinery down 10/4-11/13"/>
  </r>
  <r>
    <x v="0"/>
    <s v="NA"/>
    <s v="U.S.A."/>
    <s v="Shell Oil Products US"/>
    <x v="78"/>
    <x v="5"/>
    <x v="9"/>
    <n v="2024"/>
    <n v="1"/>
    <m/>
    <n v="1.7032258064516128"/>
    <s v="Event rescheduled as a result of extended outage following Hurricane Ida. Down 9/15-10/24 moved 10 days"/>
  </r>
  <r>
    <x v="0"/>
    <s v="NA"/>
    <s v="U.S.A."/>
    <s v="Vertex Energy"/>
    <x v="81"/>
    <x v="0"/>
    <x v="9"/>
    <n v="2024"/>
    <n v="1"/>
    <n v="0.87096774193548387"/>
    <n v="9.9943548387096772"/>
    <s v="Planned turnaround 10/4-11/7"/>
  </r>
  <r>
    <x v="0"/>
    <s v="NA"/>
    <s v="U.S.A."/>
    <s v="Vertex Energy"/>
    <x v="81"/>
    <x v="1"/>
    <x v="9"/>
    <n v="2024"/>
    <n v="1"/>
    <n v="0.87096774193548387"/>
    <n v="0"/>
    <s v="Planned turnaround 10/4-11/7"/>
  </r>
  <r>
    <x v="0"/>
    <s v="NA"/>
    <s v="U.S.A."/>
    <s v="Vertex Energy"/>
    <x v="81"/>
    <x v="2"/>
    <x v="9"/>
    <n v="2024"/>
    <n v="1"/>
    <n v="0.87096774193548387"/>
    <n v="3.4838709677419355"/>
    <s v="Planned turnaround 10/4-11/7"/>
  </r>
  <r>
    <x v="0"/>
    <s v="NA"/>
    <s v="U.S.A."/>
    <s v="Eastman Chemical Company"/>
    <x v="66"/>
    <x v="7"/>
    <x v="9"/>
    <n v="2024"/>
    <n v="1"/>
    <m/>
    <n v="0"/>
    <n v="0"/>
  </r>
  <r>
    <x v="0"/>
    <s v="NA"/>
    <s v="U.S.A."/>
    <s v="Phillips 66"/>
    <x v="79"/>
    <x v="1"/>
    <x v="9"/>
    <n v="2024"/>
    <n v="1"/>
    <m/>
    <n v="0"/>
    <n v="0"/>
  </r>
  <r>
    <x v="0"/>
    <s v="NA"/>
    <s v="U.S.A."/>
    <s v="Phillips 66"/>
    <x v="79"/>
    <x v="3"/>
    <x v="9"/>
    <n v="2024"/>
    <n v="1"/>
    <m/>
    <n v="29.900000000000002"/>
    <n v="0"/>
  </r>
  <r>
    <x v="0"/>
    <s v="NA"/>
    <s v="U.S.A."/>
    <s v="Phillips 66"/>
    <x v="79"/>
    <x v="4"/>
    <x v="9"/>
    <n v="2024"/>
    <n v="1"/>
    <m/>
    <n v="6.84"/>
    <n v="0"/>
  </r>
  <r>
    <x v="0"/>
    <s v="NA"/>
    <s v="U.S.A."/>
    <s v="CITGO Petroleum Corporation"/>
    <x v="5"/>
    <x v="0"/>
    <x v="9"/>
    <n v="2024"/>
    <n v="1"/>
    <n v="0.74193548387096775"/>
    <n v="32.79354838709677"/>
    <s v="Citgo Lake Chalres planned work 8/9 - 10/23 - However, only taking Sep/Oct since 90 days seems too long for Secondary unit turnarounds"/>
  </r>
  <r>
    <x v="0"/>
    <s v="NA"/>
    <s v="U.S.A."/>
    <s v="CITGO Petroleum Corporation"/>
    <x v="5"/>
    <x v="5"/>
    <x v="9"/>
    <n v="2024"/>
    <n v="1"/>
    <m/>
    <n v="5.6387096774193557"/>
    <s v="Citgo Lake Chalres planned work 8/9 - 10/23 - However, only taking Sep/Oct since 90 days seems too long for Secondary unit turnarounds"/>
  </r>
  <r>
    <x v="0"/>
    <s v="NA"/>
    <s v="U.S.A."/>
    <s v="Calcasieu Refining Company"/>
    <x v="82"/>
    <x v="8"/>
    <x v="9"/>
    <n v="2024"/>
    <n v="1"/>
    <m/>
    <n v="0"/>
    <s v="10/17-10/31"/>
  </r>
  <r>
    <x v="0"/>
    <s v="NA"/>
    <s v="U.S.A."/>
    <s v="Calcasieu Refining Company"/>
    <x v="82"/>
    <x v="2"/>
    <x v="9"/>
    <n v="2024"/>
    <n v="1"/>
    <m/>
    <n v="8.806451612903226"/>
    <s v="10/17-13/31"/>
  </r>
  <r>
    <x v="0"/>
    <s v="NA"/>
    <s v="U.S.A."/>
    <s v="Calcasieu Refining Company"/>
    <x v="82"/>
    <x v="2"/>
    <x v="9"/>
    <n v="2024"/>
    <n v="1"/>
    <m/>
    <n v="8.806451612903226"/>
    <s v="10/17-13/31"/>
  </r>
  <r>
    <x v="0"/>
    <s v="NA"/>
    <s v="U.S.A."/>
    <s v="Delek US Holdings"/>
    <x v="83"/>
    <x v="8"/>
    <x v="9"/>
    <n v="2024"/>
    <n v="1"/>
    <n v="0.87096774193548387"/>
    <n v="0"/>
    <s v="10/4-11/20"/>
  </r>
  <r>
    <x v="0"/>
    <s v="NA"/>
    <s v="U.S.A."/>
    <s v="Delek US Holdings"/>
    <x v="83"/>
    <x v="0"/>
    <x v="9"/>
    <n v="2024"/>
    <n v="1"/>
    <n v="0.87096774193548387"/>
    <n v="9.6241935483870957"/>
    <s v="10/4-11/20"/>
  </r>
  <r>
    <x v="0"/>
    <s v="NA"/>
    <s v="U.S.A."/>
    <s v="Delek US Holdings"/>
    <x v="83"/>
    <x v="11"/>
    <x v="9"/>
    <n v="2024"/>
    <n v="1"/>
    <n v="0.87096774193548387"/>
    <n v="0"/>
    <s v="10/4-11/20"/>
  </r>
  <r>
    <x v="0"/>
    <s v="NA"/>
    <s v="U.S.A."/>
    <s v="Delek US Holdings"/>
    <x v="83"/>
    <x v="9"/>
    <x v="9"/>
    <n v="2024"/>
    <n v="1"/>
    <n v="0.87096774193548387"/>
    <n v="0"/>
    <s v="10/4-11/20"/>
  </r>
  <r>
    <x v="0"/>
    <s v="NA"/>
    <s v="U.S.A."/>
    <s v="Delek US Holdings"/>
    <x v="83"/>
    <x v="1"/>
    <x v="9"/>
    <n v="2024"/>
    <n v="1"/>
    <n v="0.87096774193548387"/>
    <n v="0"/>
    <s v="10/4-11/20"/>
  </r>
  <r>
    <x v="0"/>
    <s v="NA"/>
    <s v="U.S.A."/>
    <s v="Delek US Holdings"/>
    <x v="83"/>
    <x v="2"/>
    <x v="9"/>
    <n v="2024"/>
    <n v="1"/>
    <n v="0.87096774193548387"/>
    <n v="6.4451612903225808"/>
    <s v="10/4-11/20"/>
  </r>
  <r>
    <x v="0"/>
    <s v="NA"/>
    <s v="U.S.A."/>
    <s v="Delek US Holdings"/>
    <x v="83"/>
    <x v="3"/>
    <x v="9"/>
    <n v="2024"/>
    <n v="1"/>
    <n v="0.87096774193548387"/>
    <n v="18.116129032258065"/>
    <s v="10/4-11/20"/>
  </r>
  <r>
    <x v="0"/>
    <s v="NA"/>
    <s v="U.S.A."/>
    <s v="Delek US Holdings"/>
    <x v="83"/>
    <x v="4"/>
    <x v="9"/>
    <n v="2024"/>
    <n v="1"/>
    <n v="0.87096774193548387"/>
    <n v="4.137096774193548"/>
    <s v="10/4-11/20"/>
  </r>
  <r>
    <x v="0"/>
    <s v="NA"/>
    <s v="U.S.A."/>
    <s v="Marathon Petroleum Corporation"/>
    <x v="8"/>
    <x v="2"/>
    <x v="9"/>
    <n v="2024"/>
    <n v="1"/>
    <m/>
    <n v="12.862903225806452"/>
    <s v="Just added in July 2024. Staggering two 145 kbd crude units from 9/14-10/11"/>
  </r>
  <r>
    <x v="0"/>
    <s v="NA"/>
    <s v="U.S.A."/>
    <s v="Marathon Petroleum Corporation"/>
    <x v="27"/>
    <x v="5"/>
    <x v="9"/>
    <n v="2024"/>
    <n v="1"/>
    <m/>
    <n v="3"/>
    <s v="Updated timing from Apr-May to Sep 6-Oct10, now it's 9/10-11/4"/>
  </r>
  <r>
    <x v="0"/>
    <s v="NA"/>
    <s v="U.S.A."/>
    <s v="Shell Chemical Company"/>
    <x v="84"/>
    <x v="7"/>
    <x v="9"/>
    <n v="2024"/>
    <n v="1"/>
    <m/>
    <n v="0"/>
    <s v="Turnaround will likely be cancelled due to a fire incident that occurred in May 2023 and required a rebuild of part of the unit (Offline Event ID 701036). Shell will make a decision on TA timing upon restart of the unit."/>
  </r>
  <r>
    <x v="0"/>
    <s v="NA"/>
    <s v="U.S.A."/>
    <s v="Chalmette Refining LLC"/>
    <x v="10"/>
    <x v="0"/>
    <x v="9"/>
    <n v="2024"/>
    <n v="1"/>
    <n v="1"/>
    <n v="16.149999999999999"/>
    <s v="Moved from 9/5 - 10/21 to 10/1-11/4"/>
  </r>
  <r>
    <x v="0"/>
    <s v="NA"/>
    <s v="U.S.A."/>
    <s v="Chalmette Refining LLC"/>
    <x v="10"/>
    <x v="1"/>
    <x v="9"/>
    <n v="2024"/>
    <n v="1"/>
    <n v="1"/>
    <n v="0"/>
    <s v="Moved from 9/5 - 10/21 to 10/1-11/4"/>
  </r>
  <r>
    <x v="0"/>
    <s v="NA"/>
    <s v="U.S.A."/>
    <s v="Chalmette Refining LLC"/>
    <x v="10"/>
    <x v="2"/>
    <x v="9"/>
    <n v="2024"/>
    <n v="1"/>
    <n v="1"/>
    <n v="19.200000000000003"/>
    <s v="Moved from 9/5 - 10/21 to 10/1-11/4"/>
  </r>
  <r>
    <x v="0"/>
    <s v="NA"/>
    <s v="U.S.A."/>
    <s v="Chalmette Refining LLC"/>
    <x v="10"/>
    <x v="6"/>
    <x v="9"/>
    <n v="2024"/>
    <n v="1"/>
    <n v="1"/>
    <n v="4.2"/>
    <s v="Moved from 9/5 - 10/21 to 10/1-11/4"/>
  </r>
  <r>
    <x v="0"/>
    <s v="NA"/>
    <s v="U.S.A."/>
    <s v="Chalmette Refining LLC"/>
    <x v="10"/>
    <x v="3"/>
    <x v="9"/>
    <n v="2024"/>
    <n v="1"/>
    <n v="1"/>
    <n v="44.2"/>
    <s v="Moved from 9/5 - 10/21 to 10/1-11/4"/>
  </r>
  <r>
    <x v="0"/>
    <s v="NA"/>
    <s v="U.S.A."/>
    <s v="Chalmette Refining LLC"/>
    <x v="10"/>
    <x v="4"/>
    <x v="9"/>
    <n v="2024"/>
    <n v="1"/>
    <n v="1"/>
    <n v="11.399999999999999"/>
    <s v="Moved from 9/5 - 10/21 to 10/1-11/4"/>
  </r>
  <r>
    <x v="0"/>
    <s v="NA"/>
    <s v="U.S.A."/>
    <s v="WRB Refining LP"/>
    <x v="25"/>
    <x v="1"/>
    <x v="9"/>
    <n v="2024"/>
    <n v="1"/>
    <m/>
    <n v="0"/>
    <s v="Catalyst."/>
  </r>
  <r>
    <x v="0"/>
    <s v="NA"/>
    <s v="U.S.A."/>
    <s v="Phillips 66"/>
    <x v="79"/>
    <x v="2"/>
    <x v="9"/>
    <n v="2025"/>
    <n v="1"/>
    <n v="0.16129032258064516"/>
    <n v="3.225806451612903"/>
    <s v="Updted maint from Mar to 9/1-10/05"/>
  </r>
  <r>
    <x v="4"/>
    <s v="NA"/>
    <s v="U.S.A."/>
    <s v="HF Sinclair Corporation"/>
    <x v="51"/>
    <x v="3"/>
    <x v="9"/>
    <n v="2024"/>
    <n v="1"/>
    <m/>
    <n v="0.86033333300000003"/>
    <n v="0"/>
  </r>
  <r>
    <x v="4"/>
    <s v="NA"/>
    <s v="U.S.A."/>
    <s v="HF Sinclair Corporation"/>
    <x v="51"/>
    <x v="4"/>
    <x v="9"/>
    <n v="2024"/>
    <n v="1"/>
    <m/>
    <n v="0.435"/>
    <n v="0"/>
  </r>
  <r>
    <x v="4"/>
    <s v="NA"/>
    <s v="U.S.A."/>
    <s v="HF Sinclair Corporation"/>
    <x v="80"/>
    <x v="6"/>
    <x v="9"/>
    <n v="2024"/>
    <n v="1"/>
    <m/>
    <n v="0.96"/>
    <s v="Confirmed for Fall of 2024"/>
  </r>
  <r>
    <x v="4"/>
    <s v="NA"/>
    <s v="U.S.A."/>
    <s v="Silver Eagle Refining Incorporated"/>
    <x v="58"/>
    <x v="0"/>
    <x v="9"/>
    <n v="2024"/>
    <n v="1"/>
    <m/>
    <n v="0.85"/>
    <s v="Planned Refinery Wide Maintenance for October 2024."/>
  </r>
  <r>
    <x v="4"/>
    <s v="NA"/>
    <s v="U.S.A."/>
    <s v="Silver Eagle Refining Incorporated"/>
    <x v="58"/>
    <x v="1"/>
    <x v="9"/>
    <n v="2024"/>
    <n v="1"/>
    <m/>
    <n v="0"/>
    <s v="Planned Refinery Wide Maintenance for October 2024."/>
  </r>
  <r>
    <x v="4"/>
    <s v="NA"/>
    <s v="U.S.A."/>
    <s v="Silver Eagle Refining Incorporated"/>
    <x v="58"/>
    <x v="2"/>
    <x v="9"/>
    <n v="2024"/>
    <n v="1"/>
    <m/>
    <n v="5.6666666999999997E-2"/>
    <s v="Planned Refinery Wide Maintenance for October 2024."/>
  </r>
  <r>
    <x v="1"/>
    <s v="NA"/>
    <s v="U.S.A."/>
    <s v="Chevron Corporation"/>
    <x v="53"/>
    <x v="5"/>
    <x v="9"/>
    <n v="2024"/>
    <n v="0.74193548387096775"/>
    <m/>
    <n v="4.080645161290323"/>
    <s v="Palnned HDC SD early sep for 50 days"/>
  </r>
  <r>
    <x v="2"/>
    <s v="NA"/>
    <s v="U.S.A."/>
    <s v="Monroe Energy LLC"/>
    <x v="68"/>
    <x v="8"/>
    <x v="10"/>
    <n v="2024"/>
    <n v="1"/>
    <m/>
    <n v="0"/>
    <n v="0"/>
  </r>
  <r>
    <x v="2"/>
    <s v="NA"/>
    <s v="U.S.A."/>
    <s v="PBF"/>
    <x v="16"/>
    <x v="2"/>
    <x v="10"/>
    <n v="2024"/>
    <n v="1"/>
    <m/>
    <n v="2.3333333333333335"/>
    <n v="0"/>
  </r>
  <r>
    <x v="3"/>
    <s v="NA"/>
    <s v="U.S.A."/>
    <s v="BP Products North America Incorporated"/>
    <x v="69"/>
    <x v="1"/>
    <x v="10"/>
    <n v="2024"/>
    <n v="1"/>
    <m/>
    <n v="0"/>
    <n v="0"/>
  </r>
  <r>
    <x v="3"/>
    <s v="NA"/>
    <s v="U.S.A."/>
    <s v="BP Products North America Incorporated"/>
    <x v="69"/>
    <x v="6"/>
    <x v="10"/>
    <n v="2024"/>
    <n v="1"/>
    <m/>
    <n v="9.1666666666666661"/>
    <s v="9/6-11/4. Moved to starting Jul 26 - Sep 24. moved back to 9/6-11/4"/>
  </r>
  <r>
    <x v="3"/>
    <s v="NA"/>
    <s v="U.S.A."/>
    <s v="BP Products North America Incorporated"/>
    <x v="69"/>
    <x v="2"/>
    <x v="10"/>
    <n v="2024"/>
    <n v="1"/>
    <m/>
    <n v="23.375"/>
    <s v="9/6-11/4. Moved to starting Jul 26 - Sep 24. moved back to 9/6-11/4"/>
  </r>
  <r>
    <x v="3"/>
    <s v="NA"/>
    <s v="U.S.A."/>
    <s v="Valero Refining Company"/>
    <x v="35"/>
    <x v="1"/>
    <x v="10"/>
    <n v="2024"/>
    <n v="1"/>
    <m/>
    <n v="0"/>
    <n v="0"/>
  </r>
  <r>
    <x v="3"/>
    <s v="NA"/>
    <s v="U.S.A."/>
    <s v="HF Sinclair Corporation"/>
    <x v="72"/>
    <x v="6"/>
    <x v="10"/>
    <n v="2024"/>
    <n v="1"/>
    <n v="0.13333333333333333"/>
    <n v="0.27333333333333337"/>
    <n v="0"/>
  </r>
  <r>
    <x v="3"/>
    <s v="NA"/>
    <s v="U.S.A."/>
    <s v="HF Sinclair Corporation"/>
    <x v="72"/>
    <x v="2"/>
    <x v="10"/>
    <n v="2024"/>
    <n v="1"/>
    <n v="0.13333333333333333"/>
    <n v="5.5466666666666669"/>
    <n v="0"/>
  </r>
  <r>
    <x v="3"/>
    <s v="NA"/>
    <s v="U.S.A."/>
    <s v="HF Sinclair Corporation"/>
    <x v="72"/>
    <x v="3"/>
    <x v="10"/>
    <n v="2024"/>
    <n v="1"/>
    <n v="0.13333333333333333"/>
    <n v="5.2"/>
    <n v="0"/>
  </r>
  <r>
    <x v="0"/>
    <s v="NA"/>
    <s v="U.S.A."/>
    <s v="Chevron Corporation"/>
    <x v="39"/>
    <x v="8"/>
    <x v="10"/>
    <n v="2024"/>
    <n v="1"/>
    <m/>
    <n v="0"/>
    <s v="Major turnaround reconfiguring to run LTO. Whole refinery down 10/4-11/13"/>
  </r>
  <r>
    <x v="0"/>
    <s v="NA"/>
    <s v="U.S.A."/>
    <s v="Chevron Corporation"/>
    <x v="39"/>
    <x v="0"/>
    <x v="10"/>
    <n v="2024"/>
    <n v="1"/>
    <m/>
    <n v="8.4716666666666676"/>
    <s v="Major turnaround reconfiguring to run LTO. Whole refinery down 10/4-11/13"/>
  </r>
  <r>
    <x v="0"/>
    <s v="NA"/>
    <s v="U.S.A."/>
    <s v="Chevron Corporation"/>
    <x v="39"/>
    <x v="11"/>
    <x v="10"/>
    <n v="2024"/>
    <n v="1"/>
    <m/>
    <n v="0"/>
    <s v="Major turnaround reconfiguring to run LTO. Whole refinery down 10/4-11/13"/>
  </r>
  <r>
    <x v="0"/>
    <s v="NA"/>
    <s v="U.S.A."/>
    <s v="Chevron Corporation"/>
    <x v="39"/>
    <x v="1"/>
    <x v="10"/>
    <n v="2024"/>
    <n v="1"/>
    <m/>
    <n v="0"/>
    <s v="Major turnaround reconfiguring to run LTO. Whole refinery down 10/4-11/13"/>
  </r>
  <r>
    <x v="0"/>
    <s v="NA"/>
    <s v="U.S.A."/>
    <s v="Chevron Corporation"/>
    <x v="39"/>
    <x v="2"/>
    <x v="10"/>
    <n v="2024"/>
    <n v="1"/>
    <m/>
    <n v="5.0266666666666673"/>
    <s v="Major turnaround reconfiguring to run LTO. Whole refinery down 10/4-11/13"/>
  </r>
  <r>
    <x v="0"/>
    <s v="NA"/>
    <s v="U.S.A."/>
    <s v="Vertex Energy"/>
    <x v="81"/>
    <x v="0"/>
    <x v="10"/>
    <n v="2024"/>
    <n v="1"/>
    <n v="0.23333333333333334"/>
    <n v="2.6775000000000002"/>
    <s v="Planned turnaround 10/4-11/7"/>
  </r>
  <r>
    <x v="0"/>
    <s v="NA"/>
    <s v="U.S.A."/>
    <s v="Vertex Energy"/>
    <x v="81"/>
    <x v="1"/>
    <x v="10"/>
    <n v="2024"/>
    <n v="1"/>
    <n v="0.23333333333333334"/>
    <n v="0"/>
    <s v="Planned turnaround 10/4-11/7"/>
  </r>
  <r>
    <x v="0"/>
    <s v="NA"/>
    <s v="U.S.A."/>
    <s v="Vertex Energy"/>
    <x v="81"/>
    <x v="2"/>
    <x v="10"/>
    <n v="2024"/>
    <n v="1"/>
    <n v="0.23333333333333334"/>
    <n v="0.93333333333333335"/>
    <s v="Planned turnaround 10/4-11/7"/>
  </r>
  <r>
    <x v="0"/>
    <s v="NA"/>
    <s v="U.S.A."/>
    <s v="Phillips 66"/>
    <x v="79"/>
    <x v="1"/>
    <x v="10"/>
    <n v="2024"/>
    <n v="1"/>
    <m/>
    <n v="0"/>
    <n v="0"/>
  </r>
  <r>
    <x v="0"/>
    <s v="NA"/>
    <s v="U.S.A."/>
    <s v="Phillips 66"/>
    <x v="79"/>
    <x v="3"/>
    <x v="10"/>
    <n v="2024"/>
    <n v="1"/>
    <m/>
    <n v="13.953333333333335"/>
    <n v="0"/>
  </r>
  <r>
    <x v="0"/>
    <s v="NA"/>
    <s v="U.S.A."/>
    <s v="Phillips 66"/>
    <x v="79"/>
    <x v="4"/>
    <x v="10"/>
    <n v="2024"/>
    <n v="1"/>
    <m/>
    <n v="3.1920000000000002"/>
    <n v="0"/>
  </r>
  <r>
    <x v="0"/>
    <s v="NA"/>
    <s v="U.S.A."/>
    <s v="Delek US Holdings"/>
    <x v="83"/>
    <x v="8"/>
    <x v="10"/>
    <n v="2024"/>
    <n v="1"/>
    <n v="0.66666666666666663"/>
    <n v="0"/>
    <s v="10/4-11/20"/>
  </r>
  <r>
    <x v="0"/>
    <s v="NA"/>
    <s v="U.S.A."/>
    <s v="Delek US Holdings"/>
    <x v="83"/>
    <x v="0"/>
    <x v="10"/>
    <n v="2024"/>
    <n v="1"/>
    <n v="0.66666666666666663"/>
    <n v="7.3666666666666654"/>
    <s v="10/4-11/20"/>
  </r>
  <r>
    <x v="0"/>
    <s v="NA"/>
    <s v="U.S.A."/>
    <s v="Delek US Holdings"/>
    <x v="83"/>
    <x v="11"/>
    <x v="10"/>
    <n v="2024"/>
    <n v="1"/>
    <n v="0.66666666666666663"/>
    <n v="0"/>
    <s v="10/4-11/20"/>
  </r>
  <r>
    <x v="0"/>
    <s v="NA"/>
    <s v="U.S.A."/>
    <s v="Delek US Holdings"/>
    <x v="83"/>
    <x v="9"/>
    <x v="10"/>
    <n v="2024"/>
    <n v="1"/>
    <n v="0.66666666666666663"/>
    <n v="0"/>
    <s v="10/4-11/20"/>
  </r>
  <r>
    <x v="0"/>
    <s v="NA"/>
    <s v="U.S.A."/>
    <s v="Delek US Holdings"/>
    <x v="83"/>
    <x v="1"/>
    <x v="10"/>
    <n v="2024"/>
    <n v="1"/>
    <n v="0.66666666666666663"/>
    <n v="0"/>
    <s v="10/4-11/20"/>
  </r>
  <r>
    <x v="0"/>
    <s v="NA"/>
    <s v="U.S.A."/>
    <s v="Delek US Holdings"/>
    <x v="83"/>
    <x v="2"/>
    <x v="10"/>
    <n v="2024"/>
    <n v="1"/>
    <n v="0.66666666666666663"/>
    <n v="4.9333333333333336"/>
    <s v="10/4-11/20"/>
  </r>
  <r>
    <x v="0"/>
    <s v="NA"/>
    <s v="U.S.A."/>
    <s v="Delek US Holdings"/>
    <x v="83"/>
    <x v="3"/>
    <x v="10"/>
    <n v="2024"/>
    <n v="1"/>
    <n v="0.66666666666666663"/>
    <n v="13.866666666666667"/>
    <s v="10/4-11/20"/>
  </r>
  <r>
    <x v="0"/>
    <s v="NA"/>
    <s v="U.S.A."/>
    <s v="Delek US Holdings"/>
    <x v="83"/>
    <x v="4"/>
    <x v="10"/>
    <n v="2024"/>
    <n v="1"/>
    <n v="0.66666666666666663"/>
    <n v="3.1666666666666665"/>
    <s v="10/4-11/20"/>
  </r>
  <r>
    <x v="0"/>
    <s v="NA"/>
    <s v="U.S.A."/>
    <s v="Marathon Petroleum Corporation"/>
    <x v="27"/>
    <x v="5"/>
    <x v="10"/>
    <n v="2024"/>
    <n v="1"/>
    <m/>
    <n v="0.4"/>
    <s v="Updated timing from Apr-May to Sep 6-Oct10, now it's 9/10-11/4"/>
  </r>
  <r>
    <x v="0"/>
    <s v="NA"/>
    <s v="U.S.A."/>
    <s v="Shell Chemical Company"/>
    <x v="84"/>
    <x v="7"/>
    <x v="10"/>
    <n v="2024"/>
    <n v="1"/>
    <m/>
    <n v="0"/>
    <s v="Turnaround will likely be cancelled due to a fire incident that occurred in May 2023 and required a rebuild of part of the unit (Offline Event ID 701036). Shell will make a decision on TA timing upon restart of the unit."/>
  </r>
  <r>
    <x v="0"/>
    <s v="NA"/>
    <s v="U.S.A."/>
    <s v="Chalmette Refining LLC"/>
    <x v="10"/>
    <x v="0"/>
    <x v="10"/>
    <n v="2024"/>
    <n v="1"/>
    <n v="0.13333333333333333"/>
    <n v="2.1533333333333333"/>
    <s v="Moved from 9/5 - 10/21 to 10/1-11/4"/>
  </r>
  <r>
    <x v="0"/>
    <s v="NA"/>
    <s v="U.S.A."/>
    <s v="Chalmette Refining LLC"/>
    <x v="10"/>
    <x v="2"/>
    <x v="10"/>
    <n v="2024"/>
    <n v="1"/>
    <n v="0.13333333333333333"/>
    <n v="2.56"/>
    <s v="Moved from 9/5 - 10/21 to 10/1-11/4"/>
  </r>
  <r>
    <x v="0"/>
    <s v="NA"/>
    <s v="U.S.A."/>
    <s v="Chalmette Refining LLC"/>
    <x v="10"/>
    <x v="6"/>
    <x v="10"/>
    <n v="2024"/>
    <n v="1"/>
    <n v="0.13333333333333333"/>
    <n v="0.84"/>
    <s v="Moved from 9/5 - 10/21 to 10/1-11/4"/>
  </r>
  <r>
    <x v="0"/>
    <s v="NA"/>
    <s v="U.S.A."/>
    <s v="Chalmette Refining LLC"/>
    <x v="10"/>
    <x v="1"/>
    <x v="10"/>
    <n v="2024"/>
    <n v="1"/>
    <n v="0.13333333333333333"/>
    <n v="0"/>
    <s v="Moved from 9/5 - 10/21 to 10/1-11/4"/>
  </r>
  <r>
    <x v="0"/>
    <s v="NA"/>
    <s v="U.S.A."/>
    <s v="Chalmette Refining LLC"/>
    <x v="10"/>
    <x v="3"/>
    <x v="10"/>
    <n v="2024"/>
    <n v="1"/>
    <n v="0.13333333333333333"/>
    <n v="5.8933333333333335"/>
    <s v="Moved from 9/5 - 10/21 to 10/1-11/4"/>
  </r>
  <r>
    <x v="0"/>
    <s v="NA"/>
    <s v="U.S.A."/>
    <s v="Chalmette Refining LLC"/>
    <x v="10"/>
    <x v="4"/>
    <x v="10"/>
    <n v="2024"/>
    <n v="1"/>
    <n v="0.13333333333333333"/>
    <n v="1.5199999999999998"/>
    <s v="Moved from 9/5 - 10/21 to 10/1-11/4"/>
  </r>
  <r>
    <x v="4"/>
    <s v="NA"/>
    <s v="U.S.A."/>
    <s v="Chevron Corporation"/>
    <x v="41"/>
    <x v="2"/>
    <x v="10"/>
    <n v="2024"/>
    <n v="1"/>
    <m/>
    <n v="0"/>
    <s v="Updated 2/5 per IIR - Outage from 3/24 - 4/27. Pulled up from Oct - Nov 2024"/>
  </r>
  <r>
    <x v="1"/>
    <s v="NA"/>
    <s v="U.S.A."/>
    <s v="Valero Refining Company"/>
    <x v="85"/>
    <x v="3"/>
    <x v="11"/>
    <n v="2025"/>
    <n v="1"/>
    <n v="0.12903225806451613"/>
    <n v="6.4580645161290322"/>
    <s v="77 kbd FCC down 11/21-12/04"/>
  </r>
  <r>
    <x v="2"/>
    <s v="NA"/>
    <s v="U.S.A."/>
    <s v="Monroe Energy LLC"/>
    <x v="68"/>
    <x v="5"/>
    <x v="12"/>
    <n v="2025"/>
    <n v="1"/>
    <n v="0.5161290322580645"/>
    <n v="0.61935483870967745"/>
    <m/>
  </r>
  <r>
    <x v="3"/>
    <s v="NA"/>
    <s v="U.S.A."/>
    <s v="Toledo Refining Company LLC"/>
    <x v="33"/>
    <x v="0"/>
    <x v="12"/>
    <n v="2025"/>
    <n v="1"/>
    <n v="0.67741935483870963"/>
    <n v="8.637096774193548"/>
    <s v="PBF Toledo 15 kbd reformer on T/A from 1/10-2/8"/>
  </r>
  <r>
    <x v="0"/>
    <s v="NA"/>
    <s v="U.S.A."/>
    <s v="Flint Hills Resources LLC"/>
    <x v="86"/>
    <x v="0"/>
    <x v="12"/>
    <n v="2025"/>
    <n v="1"/>
    <n v="0.45161290322580644"/>
    <n v="22.264516129032256"/>
    <s v="58 kbd Ref down 1/10-2/8"/>
  </r>
  <r>
    <x v="0"/>
    <s v="NA"/>
    <s v="U.S.A."/>
    <s v="Calcasieu Refining Company"/>
    <x v="82"/>
    <x v="2"/>
    <x v="12"/>
    <n v="2025"/>
    <n v="1"/>
    <n v="0.45161290322580644"/>
    <n v="7.338709677419355"/>
    <s v="Both 65 kbd CDUs down for 2 weeks in Jan (1/3-1/17)"/>
  </r>
  <r>
    <x v="0"/>
    <s v="NA"/>
    <s v="U.S.A."/>
    <s v="Calcasieu Refining Company"/>
    <x v="82"/>
    <x v="2"/>
    <x v="12"/>
    <n v="2025"/>
    <n v="1"/>
    <n v="0.45161290322580644"/>
    <n v="7.338709677419355"/>
    <s v="Both 65 kbd CDUs down for 2 weeks in Jan (1/3-1/17)"/>
  </r>
  <r>
    <x v="0"/>
    <s v="NA"/>
    <s v="U.S.A."/>
    <s v="Flint Hills Resources LLC"/>
    <x v="86"/>
    <x v="6"/>
    <x v="12"/>
    <n v="2025"/>
    <n v="1"/>
    <n v="0.45161290322580644"/>
    <n v="0.76774193548387104"/>
    <s v="17 kbd Coker down 1/10-2/8"/>
  </r>
  <r>
    <x v="0"/>
    <s v="NA"/>
    <s v="U.S.A."/>
    <s v="Flint Hills Resources LLC"/>
    <x v="86"/>
    <x v="2"/>
    <x v="12"/>
    <n v="2025"/>
    <n v="1"/>
    <n v="0.45161290322580644"/>
    <n v="11.516129032258064"/>
    <s v="255 kbd CDU down 1/10-2/8"/>
  </r>
  <r>
    <x v="0"/>
    <s v="NA"/>
    <s v="U.S.A."/>
    <s v="Flint Hills Resources LLC"/>
    <x v="86"/>
    <x v="5"/>
    <x v="12"/>
    <n v="2025"/>
    <n v="1"/>
    <n v="0.45161290322580644"/>
    <n v="0.67741935483870963"/>
    <s v="30 kbd HDC down from 1/10-2/8"/>
  </r>
  <r>
    <x v="0"/>
    <s v="NA"/>
    <s v="U.S.A."/>
    <s v="Flint Hills Resources LLC"/>
    <x v="86"/>
    <x v="3"/>
    <x v="12"/>
    <n v="2025"/>
    <n v="1"/>
    <n v="0.45161290322580644"/>
    <n v="16.14516129032258"/>
    <s v="55 kbd FCC down 1/10-2/8"/>
  </r>
  <r>
    <x v="0"/>
    <s v="NA"/>
    <s v="U.S.A."/>
    <s v="Flint Hills Resources LLC"/>
    <x v="86"/>
    <x v="4"/>
    <x v="12"/>
    <n v="2025"/>
    <n v="1"/>
    <n v="0.45161290322580644"/>
    <n v="0"/>
    <m/>
  </r>
  <r>
    <x v="0"/>
    <s v="NA"/>
    <s v="U.S.A."/>
    <s v="ExxonMobil Corporation"/>
    <x v="11"/>
    <x v="2"/>
    <x v="12"/>
    <n v="2025"/>
    <n v="1"/>
    <n v="0.58064516129032262"/>
    <n v="27.580645161290324"/>
    <s v="190 kbd CDU offline 1/13-2/14"/>
  </r>
  <r>
    <x v="0"/>
    <s v="NA"/>
    <s v="U.S.A."/>
    <s v="Marathon Petroleum Corporation"/>
    <x v="8"/>
    <x v="8"/>
    <x v="12"/>
    <n v="2025"/>
    <n v="1"/>
    <m/>
    <n v="0"/>
    <m/>
  </r>
  <r>
    <x v="0"/>
    <s v="NA"/>
    <s v="U.S.A."/>
    <s v="Marathon Petroleum Corporation"/>
    <x v="8"/>
    <x v="2"/>
    <x v="12"/>
    <n v="2025"/>
    <n v="1"/>
    <n v="0.45161290322580644"/>
    <n v="6.774193548387097"/>
    <s v="275 kbd CDU down from 1/3-2/6. 12/5: Expecting this to be only 60 kbd impact."/>
  </r>
  <r>
    <x v="0"/>
    <s v="NA"/>
    <s v="U.S.A."/>
    <s v="Motiva Enterprises LLC"/>
    <x v="4"/>
    <x v="1"/>
    <x v="12"/>
    <n v="2025"/>
    <n v="1"/>
    <m/>
    <n v="0"/>
    <m/>
  </r>
  <r>
    <x v="0"/>
    <s v="NA"/>
    <s v="U.S.A."/>
    <s v="Motiva Enterprises LLC"/>
    <x v="4"/>
    <x v="3"/>
    <x v="12"/>
    <n v="2025"/>
    <n v="1"/>
    <m/>
    <n v="32.269354838709674"/>
    <s v="81 kbd FCC down 1/12-3/7"/>
  </r>
  <r>
    <x v="0"/>
    <s v="NA"/>
    <s v="U.S.A."/>
    <s v="Motiva Enterprises LLC"/>
    <x v="4"/>
    <x v="4"/>
    <x v="12"/>
    <n v="2025"/>
    <n v="1"/>
    <m/>
    <n v="0"/>
    <m/>
  </r>
  <r>
    <x v="0"/>
    <s v="NA"/>
    <s v="U.S.A."/>
    <s v="Phillips 66"/>
    <x v="36"/>
    <x v="8"/>
    <x v="12"/>
    <n v="2025"/>
    <n v="1"/>
    <m/>
    <n v="0"/>
    <m/>
  </r>
  <r>
    <x v="0"/>
    <s v="NA"/>
    <s v="U.S.A."/>
    <s v="Phillips 66"/>
    <x v="36"/>
    <x v="6"/>
    <x v="12"/>
    <n v="2025"/>
    <n v="1"/>
    <n v="0.67741935483870963"/>
    <n v="14.225806451612902"/>
    <s v="TA on 84 kbd Coker from 1/10-2/22"/>
  </r>
  <r>
    <x v="0"/>
    <s v="NA"/>
    <s v="U.S.A."/>
    <s v="Phillips 66"/>
    <x v="36"/>
    <x v="2"/>
    <x v="12"/>
    <n v="2025"/>
    <n v="1"/>
    <n v="0.67741935483870963"/>
    <n v="31.33064516129032"/>
    <s v="TA on 185 kbd CDU from 1/10-2/22"/>
  </r>
  <r>
    <x v="0"/>
    <s v="NA"/>
    <s v="U.S.A."/>
    <s v="Valero Refining Company"/>
    <x v="87"/>
    <x v="8"/>
    <x v="12"/>
    <n v="2025"/>
    <n v="1"/>
    <m/>
    <n v="0"/>
    <m/>
  </r>
  <r>
    <x v="0"/>
    <s v="NA"/>
    <s v="U.S.A."/>
    <s v="Valero Refining Company"/>
    <x v="87"/>
    <x v="0"/>
    <x v="12"/>
    <n v="2025"/>
    <n v="1"/>
    <n v="0.67741935483870963"/>
    <n v="5.758064516129032"/>
    <s v="10 kbd Reformer down for T/A from 1/10-2/23"/>
  </r>
  <r>
    <x v="0"/>
    <s v="NA"/>
    <s v="U.S.A."/>
    <s v="Valero Refining Company"/>
    <x v="87"/>
    <x v="10"/>
    <x v="12"/>
    <n v="2025"/>
    <n v="1"/>
    <m/>
    <n v="0"/>
    <m/>
  </r>
  <r>
    <x v="0"/>
    <s v="NA"/>
    <s v="U.S.A."/>
    <s v="Valero Refining Company"/>
    <x v="87"/>
    <x v="1"/>
    <x v="12"/>
    <n v="2025"/>
    <n v="1"/>
    <m/>
    <n v="0"/>
    <m/>
  </r>
  <r>
    <x v="0"/>
    <s v="NA"/>
    <s v="U.S.A."/>
    <s v="Valero Refining Company"/>
    <x v="87"/>
    <x v="3"/>
    <x v="12"/>
    <n v="2025"/>
    <n v="1"/>
    <n v="0.67741935483870963"/>
    <n v="8.0516129032258075"/>
    <s v="24 kbd FCC down from 1/10-3/1"/>
  </r>
  <r>
    <x v="0"/>
    <s v="NA"/>
    <s v="U.S.A."/>
    <s v="Valero Refining Company"/>
    <x v="87"/>
    <x v="2"/>
    <x v="12"/>
    <n v="2025"/>
    <n v="1"/>
    <n v="0.67741935483870963"/>
    <n v="6.5709677419354842"/>
    <s v="Both the 95 kbd and 2 kbd CDUs down from 1/10-2/23"/>
  </r>
  <r>
    <x v="0"/>
    <s v="NA"/>
    <s v="U.S.A."/>
    <s v="Marathon Petroleum Corporation"/>
    <x v="27"/>
    <x v="2"/>
    <x v="12"/>
    <n v="2025"/>
    <n v="1"/>
    <n v="0.80645161290322576"/>
    <n v="53.427419354838705"/>
    <s v="265 kbd Crude outage 1/6-2/10"/>
  </r>
  <r>
    <x v="0"/>
    <s v="NA"/>
    <s v="U.S.A."/>
    <s v="Marathon Petroleum Corporation"/>
    <x v="27"/>
    <x v="3"/>
    <x v="12"/>
    <n v="2025"/>
    <n v="1"/>
    <n v="0.80645161290322576"/>
    <n v="22.016129032258064"/>
    <s v="140 kbd FCC down 1/6-2/10"/>
  </r>
  <r>
    <x v="0"/>
    <s v="NA"/>
    <s v="U.S.A."/>
    <s v="Marathon Petroleum Corporation"/>
    <x v="27"/>
    <x v="4"/>
    <x v="12"/>
    <n v="2025"/>
    <n v="1"/>
    <n v="0.80645161290322576"/>
    <n v="0"/>
    <s v="Not counting as FCC is already accounted for "/>
  </r>
  <r>
    <x v="0"/>
    <s v="NA"/>
    <s v="U.S.A."/>
    <s v="CITGO Petroleum Corporation"/>
    <x v="88"/>
    <x v="2"/>
    <x v="12"/>
    <n v="2025"/>
    <n v="1"/>
    <n v="0.35483870967741937"/>
    <n v="14.63709677419355"/>
    <s v="165 kbd CDU down 1/6-1/17"/>
  </r>
  <r>
    <x v="4"/>
    <s v="NA"/>
    <s v="U.S.A."/>
    <s v="HF Sinclair Corporation"/>
    <x v="51"/>
    <x v="10"/>
    <x v="12"/>
    <n v="2025"/>
    <n v="1"/>
    <n v="0.67741935483870963"/>
    <n v="0"/>
    <m/>
  </r>
  <r>
    <x v="4"/>
    <s v="NA"/>
    <s v="U.S.A."/>
    <s v="HF Sinclair Corporation"/>
    <x v="51"/>
    <x v="9"/>
    <x v="12"/>
    <n v="2025"/>
    <n v="1"/>
    <n v="0.67741935483870963"/>
    <n v="0"/>
    <m/>
  </r>
  <r>
    <x v="4"/>
    <s v="NA"/>
    <s v="U.S.A."/>
    <s v="HF Sinclair Corporation"/>
    <x v="51"/>
    <x v="1"/>
    <x v="12"/>
    <n v="2025"/>
    <n v="1"/>
    <n v="0.67741935483870963"/>
    <n v="0"/>
    <m/>
  </r>
  <r>
    <x v="4"/>
    <s v="NA"/>
    <s v="U.S.A."/>
    <s v="HF Sinclair Corporation"/>
    <x v="51"/>
    <x v="4"/>
    <x v="12"/>
    <n v="2025"/>
    <n v="1"/>
    <n v="0.67741935483870963"/>
    <n v="0"/>
    <s v="Zeroing alky out since the FCC is down"/>
  </r>
  <r>
    <x v="4"/>
    <s v="NA"/>
    <s v="U.S.A."/>
    <s v="HF Sinclair Corporation"/>
    <x v="51"/>
    <x v="5"/>
    <x v="12"/>
    <n v="2025"/>
    <n v="1"/>
    <n v="0.67741935483870963"/>
    <n v="0.50806451612903225"/>
    <s v="15 kbd HDC down from 1/10-3/1"/>
  </r>
  <r>
    <x v="4"/>
    <s v="NA"/>
    <s v="U.S.A."/>
    <s v="HF Sinclair Corporation"/>
    <x v="51"/>
    <x v="2"/>
    <x v="12"/>
    <n v="2025"/>
    <n v="1"/>
    <n v="0.67741935483870963"/>
    <n v="2.540322580645161"/>
    <s v="15 kbd CDU down from 1/10-3/1"/>
  </r>
  <r>
    <x v="4"/>
    <s v="NA"/>
    <s v="U.S.A."/>
    <s v="HF Sinclair Corporation"/>
    <x v="51"/>
    <x v="3"/>
    <x v="12"/>
    <n v="2025"/>
    <n v="1"/>
    <n v="0.67741935483870963"/>
    <n v="7.6616129032258051"/>
    <s v="17.4 kbd FCC down from 1/10-3/1"/>
  </r>
  <r>
    <x v="1"/>
    <s v="NA"/>
    <s v="U.S.A."/>
    <s v="Martinez Refining Company LLC"/>
    <x v="54"/>
    <x v="4"/>
    <x v="12"/>
    <n v="2025"/>
    <n v="1"/>
    <m/>
    <n v="1.2000000000000002"/>
    <m/>
  </r>
  <r>
    <x v="1"/>
    <s v="NA"/>
    <s v="U.S.A."/>
    <s v="Valero Refining Company"/>
    <x v="15"/>
    <x v="10"/>
    <x v="12"/>
    <n v="2025"/>
    <n v="1"/>
    <m/>
    <n v="0"/>
    <m/>
  </r>
  <r>
    <x v="1"/>
    <s v="NA"/>
    <s v="U.S.A."/>
    <s v="Valero Refining Company"/>
    <x v="15"/>
    <x v="9"/>
    <x v="12"/>
    <n v="2025"/>
    <n v="1"/>
    <m/>
    <n v="0"/>
    <m/>
  </r>
  <r>
    <x v="1"/>
    <s v="NA"/>
    <s v="U.S.A."/>
    <s v="Valero Refining Company"/>
    <x v="15"/>
    <x v="1"/>
    <x v="12"/>
    <n v="2025"/>
    <n v="1"/>
    <m/>
    <n v="0"/>
    <m/>
  </r>
  <r>
    <x v="1"/>
    <s v="NA"/>
    <s v="U.S.A."/>
    <s v="Valero Refining Company"/>
    <x v="15"/>
    <x v="4"/>
    <x v="12"/>
    <n v="2025"/>
    <n v="1"/>
    <m/>
    <n v="0"/>
    <s v="Zeroing alky out since the FCC is down"/>
  </r>
  <r>
    <x v="1"/>
    <s v="NA"/>
    <s v="U.S.A."/>
    <s v="Valero Refining Company"/>
    <x v="15"/>
    <x v="2"/>
    <x v="12"/>
    <n v="2025"/>
    <n v="1"/>
    <m/>
    <n v="13.548387096774194"/>
    <s v="1/10-3/1. cdu (40), cdu (40), fcc (54)"/>
  </r>
  <r>
    <x v="1"/>
    <s v="NA"/>
    <s v="U.S.A."/>
    <s v="Valero Refining Company"/>
    <x v="15"/>
    <x v="3"/>
    <x v="12"/>
    <n v="2025"/>
    <n v="1"/>
    <m/>
    <n v="23.77741935483871"/>
    <s v="1/10-3/1. cdu (40), cdu (40), fcc (54)"/>
  </r>
  <r>
    <x v="2"/>
    <s v="NA"/>
    <s v="U.S.A."/>
    <s v="Phillips 66"/>
    <x v="17"/>
    <x v="2"/>
    <x v="13"/>
    <n v="2025"/>
    <n v="1"/>
    <m/>
    <n v="24.28125"/>
    <s v="Confirmed Event for Fall 2024. Exact date and duration unknown. Moved from Sep '24: 9/13-11/2 to Feb '25: 2/7-3/29"/>
  </r>
  <r>
    <x v="2"/>
    <s v="NA"/>
    <s v="U.S.A."/>
    <s v="Phillips 66"/>
    <x v="17"/>
    <x v="8"/>
    <x v="13"/>
    <n v="2025"/>
    <n v="1"/>
    <m/>
    <n v="0"/>
    <m/>
  </r>
  <r>
    <x v="2"/>
    <s v="NA"/>
    <s v="U.S.A."/>
    <s v="Monroe Energy LLC"/>
    <x v="68"/>
    <x v="5"/>
    <x v="13"/>
    <n v="2025"/>
    <n v="1"/>
    <n v="1"/>
    <n v="1.2000000000000002"/>
    <m/>
  </r>
  <r>
    <x v="3"/>
    <s v="NA"/>
    <s v="U.S.A."/>
    <s v="Coffeyville Resources Refining &amp; Marketing LLC"/>
    <x v="19"/>
    <x v="8"/>
    <x v="13"/>
    <n v="2025"/>
    <n v="1"/>
    <m/>
    <n v="0"/>
    <m/>
  </r>
  <r>
    <x v="3"/>
    <s v="NA"/>
    <s v="U.S.A."/>
    <s v="Coffeyville Resources Refining &amp; Marketing LLC"/>
    <x v="19"/>
    <x v="10"/>
    <x v="13"/>
    <n v="2025"/>
    <n v="1"/>
    <m/>
    <n v="0"/>
    <m/>
  </r>
  <r>
    <x v="3"/>
    <s v="NA"/>
    <s v="U.S.A."/>
    <s v="Coffeyville Resources Refining &amp; Marketing LLC"/>
    <x v="19"/>
    <x v="9"/>
    <x v="13"/>
    <n v="2025"/>
    <n v="1"/>
    <m/>
    <n v="0"/>
    <m/>
  </r>
  <r>
    <x v="3"/>
    <s v="NA"/>
    <s v="U.S.A."/>
    <s v="Coffeyville Resources Refining &amp; Marketing LLC"/>
    <x v="19"/>
    <x v="1"/>
    <x v="13"/>
    <n v="2025"/>
    <n v="1"/>
    <m/>
    <n v="0"/>
    <m/>
  </r>
  <r>
    <x v="3"/>
    <s v="NA"/>
    <s v="U.S.A."/>
    <s v="Coffeyville Resources Refining &amp; Marketing LLC"/>
    <x v="19"/>
    <x v="4"/>
    <x v="13"/>
    <n v="2025"/>
    <n v="1"/>
    <m/>
    <n v="0"/>
    <s v="Zeroing alky out since the FCC is down"/>
  </r>
  <r>
    <x v="3"/>
    <s v="NA"/>
    <s v="U.S.A."/>
    <s v="CVR Energy Incorporated"/>
    <x v="32"/>
    <x v="8"/>
    <x v="13"/>
    <n v="2025"/>
    <n v="1"/>
    <m/>
    <n v="0"/>
    <m/>
  </r>
  <r>
    <x v="3"/>
    <s v="NA"/>
    <s v="U.S.A."/>
    <s v="Coffeyville Resources Refining &amp; Marketing LLC"/>
    <x v="19"/>
    <x v="0"/>
    <x v="13"/>
    <n v="2025"/>
    <n v="1"/>
    <n v="0.5"/>
    <n v="10.625"/>
    <s v="25 kbd Reformer down 2/14-3/30"/>
  </r>
  <r>
    <x v="3"/>
    <s v="NA"/>
    <s v="U.S.A."/>
    <s v="Coffeyville Resources Refining &amp; Marketing LLC"/>
    <x v="19"/>
    <x v="6"/>
    <x v="13"/>
    <n v="2025"/>
    <n v="1"/>
    <n v="0.5"/>
    <n v="0.97500000000000009"/>
    <s v="19.5 kbd Coker down from 2/14-3/30"/>
  </r>
  <r>
    <x v="3"/>
    <s v="NA"/>
    <s v="U.S.A."/>
    <s v="Coffeyville Resources Refining &amp; Marketing LLC"/>
    <x v="19"/>
    <x v="2"/>
    <x v="13"/>
    <n v="2025"/>
    <n v="1"/>
    <n v="0.5"/>
    <n v="6.75"/>
    <s v="Coffeyville bringing down both CDUs 75 &amp; 60 kbd from 2/14-3/30"/>
  </r>
  <r>
    <x v="3"/>
    <s v="NA"/>
    <s v="U.S.A."/>
    <s v="Coffeyville Resources Refining &amp; Marketing LLC"/>
    <x v="19"/>
    <x v="3"/>
    <x v="13"/>
    <n v="2025"/>
    <n v="1"/>
    <n v="0.5"/>
    <n v="10.4"/>
    <s v="32 kbd FCC down from 2/14-3/30"/>
  </r>
  <r>
    <x v="3"/>
    <s v="NA"/>
    <s v="U.S.A."/>
    <s v="Toledo Refining Company LLC"/>
    <x v="33"/>
    <x v="0"/>
    <x v="13"/>
    <n v="2025"/>
    <n v="1"/>
    <n v="0.2857142857142857"/>
    <n v="3.6428571428571428"/>
    <s v="PBF Toledo 15 kbd reformer on T/A from 1/10-2/8"/>
  </r>
  <r>
    <x v="3"/>
    <s v="NA"/>
    <s v="U.S.A."/>
    <s v="CVR Energy Incorporated"/>
    <x v="32"/>
    <x v="2"/>
    <x v="13"/>
    <n v="2025"/>
    <n v="1"/>
    <n v="0.4642857142857143"/>
    <n v="4.0625"/>
    <s v="35 kbd CDU down from 2/15-3/31"/>
  </r>
  <r>
    <x v="0"/>
    <s v="NA"/>
    <s v="U.S.A."/>
    <s v="ExxonMobil Corporation"/>
    <x v="11"/>
    <x v="2"/>
    <x v="13"/>
    <n v="2025"/>
    <n v="2"/>
    <n v="0.5"/>
    <n v="23.75"/>
    <s v="190 kbd CDU offline 1/13-2/14"/>
  </r>
  <r>
    <x v="0"/>
    <s v="NA"/>
    <s v="U.S.A."/>
    <s v="ExxonMobil Corporation"/>
    <x v="12"/>
    <x v="2"/>
    <x v="13"/>
    <n v="2025"/>
    <n v="2"/>
    <n v="0.8571428571428571"/>
    <n v="18.857142857142858"/>
    <s v="88 kbd CDU offline 2/4-3/1"/>
  </r>
  <r>
    <x v="0"/>
    <s v="NA"/>
    <s v="U.S.A."/>
    <s v="ExxonMobil Corporation"/>
    <x v="12"/>
    <x v="6"/>
    <x v="13"/>
    <n v="2025"/>
    <n v="1"/>
    <m/>
    <n v="8.25"/>
    <s v="27.5 kbd Coker down from 2/1-3/7"/>
  </r>
  <r>
    <x v="0"/>
    <s v="NA"/>
    <s v="U.S.A."/>
    <s v="ExxonMobil Corporation"/>
    <x v="12"/>
    <x v="2"/>
    <x v="13"/>
    <n v="2025"/>
    <n v="1"/>
    <m/>
    <n v="22.5"/>
    <s v="90 kbd CDU down from 2/1-3/7"/>
  </r>
  <r>
    <x v="0"/>
    <s v="NA"/>
    <s v="U.S.A."/>
    <s v="Flint Hills Resources LLC"/>
    <x v="86"/>
    <x v="0"/>
    <x v="13"/>
    <n v="2025"/>
    <n v="1"/>
    <n v="0.5357142857142857"/>
    <n v="26.410714285714285"/>
    <s v="58 kbd Ref down 1/10-2/8"/>
  </r>
  <r>
    <x v="0"/>
    <s v="NA"/>
    <s v="U.S.A."/>
    <s v="Flint Hills Resources LLC"/>
    <x v="86"/>
    <x v="6"/>
    <x v="13"/>
    <n v="2025"/>
    <n v="1"/>
    <n v="0.5357142857142857"/>
    <n v="0.91071428571428581"/>
    <s v="17 kbd Coker down 1/10-2/8"/>
  </r>
  <r>
    <x v="0"/>
    <s v="NA"/>
    <s v="U.S.A."/>
    <s v="Flint Hills Resources LLC"/>
    <x v="86"/>
    <x v="2"/>
    <x v="13"/>
    <n v="2025"/>
    <n v="1"/>
    <n v="0.5357142857142857"/>
    <n v="13.660714285714285"/>
    <s v="255 kbd CDU down 1/10-2/8"/>
  </r>
  <r>
    <x v="0"/>
    <s v="NA"/>
    <s v="U.S.A."/>
    <s v="Flint Hills Resources LLC"/>
    <x v="86"/>
    <x v="5"/>
    <x v="13"/>
    <n v="2025"/>
    <n v="1"/>
    <n v="0.5357142857142857"/>
    <n v="0.8035714285714286"/>
    <s v="30 kbd HDC down from 1/10-2/8"/>
  </r>
  <r>
    <x v="0"/>
    <s v="NA"/>
    <s v="U.S.A."/>
    <s v="Flint Hills Resources LLC"/>
    <x v="86"/>
    <x v="3"/>
    <x v="13"/>
    <n v="2025"/>
    <n v="1"/>
    <n v="0.5357142857142857"/>
    <n v="19.151785714285715"/>
    <s v="55 kbd FCC down 1/10-2/8"/>
  </r>
  <r>
    <x v="0"/>
    <s v="NA"/>
    <s v="U.S.A."/>
    <s v="Flint Hills Resources LLC"/>
    <x v="86"/>
    <x v="4"/>
    <x v="13"/>
    <n v="2025"/>
    <n v="1"/>
    <n v="0.5357142857142857"/>
    <n v="0"/>
    <m/>
  </r>
  <r>
    <x v="0"/>
    <s v="NA"/>
    <s v="U.S.A."/>
    <s v="Hunt Refining Company"/>
    <x v="89"/>
    <x v="8"/>
    <x v="13"/>
    <n v="2025"/>
    <n v="1"/>
    <m/>
    <n v="0"/>
    <m/>
  </r>
  <r>
    <x v="0"/>
    <s v="NA"/>
    <s v="U.S.A."/>
    <s v="Hunt Refining Company"/>
    <x v="89"/>
    <x v="2"/>
    <x v="13"/>
    <n v="2025"/>
    <n v="1"/>
    <m/>
    <n v="0.625"/>
    <m/>
  </r>
  <r>
    <x v="0"/>
    <s v="NA"/>
    <s v="U.S.A."/>
    <s v="Marathon Petroleum Corporation"/>
    <x v="27"/>
    <x v="3"/>
    <x v="13"/>
    <n v="2025"/>
    <n v="1"/>
    <n v="0.21428571428571427"/>
    <n v="5.85"/>
    <s v="140 kbd FCC down 1/6-2/10"/>
  </r>
  <r>
    <x v="0"/>
    <s v="NA"/>
    <s v="U.S.A."/>
    <s v="Marathon Petroleum Corporation"/>
    <x v="27"/>
    <x v="4"/>
    <x v="13"/>
    <n v="2025"/>
    <n v="1"/>
    <m/>
    <n v="0"/>
    <s v="Not counting as FCC is already accounted for "/>
  </r>
  <r>
    <x v="0"/>
    <s v="NA"/>
    <s v="U.S.A."/>
    <s v="Marathon Petroleum Corporation"/>
    <x v="8"/>
    <x v="8"/>
    <x v="13"/>
    <n v="2025"/>
    <n v="1"/>
    <m/>
    <n v="0"/>
    <m/>
  </r>
  <r>
    <x v="0"/>
    <s v="NA"/>
    <s v="U.S.A."/>
    <s v="Marathon Petroleum Corporation"/>
    <x v="8"/>
    <x v="2"/>
    <x v="13"/>
    <n v="2025"/>
    <n v="1"/>
    <n v="1"/>
    <n v="15"/>
    <s v="275 kbd CDU down from 1/3-2/6. Expecting this to only be 60 kbd crude impact"/>
  </r>
  <r>
    <x v="0"/>
    <s v="NA"/>
    <s v="U.S.A."/>
    <s v="Motiva Enterprises LLC"/>
    <x v="4"/>
    <x v="1"/>
    <x v="13"/>
    <n v="2025"/>
    <n v="1"/>
    <m/>
    <n v="0"/>
    <m/>
  </r>
  <r>
    <x v="0"/>
    <s v="NA"/>
    <s v="U.S.A."/>
    <s v="Motiva Enterprises LLC"/>
    <x v="4"/>
    <x v="3"/>
    <x v="13"/>
    <n v="2025"/>
    <n v="1"/>
    <m/>
    <n v="52.65"/>
    <s v="81 kbd FCC down 1/12-3/7"/>
  </r>
  <r>
    <x v="0"/>
    <s v="NA"/>
    <s v="U.S.A."/>
    <s v="Motiva Enterprises LLC"/>
    <x v="4"/>
    <x v="4"/>
    <x v="13"/>
    <n v="2025"/>
    <n v="1"/>
    <m/>
    <n v="0"/>
    <m/>
  </r>
  <r>
    <x v="0"/>
    <s v="NA"/>
    <s v="U.S.A."/>
    <s v="Phillips 66"/>
    <x v="36"/>
    <x v="8"/>
    <x v="13"/>
    <n v="2025"/>
    <n v="1"/>
    <m/>
    <n v="0"/>
    <m/>
  </r>
  <r>
    <x v="0"/>
    <s v="NA"/>
    <s v="U.S.A."/>
    <s v="Phillips 66"/>
    <x v="36"/>
    <x v="6"/>
    <x v="13"/>
    <n v="2025"/>
    <n v="1"/>
    <n v="0.7857142857142857"/>
    <n v="16.5"/>
    <s v="TA on 84 kbd Coker from 1/10-2/22"/>
  </r>
  <r>
    <x v="0"/>
    <s v="NA"/>
    <s v="U.S.A."/>
    <s v="Phillips 66"/>
    <x v="36"/>
    <x v="2"/>
    <x v="13"/>
    <n v="2025"/>
    <n v="1"/>
    <n v="0.7857142857142857"/>
    <n v="36.339285714285715"/>
    <s v="TA on 185 kbd CDU from 1/10-2/22"/>
  </r>
  <r>
    <x v="0"/>
    <s v="NA"/>
    <s v="U.S.A."/>
    <s v="Valero Refining Company"/>
    <x v="87"/>
    <x v="8"/>
    <x v="13"/>
    <n v="2025"/>
    <n v="1"/>
    <m/>
    <n v="0"/>
    <m/>
  </r>
  <r>
    <x v="0"/>
    <s v="NA"/>
    <s v="U.S.A."/>
    <s v="Valero Refining Company"/>
    <x v="87"/>
    <x v="0"/>
    <x v="13"/>
    <n v="2025"/>
    <n v="1"/>
    <n v="0.8214285714285714"/>
    <n v="6.9821428571428568"/>
    <s v="10 kbd Reformer down for T/A from 1/10-2/23"/>
  </r>
  <r>
    <x v="0"/>
    <s v="NA"/>
    <s v="U.S.A."/>
    <s v="Valero Refining Company"/>
    <x v="87"/>
    <x v="10"/>
    <x v="13"/>
    <n v="2025"/>
    <n v="1"/>
    <m/>
    <n v="0"/>
    <m/>
  </r>
  <r>
    <x v="0"/>
    <s v="NA"/>
    <s v="U.S.A."/>
    <s v="Valero Refining Company"/>
    <x v="87"/>
    <x v="1"/>
    <x v="13"/>
    <n v="2025"/>
    <n v="1"/>
    <m/>
    <n v="0"/>
    <m/>
  </r>
  <r>
    <x v="0"/>
    <s v="NA"/>
    <s v="U.S.A."/>
    <s v="Valero Refining Company"/>
    <x v="87"/>
    <x v="3"/>
    <x v="13"/>
    <n v="2025"/>
    <n v="1"/>
    <n v="1"/>
    <n v="15.600000000000001"/>
    <s v="24 kbd FCC down from 1/10-3/1"/>
  </r>
  <r>
    <x v="0"/>
    <s v="NA"/>
    <s v="U.S.A."/>
    <s v="Valero Refining Company"/>
    <x v="87"/>
    <x v="2"/>
    <x v="13"/>
    <n v="2025"/>
    <n v="1"/>
    <n v="1"/>
    <n v="9.7000000000000011"/>
    <s v="Both the 95 kbd and 2 kbd CDUs down from 1/10-2/23"/>
  </r>
  <r>
    <x v="4"/>
    <s v="NA"/>
    <s v="U.S.A."/>
    <s v="HF Sinclair Corporation"/>
    <x v="51"/>
    <x v="10"/>
    <x v="13"/>
    <n v="2025"/>
    <n v="1"/>
    <m/>
    <n v="0"/>
    <m/>
  </r>
  <r>
    <x v="4"/>
    <s v="NA"/>
    <s v="U.S.A."/>
    <s v="HF Sinclair Corporation"/>
    <x v="51"/>
    <x v="9"/>
    <x v="13"/>
    <n v="2025"/>
    <n v="1"/>
    <m/>
    <n v="0"/>
    <m/>
  </r>
  <r>
    <x v="4"/>
    <s v="NA"/>
    <s v="U.S.A."/>
    <s v="HF Sinclair Corporation"/>
    <x v="51"/>
    <x v="1"/>
    <x v="13"/>
    <n v="2025"/>
    <n v="1"/>
    <m/>
    <n v="0"/>
    <m/>
  </r>
  <r>
    <x v="4"/>
    <s v="NA"/>
    <s v="U.S.A."/>
    <s v="HF Sinclair Corporation"/>
    <x v="51"/>
    <x v="4"/>
    <x v="13"/>
    <n v="2025"/>
    <n v="1"/>
    <n v="1"/>
    <n v="0"/>
    <s v="Zeroing alky out since the FCC is down"/>
  </r>
  <r>
    <x v="4"/>
    <s v="NA"/>
    <s v="U.S.A."/>
    <s v="Chevron Corporation"/>
    <x v="41"/>
    <x v="6"/>
    <x v="13"/>
    <n v="2025"/>
    <n v="1"/>
    <n v="0.9285714285714286"/>
    <n v="2.0057142857142858"/>
    <s v="7.2 kbd Coker down 2/2-3/19"/>
  </r>
  <r>
    <x v="4"/>
    <s v="NA"/>
    <s v="U.S.A."/>
    <s v="HF Sinclair Corporation"/>
    <x v="51"/>
    <x v="5"/>
    <x v="13"/>
    <n v="2025"/>
    <n v="1"/>
    <n v="1"/>
    <n v="0.75"/>
    <s v="15 kbd HDC down from 1/10-3/1"/>
  </r>
  <r>
    <x v="4"/>
    <s v="NA"/>
    <s v="U.S.A."/>
    <s v="HF Sinclair Corporation"/>
    <x v="51"/>
    <x v="2"/>
    <x v="13"/>
    <n v="2025"/>
    <n v="1"/>
    <n v="1"/>
    <n v="3.75"/>
    <s v="15 kbd CDU down from 1/10-3/1"/>
  </r>
  <r>
    <x v="4"/>
    <s v="NA"/>
    <s v="U.S.A."/>
    <s v="HF Sinclair Corporation"/>
    <x v="51"/>
    <x v="3"/>
    <x v="13"/>
    <n v="2025"/>
    <n v="1"/>
    <n v="1"/>
    <n v="11.309999999999999"/>
    <s v="17.4 kbd FCC down from 1/10-3/1"/>
  </r>
  <r>
    <x v="1"/>
    <s v="NA"/>
    <s v="U.S.A."/>
    <s v="Marathon Petroleum Corporation"/>
    <x v="90"/>
    <x v="2"/>
    <x v="13"/>
    <n v="2025"/>
    <n v="1"/>
    <m/>
    <n v="1.0714285714285714"/>
    <s v="2/28-4/17. CDU (120)"/>
  </r>
  <r>
    <x v="1"/>
    <s v="NA"/>
    <s v="U.S.A."/>
    <s v="Marathon Petroleum Corporation"/>
    <x v="90"/>
    <x v="8"/>
    <x v="13"/>
    <n v="2025"/>
    <n v="1"/>
    <m/>
    <n v="0"/>
    <m/>
  </r>
  <r>
    <x v="1"/>
    <s v="NA"/>
    <s v="U.S.A."/>
    <s v="Marathon Petroleum Corporation"/>
    <x v="90"/>
    <x v="1"/>
    <x v="13"/>
    <n v="2025"/>
    <n v="1"/>
    <m/>
    <n v="0"/>
    <m/>
  </r>
  <r>
    <x v="1"/>
    <s v="NA"/>
    <s v="U.S.A."/>
    <s v="San Joaquin Refining Company Incorporated"/>
    <x v="91"/>
    <x v="2"/>
    <x v="13"/>
    <n v="2025"/>
    <n v="1"/>
    <m/>
    <n v="5.3571428571428568"/>
    <s v="cdu (24) 2/3-3/3"/>
  </r>
  <r>
    <x v="1"/>
    <s v="NA"/>
    <s v="U.S.A."/>
    <s v="San Joaquin Refining Company Incorporated"/>
    <x v="91"/>
    <x v="8"/>
    <x v="13"/>
    <n v="2025"/>
    <n v="1"/>
    <m/>
    <n v="0"/>
    <m/>
  </r>
  <r>
    <x v="1"/>
    <s v="NA"/>
    <s v="U.S.A."/>
    <s v="San Joaquin Refining Company Incorporated"/>
    <x v="91"/>
    <x v="1"/>
    <x v="13"/>
    <n v="2025"/>
    <n v="1"/>
    <m/>
    <n v="0"/>
    <m/>
  </r>
  <r>
    <x v="1"/>
    <s v="NA"/>
    <s v="U.S.A."/>
    <s v="Valero Refining Company"/>
    <x v="85"/>
    <x v="5"/>
    <x v="13"/>
    <n v="2025"/>
    <n v="1"/>
    <m/>
    <n v="1.35"/>
    <s v="HDc (36) 2/7-3/15"/>
  </r>
  <r>
    <x v="1"/>
    <s v="NA"/>
    <s v="U.S.A."/>
    <s v="Martinez Refining Company LLC"/>
    <x v="54"/>
    <x v="4"/>
    <x v="13"/>
    <n v="2025"/>
    <n v="1"/>
    <m/>
    <n v="1.2000000000000002"/>
    <m/>
  </r>
  <r>
    <x v="1"/>
    <s v="NA"/>
    <s v="U.S.A."/>
    <s v="Torrance Refining Company LLC"/>
    <x v="92"/>
    <x v="6"/>
    <x v="13"/>
    <n v="2025"/>
    <n v="1"/>
    <m/>
    <n v="3.75"/>
    <s v="Coker (25) 2/14-3/30"/>
  </r>
  <r>
    <x v="1"/>
    <s v="NA"/>
    <s v="U.S.A."/>
    <s v="Valero Refining Company"/>
    <x v="15"/>
    <x v="10"/>
    <x v="13"/>
    <n v="2025"/>
    <n v="1"/>
    <m/>
    <n v="0"/>
    <m/>
  </r>
  <r>
    <x v="1"/>
    <s v="NA"/>
    <s v="U.S.A."/>
    <s v="Valero Refining Company"/>
    <x v="15"/>
    <x v="9"/>
    <x v="13"/>
    <n v="2025"/>
    <n v="1"/>
    <m/>
    <n v="0"/>
    <m/>
  </r>
  <r>
    <x v="1"/>
    <s v="NA"/>
    <s v="U.S.A."/>
    <s v="Valero Refining Company"/>
    <x v="15"/>
    <x v="1"/>
    <x v="13"/>
    <n v="2025"/>
    <n v="1"/>
    <m/>
    <n v="0"/>
    <m/>
  </r>
  <r>
    <x v="1"/>
    <s v="NA"/>
    <s v="U.S.A."/>
    <s v="Valero Refining Company"/>
    <x v="15"/>
    <x v="4"/>
    <x v="13"/>
    <n v="2025"/>
    <n v="1"/>
    <m/>
    <n v="0"/>
    <s v="Zeroing alky out since the FCC is down"/>
  </r>
  <r>
    <x v="1"/>
    <s v="NA"/>
    <s v="U.S.A."/>
    <s v="Valero Refining Company"/>
    <x v="15"/>
    <x v="2"/>
    <x v="13"/>
    <n v="2025"/>
    <n v="1"/>
    <m/>
    <n v="20"/>
    <s v="1/10-3/1. cdu (40), cdu (40), fcc (54)"/>
  </r>
  <r>
    <x v="1"/>
    <s v="NA"/>
    <s v="U.S.A."/>
    <s v="Valero Refining Company"/>
    <x v="15"/>
    <x v="3"/>
    <x v="13"/>
    <n v="2025"/>
    <n v="1"/>
    <m/>
    <n v="35.1"/>
    <s v="1/10-3/1. cdu (40), cdu (40), fcc (54)"/>
  </r>
  <r>
    <x v="2"/>
    <s v="NA"/>
    <s v="U.S.A."/>
    <s v="American Refining Group Incorporated"/>
    <x v="93"/>
    <x v="0"/>
    <x v="14"/>
    <n v="2025"/>
    <n v="1"/>
    <m/>
    <n v="1.447741935483871"/>
    <m/>
  </r>
  <r>
    <x v="2"/>
    <s v="NA"/>
    <s v="U.S.A."/>
    <s v="American Refining Group Incorporated"/>
    <x v="93"/>
    <x v="10"/>
    <x v="14"/>
    <n v="2025"/>
    <n v="1"/>
    <m/>
    <n v="0"/>
    <m/>
  </r>
  <r>
    <x v="2"/>
    <s v="NA"/>
    <s v="U.S.A."/>
    <s v="American Refining Group Incorporated"/>
    <x v="93"/>
    <x v="9"/>
    <x v="14"/>
    <n v="2025"/>
    <n v="1"/>
    <m/>
    <n v="0"/>
    <m/>
  </r>
  <r>
    <x v="2"/>
    <s v="NA"/>
    <s v="U.S.A."/>
    <s v="American Refining Group Incorporated"/>
    <x v="93"/>
    <x v="1"/>
    <x v="14"/>
    <n v="2025"/>
    <n v="1"/>
    <m/>
    <n v="0"/>
    <m/>
  </r>
  <r>
    <x v="2"/>
    <s v="NA"/>
    <s v="U.S.A."/>
    <s v="American Refining Group Incorporated"/>
    <x v="93"/>
    <x v="2"/>
    <x v="14"/>
    <n v="2025"/>
    <n v="1"/>
    <m/>
    <n v="0.92903225806451628"/>
    <m/>
  </r>
  <r>
    <x v="2"/>
    <s v="NA"/>
    <s v="U.S.A."/>
    <s v="Ergon West Virginia Incorporated"/>
    <x v="94"/>
    <x v="8"/>
    <x v="14"/>
    <n v="2025"/>
    <n v="1"/>
    <n v="3.2258064516129031E-2"/>
    <n v="0"/>
    <m/>
  </r>
  <r>
    <x v="2"/>
    <s v="NA"/>
    <s v="U.S.A."/>
    <s v="Ergon West Virginia Incorporated"/>
    <x v="94"/>
    <x v="0"/>
    <x v="14"/>
    <n v="2025"/>
    <n v="1"/>
    <n v="3.2258064516129031E-2"/>
    <n v="9.8709677419354838E-2"/>
    <m/>
  </r>
  <r>
    <x v="2"/>
    <s v="NA"/>
    <s v="U.S.A."/>
    <s v="Ergon West Virginia Incorporated"/>
    <x v="94"/>
    <x v="9"/>
    <x v="14"/>
    <n v="2025"/>
    <n v="1"/>
    <n v="3.2258064516129031E-2"/>
    <n v="0"/>
    <m/>
  </r>
  <r>
    <x v="2"/>
    <s v="NA"/>
    <s v="U.S.A."/>
    <s v="Ergon West Virginia Incorporated"/>
    <x v="94"/>
    <x v="1"/>
    <x v="14"/>
    <n v="2025"/>
    <n v="1"/>
    <n v="3.2258064516129031E-2"/>
    <n v="0"/>
    <m/>
  </r>
  <r>
    <x v="2"/>
    <s v="NA"/>
    <s v="U.S.A."/>
    <s v="Ergon West Virginia Incorporated"/>
    <x v="94"/>
    <x v="5"/>
    <x v="14"/>
    <n v="2025"/>
    <n v="1"/>
    <n v="3.2258064516129031E-2"/>
    <n v="6.7741935483870974E-3"/>
    <m/>
  </r>
  <r>
    <x v="2"/>
    <s v="NA"/>
    <s v="U.S.A."/>
    <s v="Ergon West Virginia Incorporated"/>
    <x v="94"/>
    <x v="2"/>
    <x v="14"/>
    <n v="2025"/>
    <n v="1"/>
    <n v="3.2258064516129031E-2"/>
    <n v="7.4193548387096783E-2"/>
    <m/>
  </r>
  <r>
    <x v="2"/>
    <s v="NA"/>
    <s v="U.S.A."/>
    <s v="Phillips 66"/>
    <x v="17"/>
    <x v="2"/>
    <x v="14"/>
    <n v="2025"/>
    <n v="1"/>
    <m/>
    <n v="30.286290322580644"/>
    <m/>
  </r>
  <r>
    <x v="3"/>
    <s v="NA"/>
    <s v="U.S.A."/>
    <s v="Valero Refining Company"/>
    <x v="95"/>
    <x v="0"/>
    <x v="14"/>
    <n v="2025"/>
    <n v="1"/>
    <n v="3.2258064516129031E-2"/>
    <n v="0.82258064516129037"/>
    <s v="30 kbd ref, down 3/31-5/1"/>
  </r>
  <r>
    <x v="3"/>
    <s v="NA"/>
    <s v="U.S.A."/>
    <s v="Valero Refining Company"/>
    <x v="95"/>
    <x v="5"/>
    <x v="14"/>
    <n v="2025"/>
    <n v="1"/>
    <n v="3.2258064516129031E-2"/>
    <n v="1.935483870967742E-2"/>
    <s v="12 kbd HDC down 3/31 - 5/1"/>
  </r>
  <r>
    <x v="3"/>
    <s v="NA"/>
    <s v="U.S.A."/>
    <s v="Valero Refining Company"/>
    <x v="95"/>
    <x v="2"/>
    <x v="14"/>
    <n v="2025"/>
    <n v="1"/>
    <n v="3.2258064516129031E-2"/>
    <n v="0.29516129032258065"/>
    <s v="91.5 kbd CDU off 3/31-5/1"/>
  </r>
  <r>
    <x v="3"/>
    <s v="NA"/>
    <s v="U.S.A."/>
    <s v="Valero Refining Company"/>
    <x v="95"/>
    <x v="3"/>
    <x v="14"/>
    <n v="2025"/>
    <n v="1"/>
    <n v="3.2258064516129031E-2"/>
    <n v="0.57999999999999996"/>
    <s v="30 kbd Fcc down 3/31-5/1"/>
  </r>
  <r>
    <x v="3"/>
    <s v="NA"/>
    <s v="U.S.A."/>
    <s v="Valero Refining Company"/>
    <x v="95"/>
    <x v="4"/>
    <x v="14"/>
    <n v="2025"/>
    <n v="1"/>
    <n v="3.2258064516129031E-2"/>
    <n v="0.186"/>
    <m/>
  </r>
  <r>
    <x v="3"/>
    <s v="NA"/>
    <s v="U.S.A."/>
    <s v="BP Products North America Incorporated"/>
    <x v="69"/>
    <x v="9"/>
    <x v="14"/>
    <n v="2025"/>
    <n v="1"/>
    <m/>
    <n v="0"/>
    <m/>
  </r>
  <r>
    <x v="3"/>
    <s v="NA"/>
    <s v="U.S.A."/>
    <s v="Cenex Harvest States Incorporated"/>
    <x v="96"/>
    <x v="8"/>
    <x v="14"/>
    <n v="2025"/>
    <n v="1"/>
    <m/>
    <n v="0"/>
    <m/>
  </r>
  <r>
    <x v="3"/>
    <s v="NA"/>
    <s v="U.S.A."/>
    <s v="Cenex Harvest States Incorporated"/>
    <x v="96"/>
    <x v="10"/>
    <x v="14"/>
    <n v="2025"/>
    <n v="1"/>
    <m/>
    <n v="0"/>
    <m/>
  </r>
  <r>
    <x v="3"/>
    <s v="NA"/>
    <s v="U.S.A."/>
    <s v="Cenex Harvest States Incorporated"/>
    <x v="96"/>
    <x v="9"/>
    <x v="14"/>
    <n v="2025"/>
    <n v="1"/>
    <n v="1"/>
    <n v="0"/>
    <m/>
  </r>
  <r>
    <x v="3"/>
    <s v="NA"/>
    <s v="U.S.A."/>
    <s v="Cenex Harvest States Incorporated"/>
    <x v="96"/>
    <x v="1"/>
    <x v="14"/>
    <n v="2025"/>
    <n v="1"/>
    <n v="1"/>
    <n v="0"/>
    <m/>
  </r>
  <r>
    <x v="3"/>
    <s v="NA"/>
    <s v="U.S.A."/>
    <s v="Cenex Harvest States Incorporated"/>
    <x v="96"/>
    <x v="4"/>
    <x v="14"/>
    <n v="2025"/>
    <n v="1"/>
    <n v="1"/>
    <n v="0"/>
    <s v="Alky down with FCC from 3/1-4/29"/>
  </r>
  <r>
    <x v="3"/>
    <s v="NA"/>
    <s v="U.S.A."/>
    <s v="Coffeyville Resources Refining &amp; Marketing LLC"/>
    <x v="19"/>
    <x v="8"/>
    <x v="14"/>
    <n v="2025"/>
    <n v="1"/>
    <m/>
    <n v="0"/>
    <m/>
  </r>
  <r>
    <x v="3"/>
    <s v="NA"/>
    <s v="U.S.A."/>
    <s v="Coffeyville Resources Refining &amp; Marketing LLC"/>
    <x v="19"/>
    <x v="10"/>
    <x v="14"/>
    <n v="2025"/>
    <n v="1"/>
    <m/>
    <n v="0"/>
    <m/>
  </r>
  <r>
    <x v="3"/>
    <s v="NA"/>
    <s v="U.S.A."/>
    <s v="Coffeyville Resources Refining &amp; Marketing LLC"/>
    <x v="19"/>
    <x v="9"/>
    <x v="14"/>
    <n v="2025"/>
    <n v="1"/>
    <m/>
    <n v="0"/>
    <m/>
  </r>
  <r>
    <x v="3"/>
    <s v="NA"/>
    <s v="U.S.A."/>
    <s v="Coffeyville Resources Refining &amp; Marketing LLC"/>
    <x v="19"/>
    <x v="1"/>
    <x v="14"/>
    <n v="2025"/>
    <n v="1"/>
    <m/>
    <n v="0"/>
    <m/>
  </r>
  <r>
    <x v="3"/>
    <s v="NA"/>
    <s v="U.S.A."/>
    <s v="Coffeyville Resources Refining &amp; Marketing LLC"/>
    <x v="19"/>
    <x v="4"/>
    <x v="14"/>
    <n v="2025"/>
    <n v="1"/>
    <m/>
    <n v="0"/>
    <s v="Zeroing alky out since the FCC is down"/>
  </r>
  <r>
    <x v="3"/>
    <s v="NA"/>
    <s v="U.S.A."/>
    <s v="CVR Energy Incorporated"/>
    <x v="32"/>
    <x v="8"/>
    <x v="14"/>
    <n v="2025"/>
    <n v="1"/>
    <m/>
    <n v="0"/>
    <m/>
  </r>
  <r>
    <x v="3"/>
    <s v="NA"/>
    <s v="U.S.A."/>
    <s v="HF Sinclair Corporation"/>
    <x v="70"/>
    <x v="8"/>
    <x v="14"/>
    <n v="2025"/>
    <n v="1"/>
    <m/>
    <n v="0"/>
    <m/>
  </r>
  <r>
    <x v="3"/>
    <s v="NA"/>
    <s v="U.S.A."/>
    <s v="HF Sinclair Corporation"/>
    <x v="70"/>
    <x v="10"/>
    <x v="14"/>
    <n v="2025"/>
    <n v="1"/>
    <m/>
    <n v="0"/>
    <m/>
  </r>
  <r>
    <x v="3"/>
    <s v="NA"/>
    <s v="U.S.A."/>
    <s v="HF Sinclair Corporation"/>
    <x v="70"/>
    <x v="9"/>
    <x v="14"/>
    <n v="2025"/>
    <n v="1"/>
    <m/>
    <n v="0"/>
    <m/>
  </r>
  <r>
    <x v="3"/>
    <s v="NA"/>
    <s v="U.S.A."/>
    <s v="HF Sinclair Corporation"/>
    <x v="70"/>
    <x v="1"/>
    <x v="14"/>
    <n v="2025"/>
    <n v="1"/>
    <m/>
    <n v="0"/>
    <m/>
  </r>
  <r>
    <x v="3"/>
    <s v="NA"/>
    <s v="U.S.A."/>
    <s v="HF Sinclair Corporation"/>
    <x v="70"/>
    <x v="4"/>
    <x v="14"/>
    <n v="2025"/>
    <n v="1"/>
    <n v="0.90322580645161288"/>
    <n v="0"/>
    <s v="Alky down with FCC from 3/3-4/16"/>
  </r>
  <r>
    <x v="3"/>
    <s v="NA"/>
    <s v="U.S.A."/>
    <s v="Marathon Petroleum Corporation"/>
    <x v="34"/>
    <x v="8"/>
    <x v="14"/>
    <n v="2025"/>
    <n v="1"/>
    <m/>
    <n v="0"/>
    <m/>
  </r>
  <r>
    <x v="3"/>
    <s v="NA"/>
    <s v="U.S.A."/>
    <s v="Valero Refining Company"/>
    <x v="95"/>
    <x v="8"/>
    <x v="14"/>
    <n v="2025"/>
    <n v="1"/>
    <n v="3.2258064516129031E-2"/>
    <n v="0"/>
    <m/>
  </r>
  <r>
    <x v="3"/>
    <s v="NA"/>
    <s v="U.S.A."/>
    <s v="Valero Refining Company"/>
    <x v="95"/>
    <x v="10"/>
    <x v="14"/>
    <n v="2025"/>
    <n v="1"/>
    <n v="3.2258064516129031E-2"/>
    <n v="0"/>
    <m/>
  </r>
  <r>
    <x v="3"/>
    <s v="NA"/>
    <s v="U.S.A."/>
    <s v="Valero Refining Company"/>
    <x v="95"/>
    <x v="9"/>
    <x v="14"/>
    <n v="2025"/>
    <n v="1"/>
    <n v="3.2258064516129031E-2"/>
    <n v="0"/>
    <m/>
  </r>
  <r>
    <x v="3"/>
    <s v="NA"/>
    <s v="U.S.A."/>
    <s v="Valero Refining Company"/>
    <x v="95"/>
    <x v="1"/>
    <x v="14"/>
    <n v="2025"/>
    <n v="1"/>
    <n v="3.2258064516129031E-2"/>
    <n v="0"/>
    <m/>
  </r>
  <r>
    <x v="3"/>
    <s v="NA"/>
    <s v="U.S.A."/>
    <s v="Valero Refining Company"/>
    <x v="35"/>
    <x v="10"/>
    <x v="14"/>
    <n v="2025"/>
    <n v="1"/>
    <m/>
    <n v="0"/>
    <s v="3/2-5/4 - as of 10/15/24 no longer in IIR database"/>
  </r>
  <r>
    <x v="3"/>
    <s v="NA"/>
    <s v="U.S.A."/>
    <s v="Valero Refining Company"/>
    <x v="35"/>
    <x v="9"/>
    <x v="14"/>
    <n v="2025"/>
    <n v="1"/>
    <m/>
    <n v="0"/>
    <s v="3/2-5/4 - as of 10/15/24 no longer in IIR database"/>
  </r>
  <r>
    <x v="3"/>
    <s v="NA"/>
    <s v="U.S.A."/>
    <s v="Valero Refining Company"/>
    <x v="35"/>
    <x v="1"/>
    <x v="14"/>
    <n v="2025"/>
    <n v="1"/>
    <m/>
    <n v="0"/>
    <s v="3/2-5/4 - as of 10/15/24 no longer in IIR database"/>
  </r>
  <r>
    <x v="3"/>
    <s v="NA"/>
    <s v="U.S.A."/>
    <s v="Valero Refining Company"/>
    <x v="35"/>
    <x v="3"/>
    <x v="14"/>
    <n v="2025"/>
    <n v="1"/>
    <m/>
    <n v="0"/>
    <s v="3/2-5/4 - as of 10/15/24 no longer in IIR database"/>
  </r>
  <r>
    <x v="3"/>
    <s v="NA"/>
    <s v="U.S.A."/>
    <s v="Valero Refining Company"/>
    <x v="35"/>
    <x v="4"/>
    <x v="14"/>
    <n v="2025"/>
    <n v="1"/>
    <m/>
    <n v="0"/>
    <s v="3/2-5/4 - as of 10/15/24 no longer in IIR database"/>
  </r>
  <r>
    <x v="3"/>
    <s v="NA"/>
    <s v="U.S.A."/>
    <s v="WRB Refining LP"/>
    <x v="97"/>
    <x v="8"/>
    <x v="14"/>
    <n v="2025"/>
    <n v="1"/>
    <m/>
    <n v="0"/>
    <m/>
  </r>
  <r>
    <x v="3"/>
    <s v="NA"/>
    <s v="U.S.A."/>
    <s v="Coffeyville Resources Refining &amp; Marketing LLC"/>
    <x v="19"/>
    <x v="0"/>
    <x v="14"/>
    <n v="2025"/>
    <n v="1"/>
    <n v="0.967741935483871"/>
    <n v="20.56451612903226"/>
    <s v="25 kbd Reformer down 2/14-3/30"/>
  </r>
  <r>
    <x v="3"/>
    <s v="NA"/>
    <s v="U.S.A."/>
    <s v="Coffeyville Resources Refining &amp; Marketing LLC"/>
    <x v="19"/>
    <x v="6"/>
    <x v="14"/>
    <n v="2025"/>
    <n v="1"/>
    <n v="0.967741935483871"/>
    <n v="1.8870967741935487"/>
    <s v="19.5 kbd Coker down from 2/14-3/30"/>
  </r>
  <r>
    <x v="3"/>
    <s v="NA"/>
    <s v="U.S.A."/>
    <s v="Coffeyville Resources Refining &amp; Marketing LLC"/>
    <x v="19"/>
    <x v="2"/>
    <x v="14"/>
    <n v="2025"/>
    <n v="1"/>
    <n v="0.967741935483871"/>
    <n v="13.064516129032258"/>
    <s v="Coffeyville bringing down both CDUs 75 &amp; 60 kbd from 2/14-3/30"/>
  </r>
  <r>
    <x v="3"/>
    <s v="NA"/>
    <s v="U.S.A."/>
    <s v="Flint Hills Resources LLC"/>
    <x v="65"/>
    <x v="1"/>
    <x v="14"/>
    <n v="2025"/>
    <n v="1"/>
    <n v="9.6774193548387094E-2"/>
    <n v="0"/>
    <m/>
  </r>
  <r>
    <x v="3"/>
    <s v="NA"/>
    <s v="U.S.A."/>
    <s v="Coffeyville Resources Refining &amp; Marketing LLC"/>
    <x v="19"/>
    <x v="3"/>
    <x v="14"/>
    <n v="2025"/>
    <n v="1"/>
    <n v="0.967741935483871"/>
    <n v="20.129032258064516"/>
    <s v="32 kbd FCC down from 2/14-3/30"/>
  </r>
  <r>
    <x v="3"/>
    <s v="NA"/>
    <s v="U.S.A."/>
    <s v="Flint Hills Resources LLC"/>
    <x v="65"/>
    <x v="4"/>
    <x v="14"/>
    <n v="2025"/>
    <n v="0.5"/>
    <n v="9.6774193548387094E-2"/>
    <n v="0"/>
    <m/>
  </r>
  <r>
    <x v="3"/>
    <s v="NA"/>
    <s v="U.S.A."/>
    <s v="Cenex Harvest States Incorporated"/>
    <x v="96"/>
    <x v="0"/>
    <x v="14"/>
    <n v="2025"/>
    <n v="1"/>
    <n v="1"/>
    <n v="27.2"/>
    <s v="32 kbd Reformer down 3/1-4/29"/>
  </r>
  <r>
    <x v="3"/>
    <s v="NA"/>
    <s v="U.S.A."/>
    <s v="Cenex Harvest States Incorporated"/>
    <x v="96"/>
    <x v="5"/>
    <x v="14"/>
    <n v="2025"/>
    <n v="1"/>
    <n v="1"/>
    <n v="1.5"/>
    <s v="30 kbd HDC down from 3/1-4/29"/>
  </r>
  <r>
    <x v="3"/>
    <s v="NA"/>
    <s v="U.S.A."/>
    <s v="Cenex Harvest States Incorporated"/>
    <x v="96"/>
    <x v="6"/>
    <x v="14"/>
    <n v="2025"/>
    <n v="1"/>
    <n v="1"/>
    <n v="2.5"/>
    <s v="25 kbd Coker down from 3/1-4/29"/>
  </r>
  <r>
    <x v="3"/>
    <s v="NA"/>
    <s v="U.S.A."/>
    <s v="Cenex Harvest States Incorporated"/>
    <x v="96"/>
    <x v="2"/>
    <x v="14"/>
    <n v="2025"/>
    <n v="1"/>
    <n v="1"/>
    <n v="10.9"/>
    <s v="109 kbd CDU down from 3/1-4/29"/>
  </r>
  <r>
    <x v="3"/>
    <s v="NA"/>
    <s v="U.S.A."/>
    <s v="Cenex Harvest States Incorporated"/>
    <x v="96"/>
    <x v="3"/>
    <x v="14"/>
    <n v="2025"/>
    <n v="1"/>
    <n v="1"/>
    <n v="14.755000000000001"/>
    <s v="22.7 kbd FCC down from 3/1-4/29"/>
  </r>
  <r>
    <x v="3"/>
    <s v="NA"/>
    <s v="U.S.A."/>
    <s v="Flint Hills Resources LLC"/>
    <x v="65"/>
    <x v="2"/>
    <x v="14"/>
    <n v="2025"/>
    <n v="1"/>
    <n v="9.6774193548387094E-2"/>
    <n v="4.596774193548387"/>
    <s v="190 kbd CDU offline 3/28-5/6"/>
  </r>
  <r>
    <x v="3"/>
    <s v="NA"/>
    <s v="U.S.A."/>
    <s v="Flint Hills Resources LLC"/>
    <x v="65"/>
    <x v="6"/>
    <x v="14"/>
    <n v="2025"/>
    <n v="1"/>
    <n v="9.6774193548387094E-2"/>
    <n v="0.39919354838709675"/>
    <s v="16.5 kbd Coker offline 3/28-4/9"/>
  </r>
  <r>
    <x v="3"/>
    <s v="NA"/>
    <s v="U.S.A."/>
    <s v="Flint Hills Resources LLC"/>
    <x v="65"/>
    <x v="3"/>
    <x v="14"/>
    <n v="2025"/>
    <n v="1"/>
    <n v="9.6774193548387094E-2"/>
    <n v="5.346774193548387"/>
    <s v="85 kbd FCC offline 3/28-5/6"/>
  </r>
  <r>
    <x v="3"/>
    <s v="NA"/>
    <s v="U.S.A."/>
    <s v="Marathon Petroleum Corporation"/>
    <x v="34"/>
    <x v="5"/>
    <x v="14"/>
    <n v="2025"/>
    <n v="1"/>
    <n v="0.41935483870967744"/>
    <n v="0.58709677419354844"/>
    <s v="28 kbd HDC down 3/18-4/27"/>
  </r>
  <r>
    <x v="3"/>
    <s v="NA"/>
    <s v="U.S.A."/>
    <s v="Marathon Petroleum Corporation"/>
    <x v="34"/>
    <x v="6"/>
    <x v="14"/>
    <n v="2025"/>
    <n v="1"/>
    <n v="0.41935483870967744"/>
    <n v="1.5725806451612905"/>
    <s v="15 kbd Coker down 3/18-4/27"/>
  </r>
  <r>
    <x v="3"/>
    <s v="NA"/>
    <s v="U.S.A."/>
    <s v="Marathon Petroleum Corporation"/>
    <x v="34"/>
    <x v="2"/>
    <x v="14"/>
    <n v="2025"/>
    <n v="1"/>
    <n v="0.41935483870967744"/>
    <n v="26.733870967741936"/>
    <s v="255 kbd CDU down 3/18 - 4/27"/>
  </r>
  <r>
    <x v="3"/>
    <s v="NA"/>
    <s v="U.S.A."/>
    <s v="Cenovus Energy Incorporated"/>
    <x v="98"/>
    <x v="0"/>
    <x v="14"/>
    <n v="2025"/>
    <n v="1"/>
    <n v="0.61290322580645162"/>
    <n v="21.880645161290321"/>
    <s v="40 kbd reformer down 3/12-5/1"/>
  </r>
  <r>
    <x v="3"/>
    <s v="NA"/>
    <s v="U.S.A."/>
    <s v="Cenovus Energy Incorporated"/>
    <x v="98"/>
    <x v="5"/>
    <x v="14"/>
    <n v="2025"/>
    <n v="1"/>
    <n v="0.61290322580645162"/>
    <n v="1.0725806451612903"/>
    <s v="35 kbd HDC down 3/12-5/1"/>
  </r>
  <r>
    <x v="3"/>
    <s v="NA"/>
    <s v="U.S.A."/>
    <s v="HF Sinclair Corporation"/>
    <x v="70"/>
    <x v="0"/>
    <x v="14"/>
    <n v="2025"/>
    <n v="1"/>
    <n v="0.90322580645161288"/>
    <n v="16.890322580645162"/>
    <s v="22 kbd Reformer down 3/3-4/16"/>
  </r>
  <r>
    <x v="3"/>
    <s v="NA"/>
    <s v="U.S.A."/>
    <s v="HF Sinclair Corporation"/>
    <x v="70"/>
    <x v="2"/>
    <x v="14"/>
    <n v="2025"/>
    <n v="1"/>
    <n v="0.90322580645161288"/>
    <n v="6.8645161290322587"/>
    <s v="40 kbd CDU down 3/3-4/16"/>
  </r>
  <r>
    <x v="3"/>
    <s v="NA"/>
    <s v="U.S.A."/>
    <s v="HF Sinclair Corporation"/>
    <x v="70"/>
    <x v="3"/>
    <x v="14"/>
    <n v="2025"/>
    <n v="1"/>
    <n v="0.90322580645161288"/>
    <n v="17.025806451612905"/>
    <s v="29 kbd FCC down 3/3-4/16"/>
  </r>
  <r>
    <x v="3"/>
    <s v="NA"/>
    <s v="U.S.A."/>
    <s v="WRB Refining LP"/>
    <x v="97"/>
    <x v="2"/>
    <x v="14"/>
    <n v="2025"/>
    <n v="1"/>
    <n v="0.77419354838709675"/>
    <n v="32.903225806451609"/>
    <s v="170 kbd CDU down 3/7-4/5"/>
  </r>
  <r>
    <x v="3"/>
    <s v="NA"/>
    <s v="U.S.A."/>
    <s v="WRB Refining LP"/>
    <x v="97"/>
    <x v="3"/>
    <x v="14"/>
    <n v="2025"/>
    <n v="1"/>
    <n v="0.77419354838709675"/>
    <n v="21.135483870967743"/>
    <s v="42 kbd FCC down 3/7-4/5"/>
  </r>
  <r>
    <x v="3"/>
    <s v="NA"/>
    <s v="U.S.A."/>
    <s v="CVR Energy Incorporated"/>
    <x v="32"/>
    <x v="2"/>
    <x v="14"/>
    <n v="2025"/>
    <n v="1"/>
    <n v="1"/>
    <n v="8.75"/>
    <s v="35 kbd CDU down from 2/15-3/31"/>
  </r>
  <r>
    <x v="0"/>
    <s v="NA"/>
    <s v="U.S.A."/>
    <s v="ExxonMobil Corporation"/>
    <x v="12"/>
    <x v="2"/>
    <x v="14"/>
    <n v="2025"/>
    <n v="3"/>
    <n v="3.2258064516129031E-2"/>
    <n v="0.70967741935483875"/>
    <s v="88 kbd CDU offline 2/4-3/1"/>
  </r>
  <r>
    <x v="0"/>
    <s v="NA"/>
    <s v="U.S.A."/>
    <s v="Valero Refining Company"/>
    <x v="87"/>
    <x v="3"/>
    <x v="14"/>
    <n v="2025"/>
    <n v="1"/>
    <n v="0.19354838709677419"/>
    <n v="3.0193548387096776"/>
    <s v="24 kbd FCC down from 1/10-3/1"/>
  </r>
  <r>
    <x v="0"/>
    <s v="NA"/>
    <s v="U.S.A."/>
    <s v="CITGO Petroleum Corporation"/>
    <x v="88"/>
    <x v="8"/>
    <x v="14"/>
    <n v="2025"/>
    <n v="1"/>
    <m/>
    <n v="0"/>
    <m/>
  </r>
  <r>
    <x v="0"/>
    <s v="NA"/>
    <s v="U.S.A."/>
    <s v="CITGO Petroleum Corporation"/>
    <x v="88"/>
    <x v="0"/>
    <x v="14"/>
    <n v="2025"/>
    <n v="1"/>
    <m/>
    <n v="23.032258064516128"/>
    <s v="30 kbd Reformer down 3/3-4/7"/>
  </r>
  <r>
    <x v="0"/>
    <s v="NA"/>
    <s v="U.S.A."/>
    <s v="CITGO Petroleum Corporation"/>
    <x v="88"/>
    <x v="10"/>
    <x v="14"/>
    <n v="2025"/>
    <n v="1"/>
    <m/>
    <n v="0"/>
    <m/>
  </r>
  <r>
    <x v="0"/>
    <s v="NA"/>
    <s v="U.S.A."/>
    <s v="CITGO Petroleum Corporation"/>
    <x v="88"/>
    <x v="9"/>
    <x v="14"/>
    <n v="2025"/>
    <n v="1"/>
    <m/>
    <n v="0"/>
    <m/>
  </r>
  <r>
    <x v="0"/>
    <s v="NA"/>
    <s v="U.S.A."/>
    <s v="CITGO Petroleum Corporation"/>
    <x v="88"/>
    <x v="1"/>
    <x v="14"/>
    <n v="2025"/>
    <n v="1"/>
    <m/>
    <n v="0"/>
    <m/>
  </r>
  <r>
    <x v="0"/>
    <s v="NA"/>
    <s v="U.S.A."/>
    <s v="CITGO Petroleum Corporation"/>
    <x v="88"/>
    <x v="6"/>
    <x v="14"/>
    <n v="2025"/>
    <n v="1"/>
    <m/>
    <n v="3.9741935483870972"/>
    <s v="44 kbd Coker down 3/3-4/7"/>
  </r>
  <r>
    <x v="0"/>
    <s v="NA"/>
    <s v="U.S.A."/>
    <s v="CITGO Petroleum Corporation"/>
    <x v="88"/>
    <x v="3"/>
    <x v="14"/>
    <n v="2025"/>
    <n v="1"/>
    <m/>
    <n v="40.509677419354837"/>
    <s v="69 kbd FCC down 3/3-4/7"/>
  </r>
  <r>
    <x v="0"/>
    <s v="NA"/>
    <s v="U.S.A."/>
    <s v="CITGO Petroleum Corporation"/>
    <x v="88"/>
    <x v="4"/>
    <x v="14"/>
    <n v="2025"/>
    <n v="1"/>
    <m/>
    <n v="0"/>
    <m/>
  </r>
  <r>
    <x v="0"/>
    <s v="NA"/>
    <s v="U.S.A."/>
    <s v="Chevron Corporation"/>
    <x v="38"/>
    <x v="2"/>
    <x v="14"/>
    <n v="2025"/>
    <n v="1"/>
    <n v="0.77419354838709675"/>
    <n v="33.87096774193548"/>
    <s v="175 kbd CDU unit down 3/7-4/5"/>
  </r>
  <r>
    <x v="0"/>
    <s v="NA"/>
    <s v="U.S.A."/>
    <s v="ExxonMobil Corporation"/>
    <x v="12"/>
    <x v="6"/>
    <x v="14"/>
    <n v="2025"/>
    <n v="1"/>
    <m/>
    <n v="1.8629032258064515"/>
    <s v="27.5 kbd Coker down from 2/1-3/7"/>
  </r>
  <r>
    <x v="0"/>
    <s v="NA"/>
    <s v="U.S.A."/>
    <s v="ExxonMobil Corporation"/>
    <x v="12"/>
    <x v="2"/>
    <x v="14"/>
    <n v="2025"/>
    <n v="1"/>
    <m/>
    <n v="5.0806451612903221"/>
    <s v="90 kbd CDU down from 2/1-3/7"/>
  </r>
  <r>
    <x v="0"/>
    <s v="NA"/>
    <s v="U.S.A."/>
    <s v="Hunt Refining Company"/>
    <x v="89"/>
    <x v="8"/>
    <x v="14"/>
    <n v="2025"/>
    <n v="1"/>
    <m/>
    <n v="0"/>
    <m/>
  </r>
  <r>
    <x v="0"/>
    <s v="NA"/>
    <s v="U.S.A."/>
    <s v="Hunt Refining Company"/>
    <x v="89"/>
    <x v="2"/>
    <x v="14"/>
    <n v="2025"/>
    <n v="1"/>
    <m/>
    <n v="0.16129032258064516"/>
    <s v="10 kbd CDU down from 2/7-3/2"/>
  </r>
  <r>
    <x v="0"/>
    <s v="NA"/>
    <s v="U.S.A."/>
    <s v="Hunt Refining Company"/>
    <x v="64"/>
    <x v="5"/>
    <x v="14"/>
    <n v="2025"/>
    <n v="1"/>
    <m/>
    <n v="2.3125"/>
    <s v="Down 3/7-4/5"/>
  </r>
  <r>
    <x v="0"/>
    <s v="NA"/>
    <s v="U.S.A."/>
    <s v="Hunt Refining Company"/>
    <x v="64"/>
    <x v="6"/>
    <x v="14"/>
    <n v="2025"/>
    <n v="1"/>
    <m/>
    <n v="8"/>
    <s v="Down 3/7-4/5"/>
  </r>
  <r>
    <x v="0"/>
    <s v="NA"/>
    <s v="U.S.A."/>
    <s v="Marathon Petroleum Corporation"/>
    <x v="27"/>
    <x v="3"/>
    <x v="14"/>
    <n v="2025"/>
    <n v="1"/>
    <m/>
    <n v="0"/>
    <m/>
  </r>
  <r>
    <x v="0"/>
    <s v="NA"/>
    <s v="U.S.A."/>
    <s v="Marathon Petroleum Corporation"/>
    <x v="27"/>
    <x v="4"/>
    <x v="14"/>
    <n v="2025"/>
    <n v="1"/>
    <m/>
    <n v="0"/>
    <m/>
  </r>
  <r>
    <x v="0"/>
    <s v="NA"/>
    <s v="U.S.A."/>
    <s v="Motiva Enterprises LLC"/>
    <x v="4"/>
    <x v="1"/>
    <x v="14"/>
    <n v="2025"/>
    <n v="1"/>
    <m/>
    <n v="0"/>
    <m/>
  </r>
  <r>
    <x v="0"/>
    <s v="NA"/>
    <s v="U.S.A."/>
    <s v="Motiva Enterprises LLC"/>
    <x v="4"/>
    <x v="3"/>
    <x v="14"/>
    <n v="2025"/>
    <n v="1"/>
    <m/>
    <n v="11.888709677419355"/>
    <s v="81 kbd FCC down 1/12-3/7"/>
  </r>
  <r>
    <x v="0"/>
    <s v="NA"/>
    <s v="U.S.A."/>
    <s v="Motiva Enterprises LLC"/>
    <x v="4"/>
    <x v="4"/>
    <x v="14"/>
    <n v="2025"/>
    <n v="1"/>
    <m/>
    <n v="0"/>
    <m/>
  </r>
  <r>
    <x v="0"/>
    <s v="NA"/>
    <s v="U.S.A."/>
    <s v="Petromax Refining LLC"/>
    <x v="99"/>
    <x v="2"/>
    <x v="14"/>
    <n v="2025"/>
    <n v="1"/>
    <m/>
    <n v="4.838709677419355"/>
    <s v="CDU (25) 3/7-3/31"/>
  </r>
  <r>
    <x v="0"/>
    <s v="NA"/>
    <s v="U.S.A."/>
    <s v="Allegiance Refining"/>
    <x v="100"/>
    <x v="2"/>
    <x v="14"/>
    <n v="2025"/>
    <n v="1"/>
    <n v="0.22580645161290322"/>
    <n v="1.129032258064516"/>
    <s v="20 kbd CDU 3/7-3/13"/>
  </r>
  <r>
    <x v="0"/>
    <s v="NA"/>
    <s v="U.S.A."/>
    <s v="Shell Oil Products US"/>
    <x v="78"/>
    <x v="1"/>
    <x v="14"/>
    <n v="2025"/>
    <n v="1"/>
    <m/>
    <n v="0"/>
    <m/>
  </r>
  <r>
    <x v="0"/>
    <s v="NA"/>
    <s v="U.S.A."/>
    <s v="Shell Oil Products US"/>
    <x v="78"/>
    <x v="6"/>
    <x v="14"/>
    <n v="2025"/>
    <n v="1"/>
    <m/>
    <n v="6.3"/>
    <s v="21 kbd Coker down from 3/1-4/19"/>
  </r>
  <r>
    <x v="0"/>
    <s v="NA"/>
    <s v="U.S.A."/>
    <s v="Valero Refining Company"/>
    <x v="2"/>
    <x v="10"/>
    <x v="14"/>
    <n v="2025"/>
    <n v="1"/>
    <m/>
    <n v="0"/>
    <s v="3/14-5/8"/>
  </r>
  <r>
    <x v="0"/>
    <s v="NA"/>
    <s v="U.S.A."/>
    <s v="Valero Refining Company"/>
    <x v="2"/>
    <x v="1"/>
    <x v="14"/>
    <n v="2025"/>
    <n v="1"/>
    <m/>
    <n v="0"/>
    <m/>
  </r>
  <r>
    <x v="0"/>
    <s v="NA"/>
    <s v="U.S.A."/>
    <s v="Valero Refining Company"/>
    <x v="2"/>
    <x v="5"/>
    <x v="14"/>
    <n v="2025"/>
    <n v="1"/>
    <m/>
    <n v="1.6451612903225805"/>
    <s v="60 kbd HDC down 3/14-5/8"/>
  </r>
  <r>
    <x v="0"/>
    <s v="NA"/>
    <s v="U.S.A."/>
    <s v="Valero Refining Company"/>
    <x v="2"/>
    <x v="3"/>
    <x v="14"/>
    <n v="2025"/>
    <n v="1"/>
    <m/>
    <n v="35.645161290322577"/>
    <s v="100 kbd FCC down 3/14-5/8"/>
  </r>
  <r>
    <x v="0"/>
    <s v="NA"/>
    <s v="U.S.A."/>
    <s v="Valero Refining Company"/>
    <x v="2"/>
    <x v="4"/>
    <x v="14"/>
    <n v="2025"/>
    <n v="1"/>
    <m/>
    <n v="0"/>
    <s v="Alky down but 0ing since FCC is also down"/>
  </r>
  <r>
    <x v="0"/>
    <s v="NA"/>
    <s v="U.S.A."/>
    <s v="WRB Refining LP"/>
    <x v="25"/>
    <x v="10"/>
    <x v="14"/>
    <n v="2025"/>
    <n v="1"/>
    <m/>
    <n v="0"/>
    <m/>
  </r>
  <r>
    <x v="0"/>
    <s v="NA"/>
    <s v="U.S.A."/>
    <s v="WRB Refining LP"/>
    <x v="25"/>
    <x v="3"/>
    <x v="14"/>
    <n v="2025"/>
    <n v="1"/>
    <m/>
    <n v="39"/>
    <s v="60 kbd FCC down from 3/1-4/4"/>
  </r>
  <r>
    <x v="0"/>
    <s v="NA"/>
    <s v="U.S.A."/>
    <s v="WRB Refining LP"/>
    <x v="25"/>
    <x v="4"/>
    <x v="14"/>
    <n v="2025"/>
    <n v="1"/>
    <m/>
    <n v="0"/>
    <s v="Alky down but 0ing since FCC is also down"/>
  </r>
  <r>
    <x v="4"/>
    <s v="NA"/>
    <s v="U.S.A."/>
    <s v="HF Sinclair Corporation"/>
    <x v="51"/>
    <x v="10"/>
    <x v="14"/>
    <n v="2025"/>
    <n v="1"/>
    <m/>
    <n v="0"/>
    <m/>
  </r>
  <r>
    <x v="4"/>
    <s v="NA"/>
    <s v="U.S.A."/>
    <s v="HF Sinclair Corporation"/>
    <x v="51"/>
    <x v="9"/>
    <x v="14"/>
    <n v="2025"/>
    <n v="1"/>
    <m/>
    <n v="0"/>
    <m/>
  </r>
  <r>
    <x v="4"/>
    <s v="NA"/>
    <s v="U.S.A."/>
    <s v="HF Sinclair Corporation"/>
    <x v="51"/>
    <x v="1"/>
    <x v="14"/>
    <n v="2025"/>
    <n v="1"/>
    <m/>
    <n v="0"/>
    <m/>
  </r>
  <r>
    <x v="4"/>
    <s v="NA"/>
    <s v="U.S.A."/>
    <s v="HF Sinclair Corporation"/>
    <x v="51"/>
    <x v="4"/>
    <x v="14"/>
    <n v="2025"/>
    <n v="1"/>
    <n v="3.2258064516129031E-2"/>
    <n v="0"/>
    <s v="Zeroing alky out since the FCC is down"/>
  </r>
  <r>
    <x v="4"/>
    <s v="NA"/>
    <s v="U.S.A."/>
    <s v="Chevron Corporation"/>
    <x v="41"/>
    <x v="6"/>
    <x v="14"/>
    <n v="2025"/>
    <n v="1"/>
    <n v="0.61290322580645162"/>
    <n v="1.3238709677419356"/>
    <s v="7.2 kbd Coker down 2/2-3/19"/>
  </r>
  <r>
    <x v="4"/>
    <s v="NA"/>
    <s v="U.S.A."/>
    <s v="HF Sinclair Corporation"/>
    <x v="51"/>
    <x v="0"/>
    <x v="14"/>
    <n v="2025"/>
    <n v="1"/>
    <n v="0.93548387096774188"/>
    <n v="6.3612903225806443"/>
    <s v="8 kbd Reformer down 3/2-5/5"/>
  </r>
  <r>
    <x v="4"/>
    <s v="NA"/>
    <s v="U.S.A."/>
    <s v="HF Sinclair Corporation"/>
    <x v="51"/>
    <x v="5"/>
    <x v="14"/>
    <n v="2025"/>
    <n v="1"/>
    <n v="3.2258064516129031E-2"/>
    <n v="2.4193548387096774E-2"/>
    <s v="15 kbd HDC down from 1/10-3/1"/>
  </r>
  <r>
    <x v="4"/>
    <s v="NA"/>
    <s v="U.S.A."/>
    <s v="HF Sinclair Corporation"/>
    <x v="51"/>
    <x v="2"/>
    <x v="14"/>
    <n v="2025"/>
    <n v="1"/>
    <n v="3.2258064516129031E-2"/>
    <n v="0.12096774193548387"/>
    <s v="15 kbd CDU down from 1/10-3/1"/>
  </r>
  <r>
    <x v="4"/>
    <s v="NA"/>
    <s v="U.S.A."/>
    <s v="HF Sinclair Corporation"/>
    <x v="51"/>
    <x v="3"/>
    <x v="14"/>
    <n v="2025"/>
    <n v="1"/>
    <n v="3.2258064516129031E-2"/>
    <n v="0.36483870967741938"/>
    <s v="17.4 kbd FCC down from 1/10-3/1"/>
  </r>
  <r>
    <x v="1"/>
    <s v="NA"/>
    <s v="U.S.A."/>
    <s v="Marathon Petroleum Corporation"/>
    <x v="90"/>
    <x v="2"/>
    <x v="14"/>
    <n v="2025"/>
    <n v="1"/>
    <m/>
    <n v="30"/>
    <s v="2/28-4/17. CDU (120)"/>
  </r>
  <r>
    <x v="1"/>
    <s v="NA"/>
    <s v="U.S.A."/>
    <s v="Marathon Petroleum Corporation"/>
    <x v="90"/>
    <x v="8"/>
    <x v="14"/>
    <n v="2025"/>
    <n v="1"/>
    <m/>
    <n v="0"/>
    <m/>
  </r>
  <r>
    <x v="1"/>
    <s v="NA"/>
    <s v="U.S.A."/>
    <s v="Marathon Petroleum Corporation"/>
    <x v="90"/>
    <x v="1"/>
    <x v="14"/>
    <n v="2025"/>
    <n v="1"/>
    <m/>
    <n v="0"/>
    <m/>
  </r>
  <r>
    <x v="1"/>
    <s v="NA"/>
    <s v="U.S.A."/>
    <s v="San Joaquin Refining Company Incorporated"/>
    <x v="91"/>
    <x v="2"/>
    <x v="14"/>
    <n v="2025"/>
    <n v="1"/>
    <m/>
    <n v="0.58064516129032262"/>
    <s v="cdu (24) 2/3-3/3"/>
  </r>
  <r>
    <x v="1"/>
    <s v="NA"/>
    <s v="U.S.A."/>
    <s v="San Joaquin Refining Company Incorporated"/>
    <x v="91"/>
    <x v="8"/>
    <x v="14"/>
    <n v="2025"/>
    <n v="1"/>
    <m/>
    <n v="0"/>
    <m/>
  </r>
  <r>
    <x v="1"/>
    <s v="NA"/>
    <s v="U.S.A."/>
    <s v="San Joaquin Refining Company Incorporated"/>
    <x v="91"/>
    <x v="1"/>
    <x v="14"/>
    <n v="2025"/>
    <n v="1"/>
    <m/>
    <n v="0"/>
    <m/>
  </r>
  <r>
    <x v="1"/>
    <s v="NA"/>
    <s v="U.S.A."/>
    <s v="Valero Refining Company"/>
    <x v="85"/>
    <x v="5"/>
    <x v="14"/>
    <n v="2025"/>
    <n v="1"/>
    <m/>
    <n v="0.87096774193548387"/>
    <s v="HDc (36) 2/7-3/15"/>
  </r>
  <r>
    <x v="1"/>
    <s v="NA"/>
    <s v="U.S.A."/>
    <s v="BP Products North America Incorporated"/>
    <x v="52"/>
    <x v="2"/>
    <x v="14"/>
    <n v="2025"/>
    <n v="1"/>
    <n v="0.12903225806451613"/>
    <n v="8.064516129032258"/>
    <s v="250 kbd CDU down 3/28-4/11"/>
  </r>
  <r>
    <x v="1"/>
    <s v="NA"/>
    <s v="U.S.A."/>
    <s v="Marathon Petroleum Corporation"/>
    <x v="101"/>
    <x v="6"/>
    <x v="14"/>
    <n v="2025"/>
    <n v="1"/>
    <m/>
    <n v="10.945161290322579"/>
    <s v="cdu (200), coker (39) 3/2-4/6"/>
  </r>
  <r>
    <x v="1"/>
    <s v="NA"/>
    <s v="U.S.A."/>
    <s v="Marathon Petroleum Corporation"/>
    <x v="101"/>
    <x v="2"/>
    <x v="14"/>
    <n v="2025"/>
    <n v="1"/>
    <m/>
    <n v="46.774193548387096"/>
    <s v="cdu (200), coker (39) 3/2-4/6"/>
  </r>
  <r>
    <x v="1"/>
    <s v="NA"/>
    <s v="U.S.A."/>
    <s v="Marathon Petroleum Corporation"/>
    <x v="102"/>
    <x v="2"/>
    <x v="14"/>
    <n v="2025"/>
    <n v="1"/>
    <m/>
    <n v="19.93548387096774"/>
    <s v="cdu (103) 3/7-4/5"/>
  </r>
  <r>
    <x v="1"/>
    <s v="NA"/>
    <s v="U.S.A."/>
    <s v="Chevron Corporation"/>
    <x v="60"/>
    <x v="3"/>
    <x v="14"/>
    <n v="2025"/>
    <n v="1"/>
    <m/>
    <n v="52"/>
    <s v="FCC (80) 3/1-4/24"/>
  </r>
  <r>
    <x v="1"/>
    <s v="NA"/>
    <s v="U.S.A."/>
    <s v="Chevron Corporation"/>
    <x v="60"/>
    <x v="4"/>
    <x v="14"/>
    <n v="2025"/>
    <n v="1"/>
    <m/>
    <n v="2"/>
    <s v="FCC (80) 3/1-4/24"/>
  </r>
  <r>
    <x v="1"/>
    <s v="NA"/>
    <s v="U.S.A."/>
    <s v="Torrance Refining Company LLC"/>
    <x v="92"/>
    <x v="6"/>
    <x v="14"/>
    <n v="2025"/>
    <n v="1"/>
    <m/>
    <n v="7.258064516129032"/>
    <s v="Coker (25) 2/14-3/30"/>
  </r>
  <r>
    <x v="1"/>
    <s v="NA"/>
    <s v="U.S.A."/>
    <s v="Valero Refining Company"/>
    <x v="15"/>
    <x v="10"/>
    <x v="14"/>
    <n v="2025"/>
    <n v="1"/>
    <m/>
    <n v="0"/>
    <m/>
  </r>
  <r>
    <x v="1"/>
    <s v="NA"/>
    <s v="U.S.A."/>
    <s v="Valero Refining Company"/>
    <x v="15"/>
    <x v="9"/>
    <x v="14"/>
    <n v="2025"/>
    <n v="1"/>
    <m/>
    <n v="0"/>
    <m/>
  </r>
  <r>
    <x v="1"/>
    <s v="NA"/>
    <s v="U.S.A."/>
    <s v="Valero Refining Company"/>
    <x v="15"/>
    <x v="1"/>
    <x v="14"/>
    <n v="2025"/>
    <n v="1"/>
    <m/>
    <n v="0"/>
    <m/>
  </r>
  <r>
    <x v="1"/>
    <s v="NA"/>
    <s v="U.S.A."/>
    <s v="Valero Refining Company"/>
    <x v="15"/>
    <x v="4"/>
    <x v="14"/>
    <n v="2025"/>
    <n v="1"/>
    <m/>
    <n v="0"/>
    <s v="Zeroing alky out since the FCC is down"/>
  </r>
  <r>
    <x v="1"/>
    <s v="NA"/>
    <s v="U.S.A."/>
    <s v="Valero Refining Company"/>
    <x v="15"/>
    <x v="2"/>
    <x v="14"/>
    <n v="2025"/>
    <n v="1"/>
    <m/>
    <n v="0.64516129032258063"/>
    <s v="1/10-3/1. cdu (40), cdu (40), fcc (54)"/>
  </r>
  <r>
    <x v="1"/>
    <s v="NA"/>
    <s v="U.S.A."/>
    <s v="Valero Refining Company"/>
    <x v="15"/>
    <x v="3"/>
    <x v="14"/>
    <n v="2025"/>
    <n v="1"/>
    <m/>
    <n v="1.1322580645161291"/>
    <s v="1/10-3/1. cdu (40), cdu (40), fcc (54)"/>
  </r>
  <r>
    <x v="2"/>
    <s v="NA"/>
    <s v="U.S.A."/>
    <s v="American Refining Group Incorporated"/>
    <x v="93"/>
    <x v="0"/>
    <x v="15"/>
    <n v="2025"/>
    <n v="1"/>
    <m/>
    <n v="0.62333333333333329"/>
    <m/>
  </r>
  <r>
    <x v="2"/>
    <s v="NA"/>
    <s v="U.S.A."/>
    <s v="American Refining Group Incorporated"/>
    <x v="93"/>
    <x v="10"/>
    <x v="15"/>
    <n v="2025"/>
    <n v="1"/>
    <m/>
    <n v="0"/>
    <m/>
  </r>
  <r>
    <x v="2"/>
    <s v="NA"/>
    <s v="U.S.A."/>
    <s v="American Refining Group Incorporated"/>
    <x v="93"/>
    <x v="9"/>
    <x v="15"/>
    <n v="2025"/>
    <n v="1"/>
    <m/>
    <n v="0"/>
    <m/>
  </r>
  <r>
    <x v="2"/>
    <s v="NA"/>
    <s v="U.S.A."/>
    <s v="American Refining Group Incorporated"/>
    <x v="93"/>
    <x v="1"/>
    <x v="15"/>
    <n v="2025"/>
    <n v="1"/>
    <m/>
    <n v="0"/>
    <m/>
  </r>
  <r>
    <x v="2"/>
    <s v="NA"/>
    <s v="U.S.A."/>
    <s v="American Refining Group Incorporated"/>
    <x v="93"/>
    <x v="2"/>
    <x v="15"/>
    <n v="2025"/>
    <n v="1"/>
    <m/>
    <n v="0.4"/>
    <m/>
  </r>
  <r>
    <x v="2"/>
    <s v="NA"/>
    <s v="U.S.A."/>
    <s v="Ergon West Virginia Incorporated"/>
    <x v="94"/>
    <x v="8"/>
    <x v="15"/>
    <n v="2025"/>
    <n v="1"/>
    <n v="1"/>
    <n v="0"/>
    <m/>
  </r>
  <r>
    <x v="2"/>
    <s v="NA"/>
    <s v="U.S.A."/>
    <s v="Ergon West Virginia Incorporated"/>
    <x v="94"/>
    <x v="0"/>
    <x v="15"/>
    <n v="2025"/>
    <n v="1"/>
    <n v="1"/>
    <n v="3.06"/>
    <m/>
  </r>
  <r>
    <x v="2"/>
    <s v="NA"/>
    <s v="U.S.A."/>
    <s v="Ergon West Virginia Incorporated"/>
    <x v="94"/>
    <x v="9"/>
    <x v="15"/>
    <n v="2025"/>
    <n v="1"/>
    <n v="1"/>
    <n v="0"/>
    <m/>
  </r>
  <r>
    <x v="2"/>
    <s v="NA"/>
    <s v="U.S.A."/>
    <s v="Ergon West Virginia Incorporated"/>
    <x v="94"/>
    <x v="1"/>
    <x v="15"/>
    <n v="2025"/>
    <n v="1"/>
    <n v="1"/>
    <n v="0"/>
    <m/>
  </r>
  <r>
    <x v="2"/>
    <s v="NA"/>
    <s v="U.S.A."/>
    <s v="Ergon West Virginia Incorporated"/>
    <x v="94"/>
    <x v="5"/>
    <x v="15"/>
    <n v="2025"/>
    <n v="1"/>
    <n v="1"/>
    <n v="0.215"/>
    <m/>
  </r>
  <r>
    <x v="2"/>
    <s v="NA"/>
    <s v="U.S.A."/>
    <s v="Ergon West Virginia Incorporated"/>
    <x v="94"/>
    <x v="2"/>
    <x v="15"/>
    <n v="2025"/>
    <n v="1"/>
    <n v="1"/>
    <n v="2.3000000000000003"/>
    <m/>
  </r>
  <r>
    <x v="3"/>
    <s v="NA"/>
    <s v="U.S.A."/>
    <s v="Valero Refining Company"/>
    <x v="95"/>
    <x v="0"/>
    <x v="15"/>
    <n v="2025"/>
    <n v="1"/>
    <n v="1"/>
    <n v="25.5"/>
    <s v="30 kbd ref, down 3/31-5/1"/>
  </r>
  <r>
    <x v="3"/>
    <s v="NA"/>
    <s v="U.S.A."/>
    <s v="Valero Refining Company"/>
    <x v="95"/>
    <x v="5"/>
    <x v="15"/>
    <n v="2025"/>
    <n v="1"/>
    <n v="1"/>
    <n v="0.60000000000000009"/>
    <s v="12 kbd HDC down 3/31 - 5/1"/>
  </r>
  <r>
    <x v="3"/>
    <s v="NA"/>
    <s v="U.S.A."/>
    <s v="Valero Refining Company"/>
    <x v="95"/>
    <x v="2"/>
    <x v="15"/>
    <n v="2025"/>
    <n v="1"/>
    <n v="1"/>
    <n v="9.15"/>
    <s v="91.5 kbd CDU off 3/31-5/1"/>
  </r>
  <r>
    <x v="3"/>
    <s v="NA"/>
    <s v="U.S.A."/>
    <s v="Valero Refining Company"/>
    <x v="95"/>
    <x v="3"/>
    <x v="15"/>
    <n v="2025"/>
    <n v="1"/>
    <n v="1"/>
    <n v="19.5"/>
    <s v="30 kbd Fcc down 3/31-5/1"/>
  </r>
  <r>
    <x v="3"/>
    <s v="NA"/>
    <s v="U.S.A."/>
    <s v="CITGO Petroleum Corporation"/>
    <x v="103"/>
    <x v="3"/>
    <x v="15"/>
    <n v="2025"/>
    <n v="1"/>
    <n v="1"/>
    <n v="37.700000000000003"/>
    <s v="58 kbd FCC down 4/1-5/21"/>
  </r>
  <r>
    <x v="3"/>
    <s v="NA"/>
    <s v="U.S.A."/>
    <s v="BP Products North America Incorporated"/>
    <x v="69"/>
    <x v="9"/>
    <x v="15"/>
    <n v="2025"/>
    <n v="1"/>
    <m/>
    <n v="0"/>
    <m/>
  </r>
  <r>
    <x v="3"/>
    <s v="NA"/>
    <s v="U.S.A."/>
    <s v="Cenex Harvest States Incorporated"/>
    <x v="96"/>
    <x v="8"/>
    <x v="15"/>
    <n v="2025"/>
    <n v="1"/>
    <m/>
    <n v="0"/>
    <m/>
  </r>
  <r>
    <x v="3"/>
    <s v="NA"/>
    <s v="U.S.A."/>
    <s v="Cenex Harvest States Incorporated"/>
    <x v="96"/>
    <x v="10"/>
    <x v="15"/>
    <n v="2025"/>
    <n v="1"/>
    <m/>
    <n v="0"/>
    <m/>
  </r>
  <r>
    <x v="3"/>
    <s v="NA"/>
    <s v="U.S.A."/>
    <s v="Cenex Harvest States Incorporated"/>
    <x v="96"/>
    <x v="9"/>
    <x v="15"/>
    <n v="2025"/>
    <n v="1"/>
    <m/>
    <n v="0"/>
    <m/>
  </r>
  <r>
    <x v="3"/>
    <s v="NA"/>
    <s v="U.S.A."/>
    <s v="Cenex Harvest States Incorporated"/>
    <x v="96"/>
    <x v="1"/>
    <x v="15"/>
    <n v="2025"/>
    <n v="1"/>
    <m/>
    <n v="0"/>
    <m/>
  </r>
  <r>
    <x v="3"/>
    <s v="NA"/>
    <s v="U.S.A."/>
    <s v="Cenex Harvest States Incorporated"/>
    <x v="96"/>
    <x v="4"/>
    <x v="15"/>
    <n v="2025"/>
    <n v="1"/>
    <m/>
    <n v="0"/>
    <s v="Alky down with FCC from 3/1-4/29"/>
  </r>
  <r>
    <x v="3"/>
    <s v="NA"/>
    <s v="U.S.A."/>
    <s v="CITGO Petroleum Corporation"/>
    <x v="103"/>
    <x v="4"/>
    <x v="15"/>
    <n v="2025"/>
    <n v="1"/>
    <m/>
    <n v="0"/>
    <m/>
  </r>
  <r>
    <x v="3"/>
    <s v="NA"/>
    <s v="U.S.A."/>
    <s v="Countrymark Cooperative LLP"/>
    <x v="45"/>
    <x v="10"/>
    <x v="15"/>
    <n v="2025"/>
    <n v="1"/>
    <n v="0.43333333333333335"/>
    <n v="0"/>
    <m/>
  </r>
  <r>
    <x v="3"/>
    <s v="NA"/>
    <s v="U.S.A."/>
    <s v="Countrymark Cooperative LLP"/>
    <x v="45"/>
    <x v="1"/>
    <x v="15"/>
    <n v="2025"/>
    <n v="1"/>
    <n v="0.43333333333333335"/>
    <n v="0"/>
    <m/>
  </r>
  <r>
    <x v="3"/>
    <s v="NA"/>
    <s v="U.S.A."/>
    <s v="ExxonMobil Corporation"/>
    <x v="48"/>
    <x v="0"/>
    <x v="15"/>
    <n v="2025"/>
    <n v="1"/>
    <m/>
    <n v="0"/>
    <s v="No work next Spring at Joliet"/>
  </r>
  <r>
    <x v="3"/>
    <s v="NA"/>
    <s v="U.S.A."/>
    <s v="ExxonMobil Corporation"/>
    <x v="48"/>
    <x v="1"/>
    <x v="15"/>
    <n v="2025"/>
    <n v="1"/>
    <m/>
    <n v="0"/>
    <s v="No work next Spring at Joliet"/>
  </r>
  <r>
    <x v="3"/>
    <s v="NA"/>
    <s v="U.S.A."/>
    <s v="HF Sinclair Corporation"/>
    <x v="70"/>
    <x v="8"/>
    <x v="15"/>
    <n v="2025"/>
    <n v="1"/>
    <m/>
    <n v="0"/>
    <m/>
  </r>
  <r>
    <x v="3"/>
    <s v="NA"/>
    <s v="U.S.A."/>
    <s v="HF Sinclair Corporation"/>
    <x v="70"/>
    <x v="10"/>
    <x v="15"/>
    <n v="2025"/>
    <n v="1"/>
    <n v="0.46666666666666667"/>
    <n v="0"/>
    <m/>
  </r>
  <r>
    <x v="3"/>
    <s v="NA"/>
    <s v="U.S.A."/>
    <s v="HF Sinclair Corporation"/>
    <x v="70"/>
    <x v="9"/>
    <x v="15"/>
    <n v="2025"/>
    <n v="1"/>
    <n v="0.46666666666666667"/>
    <n v="0"/>
    <m/>
  </r>
  <r>
    <x v="3"/>
    <s v="NA"/>
    <s v="U.S.A."/>
    <s v="HF Sinclair Corporation"/>
    <x v="70"/>
    <x v="1"/>
    <x v="15"/>
    <n v="2025"/>
    <n v="1"/>
    <n v="0.46666666666666667"/>
    <n v="0"/>
    <m/>
  </r>
  <r>
    <x v="3"/>
    <s v="NA"/>
    <s v="U.S.A."/>
    <s v="HF Sinclair Corporation"/>
    <x v="70"/>
    <x v="4"/>
    <x v="15"/>
    <n v="2025"/>
    <n v="1"/>
    <n v="0.46666666666666667"/>
    <n v="0"/>
    <s v="Alky down with FCC from 3/3-4/16"/>
  </r>
  <r>
    <x v="3"/>
    <s v="NA"/>
    <s v="U.S.A."/>
    <s v="Marathon Petroleum Corporation"/>
    <x v="34"/>
    <x v="8"/>
    <x v="15"/>
    <n v="2025"/>
    <n v="1"/>
    <m/>
    <n v="0"/>
    <m/>
  </r>
  <r>
    <x v="3"/>
    <s v="NA"/>
    <s v="U.S.A."/>
    <s v="Valero Refining Company"/>
    <x v="95"/>
    <x v="8"/>
    <x v="15"/>
    <n v="2025"/>
    <n v="1"/>
    <n v="1"/>
    <n v="0"/>
    <m/>
  </r>
  <r>
    <x v="3"/>
    <s v="NA"/>
    <s v="U.S.A."/>
    <s v="Valero Refining Company"/>
    <x v="95"/>
    <x v="10"/>
    <x v="15"/>
    <n v="2025"/>
    <n v="1"/>
    <n v="1"/>
    <n v="0"/>
    <m/>
  </r>
  <r>
    <x v="3"/>
    <s v="NA"/>
    <s v="U.S.A."/>
    <s v="Valero Refining Company"/>
    <x v="95"/>
    <x v="9"/>
    <x v="15"/>
    <n v="2025"/>
    <n v="1"/>
    <n v="1"/>
    <n v="0"/>
    <m/>
  </r>
  <r>
    <x v="3"/>
    <s v="NA"/>
    <s v="U.S.A."/>
    <s v="Valero Refining Company"/>
    <x v="95"/>
    <x v="1"/>
    <x v="15"/>
    <n v="2025"/>
    <n v="1"/>
    <n v="1"/>
    <n v="0"/>
    <m/>
  </r>
  <r>
    <x v="3"/>
    <s v="NA"/>
    <s v="U.S.A."/>
    <s v="Cenex Harvest States Incorporated"/>
    <x v="96"/>
    <x v="0"/>
    <x v="15"/>
    <n v="2025"/>
    <n v="1"/>
    <n v="0.96666666666666667"/>
    <n v="26.293333333333333"/>
    <s v="32 kbd Reformer down 3/1-4/29"/>
  </r>
  <r>
    <x v="3"/>
    <s v="NA"/>
    <s v="U.S.A."/>
    <s v="Valero Refining Company"/>
    <x v="95"/>
    <x v="4"/>
    <x v="15"/>
    <n v="2025"/>
    <n v="1"/>
    <n v="1"/>
    <n v="0"/>
    <s v="Alky down with the FCC-no impact"/>
  </r>
  <r>
    <x v="3"/>
    <s v="NA"/>
    <s v="U.S.A."/>
    <s v="Valero Refining Company"/>
    <x v="35"/>
    <x v="10"/>
    <x v="15"/>
    <n v="2025"/>
    <n v="1"/>
    <m/>
    <n v="0"/>
    <s v="3/2-5/4 - as of 10/15/24 no longer in IIR database"/>
  </r>
  <r>
    <x v="3"/>
    <s v="NA"/>
    <s v="U.S.A."/>
    <s v="Valero Refining Company"/>
    <x v="35"/>
    <x v="9"/>
    <x v="15"/>
    <n v="2025"/>
    <n v="1"/>
    <m/>
    <n v="0"/>
    <s v="3/2-5/4 - as of 10/15/24 no longer in IIR database"/>
  </r>
  <r>
    <x v="3"/>
    <s v="NA"/>
    <s v="U.S.A."/>
    <s v="Valero Refining Company"/>
    <x v="35"/>
    <x v="1"/>
    <x v="15"/>
    <n v="2025"/>
    <n v="1"/>
    <m/>
    <n v="0"/>
    <s v="3/2-5/4 - as of 10/15/24 no longer in IIR database"/>
  </r>
  <r>
    <x v="3"/>
    <s v="NA"/>
    <s v="U.S.A."/>
    <s v="Valero Refining Company"/>
    <x v="35"/>
    <x v="3"/>
    <x v="15"/>
    <n v="2025"/>
    <n v="1"/>
    <m/>
    <n v="0"/>
    <s v="3/2-5/4 - as of 10/15/24 no longer in IIR database"/>
  </r>
  <r>
    <x v="3"/>
    <s v="NA"/>
    <s v="U.S.A."/>
    <s v="Valero Refining Company"/>
    <x v="35"/>
    <x v="4"/>
    <x v="15"/>
    <n v="2025"/>
    <n v="1"/>
    <m/>
    <n v="0"/>
    <s v="3/2-5/4 - as of 10/15/24 no longer in IIR database"/>
  </r>
  <r>
    <x v="3"/>
    <s v="NA"/>
    <s v="U.S.A."/>
    <s v="WRB Refining LP"/>
    <x v="97"/>
    <x v="8"/>
    <x v="15"/>
    <n v="2025"/>
    <n v="1"/>
    <m/>
    <n v="0"/>
    <m/>
  </r>
  <r>
    <x v="3"/>
    <s v="NA"/>
    <s v="U.S.A."/>
    <s v="Cenex Harvest States Incorporated"/>
    <x v="96"/>
    <x v="5"/>
    <x v="15"/>
    <n v="2025"/>
    <n v="1"/>
    <n v="0.96666666666666667"/>
    <n v="1.45"/>
    <m/>
  </r>
  <r>
    <x v="3"/>
    <s v="NA"/>
    <s v="U.S.A."/>
    <s v="Cenex Harvest States Incorporated"/>
    <x v="96"/>
    <x v="6"/>
    <x v="15"/>
    <n v="2025"/>
    <n v="1"/>
    <n v="0.96666666666666667"/>
    <n v="2.4166666666666665"/>
    <m/>
  </r>
  <r>
    <x v="3"/>
    <s v="NA"/>
    <s v="U.S.A."/>
    <s v="Cenex Harvest States Incorporated"/>
    <x v="96"/>
    <x v="2"/>
    <x v="15"/>
    <n v="2025"/>
    <n v="1"/>
    <n v="0.96666666666666667"/>
    <n v="10.536666666666667"/>
    <s v="109 kbd CDU down from 3/1-4/29"/>
  </r>
  <r>
    <x v="3"/>
    <s v="NA"/>
    <s v="U.S.A."/>
    <s v="Flint Hills Resources LLC"/>
    <x v="65"/>
    <x v="1"/>
    <x v="15"/>
    <n v="2025"/>
    <n v="1"/>
    <n v="1"/>
    <n v="0"/>
    <m/>
  </r>
  <r>
    <x v="3"/>
    <s v="NA"/>
    <s v="U.S.A."/>
    <s v="Cenex Harvest States Incorporated"/>
    <x v="96"/>
    <x v="3"/>
    <x v="15"/>
    <n v="2025"/>
    <n v="1"/>
    <n v="0.96666666666666667"/>
    <n v="14.263166666666667"/>
    <s v="22.7 kbd FCC down from 3/1-4/29"/>
  </r>
  <r>
    <x v="3"/>
    <s v="NA"/>
    <s v="U.S.A."/>
    <s v="Countrymark Cooperative LLP"/>
    <x v="45"/>
    <x v="0"/>
    <x v="15"/>
    <n v="2025"/>
    <n v="1"/>
    <n v="0.8666666666666667"/>
    <n v="4.42"/>
    <s v="6.5 kbd Ref down from 4/4-5/3"/>
  </r>
  <r>
    <x v="3"/>
    <s v="NA"/>
    <s v="U.S.A."/>
    <s v="Flint Hills Resources LLC"/>
    <x v="65"/>
    <x v="4"/>
    <x v="15"/>
    <n v="2025"/>
    <n v="0.5"/>
    <n v="1"/>
    <n v="0"/>
    <m/>
  </r>
  <r>
    <x v="3"/>
    <s v="NA"/>
    <s v="U.S.A."/>
    <s v="Countrymark Cooperative LLP"/>
    <x v="45"/>
    <x v="2"/>
    <x v="15"/>
    <n v="2025"/>
    <n v="1"/>
    <n v="0.43333333333333335"/>
    <n v="1.5166666666666666"/>
    <s v="35 kbd CDU down from 4/4-4/17"/>
  </r>
  <r>
    <x v="3"/>
    <s v="NA"/>
    <s v="U.S.A."/>
    <s v="Flint Hills Resources LLC"/>
    <x v="65"/>
    <x v="2"/>
    <x v="15"/>
    <n v="2025"/>
    <n v="1"/>
    <n v="1"/>
    <n v="47.5"/>
    <s v="190 kbd CDU offline 3/28-5/6"/>
  </r>
  <r>
    <x v="3"/>
    <s v="NA"/>
    <s v="U.S.A."/>
    <s v="Flint Hills Resources LLC"/>
    <x v="65"/>
    <x v="6"/>
    <x v="15"/>
    <n v="2025"/>
    <n v="1"/>
    <n v="1"/>
    <n v="3.0249999999999999"/>
    <s v="16.5 kbd Coker offline 3/28-4/9"/>
  </r>
  <r>
    <x v="3"/>
    <s v="NA"/>
    <s v="U.S.A."/>
    <s v="Flint Hills Resources LLC"/>
    <x v="65"/>
    <x v="3"/>
    <x v="15"/>
    <n v="2025"/>
    <n v="1"/>
    <n v="1"/>
    <n v="55.25"/>
    <s v="85 kbd FCC offline 3/28-5/6"/>
  </r>
  <r>
    <x v="3"/>
    <s v="NA"/>
    <s v="U.S.A."/>
    <s v="Marathon Petroleum Corporation"/>
    <x v="34"/>
    <x v="5"/>
    <x v="15"/>
    <n v="2025"/>
    <n v="1"/>
    <n v="0.9"/>
    <n v="1.2600000000000002"/>
    <s v="28 kbd HDC down 3/18-4/27"/>
  </r>
  <r>
    <x v="3"/>
    <s v="NA"/>
    <s v="U.S.A."/>
    <s v="Marathon Petroleum Corporation"/>
    <x v="34"/>
    <x v="6"/>
    <x v="15"/>
    <n v="2025"/>
    <n v="1"/>
    <n v="0.9"/>
    <n v="3.375"/>
    <s v="15 kbd Coker down 3/18-4/27"/>
  </r>
  <r>
    <x v="3"/>
    <s v="NA"/>
    <s v="U.S.A."/>
    <s v="Marathon Petroleum Corporation"/>
    <x v="34"/>
    <x v="2"/>
    <x v="15"/>
    <n v="2025"/>
    <n v="1"/>
    <n v="0.9"/>
    <n v="57.375"/>
    <s v="255 kbd CDU down 3/18 - 4/27"/>
  </r>
  <r>
    <x v="3"/>
    <s v="NA"/>
    <s v="U.S.A."/>
    <s v="Cenovus Energy Incorporated"/>
    <x v="98"/>
    <x v="0"/>
    <x v="15"/>
    <n v="2025"/>
    <n v="1"/>
    <n v="1"/>
    <n v="34"/>
    <s v="40 kbd reformer down 3/12-5/1"/>
  </r>
  <r>
    <x v="3"/>
    <s v="NA"/>
    <s v="U.S.A."/>
    <s v="Cenovus Energy Incorporated"/>
    <x v="98"/>
    <x v="5"/>
    <x v="15"/>
    <n v="2025"/>
    <n v="1"/>
    <n v="1"/>
    <n v="1.75"/>
    <s v="35 kbd HDC down 3/12-5/1"/>
  </r>
  <r>
    <x v="3"/>
    <s v="NA"/>
    <s v="U.S.A."/>
    <s v="HF Sinclair Corporation"/>
    <x v="70"/>
    <x v="0"/>
    <x v="15"/>
    <n v="2025"/>
    <n v="1"/>
    <n v="0.46666666666666667"/>
    <n v="4.3633333333333333"/>
    <s v="22 kbd Reformer down 3/3-4/16"/>
  </r>
  <r>
    <x v="3"/>
    <s v="NA"/>
    <s v="U.S.A."/>
    <s v="HF Sinclair Corporation"/>
    <x v="70"/>
    <x v="2"/>
    <x v="15"/>
    <n v="2025"/>
    <n v="1"/>
    <n v="0.46666666666666667"/>
    <n v="1.8666666666666667"/>
    <s v="40 kbd CDU unit down 3/3-4/16"/>
  </r>
  <r>
    <x v="3"/>
    <s v="NA"/>
    <s v="U.S.A."/>
    <s v="HF Sinclair Corporation"/>
    <x v="70"/>
    <x v="3"/>
    <x v="15"/>
    <n v="2025"/>
    <n v="1"/>
    <n v="0.46666666666666667"/>
    <n v="8.7966666666666669"/>
    <s v="29 kbd FCC down 3/3-4/16"/>
  </r>
  <r>
    <x v="3"/>
    <s v="NA"/>
    <s v="U.S.A."/>
    <s v="WRB Refining LP"/>
    <x v="97"/>
    <x v="2"/>
    <x v="15"/>
    <n v="2025"/>
    <n v="1"/>
    <m/>
    <n v="7.083333333333333"/>
    <s v="170 kbd CDU down 3/7-4/5"/>
  </r>
  <r>
    <x v="3"/>
    <s v="NA"/>
    <s v="U.S.A."/>
    <s v="WRB Refining LP"/>
    <x v="97"/>
    <x v="3"/>
    <x v="15"/>
    <n v="2025"/>
    <n v="1"/>
    <m/>
    <n v="4.55"/>
    <s v="42 kbd FCC down 3/7-4/5"/>
  </r>
  <r>
    <x v="0"/>
    <s v="NA"/>
    <s v="U.S.A."/>
    <s v="Chevron Corporation"/>
    <x v="38"/>
    <x v="2"/>
    <x v="15"/>
    <n v="2025"/>
    <n v="1"/>
    <n v="0.16666666666666666"/>
    <n v="7.2916666666666661"/>
    <s v="175 kbd CDU unit down 3/7-4/5"/>
  </r>
  <r>
    <x v="0"/>
    <s v="NA"/>
    <s v="U.S.A."/>
    <s v="Chevron Phillips Chemical Company LP"/>
    <x v="104"/>
    <x v="7"/>
    <x v="15"/>
    <n v="2025"/>
    <n v="1"/>
    <n v="1"/>
    <n v="0"/>
    <m/>
  </r>
  <r>
    <x v="0"/>
    <s v="NA"/>
    <s v="U.S.A."/>
    <s v="CITGO Petroleum Corporation"/>
    <x v="88"/>
    <x v="8"/>
    <x v="15"/>
    <n v="2025"/>
    <n v="1"/>
    <n v="0.23333333333333334"/>
    <n v="0"/>
    <m/>
  </r>
  <r>
    <x v="0"/>
    <s v="NA"/>
    <s v="U.S.A."/>
    <s v="CITGO Petroleum Corporation"/>
    <x v="88"/>
    <x v="0"/>
    <x v="15"/>
    <n v="2025"/>
    <n v="1"/>
    <n v="0.23333333333333334"/>
    <n v="5.95"/>
    <s v="30 kbd Reformer down 3/3-4/7"/>
  </r>
  <r>
    <x v="0"/>
    <s v="NA"/>
    <s v="U.S.A."/>
    <s v="CITGO Petroleum Corporation"/>
    <x v="88"/>
    <x v="10"/>
    <x v="15"/>
    <n v="2025"/>
    <n v="1"/>
    <n v="0.23333333333333334"/>
    <n v="0"/>
    <m/>
  </r>
  <r>
    <x v="0"/>
    <s v="NA"/>
    <s v="U.S.A."/>
    <s v="CITGO Petroleum Corporation"/>
    <x v="88"/>
    <x v="9"/>
    <x v="15"/>
    <n v="2025"/>
    <n v="1"/>
    <n v="0.23333333333333334"/>
    <n v="0"/>
    <m/>
  </r>
  <r>
    <x v="0"/>
    <s v="NA"/>
    <s v="U.S.A."/>
    <s v="CITGO Petroleum Corporation"/>
    <x v="88"/>
    <x v="1"/>
    <x v="15"/>
    <n v="2025"/>
    <n v="1"/>
    <n v="0.23333333333333334"/>
    <n v="0"/>
    <m/>
  </r>
  <r>
    <x v="0"/>
    <s v="NA"/>
    <s v="U.S.A."/>
    <s v="CITGO Petroleum Corporation"/>
    <x v="88"/>
    <x v="6"/>
    <x v="15"/>
    <n v="2025"/>
    <n v="1"/>
    <n v="0.23333333333333334"/>
    <n v="1.0266666666666668"/>
    <s v="44 kbd Coker down 3/3-4/7"/>
  </r>
  <r>
    <x v="0"/>
    <s v="NA"/>
    <s v="U.S.A."/>
    <s v="CITGO Petroleum Corporation"/>
    <x v="88"/>
    <x v="3"/>
    <x v="15"/>
    <n v="2025"/>
    <n v="1"/>
    <n v="0.23333333333333334"/>
    <n v="10.465"/>
    <s v="69 kbd FCC down 3/3-4/7"/>
  </r>
  <r>
    <x v="0"/>
    <s v="NA"/>
    <s v="U.S.A."/>
    <s v="CITGO Petroleum Corporation"/>
    <x v="88"/>
    <x v="4"/>
    <x v="15"/>
    <n v="2025"/>
    <n v="1"/>
    <m/>
    <n v="0"/>
    <m/>
  </r>
  <r>
    <x v="0"/>
    <s v="NA"/>
    <s v="U.S.A."/>
    <s v="Phillips 66"/>
    <x v="36"/>
    <x v="2"/>
    <x v="15"/>
    <n v="2025"/>
    <n v="1"/>
    <n v="1"/>
    <n v="4.7133333329999996"/>
    <s v="Not seeing Apr CDU work in IIR any more"/>
  </r>
  <r>
    <x v="0"/>
    <s v="NA"/>
    <s v="U.S.A."/>
    <s v="Phillips 66"/>
    <x v="36"/>
    <x v="3"/>
    <x v="15"/>
    <n v="2025"/>
    <n v="1"/>
    <n v="1"/>
    <n v="45.24"/>
    <s v="78 kbd FCC work from 4/1-5/4"/>
  </r>
  <r>
    <x v="0"/>
    <s v="NA"/>
    <s v="U.S.A."/>
    <s v="Shell Oil Products US"/>
    <x v="78"/>
    <x v="1"/>
    <x v="15"/>
    <n v="2025"/>
    <n v="1"/>
    <m/>
    <n v="0"/>
    <m/>
  </r>
  <r>
    <x v="0"/>
    <s v="NA"/>
    <s v="U.S.A."/>
    <s v="Shell Oil Products US"/>
    <x v="78"/>
    <x v="6"/>
    <x v="15"/>
    <n v="2025"/>
    <n v="1"/>
    <n v="0.6333333333333333"/>
    <n v="3.9899999999999993"/>
    <s v="21 kbd Coker down from 3/1-4/19"/>
  </r>
  <r>
    <x v="0"/>
    <s v="NA"/>
    <s v="U.S.A."/>
    <s v="Valero Refining Company"/>
    <x v="50"/>
    <x v="5"/>
    <x v="15"/>
    <n v="2025"/>
    <n v="1"/>
    <m/>
    <n v="0.55000000000000004"/>
    <s v="11 kbd HDC down 4/1-5/1"/>
  </r>
  <r>
    <x v="0"/>
    <s v="NA"/>
    <s v="U.S.A."/>
    <s v="Valero Refining Company"/>
    <x v="2"/>
    <x v="10"/>
    <x v="15"/>
    <n v="2025"/>
    <n v="1"/>
    <m/>
    <n v="0"/>
    <m/>
  </r>
  <r>
    <x v="0"/>
    <s v="NA"/>
    <s v="U.S.A."/>
    <s v="Valero Refining Company"/>
    <x v="2"/>
    <x v="1"/>
    <x v="15"/>
    <n v="2025"/>
    <n v="1"/>
    <m/>
    <n v="0"/>
    <m/>
  </r>
  <r>
    <x v="0"/>
    <s v="NA"/>
    <s v="U.S.A."/>
    <s v="Valero Refining Company"/>
    <x v="2"/>
    <x v="5"/>
    <x v="15"/>
    <n v="2025"/>
    <n v="1"/>
    <m/>
    <n v="3"/>
    <s v="60 kbd HDC down 3/14-5/8"/>
  </r>
  <r>
    <x v="0"/>
    <s v="NA"/>
    <s v="U.S.A."/>
    <s v="Valero Refining Company"/>
    <x v="2"/>
    <x v="3"/>
    <x v="15"/>
    <n v="2025"/>
    <n v="1"/>
    <m/>
    <n v="65"/>
    <s v="100 kbd FCC down 3/14-5/8"/>
  </r>
  <r>
    <x v="0"/>
    <s v="NA"/>
    <s v="U.S.A."/>
    <s v="Valero Refining Company"/>
    <x v="2"/>
    <x v="4"/>
    <x v="15"/>
    <n v="2025"/>
    <n v="1"/>
    <m/>
    <n v="0"/>
    <s v="Alky down but 0ing since FCC is also down"/>
  </r>
  <r>
    <x v="0"/>
    <s v="NA"/>
    <s v="U.S.A."/>
    <s v="WRB Refining LP"/>
    <x v="25"/>
    <x v="10"/>
    <x v="15"/>
    <n v="2025"/>
    <n v="1"/>
    <m/>
    <n v="0"/>
    <s v="No longer in IIR data base"/>
  </r>
  <r>
    <x v="0"/>
    <s v="NA"/>
    <s v="U.S.A."/>
    <s v="WRB Refining LP"/>
    <x v="25"/>
    <x v="3"/>
    <x v="15"/>
    <n v="2025"/>
    <n v="1"/>
    <m/>
    <n v="0"/>
    <s v="No longer in IIR data base"/>
  </r>
  <r>
    <x v="0"/>
    <s v="NA"/>
    <s v="U.S.A."/>
    <s v="WRB Refining LP"/>
    <x v="25"/>
    <x v="4"/>
    <x v="15"/>
    <n v="2025"/>
    <n v="1"/>
    <m/>
    <n v="0"/>
    <s v="No longer in IIR data base"/>
  </r>
  <r>
    <x v="4"/>
    <s v="NA"/>
    <s v="U.S.A."/>
    <s v="Silver Eagle Refining Incorporated"/>
    <x v="58"/>
    <x v="0"/>
    <x v="15"/>
    <n v="2025"/>
    <n v="1"/>
    <n v="6.6666666666666666E-2"/>
    <n v="0.17"/>
    <s v="3 kbd Reformer down 4/29-5/12"/>
  </r>
  <r>
    <x v="4"/>
    <s v="NA"/>
    <s v="U.S.A."/>
    <s v="Silver Eagle Refining Incorporated"/>
    <x v="58"/>
    <x v="2"/>
    <x v="15"/>
    <n v="2025"/>
    <n v="1"/>
    <n v="6.6666666666666666E-2"/>
    <n v="2.2666666666666668E-2"/>
    <s v="3.4 kbd CDU down 4/29-5/12"/>
  </r>
  <r>
    <x v="4"/>
    <s v="NA"/>
    <s v="U.S.A."/>
    <s v="Calumet Great Falls"/>
    <x v="105"/>
    <x v="0"/>
    <x v="15"/>
    <n v="2025"/>
    <n v="1"/>
    <n v="0.8666666666666667"/>
    <n v="0"/>
    <s v="1 kbd Reformer down 4/4-5/13"/>
  </r>
  <r>
    <x v="4"/>
    <s v="NA"/>
    <s v="U.S.A."/>
    <s v="Calumet Great Falls"/>
    <x v="105"/>
    <x v="5"/>
    <x v="15"/>
    <n v="2025"/>
    <n v="1"/>
    <n v="0.8666666666666667"/>
    <n v="0.78"/>
    <s v="18 kbd HDC down 4/4-5/13"/>
  </r>
  <r>
    <x v="4"/>
    <s v="NA"/>
    <s v="U.S.A."/>
    <s v="Calumet Great Falls"/>
    <x v="105"/>
    <x v="2"/>
    <x v="15"/>
    <n v="2025"/>
    <n v="1"/>
    <n v="0.8666666666666667"/>
    <n v="2.166666666666667"/>
    <s v="(10+15) 25 kbd CDUs down 4/4-5/13"/>
  </r>
  <r>
    <x v="4"/>
    <s v="NA"/>
    <s v="U.S.A."/>
    <s v="Calumet Great Falls"/>
    <x v="105"/>
    <x v="3"/>
    <x v="15"/>
    <n v="2025"/>
    <n v="1"/>
    <n v="0.8666666666666667"/>
    <n v="1.5773333333333333"/>
    <s v="2.8 kbd FCC down 4/4-5/13"/>
  </r>
  <r>
    <x v="4"/>
    <s v="NA"/>
    <s v="U.S.A."/>
    <s v="Calumet Great Falls"/>
    <x v="105"/>
    <x v="8"/>
    <x v="15"/>
    <n v="2025"/>
    <n v="1"/>
    <n v="0.8666666666666667"/>
    <n v="0"/>
    <m/>
  </r>
  <r>
    <x v="4"/>
    <s v="NA"/>
    <s v="U.S.A."/>
    <s v="Calumet Great Falls"/>
    <x v="105"/>
    <x v="10"/>
    <x v="15"/>
    <n v="2025"/>
    <n v="1"/>
    <n v="0.8666666666666667"/>
    <n v="0"/>
    <m/>
  </r>
  <r>
    <x v="4"/>
    <s v="NA"/>
    <s v="U.S.A."/>
    <s v="Calumet Great Falls"/>
    <x v="105"/>
    <x v="9"/>
    <x v="15"/>
    <n v="2025"/>
    <n v="1"/>
    <n v="0.8666666666666667"/>
    <n v="0"/>
    <m/>
  </r>
  <r>
    <x v="4"/>
    <s v="NA"/>
    <s v="U.S.A."/>
    <s v="Calumet Great Falls"/>
    <x v="105"/>
    <x v="1"/>
    <x v="15"/>
    <n v="2025"/>
    <n v="1"/>
    <n v="0.8666666666666667"/>
    <n v="0"/>
    <m/>
  </r>
  <r>
    <x v="4"/>
    <s v="NA"/>
    <s v="U.S.A."/>
    <s v="Calumet Great Falls"/>
    <x v="105"/>
    <x v="4"/>
    <x v="15"/>
    <n v="2025"/>
    <n v="1"/>
    <n v="0.8666666666666667"/>
    <n v="0"/>
    <s v="Zeroing alky out since the FCC is down"/>
  </r>
  <r>
    <x v="4"/>
    <s v="NA"/>
    <s v="U.S.A."/>
    <s v="Par Pacific Holdings Incorporated"/>
    <x v="67"/>
    <x v="4"/>
    <x v="15"/>
    <n v="2025"/>
    <n v="1"/>
    <n v="1"/>
    <n v="0"/>
    <s v="Zeroing alky out since the FCC is down"/>
  </r>
  <r>
    <x v="4"/>
    <s v="NA"/>
    <s v="U.S.A."/>
    <s v="Silver Eagle Refining Incorporated"/>
    <x v="58"/>
    <x v="9"/>
    <x v="15"/>
    <n v="2025"/>
    <n v="1"/>
    <n v="6.6666666666666666E-2"/>
    <n v="0"/>
    <m/>
  </r>
  <r>
    <x v="4"/>
    <s v="NA"/>
    <s v="U.S.A."/>
    <s v="Silver Eagle Refining Incorporated"/>
    <x v="58"/>
    <x v="1"/>
    <x v="15"/>
    <n v="2025"/>
    <n v="1"/>
    <n v="6.6666666666666666E-2"/>
    <n v="0"/>
    <m/>
  </r>
  <r>
    <x v="4"/>
    <s v="NA"/>
    <s v="U.S.A."/>
    <s v="Par Pacific Holdings Incorporated"/>
    <x v="67"/>
    <x v="3"/>
    <x v="15"/>
    <n v="2025"/>
    <n v="1"/>
    <n v="1"/>
    <n v="13.65"/>
    <s v="21 kbd FCC down 4/1-5/10"/>
  </r>
  <r>
    <x v="4"/>
    <s v="NA"/>
    <s v="U.S.A."/>
    <s v="HF Sinclair Corporation"/>
    <x v="51"/>
    <x v="0"/>
    <x v="15"/>
    <n v="2025"/>
    <n v="1"/>
    <n v="1"/>
    <n v="6.8"/>
    <s v="8 kbd Reformer down 3/2-5/5"/>
  </r>
  <r>
    <x v="1"/>
    <s v="NA"/>
    <s v="U.S.A."/>
    <s v="Marathon Petroleum Corporation"/>
    <x v="90"/>
    <x v="2"/>
    <x v="15"/>
    <n v="2025"/>
    <n v="1"/>
    <m/>
    <n v="17"/>
    <s v="2/28-4/17. CDU (120)"/>
  </r>
  <r>
    <x v="1"/>
    <s v="NA"/>
    <s v="U.S.A."/>
    <s v="BP Products North America Incorporated"/>
    <x v="52"/>
    <x v="6"/>
    <x v="15"/>
    <n v="2025"/>
    <n v="1"/>
    <n v="0.6"/>
    <n v="9.9"/>
    <s v="55 kbd Coker down 4/12-4/30"/>
  </r>
  <r>
    <x v="1"/>
    <s v="NA"/>
    <s v="U.S.A."/>
    <s v="BP Products North America Incorporated"/>
    <x v="52"/>
    <x v="2"/>
    <x v="15"/>
    <n v="2025"/>
    <n v="1"/>
    <n v="0.36666666666666664"/>
    <n v="22.916666666666664"/>
    <s v="250 kbd CDU down 3/28-4/11"/>
  </r>
  <r>
    <x v="1"/>
    <s v="NA"/>
    <s v="U.S.A."/>
    <s v="Marathon Petroleum Corporation"/>
    <x v="101"/>
    <x v="6"/>
    <x v="15"/>
    <n v="2025"/>
    <n v="1"/>
    <m/>
    <n v="2.3399999999999994"/>
    <s v="cdu (200), coker (39) 3/2-4/6"/>
  </r>
  <r>
    <x v="1"/>
    <s v="NA"/>
    <s v="U.S.A."/>
    <s v="Marathon Petroleum Corporation"/>
    <x v="101"/>
    <x v="2"/>
    <x v="15"/>
    <n v="2025"/>
    <n v="1"/>
    <m/>
    <n v="10"/>
    <s v="cdu (200), coker (39) 3/2-4/6"/>
  </r>
  <r>
    <x v="1"/>
    <s v="NA"/>
    <s v="U.S.A."/>
    <s v="Marathon Petroleum Corporation"/>
    <x v="102"/>
    <x v="2"/>
    <x v="15"/>
    <n v="2025"/>
    <n v="1"/>
    <m/>
    <n v="4.291666666666667"/>
    <s v="cdu (103) 3/7-4/5"/>
  </r>
  <r>
    <x v="1"/>
    <s v="NA"/>
    <s v="U.S.A."/>
    <s v="Chevron Corporation"/>
    <x v="60"/>
    <x v="3"/>
    <x v="15"/>
    <n v="2025"/>
    <n v="1"/>
    <m/>
    <n v="41.6"/>
    <s v="FCC (80) 3/1-4/24"/>
  </r>
  <r>
    <x v="1"/>
    <s v="NA"/>
    <s v="U.S.A."/>
    <s v="Chevron Corporation"/>
    <x v="60"/>
    <x v="4"/>
    <x v="15"/>
    <n v="2025"/>
    <n v="1"/>
    <m/>
    <n v="1.6"/>
    <s v="FCC (80) 3/1-4/24"/>
  </r>
  <r>
    <x v="2"/>
    <s v="NA"/>
    <s v="U.S.A."/>
    <s v="Ergon West Virginia Incorporated"/>
    <x v="94"/>
    <x v="8"/>
    <x v="16"/>
    <n v="2025"/>
    <n v="1"/>
    <n v="1"/>
    <n v="0"/>
    <m/>
  </r>
  <r>
    <x v="2"/>
    <s v="NA"/>
    <s v="U.S.A."/>
    <s v="Ergon West Virginia Incorporated"/>
    <x v="94"/>
    <x v="0"/>
    <x v="16"/>
    <n v="2025"/>
    <n v="1"/>
    <n v="1"/>
    <n v="3.06"/>
    <m/>
  </r>
  <r>
    <x v="2"/>
    <s v="NA"/>
    <s v="U.S.A."/>
    <s v="Ergon West Virginia Incorporated"/>
    <x v="94"/>
    <x v="9"/>
    <x v="16"/>
    <n v="2025"/>
    <n v="1"/>
    <n v="1"/>
    <n v="0"/>
    <m/>
  </r>
  <r>
    <x v="2"/>
    <s v="NA"/>
    <s v="U.S.A."/>
    <s v="Ergon West Virginia Incorporated"/>
    <x v="94"/>
    <x v="1"/>
    <x v="16"/>
    <n v="2025"/>
    <n v="1"/>
    <n v="1"/>
    <n v="0"/>
    <m/>
  </r>
  <r>
    <x v="2"/>
    <s v="NA"/>
    <s v="U.S.A."/>
    <s v="Ergon West Virginia Incorporated"/>
    <x v="94"/>
    <x v="5"/>
    <x v="16"/>
    <n v="2025"/>
    <n v="1"/>
    <n v="1"/>
    <n v="0.215"/>
    <m/>
  </r>
  <r>
    <x v="2"/>
    <s v="NA"/>
    <s v="U.S.A."/>
    <s v="Ergon West Virginia Incorporated"/>
    <x v="94"/>
    <x v="2"/>
    <x v="16"/>
    <n v="2025"/>
    <n v="1"/>
    <n v="1"/>
    <n v="2.3000000000000003"/>
    <m/>
  </r>
  <r>
    <x v="3"/>
    <s v="NA"/>
    <s v="U.S.A."/>
    <s v="Valero Refining Company"/>
    <x v="95"/>
    <x v="0"/>
    <x v="16"/>
    <n v="2025"/>
    <n v="1"/>
    <n v="1"/>
    <n v="25.5"/>
    <s v="30 kbd ref, down 3/31-5/1 updated to last through 6/15"/>
  </r>
  <r>
    <x v="3"/>
    <s v="NA"/>
    <s v="U.S.A."/>
    <s v="Valero Refining Company"/>
    <x v="95"/>
    <x v="5"/>
    <x v="16"/>
    <n v="2025"/>
    <n v="1"/>
    <n v="1"/>
    <n v="0.60000000000000009"/>
    <s v="12 kbd HDC down 3/31 - 5/1 now thru 6/15"/>
  </r>
  <r>
    <x v="3"/>
    <s v="NA"/>
    <s v="U.S.A."/>
    <s v="Valero Refining Company"/>
    <x v="95"/>
    <x v="2"/>
    <x v="16"/>
    <n v="2025"/>
    <n v="1"/>
    <n v="1"/>
    <n v="9.15"/>
    <s v="91.5 kbd CDU off 3/31-5/1"/>
  </r>
  <r>
    <x v="3"/>
    <s v="NA"/>
    <s v="U.S.A."/>
    <s v="Valero Refining Company"/>
    <x v="95"/>
    <x v="3"/>
    <x v="16"/>
    <n v="2025"/>
    <n v="1"/>
    <n v="1"/>
    <n v="19.5"/>
    <s v="30 kbd Fcc down 3/31-5/1"/>
  </r>
  <r>
    <x v="3"/>
    <s v="NA"/>
    <s v="U.S.A."/>
    <s v="BP Products North America Incorporated"/>
    <x v="69"/>
    <x v="9"/>
    <x v="16"/>
    <n v="2025"/>
    <n v="1"/>
    <m/>
    <n v="0"/>
    <m/>
  </r>
  <r>
    <x v="3"/>
    <s v="NA"/>
    <s v="U.S.A."/>
    <s v="Countrymark Cooperative LLP"/>
    <x v="45"/>
    <x v="0"/>
    <x v="16"/>
    <n v="2025"/>
    <n v="1"/>
    <n v="9.6774193548387094E-2"/>
    <n v="0.49354838709677412"/>
    <s v="6.5 kbd Ref down from 4/4-5/3"/>
  </r>
  <r>
    <x v="3"/>
    <s v="NA"/>
    <s v="U.S.A."/>
    <s v="Countrymark Cooperative LLP"/>
    <x v="45"/>
    <x v="10"/>
    <x v="16"/>
    <n v="2025"/>
    <n v="1"/>
    <m/>
    <n v="0"/>
    <m/>
  </r>
  <r>
    <x v="3"/>
    <s v="NA"/>
    <s v="U.S.A."/>
    <s v="Countrymark Cooperative LLP"/>
    <x v="45"/>
    <x v="1"/>
    <x v="16"/>
    <n v="2025"/>
    <n v="1"/>
    <m/>
    <n v="0"/>
    <m/>
  </r>
  <r>
    <x v="3"/>
    <s v="NA"/>
    <s v="U.S.A."/>
    <s v="ExxonMobil Corporation"/>
    <x v="48"/>
    <x v="0"/>
    <x v="16"/>
    <n v="2025"/>
    <n v="1"/>
    <m/>
    <n v="0"/>
    <s v="No work next Spring at Joliet"/>
  </r>
  <r>
    <x v="3"/>
    <s v="NA"/>
    <s v="U.S.A."/>
    <s v="ExxonMobil Corporation"/>
    <x v="48"/>
    <x v="1"/>
    <x v="16"/>
    <n v="2025"/>
    <n v="1"/>
    <m/>
    <n v="0"/>
    <s v="No work next Spring at Joliet"/>
  </r>
  <r>
    <x v="3"/>
    <s v="NA"/>
    <s v="U.S.A."/>
    <s v="Valero Refining Company"/>
    <x v="95"/>
    <x v="8"/>
    <x v="16"/>
    <n v="2025"/>
    <n v="1"/>
    <n v="3.3333333333333333E-2"/>
    <n v="0"/>
    <m/>
  </r>
  <r>
    <x v="3"/>
    <s v="NA"/>
    <s v="U.S.A."/>
    <s v="Valero Refining Company"/>
    <x v="95"/>
    <x v="10"/>
    <x v="16"/>
    <n v="2025"/>
    <n v="1"/>
    <n v="3.3333333333333333E-2"/>
    <n v="0"/>
    <m/>
  </r>
  <r>
    <x v="3"/>
    <s v="NA"/>
    <s v="U.S.A."/>
    <s v="Valero Refining Company"/>
    <x v="95"/>
    <x v="9"/>
    <x v="16"/>
    <n v="2025"/>
    <n v="1"/>
    <n v="3.3333333333333333E-2"/>
    <n v="0"/>
    <m/>
  </r>
  <r>
    <x v="3"/>
    <s v="NA"/>
    <s v="U.S.A."/>
    <s v="Valero Refining Company"/>
    <x v="95"/>
    <x v="1"/>
    <x v="16"/>
    <n v="2025"/>
    <n v="1"/>
    <n v="3.3333333333333333E-2"/>
    <n v="0"/>
    <m/>
  </r>
  <r>
    <x v="3"/>
    <s v="NA"/>
    <s v="U.S.A."/>
    <s v="Valero Refining Company"/>
    <x v="95"/>
    <x v="4"/>
    <x v="16"/>
    <n v="2025"/>
    <n v="1"/>
    <n v="3.3333333333333333E-2"/>
    <n v="0"/>
    <s v="Alky down with the FCC-no impact"/>
  </r>
  <r>
    <x v="3"/>
    <s v="NA"/>
    <s v="U.S.A."/>
    <s v="Valero Refining Company"/>
    <x v="35"/>
    <x v="9"/>
    <x v="16"/>
    <n v="2025"/>
    <n v="1"/>
    <m/>
    <n v="0"/>
    <s v="3/2-5/4 - as of 10/15/24 no longer in IIR database"/>
  </r>
  <r>
    <x v="3"/>
    <s v="NA"/>
    <s v="U.S.A."/>
    <s v="Valero Refining Company"/>
    <x v="35"/>
    <x v="1"/>
    <x v="16"/>
    <n v="2025"/>
    <n v="1"/>
    <m/>
    <n v="0"/>
    <s v="3/2-5/4 - as of 10/15/24 no longer in IIR database"/>
  </r>
  <r>
    <x v="3"/>
    <s v="NA"/>
    <s v="U.S.A."/>
    <s v="Flint Hills Resources LLC"/>
    <x v="65"/>
    <x v="2"/>
    <x v="16"/>
    <n v="2025"/>
    <n v="1"/>
    <n v="0.19354838709677419"/>
    <n v="9.193548387096774"/>
    <s v="190 kbd CDU offline 3/28-5/6"/>
  </r>
  <r>
    <x v="3"/>
    <s v="NA"/>
    <s v="U.S.A."/>
    <s v="Flint Hills Resources LLC"/>
    <x v="65"/>
    <x v="1"/>
    <x v="16"/>
    <n v="2025"/>
    <n v="1"/>
    <n v="0.19354838709677419"/>
    <n v="0"/>
    <m/>
  </r>
  <r>
    <x v="3"/>
    <s v="NA"/>
    <s v="U.S.A."/>
    <s v="Flint Hills Resources LLC"/>
    <x v="65"/>
    <x v="6"/>
    <x v="16"/>
    <n v="2025"/>
    <n v="1"/>
    <n v="0.19354838709677419"/>
    <n v="0"/>
    <s v="16.5 kbd Coker offline 3/28-4/9"/>
  </r>
  <r>
    <x v="3"/>
    <s v="NA"/>
    <s v="U.S.A."/>
    <s v="Flint Hills Resources LLC"/>
    <x v="65"/>
    <x v="3"/>
    <x v="16"/>
    <n v="2025"/>
    <n v="1"/>
    <n v="0.19354838709677419"/>
    <n v="10.693548387096774"/>
    <s v="85 kbd FCC offline 3/28-5/6"/>
  </r>
  <r>
    <x v="3"/>
    <s v="NA"/>
    <s v="U.S.A."/>
    <s v="Flint Hills Resources LLC"/>
    <x v="65"/>
    <x v="4"/>
    <x v="16"/>
    <n v="2025"/>
    <n v="0.5"/>
    <n v="0.19354838709677419"/>
    <n v="0"/>
    <m/>
  </r>
  <r>
    <x v="3"/>
    <s v="NA"/>
    <s v="U.S.A."/>
    <s v="Cenovus Energy Incorporated"/>
    <x v="98"/>
    <x v="0"/>
    <x v="16"/>
    <n v="2025"/>
    <n v="1"/>
    <n v="1"/>
    <n v="34"/>
    <s v="40 kbd reformer down 3/12-5/1. extended through 6/15"/>
  </r>
  <r>
    <x v="3"/>
    <s v="NA"/>
    <s v="U.S.A."/>
    <s v="Cenovus Energy Incorporated"/>
    <x v="98"/>
    <x v="5"/>
    <x v="16"/>
    <n v="2025"/>
    <n v="1"/>
    <n v="1"/>
    <n v="1.75"/>
    <s v="35 kbd HDC down 3/12-5/1. extended through 6/15"/>
  </r>
  <r>
    <x v="0"/>
    <s v="NA"/>
    <s v="U.S.A."/>
    <s v="Hunt Refining Company"/>
    <x v="64"/>
    <x v="6"/>
    <x v="16"/>
    <n v="2025"/>
    <n v="1"/>
    <n v="0.54838709677419351"/>
    <n v="5.2645161290322573"/>
    <s v="32kbd coker 5/14-7/6"/>
  </r>
  <r>
    <x v="0"/>
    <s v="NA"/>
    <s v="U.S.A."/>
    <s v="Chevron Phillips Chemical Company LP"/>
    <x v="104"/>
    <x v="7"/>
    <x v="16"/>
    <n v="2025"/>
    <n v="1"/>
    <n v="0.12903225806451613"/>
    <n v="0"/>
    <m/>
  </r>
  <r>
    <x v="0"/>
    <s v="NA"/>
    <s v="U.S.A."/>
    <s v="INEOS Olefins &amp; Polymers"/>
    <x v="40"/>
    <x v="7"/>
    <x v="16"/>
    <n v="2025"/>
    <n v="1"/>
    <m/>
    <n v="0"/>
    <m/>
  </r>
  <r>
    <x v="0"/>
    <s v="NA"/>
    <s v="U.S.A."/>
    <s v="ONEOK Incorporated"/>
    <x v="24"/>
    <x v="10"/>
    <x v="16"/>
    <n v="2025"/>
    <n v="1"/>
    <m/>
    <n v="0"/>
    <m/>
  </r>
  <r>
    <x v="0"/>
    <s v="NA"/>
    <s v="U.S.A."/>
    <s v="Phillips 66"/>
    <x v="36"/>
    <x v="2"/>
    <x v="16"/>
    <n v="2025"/>
    <n v="1"/>
    <n v="0.12903225806451613"/>
    <n v="5.6559999999999997"/>
    <s v="Not seeing Apr CDU work in IIR any more"/>
  </r>
  <r>
    <x v="0"/>
    <s v="NA"/>
    <s v="U.S.A."/>
    <s v="Phillips 66"/>
    <x v="36"/>
    <x v="3"/>
    <x v="16"/>
    <n v="2025"/>
    <n v="1"/>
    <n v="0.12903225806451613"/>
    <n v="6.032"/>
    <s v="78 kbd FCC work from 4/1-5/4"/>
  </r>
  <r>
    <x v="0"/>
    <s v="NA"/>
    <s v="U.S.A."/>
    <s v="Valero Refining Company"/>
    <x v="50"/>
    <x v="5"/>
    <x v="16"/>
    <n v="2025"/>
    <n v="1"/>
    <m/>
    <n v="5.5E-2"/>
    <s v="11 kbd HDC down 4/1-5/1"/>
  </r>
  <r>
    <x v="0"/>
    <s v="NA"/>
    <s v="U.S.A."/>
    <s v="Valero Refining Company"/>
    <x v="2"/>
    <x v="10"/>
    <x v="16"/>
    <n v="2025"/>
    <n v="1"/>
    <m/>
    <n v="0"/>
    <m/>
  </r>
  <r>
    <x v="0"/>
    <s v="NA"/>
    <s v="U.S.A."/>
    <s v="Valero Refining Company"/>
    <x v="2"/>
    <x v="1"/>
    <x v="16"/>
    <n v="2025"/>
    <n v="1"/>
    <m/>
    <n v="0"/>
    <m/>
  </r>
  <r>
    <x v="0"/>
    <s v="NA"/>
    <s v="U.S.A."/>
    <s v="Valero Refining Company"/>
    <x v="2"/>
    <x v="5"/>
    <x v="16"/>
    <n v="2025"/>
    <n v="1"/>
    <n v="0.25806451612903225"/>
    <n v="0.77419354838709675"/>
    <s v="60 kbd HDC down 3/14-5/8"/>
  </r>
  <r>
    <x v="0"/>
    <s v="NA"/>
    <s v="U.S.A."/>
    <s v="Valero Refining Company"/>
    <x v="2"/>
    <x v="3"/>
    <x v="16"/>
    <n v="2025"/>
    <n v="1"/>
    <n v="0.25806451612903225"/>
    <n v="16.774193548387096"/>
    <s v="100 kbd FCC down 3/14-5/8"/>
  </r>
  <r>
    <x v="0"/>
    <s v="NA"/>
    <s v="U.S.A."/>
    <s v="Valero Refining Company"/>
    <x v="2"/>
    <x v="4"/>
    <x v="16"/>
    <n v="2025"/>
    <n v="1"/>
    <n v="0.25806451612903225"/>
    <n v="0"/>
    <s v="Alky down but 0ing since FCC is also down"/>
  </r>
  <r>
    <x v="4"/>
    <s v="NA"/>
    <s v="U.S.A."/>
    <s v="Silver Eagle Refining Incorporated"/>
    <x v="58"/>
    <x v="0"/>
    <x v="16"/>
    <n v="2025"/>
    <n v="1"/>
    <n v="0.38709677419354838"/>
    <n v="0.98709677419354824"/>
    <m/>
  </r>
  <r>
    <x v="4"/>
    <s v="NA"/>
    <s v="U.S.A."/>
    <s v="Silver Eagle Refining Incorporated"/>
    <x v="58"/>
    <x v="2"/>
    <x v="16"/>
    <n v="2025"/>
    <n v="1"/>
    <n v="0.38709677419354838"/>
    <n v="0.13161290322580646"/>
    <s v="3.4 kbd CDU down 4/29-5/12"/>
  </r>
  <r>
    <x v="4"/>
    <s v="NA"/>
    <s v="U.S.A."/>
    <s v="Calumet Great Falls"/>
    <x v="105"/>
    <x v="0"/>
    <x v="16"/>
    <n v="2025"/>
    <n v="1"/>
    <n v="0.41935483870967744"/>
    <n v="0.76500000000000001"/>
    <s v="1 kbd Reformer down 4/4-5/13"/>
  </r>
  <r>
    <x v="4"/>
    <s v="NA"/>
    <s v="U.S.A."/>
    <s v="Calumet Great Falls"/>
    <x v="105"/>
    <x v="5"/>
    <x v="16"/>
    <n v="2025"/>
    <n v="1"/>
    <n v="0.41935483870967744"/>
    <n v="0.3774193548387097"/>
    <s v="18 kbd HDC down 4/4-5/13"/>
  </r>
  <r>
    <x v="4"/>
    <s v="NA"/>
    <s v="U.S.A."/>
    <s v="Calumet Great Falls"/>
    <x v="105"/>
    <x v="2"/>
    <x v="16"/>
    <n v="2025"/>
    <n v="1"/>
    <n v="0.41935483870967744"/>
    <n v="1.0483870967741937"/>
    <s v="(10+15) 25 kbd CDUs down 4/4-5/13"/>
  </r>
  <r>
    <x v="4"/>
    <s v="NA"/>
    <s v="U.S.A."/>
    <s v="Calumet Great Falls"/>
    <x v="105"/>
    <x v="3"/>
    <x v="16"/>
    <n v="2025"/>
    <n v="1"/>
    <n v="0.41935483870967744"/>
    <n v="0.76322580645161286"/>
    <s v="2.8 kbd FCC down 4/4-5/13"/>
  </r>
  <r>
    <x v="4"/>
    <s v="NA"/>
    <s v="U.S.A."/>
    <s v="Calumet Great Falls"/>
    <x v="105"/>
    <x v="8"/>
    <x v="16"/>
    <n v="2025"/>
    <n v="1"/>
    <n v="0.41935483870967744"/>
    <n v="0"/>
    <m/>
  </r>
  <r>
    <x v="4"/>
    <s v="NA"/>
    <s v="U.S.A."/>
    <s v="Calumet Great Falls"/>
    <x v="105"/>
    <x v="10"/>
    <x v="16"/>
    <n v="2025"/>
    <n v="1"/>
    <n v="0.41935483870967744"/>
    <n v="0"/>
    <m/>
  </r>
  <r>
    <x v="4"/>
    <s v="NA"/>
    <s v="U.S.A."/>
    <s v="Calumet Great Falls"/>
    <x v="105"/>
    <x v="9"/>
    <x v="16"/>
    <n v="2025"/>
    <n v="1"/>
    <n v="0.41935483870967744"/>
    <n v="0"/>
    <m/>
  </r>
  <r>
    <x v="4"/>
    <s v="NA"/>
    <s v="U.S.A."/>
    <s v="Calumet Great Falls"/>
    <x v="105"/>
    <x v="1"/>
    <x v="16"/>
    <n v="2025"/>
    <n v="1"/>
    <n v="0.41935483870967744"/>
    <n v="0"/>
    <m/>
  </r>
  <r>
    <x v="4"/>
    <s v="NA"/>
    <s v="U.S.A."/>
    <s v="Calumet Great Falls"/>
    <x v="105"/>
    <x v="4"/>
    <x v="16"/>
    <n v="2025"/>
    <n v="1"/>
    <n v="0.41935483870967744"/>
    <n v="0"/>
    <s v="Zeroing alky out since the FCC is down"/>
  </r>
  <r>
    <x v="4"/>
    <s v="NA"/>
    <s v="U.S.A."/>
    <s v="Par Pacific Holdings Incorporated"/>
    <x v="67"/>
    <x v="3"/>
    <x v="16"/>
    <n v="2025"/>
    <n v="1"/>
    <n v="0.32258064516129031"/>
    <n v="4.403225806451613"/>
    <s v="21 kbd FCC down 4/1-5/10"/>
  </r>
  <r>
    <x v="4"/>
    <s v="NA"/>
    <s v="U.S.A."/>
    <s v="Par Pacific Holdings Incorporated"/>
    <x v="67"/>
    <x v="4"/>
    <x v="16"/>
    <n v="2025"/>
    <n v="1"/>
    <n v="0.32258064516129031"/>
    <n v="0"/>
    <s v="Zeroing alky out since the FCC is down"/>
  </r>
  <r>
    <x v="4"/>
    <s v="NA"/>
    <s v="U.S.A."/>
    <s v="Silver Eagle Refining Incorporated"/>
    <x v="58"/>
    <x v="9"/>
    <x v="16"/>
    <n v="2025"/>
    <n v="1"/>
    <n v="0.38709677419354838"/>
    <n v="0"/>
    <m/>
  </r>
  <r>
    <x v="4"/>
    <s v="NA"/>
    <s v="U.S.A."/>
    <s v="Silver Eagle Refining Incorporated"/>
    <x v="58"/>
    <x v="1"/>
    <x v="16"/>
    <n v="2025"/>
    <n v="1"/>
    <n v="0.38709677419354838"/>
    <n v="0"/>
    <m/>
  </r>
  <r>
    <x v="4"/>
    <s v="NA"/>
    <s v="U.S.A."/>
    <s v="HF Sinclair Corporation"/>
    <x v="51"/>
    <x v="0"/>
    <x v="16"/>
    <n v="2025"/>
    <n v="1"/>
    <n v="0.16129032258064516"/>
    <n v="1.096774193548387"/>
    <s v="8 kbd Reformer down 3/2-5/5"/>
  </r>
  <r>
    <x v="1"/>
    <s v="NA"/>
    <s v="U.S.A."/>
    <s v="Petro Star Incorporated"/>
    <x v="59"/>
    <x v="2"/>
    <x v="16"/>
    <n v="2025"/>
    <n v="1"/>
    <n v="0.32258064516129031"/>
    <n v="1.7741935483870968"/>
    <s v="22 kbd CDU unit down 5/9-5/18"/>
  </r>
  <r>
    <x v="1"/>
    <s v="NA"/>
    <s v="U.S.A."/>
    <s v="Par Hawaii Refining LLC"/>
    <x v="106"/>
    <x v="8"/>
    <x v="16"/>
    <n v="2025"/>
    <n v="1"/>
    <m/>
    <n v="0"/>
    <m/>
  </r>
  <r>
    <x v="1"/>
    <s v="NA"/>
    <s v="U.S.A."/>
    <s v="Par Hawaii Refining LLC"/>
    <x v="106"/>
    <x v="10"/>
    <x v="16"/>
    <n v="2025"/>
    <n v="1"/>
    <m/>
    <n v="0"/>
    <m/>
  </r>
  <r>
    <x v="1"/>
    <s v="NA"/>
    <s v="U.S.A."/>
    <s v="Par Hawaii Refining LLC"/>
    <x v="106"/>
    <x v="1"/>
    <x v="16"/>
    <n v="2025"/>
    <n v="1"/>
    <m/>
    <n v="0"/>
    <m/>
  </r>
  <r>
    <x v="1"/>
    <s v="NA"/>
    <s v="U.S.A."/>
    <s v="Par Hawaii Refining LLC"/>
    <x v="106"/>
    <x v="0"/>
    <x v="16"/>
    <n v="2025"/>
    <n v="1"/>
    <n v="1"/>
    <n v="11.049999999999999"/>
    <s v="13 kbd Reformer from 5/1-6/14"/>
  </r>
  <r>
    <x v="1"/>
    <s v="NA"/>
    <s v="U.S.A."/>
    <s v="Par Hawaii Refining LLC"/>
    <x v="106"/>
    <x v="5"/>
    <x v="16"/>
    <n v="2025"/>
    <n v="1"/>
    <n v="1"/>
    <n v="0.9"/>
    <s v="18 kbd HDC down 5/1-6/14"/>
  </r>
  <r>
    <x v="1"/>
    <s v="NA"/>
    <s v="U.S.A."/>
    <s v="Par Hawaii Refining LLC"/>
    <x v="106"/>
    <x v="2"/>
    <x v="16"/>
    <n v="2025"/>
    <n v="1"/>
    <n v="1"/>
    <n v="15.5"/>
    <s v="54 kbd CDU from 5/1-6/14, 11 kbd CDU from 5/1-6/14, 90 kbd CDUfrom 5/1-6/14"/>
  </r>
  <r>
    <x v="1"/>
    <s v="NA"/>
    <s v="U.S.A."/>
    <s v="Torrance Refining Company LLC"/>
    <x v="92"/>
    <x v="8"/>
    <x v="16"/>
    <n v="2025"/>
    <n v="1"/>
    <m/>
    <n v="0"/>
    <m/>
  </r>
  <r>
    <x v="1"/>
    <s v="NA"/>
    <s v="U.S.A."/>
    <s v="Torrance Refining Company LLC"/>
    <x v="92"/>
    <x v="2"/>
    <x v="16"/>
    <n v="2025"/>
    <n v="1"/>
    <n v="0.93548387096774188"/>
    <n v="36.25"/>
    <s v="155 kbd CDU down 5/2-6/10"/>
  </r>
  <r>
    <x v="1"/>
    <s v="NA"/>
    <s v="U.S.A."/>
    <s v="Petro Star Incorporated"/>
    <x v="55"/>
    <x v="2"/>
    <x v="16"/>
    <n v="2025"/>
    <n v="1"/>
    <n v="0.4838709677419355"/>
    <n v="7.258064516129032"/>
    <s v="60 kbd CDU down 5/2-5/16"/>
  </r>
  <r>
    <x v="2"/>
    <s v="NA"/>
    <s v="U.S.A."/>
    <s v="Ergon West Virginia Incorporated"/>
    <x v="94"/>
    <x v="8"/>
    <x v="17"/>
    <n v="2025"/>
    <n v="1"/>
    <n v="0.56666666666666665"/>
    <n v="0"/>
    <s v="last through June 17th"/>
  </r>
  <r>
    <x v="2"/>
    <s v="NA"/>
    <s v="U.S.A."/>
    <s v="Ergon West Virginia Incorporated"/>
    <x v="94"/>
    <x v="0"/>
    <x v="17"/>
    <n v="2025"/>
    <n v="1"/>
    <n v="0.56666666666666665"/>
    <n v="1.734"/>
    <m/>
  </r>
  <r>
    <x v="2"/>
    <s v="NA"/>
    <s v="U.S.A."/>
    <s v="Ergon West Virginia Incorporated"/>
    <x v="94"/>
    <x v="9"/>
    <x v="17"/>
    <n v="2025"/>
    <n v="1"/>
    <n v="0.56666666666666665"/>
    <n v="0"/>
    <m/>
  </r>
  <r>
    <x v="2"/>
    <s v="NA"/>
    <s v="U.S.A."/>
    <s v="Ergon West Virginia Incorporated"/>
    <x v="94"/>
    <x v="1"/>
    <x v="17"/>
    <n v="2025"/>
    <n v="1"/>
    <n v="0.56666666666666665"/>
    <n v="0"/>
    <m/>
  </r>
  <r>
    <x v="2"/>
    <s v="NA"/>
    <s v="U.S.A."/>
    <s v="Ergon West Virginia Incorporated"/>
    <x v="94"/>
    <x v="5"/>
    <x v="17"/>
    <n v="2025"/>
    <n v="1"/>
    <n v="0.56666666666666665"/>
    <n v="0.12183333333333334"/>
    <m/>
  </r>
  <r>
    <x v="2"/>
    <s v="NA"/>
    <s v="U.S.A."/>
    <s v="Ergon West Virginia Incorporated"/>
    <x v="94"/>
    <x v="2"/>
    <x v="17"/>
    <n v="2025"/>
    <n v="1"/>
    <n v="0.56666666666666665"/>
    <n v="1.3033333333333335"/>
    <m/>
  </r>
  <r>
    <x v="2"/>
    <s v="NA"/>
    <s v="U.S.A."/>
    <s v="The International Group Incorporated"/>
    <x v="61"/>
    <x v="8"/>
    <x v="17"/>
    <n v="2025"/>
    <n v="1"/>
    <m/>
    <n v="0"/>
    <m/>
  </r>
  <r>
    <x v="2"/>
    <s v="NA"/>
    <s v="U.S.A."/>
    <s v="Paulsboro Refining Company"/>
    <x v="16"/>
    <x v="8"/>
    <x v="17"/>
    <n v="2025"/>
    <n v="1"/>
    <n v="0.33333333333333331"/>
    <n v="0"/>
    <s v="Moved from Sep/oct to June"/>
  </r>
  <r>
    <x v="2"/>
    <s v="NA"/>
    <s v="U.S.A."/>
    <s v="Paulsboro Refining Company"/>
    <x v="16"/>
    <x v="2"/>
    <x v="17"/>
    <n v="2025"/>
    <n v="1"/>
    <n v="0.33333333333333331"/>
    <n v="9.1666666666666661"/>
    <m/>
  </r>
  <r>
    <x v="3"/>
    <s v="NA"/>
    <s v="U.S.A."/>
    <s v="Valero Refining Company"/>
    <x v="95"/>
    <x v="0"/>
    <x v="17"/>
    <n v="2025"/>
    <n v="1"/>
    <n v="0.5"/>
    <n v="12.75"/>
    <s v="30 kbd ref, down 3/31-5/1 updated to last through 6/15"/>
  </r>
  <r>
    <x v="3"/>
    <s v="NA"/>
    <s v="U.S.A."/>
    <s v="Valero Refining Company"/>
    <x v="95"/>
    <x v="5"/>
    <x v="17"/>
    <n v="2025"/>
    <n v="1"/>
    <n v="0.5"/>
    <n v="0.30000000000000004"/>
    <s v="12 kbd HDC down 3/31 - 5/1 now thru 6/15"/>
  </r>
  <r>
    <x v="3"/>
    <s v="NA"/>
    <s v="U.S.A."/>
    <s v="Valero Refining Company"/>
    <x v="95"/>
    <x v="2"/>
    <x v="17"/>
    <n v="2025"/>
    <n v="1"/>
    <n v="0.5"/>
    <n v="4.5750000000000002"/>
    <s v="91.5 kbd CDU off 3/31-5/1"/>
  </r>
  <r>
    <x v="3"/>
    <s v="NA"/>
    <s v="U.S.A."/>
    <s v="Valero Refining Company"/>
    <x v="95"/>
    <x v="3"/>
    <x v="17"/>
    <n v="2025"/>
    <n v="1"/>
    <n v="0.5"/>
    <n v="9.75"/>
    <s v="30 kbd Fcc down 3/31-5/1"/>
  </r>
  <r>
    <x v="3"/>
    <s v="NA"/>
    <s v="U.S.A."/>
    <s v="Cenovus Energy Incorporated"/>
    <x v="98"/>
    <x v="0"/>
    <x v="17"/>
    <n v="2025"/>
    <n v="1"/>
    <n v="0.5"/>
    <n v="17"/>
    <s v="40 kbd reformer down 3/12-5/1. extended through 6/15"/>
  </r>
  <r>
    <x v="3"/>
    <s v="NA"/>
    <s v="U.S.A."/>
    <s v="Cenovus Energy Incorporated"/>
    <x v="98"/>
    <x v="5"/>
    <x v="17"/>
    <n v="2025"/>
    <n v="1"/>
    <n v="0.5"/>
    <n v="0.875"/>
    <s v="35 kbd HDC down 3/12-5/1. extended through 6/15"/>
  </r>
  <r>
    <x v="0"/>
    <s v="NA"/>
    <s v="U.S.A."/>
    <s v="GCC"/>
    <x v="107"/>
    <x v="2"/>
    <x v="17"/>
    <n v="2025"/>
    <n v="1"/>
    <n v="0.66666666666666663"/>
    <n v="8.3333333333333321"/>
    <s v="CDU SD 6/2-6/22"/>
  </r>
  <r>
    <x v="0"/>
    <s v="NA"/>
    <s v="U.S.A."/>
    <s v="Hunt Refining Company"/>
    <x v="64"/>
    <x v="6"/>
    <x v="17"/>
    <n v="2025"/>
    <n v="1"/>
    <n v="1"/>
    <n v="9.6"/>
    <s v="32kbd coker 5/14-7/6"/>
  </r>
  <r>
    <x v="3"/>
    <s v="NA"/>
    <s v="U.S.A."/>
    <s v="Marathon Petroleum Corporation"/>
    <x v="108"/>
    <x v="0"/>
    <x v="18"/>
    <n v="2025"/>
    <n v="1"/>
    <n v="0.70967741935483875"/>
    <n v="11.461290322580645"/>
    <s v="19 kbd Reformer down 7/9-9/6/25"/>
  </r>
  <r>
    <x v="3"/>
    <s v="NA"/>
    <s v="U.S.A."/>
    <s v="Marathon Petroleum Corporation"/>
    <x v="108"/>
    <x v="2"/>
    <x v="18"/>
    <n v="2025"/>
    <n v="1"/>
    <n v="0.70967741935483875"/>
    <n v="6.5290322580645173"/>
    <s v="92 kbd CDU down 7/9-9/6/25"/>
  </r>
  <r>
    <x v="3"/>
    <s v="NA"/>
    <s v="U.S.A."/>
    <s v="Marathon Petroleum Corporation"/>
    <x v="108"/>
    <x v="3"/>
    <x v="18"/>
    <n v="2025"/>
    <n v="1"/>
    <n v="0.70967741935483875"/>
    <n v="11.993548387096777"/>
    <s v="26 kbd FCC down 7/9-9/6/25"/>
  </r>
  <r>
    <x v="3"/>
    <s v="NA"/>
    <s v="U.S.A."/>
    <s v="Marathon Petroleum Corporation"/>
    <x v="108"/>
    <x v="8"/>
    <x v="18"/>
    <n v="2025"/>
    <n v="1"/>
    <n v="0.70967741935483875"/>
    <n v="0"/>
    <m/>
  </r>
  <r>
    <x v="3"/>
    <s v="NA"/>
    <s v="U.S.A."/>
    <s v="Marathon Petroleum Corporation"/>
    <x v="108"/>
    <x v="10"/>
    <x v="18"/>
    <n v="2025"/>
    <n v="1"/>
    <n v="0.70967741935483875"/>
    <n v="0"/>
    <m/>
  </r>
  <r>
    <x v="3"/>
    <s v="NA"/>
    <s v="U.S.A."/>
    <s v="Marathon Petroleum Corporation"/>
    <x v="108"/>
    <x v="1"/>
    <x v="18"/>
    <n v="2025"/>
    <n v="1"/>
    <n v="0.70967741935483875"/>
    <n v="0"/>
    <m/>
  </r>
  <r>
    <x v="3"/>
    <s v="NA"/>
    <s v="U.S.A."/>
    <s v="Marathon Petroleum Corporation"/>
    <x v="108"/>
    <x v="4"/>
    <x v="18"/>
    <n v="2025"/>
    <n v="1"/>
    <n v="0.70967741935483875"/>
    <n v="0"/>
    <s v="FCC down as well so alky impact will be limited"/>
  </r>
  <r>
    <x v="3"/>
    <s v="NA"/>
    <s v="U.S.A."/>
    <s v="WRB Refining LP"/>
    <x v="97"/>
    <x v="2"/>
    <x v="18"/>
    <n v="2025"/>
    <n v="1"/>
    <n v="0.22580645161290322"/>
    <n v="6.209677419354839"/>
    <s v="110 kbd CDU down 7/18 and down for 1 week for planned work"/>
  </r>
  <r>
    <x v="0"/>
    <s v="NA"/>
    <s v="U.S.A."/>
    <s v="Hunt Refining Company"/>
    <x v="64"/>
    <x v="6"/>
    <x v="18"/>
    <n v="2025"/>
    <n v="1"/>
    <n v="0.19354838709677419"/>
    <n v="1.8580645161290321"/>
    <s v="32kbd coker 5/14-7/6"/>
  </r>
  <r>
    <x v="1"/>
    <s v="NA"/>
    <s v="U.S.A."/>
    <s v="Marathon Petroleum Corporation"/>
    <x v="101"/>
    <x v="0"/>
    <x v="18"/>
    <n v="2025"/>
    <n v="1"/>
    <n v="0.80645161290322576"/>
    <n v="13.709677419354838"/>
    <s v="20 kbd Reformer down 7/6 to 8/3"/>
  </r>
  <r>
    <x v="1"/>
    <s v="NA"/>
    <s v="U.S.A."/>
    <s v="Torrance Refining Company LLC"/>
    <x v="92"/>
    <x v="5"/>
    <x v="18"/>
    <n v="2025"/>
    <n v="1"/>
    <n v="0.64516129032258063"/>
    <n v="0.77419354838709686"/>
    <s v="24kbd HDC down 7/11-8/24/25"/>
  </r>
  <r>
    <x v="3"/>
    <s v="NA"/>
    <s v="U.S.A."/>
    <s v="Marathon Petroleum Corporation"/>
    <x v="108"/>
    <x v="0"/>
    <x v="19"/>
    <n v="2025"/>
    <n v="1"/>
    <n v="1"/>
    <n v="16.149999999999999"/>
    <s v="19 kbd Reformer down 7/11-9/8/25"/>
  </r>
  <r>
    <x v="3"/>
    <s v="NA"/>
    <s v="U.S.A."/>
    <s v="Marathon Petroleum Corporation"/>
    <x v="108"/>
    <x v="2"/>
    <x v="19"/>
    <n v="2025"/>
    <n v="1"/>
    <n v="1"/>
    <n v="9.2000000000000011"/>
    <s v="92 kbd CDU down 7/11-9/8/25"/>
  </r>
  <r>
    <x v="3"/>
    <s v="NA"/>
    <s v="U.S.A."/>
    <s v="Marathon Petroleum Corporation"/>
    <x v="108"/>
    <x v="3"/>
    <x v="19"/>
    <n v="2025"/>
    <n v="1"/>
    <n v="1"/>
    <n v="16.900000000000002"/>
    <s v="26 kbd FCC down 7/11-9/8/25"/>
  </r>
  <r>
    <x v="3"/>
    <s v="NA"/>
    <s v="U.S.A."/>
    <s v="Flint Hills Resources LLC"/>
    <x v="65"/>
    <x v="2"/>
    <x v="19"/>
    <n v="2025"/>
    <n v="1"/>
    <n v="0"/>
    <n v="0"/>
    <s v="165 kbd CDU offline 8/29-9/24. updated to 9/2-9/28"/>
  </r>
  <r>
    <x v="3"/>
    <s v="NA"/>
    <s v="U.S.A."/>
    <s v="Marathon Petroleum Corporation"/>
    <x v="108"/>
    <x v="8"/>
    <x v="19"/>
    <n v="2025"/>
    <n v="1"/>
    <n v="1"/>
    <n v="0"/>
    <m/>
  </r>
  <r>
    <x v="3"/>
    <s v="NA"/>
    <s v="U.S.A."/>
    <s v="Marathon Petroleum Corporation"/>
    <x v="108"/>
    <x v="10"/>
    <x v="19"/>
    <n v="2025"/>
    <n v="1"/>
    <n v="1"/>
    <n v="0"/>
    <m/>
  </r>
  <r>
    <x v="3"/>
    <s v="NA"/>
    <s v="U.S.A."/>
    <s v="Marathon Petroleum Corporation"/>
    <x v="108"/>
    <x v="1"/>
    <x v="19"/>
    <n v="2025"/>
    <n v="1"/>
    <n v="1"/>
    <n v="0"/>
    <m/>
  </r>
  <r>
    <x v="3"/>
    <s v="NA"/>
    <s v="U.S.A."/>
    <s v="Marathon Petroleum Corporation"/>
    <x v="108"/>
    <x v="4"/>
    <x v="19"/>
    <n v="2025"/>
    <n v="1"/>
    <n v="1"/>
    <n v="0"/>
    <s v="FCC down as well so alky impact will be limited"/>
  </r>
  <r>
    <x v="1"/>
    <s v="NA"/>
    <s v="U.S.A."/>
    <s v="Marathon Petroleum Corporation"/>
    <x v="101"/>
    <x v="0"/>
    <x v="19"/>
    <n v="2025"/>
    <n v="1"/>
    <n v="9.6774193548387094E-2"/>
    <n v="1.6451612903225807"/>
    <s v="20 kbd Reformer down 7/6 to 8/3"/>
  </r>
  <r>
    <x v="1"/>
    <s v="NA"/>
    <s v="U.S.A."/>
    <s v="Torrance Refining Company LLC"/>
    <x v="92"/>
    <x v="5"/>
    <x v="19"/>
    <n v="2025"/>
    <n v="1"/>
    <n v="0.77419354838709675"/>
    <n v="0.92903225806451628"/>
    <s v="24kbd HDC down 7/11-8/24/25"/>
  </r>
  <r>
    <x v="2"/>
    <s v="NA"/>
    <s v="U.S.A."/>
    <s v="American Refining Group Incorporated"/>
    <x v="93"/>
    <x v="2"/>
    <x v="20"/>
    <n v="2025"/>
    <n v="1"/>
    <m/>
    <n v="0.72000000000000008"/>
    <s v="9/12-10/16"/>
  </r>
  <r>
    <x v="2"/>
    <s v="NA"/>
    <s v="U.S.A."/>
    <s v="American Refining Group Incorporated"/>
    <x v="93"/>
    <x v="0"/>
    <x v="20"/>
    <n v="2025"/>
    <n v="1"/>
    <m/>
    <n v="1.1220000000000001"/>
    <s v="9/12-10/16"/>
  </r>
  <r>
    <x v="3"/>
    <s v="NA"/>
    <s v="U.S.A."/>
    <s v="Catlettsburg Refining LLC"/>
    <x v="109"/>
    <x v="0"/>
    <x v="20"/>
    <n v="2025"/>
    <n v="1"/>
    <n v="0.6"/>
    <n v="10.199999999999999"/>
    <s v="20 kbd Reformer down 9/12-10/26/25"/>
  </r>
  <r>
    <x v="3"/>
    <s v="NA"/>
    <s v="U.S.A."/>
    <s v="Catlettsburg Refining LLC"/>
    <x v="109"/>
    <x v="2"/>
    <x v="20"/>
    <n v="2025"/>
    <n v="1"/>
    <n v="0.6"/>
    <n v="5.7"/>
    <s v="95 kbd CDU down 9/12-10/26/25"/>
  </r>
  <r>
    <x v="3"/>
    <s v="NA"/>
    <s v="U.S.A."/>
    <s v="Cenovus Energy Incorporated"/>
    <x v="71"/>
    <x v="0"/>
    <x v="20"/>
    <n v="2025"/>
    <n v="1"/>
    <n v="0.36666666666666664"/>
    <n v="3.1166666666666663"/>
    <s v="40 kbd Reformer down 9/19-11/2.Removed, only FCC TA"/>
  </r>
  <r>
    <x v="3"/>
    <s v="NA"/>
    <s v="U.S.A."/>
    <s v="Cenovus Energy Incorporated"/>
    <x v="71"/>
    <x v="5"/>
    <x v="20"/>
    <n v="2025"/>
    <n v="1"/>
    <n v="0.36666666666666664"/>
    <n v="0.11916666666666666"/>
    <s v="26 kbd HDC down 9/19-11/2. Removed, only FCC TA"/>
  </r>
  <r>
    <x v="3"/>
    <s v="NA"/>
    <s v="U.S.A."/>
    <s v="Cenovus Energy Incorporated"/>
    <x v="71"/>
    <x v="6"/>
    <x v="20"/>
    <n v="2025"/>
    <n v="1"/>
    <n v="0"/>
    <n v="0"/>
    <s v="31 kbd Coker down 9/19-11/2. Removed, only FCC TA"/>
  </r>
  <r>
    <x v="3"/>
    <s v="NA"/>
    <s v="U.S.A."/>
    <s v="Cenovus Energy Incorporated"/>
    <x v="71"/>
    <x v="3"/>
    <x v="20"/>
    <n v="2025"/>
    <n v="1"/>
    <n v="0.36666666666666664"/>
    <n v="9.5333333333333332"/>
    <s v="40 kbd FCC down 9/19-11/2"/>
  </r>
  <r>
    <x v="3"/>
    <s v="NA"/>
    <s v="U.S.A."/>
    <s v="Cenovus Energy Incorporated"/>
    <x v="71"/>
    <x v="2"/>
    <x v="20"/>
    <n v="2025"/>
    <n v="1"/>
    <n v="0.36666666666666664"/>
    <n v="1.6958333333333333"/>
    <s v="185kbd CDU, just assuming rate cut"/>
  </r>
  <r>
    <x v="3"/>
    <s v="NA"/>
    <s v="U.S.A."/>
    <s v="Cenovus Energy Incorporated"/>
    <x v="71"/>
    <x v="1"/>
    <x v="20"/>
    <n v="2025"/>
    <n v="1"/>
    <n v="0"/>
    <n v="0"/>
    <m/>
  </r>
  <r>
    <x v="3"/>
    <s v="NA"/>
    <s v="U.S.A."/>
    <s v="ExxonMobil Corporation"/>
    <x v="48"/>
    <x v="12"/>
    <x v="20"/>
    <n v="2025"/>
    <n v="1"/>
    <n v="6.6666666666666666E-2"/>
    <n v="4.333333333333333"/>
    <s v="Recouple Expander"/>
  </r>
  <r>
    <x v="3"/>
    <s v="NA"/>
    <s v="U.S.A."/>
    <s v="Valero Refining Company"/>
    <x v="35"/>
    <x v="3"/>
    <x v="20"/>
    <n v="2025"/>
    <n v="1"/>
    <n v="1"/>
    <n v="42.25"/>
    <s v="9/1-10/05/25 FCC"/>
  </r>
  <r>
    <x v="3"/>
    <s v="NA"/>
    <s v="U.S.A."/>
    <s v="Flint Hills Resources LLC"/>
    <x v="65"/>
    <x v="2"/>
    <x v="20"/>
    <n v="2025"/>
    <n v="1"/>
    <n v="0.8666666666666667"/>
    <n v="35.75"/>
    <s v="165 kbd CDU offline 8/29-9/24. updated to 9/2-9/28"/>
  </r>
  <r>
    <x v="3"/>
    <s v="NA"/>
    <s v="U.S.A."/>
    <s v="Marathon Petroleum Corporation"/>
    <x v="108"/>
    <x v="0"/>
    <x v="20"/>
    <n v="2025"/>
    <n v="1"/>
    <n v="0.2"/>
    <n v="3.23"/>
    <s v="19 kbd Reformer down 7/9-9/6/25"/>
  </r>
  <r>
    <x v="3"/>
    <s v="NA"/>
    <s v="U.S.A."/>
    <s v="Marathon Petroleum Corporation"/>
    <x v="108"/>
    <x v="2"/>
    <x v="20"/>
    <n v="2025"/>
    <n v="1"/>
    <n v="0.2"/>
    <n v="1.8400000000000003"/>
    <s v="92 kbd CDU down 7/9-9/6/25"/>
  </r>
  <r>
    <x v="3"/>
    <s v="NA"/>
    <s v="U.S.A."/>
    <s v="Marathon Petroleum Corporation"/>
    <x v="108"/>
    <x v="3"/>
    <x v="20"/>
    <n v="2025"/>
    <n v="1"/>
    <n v="0.2"/>
    <n v="3.3800000000000008"/>
    <s v="26 kbd FCC down 7/9-9/6/25"/>
  </r>
  <r>
    <x v="3"/>
    <s v="NA"/>
    <s v="U.S.A."/>
    <s v="Catlettsburg Refining LLC"/>
    <x v="109"/>
    <x v="8"/>
    <x v="20"/>
    <n v="2025"/>
    <n v="1"/>
    <m/>
    <n v="0"/>
    <m/>
  </r>
  <r>
    <x v="3"/>
    <s v="NA"/>
    <s v="U.S.A."/>
    <s v="Marathon Petroleum Corporation"/>
    <x v="108"/>
    <x v="8"/>
    <x v="20"/>
    <n v="2025"/>
    <n v="1"/>
    <n v="0.2"/>
    <n v="0"/>
    <m/>
  </r>
  <r>
    <x v="3"/>
    <s v="NA"/>
    <s v="U.S.A."/>
    <s v="Marathon Petroleum Corporation"/>
    <x v="108"/>
    <x v="10"/>
    <x v="20"/>
    <n v="2025"/>
    <n v="1"/>
    <n v="0.2"/>
    <n v="0"/>
    <m/>
  </r>
  <r>
    <x v="3"/>
    <s v="NA"/>
    <s v="U.S.A."/>
    <s v="Marathon Petroleum Corporation"/>
    <x v="108"/>
    <x v="1"/>
    <x v="20"/>
    <n v="2025"/>
    <n v="1"/>
    <n v="0.2"/>
    <n v="0"/>
    <m/>
  </r>
  <r>
    <x v="3"/>
    <s v="NA"/>
    <s v="U.S.A."/>
    <s v="Marathon Petroleum Corporation"/>
    <x v="108"/>
    <x v="4"/>
    <x v="20"/>
    <n v="2025"/>
    <n v="1"/>
    <n v="0.2"/>
    <n v="0"/>
    <s v="FCC down as well so alky impact will be limited"/>
  </r>
  <r>
    <x v="3"/>
    <s v="NA"/>
    <s v="U.S.A."/>
    <s v="Marathon Petroleum Corporation"/>
    <x v="73"/>
    <x v="10"/>
    <x v="20"/>
    <n v="2025"/>
    <n v="1"/>
    <m/>
    <n v="0"/>
    <m/>
  </r>
  <r>
    <x v="3"/>
    <s v="NA"/>
    <s v="U.S.A."/>
    <s v="WRB Refining LP"/>
    <x v="97"/>
    <x v="6"/>
    <x v="20"/>
    <n v="2025"/>
    <n v="1"/>
    <n v="1"/>
    <n v="6.5"/>
    <s v="65 kbd Coker down 9/1-10/15"/>
  </r>
  <r>
    <x v="3"/>
    <s v="NA"/>
    <s v="U.S.A."/>
    <s v="WRB Refining LP"/>
    <x v="97"/>
    <x v="2"/>
    <x v="20"/>
    <n v="2025"/>
    <n v="1"/>
    <n v="1"/>
    <n v="18.75"/>
    <s v="75 kbd CDU down 9/1-10/15"/>
  </r>
  <r>
    <x v="3"/>
    <s v="NA"/>
    <s v="U.S.A."/>
    <s v="WRB Refining LP"/>
    <x v="97"/>
    <x v="3"/>
    <x v="20"/>
    <n v="2025"/>
    <n v="1"/>
    <n v="1"/>
    <n v="31.200000000000003"/>
    <s v="48 kbd FCC down 9/1-10/15"/>
  </r>
  <r>
    <x v="0"/>
    <s v="NA"/>
    <s v="U.S.A."/>
    <s v="Valero Refining Company"/>
    <x v="110"/>
    <x v="1"/>
    <x v="20"/>
    <n v="2025"/>
    <n v="1"/>
    <n v="0.13333333333333333"/>
    <n v="0.38"/>
    <s v="HDc TA 9/26-11/9"/>
  </r>
  <r>
    <x v="0"/>
    <s v="NA"/>
    <s v="U.S.A."/>
    <s v="Allegiance Refining"/>
    <x v="100"/>
    <x v="2"/>
    <x v="20"/>
    <n v="2025"/>
    <n v="1"/>
    <n v="0.26666666666666666"/>
    <n v="0.53333333333333333"/>
    <s v="20kbd CDU 9/15-9/22"/>
  </r>
  <r>
    <x v="0"/>
    <s v="NA"/>
    <s v="U.S.A."/>
    <s v="Allegiance Refining"/>
    <x v="100"/>
    <x v="0"/>
    <x v="20"/>
    <n v="2025"/>
    <n v="1"/>
    <n v="0.26666666666666666"/>
    <n v="0.27200000000000002"/>
    <s v="1.2 kbd Ref  9/15/22"/>
  </r>
  <r>
    <x v="0"/>
    <s v="NA"/>
    <s v="U.S.A."/>
    <s v="WRB Refining LP"/>
    <x v="25"/>
    <x v="3"/>
    <x v="20"/>
    <n v="2025"/>
    <n v="1"/>
    <n v="0.33333333333333331"/>
    <n v="6.5"/>
    <s v="30kbf FCC 9/20-10/28"/>
  </r>
  <r>
    <x v="0"/>
    <s v="NA"/>
    <s v="U.S.A."/>
    <s v="CITGO Petroleum Corporation"/>
    <x v="88"/>
    <x v="2"/>
    <x v="20"/>
    <n v="2025"/>
    <n v="1"/>
    <n v="0.26666666666666666"/>
    <n v="4.4000000000000004"/>
    <s v="165 kbd CDU down 9/29-10/29. changed 9/22-11/15"/>
  </r>
  <r>
    <x v="0"/>
    <s v="NA"/>
    <s v="U.S.A."/>
    <s v="CITGO Petroleum Corporation"/>
    <x v="88"/>
    <x v="0"/>
    <x v="20"/>
    <n v="2025"/>
    <n v="1"/>
    <n v="0.26666666666666666"/>
    <n v="4.5333333333333332"/>
    <s v="20kbd Refdown 9/29-10/29.  changed 9/22-11/15"/>
  </r>
  <r>
    <x v="0"/>
    <s v="NA"/>
    <s v="U.S.A."/>
    <s v="CITGO Petroleum Corporation"/>
    <x v="88"/>
    <x v="6"/>
    <x v="20"/>
    <n v="2025"/>
    <n v="1"/>
    <n v="0.26666666666666666"/>
    <n v="1.2000000000000002"/>
    <s v="45kbd Coker down 9/29-10/29. changed 9/22-11/15"/>
  </r>
  <r>
    <x v="0"/>
    <s v="NA"/>
    <s v="U.S.A."/>
    <s v="Phillips 66"/>
    <x v="79"/>
    <x v="2"/>
    <x v="20"/>
    <n v="2025"/>
    <n v="1"/>
    <n v="1"/>
    <n v="20"/>
    <s v="80 kbd Crude down 9/1-10/05"/>
  </r>
  <r>
    <x v="0"/>
    <s v="NA"/>
    <s v="U.S.A."/>
    <s v="Shell Oil Products US"/>
    <x v="78"/>
    <x v="1"/>
    <x v="20"/>
    <n v="2025"/>
    <n v="1"/>
    <m/>
    <n v="0"/>
    <m/>
  </r>
  <r>
    <x v="0"/>
    <s v="NA"/>
    <s v="U.S.A."/>
    <s v="Shell Oil Products US"/>
    <x v="78"/>
    <x v="3"/>
    <x v="20"/>
    <n v="2025"/>
    <n v="1"/>
    <n v="0.73333333333333328"/>
    <n v="53.386666666666663"/>
    <s v="112 kbd FCC down from 9/8-10/27"/>
  </r>
  <r>
    <x v="0"/>
    <s v="NA"/>
    <s v="U.S.A."/>
    <s v="Shell Oil Products US"/>
    <x v="78"/>
    <x v="4"/>
    <x v="20"/>
    <n v="2025"/>
    <n v="1"/>
    <m/>
    <n v="0"/>
    <s v="0 kbd due to FCC due down at same time"/>
  </r>
  <r>
    <x v="0"/>
    <s v="NA"/>
    <s v="U.S.A."/>
    <s v="TotalEnergies Petrochemicals &amp; Refining USA Incorporated"/>
    <x v="111"/>
    <x v="0"/>
    <x v="20"/>
    <n v="2025"/>
    <n v="1"/>
    <n v="0.83333333333333337"/>
    <n v="24.791666666666668"/>
    <s v="35 kbd Reformer down 9/5-11/3, precious 8/1-9/29"/>
  </r>
  <r>
    <x v="0"/>
    <s v="NA"/>
    <s v="U.S.A."/>
    <s v="TotalEnergies Petrochemicals &amp; Refining USA Incorporated"/>
    <x v="111"/>
    <x v="10"/>
    <x v="20"/>
    <n v="2025"/>
    <n v="1"/>
    <n v="0.83333333333333337"/>
    <n v="0"/>
    <m/>
  </r>
  <r>
    <x v="0"/>
    <s v="NA"/>
    <s v="U.S.A."/>
    <s v="TotalEnergies Petrochemicals &amp; Refining USA Incorporated"/>
    <x v="111"/>
    <x v="1"/>
    <x v="20"/>
    <n v="2025"/>
    <n v="1"/>
    <n v="0.83333333333333337"/>
    <n v="0"/>
    <m/>
  </r>
  <r>
    <x v="0"/>
    <s v="NA"/>
    <s v="U.S.A."/>
    <s v="TotalEnergies Petrochemicals &amp; Refining USA Incorporated"/>
    <x v="111"/>
    <x v="2"/>
    <x v="20"/>
    <n v="2025"/>
    <n v="1"/>
    <n v="0.83333333333333337"/>
    <n v="12.500000000000002"/>
    <s v="150 kbd CDU down 9/5-11/3, precious 8/1-9/29"/>
  </r>
  <r>
    <x v="0"/>
    <s v="NA"/>
    <s v="U.S.A."/>
    <s v="TotalEnergies Petrochemicals &amp; Refining USA Incorporated"/>
    <x v="111"/>
    <x v="4"/>
    <x v="20"/>
    <n v="2025"/>
    <n v="1"/>
    <n v="0.83333333333333337"/>
    <n v="3.9583333333333335"/>
    <s v="5 kbd Alky down until 9/5-11/3, precious 8/1-9/29"/>
  </r>
  <r>
    <x v="0"/>
    <s v="NA"/>
    <s v="U.S.A."/>
    <s v="Ergon Refining Incorporated"/>
    <x v="112"/>
    <x v="8"/>
    <x v="20"/>
    <n v="2025"/>
    <n v="1"/>
    <m/>
    <n v="0"/>
    <m/>
  </r>
  <r>
    <x v="0"/>
    <s v="NA"/>
    <s v="U.S.A."/>
    <s v="Ergon Refining Incorporated"/>
    <x v="112"/>
    <x v="10"/>
    <x v="20"/>
    <n v="2025"/>
    <n v="1"/>
    <m/>
    <n v="0"/>
    <m/>
  </r>
  <r>
    <x v="0"/>
    <s v="NA"/>
    <s v="U.S.A."/>
    <s v="Ergon Refining Incorporated"/>
    <x v="112"/>
    <x v="1"/>
    <x v="20"/>
    <n v="2025"/>
    <n v="1"/>
    <m/>
    <n v="0"/>
    <m/>
  </r>
  <r>
    <x v="0"/>
    <s v="NA"/>
    <s v="U.S.A."/>
    <s v="Ergon Refining Incorporated"/>
    <x v="112"/>
    <x v="2"/>
    <x v="20"/>
    <n v="2025"/>
    <n v="1"/>
    <n v="1"/>
    <n v="6.25"/>
    <s v="25 kbd crude unit down 9/1-10/5"/>
  </r>
  <r>
    <x v="0"/>
    <s v="NA"/>
    <s v="U.S.A."/>
    <s v="Deer Park Refining LP"/>
    <x v="22"/>
    <x v="0"/>
    <x v="20"/>
    <n v="2025"/>
    <n v="1"/>
    <n v="0.5"/>
    <n v="32.299999999999997"/>
    <s v="76 kbd Reformer down 10/3-11/6. Moved to 9/15-10/15"/>
  </r>
  <r>
    <x v="0"/>
    <s v="NA"/>
    <s v="U.S.A."/>
    <s v="Deer Park Refining LP"/>
    <x v="22"/>
    <x v="6"/>
    <x v="20"/>
    <n v="2025"/>
    <n v="1"/>
    <n v="0.5"/>
    <n v="4.6000000000000005"/>
    <s v="92 kbd Coker down 10/3-11/6. Moved to 9/15-10/15"/>
  </r>
  <r>
    <x v="0"/>
    <s v="NA"/>
    <s v="U.S.A."/>
    <s v="Deer Park Refining LP"/>
    <x v="22"/>
    <x v="3"/>
    <x v="20"/>
    <n v="2025"/>
    <n v="1"/>
    <n v="0.5"/>
    <n v="6.5"/>
    <s v="20kbd FCC derate. Moved to 9/15-10/15"/>
  </r>
  <r>
    <x v="0"/>
    <s v="NA"/>
    <s v="U.S.A."/>
    <s v="Deer Park Refining LP"/>
    <x v="22"/>
    <x v="2"/>
    <x v="20"/>
    <n v="2025"/>
    <n v="1"/>
    <n v="0.5"/>
    <n v="13.5"/>
    <s v="270 kbd CDU down 10/3-11/6. Moved to 9/15-10/15"/>
  </r>
  <r>
    <x v="4"/>
    <s v="NA"/>
    <s v="U.S.A."/>
    <s v="Calumet Great Falls"/>
    <x v="105"/>
    <x v="2"/>
    <x v="20"/>
    <n v="2025"/>
    <n v="1"/>
    <n v="0.83333333333333337"/>
    <n v="2.0833333333333335"/>
    <s v="25kbd cdu 9/5-10/13"/>
  </r>
  <r>
    <x v="4"/>
    <s v="NA"/>
    <s v="U.S.A."/>
    <s v="Calumet Great Falls"/>
    <x v="105"/>
    <x v="3"/>
    <x v="20"/>
    <n v="2025"/>
    <n v="1"/>
    <n v="0.83333333333333337"/>
    <n v="1.5166666666666666"/>
    <s v="2.8 kbd fcc 9/5-10/13"/>
  </r>
  <r>
    <x v="4"/>
    <s v="NA"/>
    <s v="U.S.A."/>
    <s v="Calumet Great Falls"/>
    <x v="105"/>
    <x v="5"/>
    <x v="20"/>
    <n v="2025"/>
    <n v="1"/>
    <n v="0.83333333333333337"/>
    <n v="0.75"/>
    <s v="18kbd Ref 9/5-10/13"/>
  </r>
  <r>
    <x v="4"/>
    <s v="NA"/>
    <s v="U.S.A."/>
    <s v="Calumet Great Falls"/>
    <x v="105"/>
    <x v="0"/>
    <x v="20"/>
    <n v="2025"/>
    <n v="1"/>
    <n v="0.83333333333333337"/>
    <n v="0.70833333333333337"/>
    <s v="1kbd Ref 9/5-10/13"/>
  </r>
  <r>
    <x v="1"/>
    <s v="NA"/>
    <s v="U.S.A."/>
    <s v="Phillips 66"/>
    <x v="113"/>
    <x v="8"/>
    <x v="20"/>
    <n v="2025"/>
    <n v="1"/>
    <m/>
    <n v="0"/>
    <s v="Permanent shutdown of CDU (147), VDU (82), Coker (53)"/>
  </r>
  <r>
    <x v="1"/>
    <s v="NA"/>
    <s v="U.S.A."/>
    <s v="Phillips 66"/>
    <x v="113"/>
    <x v="2"/>
    <x v="20"/>
    <n v="2025"/>
    <n v="1"/>
    <m/>
    <n v="7.3500000000000005"/>
    <s v="Permanent shutdown of CDU (147), VDU (82), Coker (53)"/>
  </r>
  <r>
    <x v="1"/>
    <s v="NA"/>
    <s v="U.S.A."/>
    <s v="Phillips 66"/>
    <x v="113"/>
    <x v="6"/>
    <x v="20"/>
    <n v="2025"/>
    <n v="1"/>
    <m/>
    <n v="2.6500000000000004"/>
    <s v="Permanent shutdown of CDU (147), VDU (82), Coker (53)"/>
  </r>
  <r>
    <x v="1"/>
    <s v="NA"/>
    <s v="U.S.A."/>
    <s v="Phillips 66"/>
    <x v="30"/>
    <x v="3"/>
    <x v="20"/>
    <n v="2024"/>
    <n v="1"/>
    <m/>
    <n v="16.25"/>
    <s v="Permanent shutdown of FCC (50), Ref (36), HDC (28), Alky (15)"/>
  </r>
  <r>
    <x v="1"/>
    <s v="NA"/>
    <s v="U.S.A."/>
    <s v="Phillips 66"/>
    <x v="30"/>
    <x v="0"/>
    <x v="20"/>
    <n v="2024"/>
    <n v="1"/>
    <m/>
    <n v="15.299999999999999"/>
    <s v="Permanent shutdown of FCC (50), Ref (36), HDC (28), Alky (15)"/>
  </r>
  <r>
    <x v="1"/>
    <s v="NA"/>
    <s v="U.S.A."/>
    <s v="Phillips 66"/>
    <x v="30"/>
    <x v="5"/>
    <x v="20"/>
    <n v="2024"/>
    <n v="1"/>
    <m/>
    <n v="0.70000000000000007"/>
    <s v="Permanent shutdown of FCC (50), Ref (36), HDC (28), Alky (15)"/>
  </r>
  <r>
    <x v="1"/>
    <s v="NA"/>
    <s v="U.S.A."/>
    <s v="Foreland Refining Corporation"/>
    <x v="114"/>
    <x v="2"/>
    <x v="20"/>
    <n v="2025"/>
    <n v="1"/>
    <n v="0.6333333333333333"/>
    <n v="0.79166666666666663"/>
    <s v="5 kbd CDU down 9/12-10/11"/>
  </r>
  <r>
    <x v="1"/>
    <s v="NA"/>
    <s v="U.S.A."/>
    <s v="Marathon Petroleum Corporation"/>
    <x v="101"/>
    <x v="3"/>
    <x v="20"/>
    <n v="2025"/>
    <n v="1"/>
    <n v="0.2"/>
    <n v="13.520000000000001"/>
    <s v="104 kbd FCC down 10/5-11/2. Moved to 9/20-10/19/25. Moved again to 9/24-11/24"/>
  </r>
  <r>
    <x v="1"/>
    <s v="NA"/>
    <s v="U.S.A."/>
    <s v="Marathon Petroleum Corporation"/>
    <x v="101"/>
    <x v="1"/>
    <x v="20"/>
    <n v="2025"/>
    <n v="1"/>
    <m/>
    <n v="0"/>
    <m/>
  </r>
  <r>
    <x v="1"/>
    <s v="NA"/>
    <s v="U.S.A."/>
    <s v="Marathon Petroleum Corporation"/>
    <x v="101"/>
    <x v="4"/>
    <x v="20"/>
    <n v="2025"/>
    <n v="1"/>
    <m/>
    <n v="0"/>
    <s v="Zeroing out Alky since FCC is OOS as well"/>
  </r>
  <r>
    <x v="1"/>
    <s v="NA"/>
    <s v="U.S.A."/>
    <s v="Phillips 66"/>
    <x v="30"/>
    <x v="4"/>
    <x v="20"/>
    <n v="2024"/>
    <n v="1"/>
    <m/>
    <n v="0"/>
    <s v="Permanent shutdown of FCC (50), Ref (36), HDC (28), Alky (15)"/>
  </r>
  <r>
    <x v="1"/>
    <s v="NA"/>
    <s v="U.S.A."/>
    <s v="HF Sinclair Corporation"/>
    <x v="43"/>
    <x v="0"/>
    <x v="20"/>
    <n v="2025"/>
    <n v="1"/>
    <n v="0.83333333333333337"/>
    <n v="12.041666666666668"/>
    <s v="17 kbd Reformer down 9/5-10/14"/>
  </r>
  <r>
    <x v="1"/>
    <s v="NA"/>
    <s v="U.S.A."/>
    <s v="HF Sinclair Corporation"/>
    <x v="43"/>
    <x v="6"/>
    <x v="20"/>
    <n v="2025"/>
    <n v="1"/>
    <n v="0.83333333333333337"/>
    <n v="2.0000000000000004"/>
    <s v="24 kbd Coker down 9/5-10/14"/>
  </r>
  <r>
    <x v="1"/>
    <s v="NA"/>
    <s v="U.S.A."/>
    <s v="HF Sinclair Corporation"/>
    <x v="43"/>
    <x v="2"/>
    <x v="20"/>
    <n v="2025"/>
    <n v="1"/>
    <n v="0.83333333333333337"/>
    <n v="12"/>
    <s v="144 kbd CDU down 9/5-10/14"/>
  </r>
  <r>
    <x v="1"/>
    <s v="NA"/>
    <s v="U.S.A."/>
    <s v="HF Sinclair Corporation"/>
    <x v="43"/>
    <x v="8"/>
    <x v="20"/>
    <n v="2025"/>
    <n v="1"/>
    <n v="0.83333333333333337"/>
    <n v="0"/>
    <m/>
  </r>
  <r>
    <x v="1"/>
    <s v="NA"/>
    <s v="U.S.A."/>
    <s v="HF Sinclair Corporation"/>
    <x v="43"/>
    <x v="9"/>
    <x v="20"/>
    <n v="2025"/>
    <n v="1"/>
    <n v="0.83333333333333337"/>
    <n v="0"/>
    <m/>
  </r>
  <r>
    <x v="1"/>
    <s v="NA"/>
    <s v="U.S.A."/>
    <s v="HF Sinclair Corporation"/>
    <x v="43"/>
    <x v="1"/>
    <x v="20"/>
    <n v="2025"/>
    <n v="1"/>
    <n v="0.83333333333333337"/>
    <n v="0"/>
    <m/>
  </r>
  <r>
    <x v="2"/>
    <s v="NA"/>
    <s v="U.S.A."/>
    <s v="American Refining Group Incorporated"/>
    <x v="93"/>
    <x v="2"/>
    <x v="21"/>
    <n v="2025"/>
    <n v="1"/>
    <m/>
    <n v="0.61935483870967745"/>
    <s v="9/12-10/16"/>
  </r>
  <r>
    <x v="2"/>
    <s v="NA"/>
    <s v="U.S.A."/>
    <s v="American Refining Group Incorporated"/>
    <x v="93"/>
    <x v="0"/>
    <x v="21"/>
    <n v="2025"/>
    <n v="1"/>
    <m/>
    <n v="0.96516129032258069"/>
    <s v="9/12-10/16"/>
  </r>
  <r>
    <x v="3"/>
    <s v="NA"/>
    <s v="U.S.A."/>
    <s v="Catlettsburg Refining LLC"/>
    <x v="109"/>
    <x v="0"/>
    <x v="21"/>
    <n v="2025"/>
    <n v="1"/>
    <n v="0.83870967741935487"/>
    <n v="14.258064516129032"/>
    <s v="20 kbd Reformer down 9/12-10/26/25"/>
  </r>
  <r>
    <x v="3"/>
    <s v="NA"/>
    <s v="U.S.A."/>
    <s v="Catlettsburg Refining LLC"/>
    <x v="109"/>
    <x v="2"/>
    <x v="21"/>
    <n v="2025"/>
    <n v="1"/>
    <n v="0.83870967741935487"/>
    <n v="7.9677419354838719"/>
    <s v="95 kbd CDU down 9/12-10/26/25"/>
  </r>
  <r>
    <x v="3"/>
    <s v="NA"/>
    <s v="U.S.A."/>
    <s v="Cenovus Energy Incorporated"/>
    <x v="71"/>
    <x v="0"/>
    <x v="21"/>
    <n v="2025"/>
    <n v="1"/>
    <n v="1"/>
    <n v="8.5"/>
    <s v="40 kbd Reformer down 9/19-11/2"/>
  </r>
  <r>
    <x v="3"/>
    <s v="NA"/>
    <s v="U.S.A."/>
    <s v="Cenovus Energy Incorporated"/>
    <x v="71"/>
    <x v="1"/>
    <x v="21"/>
    <n v="2025"/>
    <n v="1"/>
    <n v="1"/>
    <m/>
    <m/>
  </r>
  <r>
    <x v="3"/>
    <s v="NA"/>
    <s v="U.S.A."/>
    <s v="Cenovus Energy Incorporated"/>
    <x v="71"/>
    <x v="5"/>
    <x v="21"/>
    <n v="2025"/>
    <n v="1"/>
    <n v="0"/>
    <n v="0"/>
    <s v="26 kbd HDC down 9/19-11/2. Removed, only FCC TA"/>
  </r>
  <r>
    <x v="3"/>
    <s v="NA"/>
    <s v="U.S.A."/>
    <s v="ExxonMobil Corporation"/>
    <x v="48"/>
    <x v="12"/>
    <x v="21"/>
    <n v="2025"/>
    <n v="1"/>
    <n v="0.16129032258064516"/>
    <n v="10.483870967741936"/>
    <s v="Recouple Expander"/>
  </r>
  <r>
    <x v="3"/>
    <s v="NA"/>
    <s v="U.S.A."/>
    <s v="Valero Refining Company"/>
    <x v="35"/>
    <x v="3"/>
    <x v="21"/>
    <n v="2025"/>
    <n v="1"/>
    <n v="0.16129032258064516"/>
    <n v="6.814516129032258"/>
    <s v="9/1-10/05/25 FCC"/>
  </r>
  <r>
    <x v="3"/>
    <s v="NA"/>
    <s v="U.S.A."/>
    <s v="Cenovus Energy Incorporated"/>
    <x v="71"/>
    <x v="6"/>
    <x v="21"/>
    <n v="2025"/>
    <n v="1"/>
    <n v="0"/>
    <n v="0"/>
    <s v="31 kbd Coker down 9/19-11/2. Removed, only FCC TA"/>
  </r>
  <r>
    <x v="3"/>
    <s v="NA"/>
    <s v="U.S.A."/>
    <s v="Cenovus Energy Incorporated"/>
    <x v="71"/>
    <x v="3"/>
    <x v="21"/>
    <n v="2025"/>
    <n v="1"/>
    <n v="1"/>
    <n v="26"/>
    <s v="40 kbd FCC down 9/19-11/2"/>
  </r>
  <r>
    <x v="3"/>
    <s v="NA"/>
    <s v="U.S.A."/>
    <s v="Catlettsburg Refining LLC"/>
    <x v="109"/>
    <x v="8"/>
    <x v="21"/>
    <n v="2025"/>
    <n v="1"/>
    <n v="0.83870967741935487"/>
    <n v="0"/>
    <m/>
  </r>
  <r>
    <x v="3"/>
    <s v="NA"/>
    <s v="U.S.A."/>
    <s v="Cenovus Energy Incorporated"/>
    <x v="71"/>
    <x v="2"/>
    <x v="21"/>
    <n v="2025"/>
    <n v="1"/>
    <n v="1"/>
    <n v="4.625"/>
    <s v="65 kbd FCC down 9/5-11/3/25. Pushed to 2026"/>
  </r>
  <r>
    <x v="3"/>
    <s v="NA"/>
    <s v="U.S.A."/>
    <s v="Marathon Petroleum Corporation"/>
    <x v="73"/>
    <x v="10"/>
    <x v="21"/>
    <n v="2025"/>
    <n v="1"/>
    <m/>
    <n v="0"/>
    <m/>
  </r>
  <r>
    <x v="3"/>
    <s v="NA"/>
    <s v="U.S.A."/>
    <s v="WRB Refining LP"/>
    <x v="97"/>
    <x v="6"/>
    <x v="21"/>
    <n v="2025"/>
    <n v="1"/>
    <n v="0.4838709677419355"/>
    <n v="3.145161290322581"/>
    <s v="65 kbd Coker down 9/1-10/15"/>
  </r>
  <r>
    <x v="3"/>
    <s v="NA"/>
    <s v="U.S.A."/>
    <s v="WRB Refining LP"/>
    <x v="97"/>
    <x v="2"/>
    <x v="21"/>
    <n v="2025"/>
    <n v="1"/>
    <n v="0.4838709677419355"/>
    <n v="9.07258064516129"/>
    <s v="75 kbd CDU down 9/1-10/15"/>
  </r>
  <r>
    <x v="3"/>
    <s v="NA"/>
    <s v="U.S.A."/>
    <s v="WRB Refining LP"/>
    <x v="97"/>
    <x v="3"/>
    <x v="21"/>
    <n v="2025"/>
    <n v="1"/>
    <n v="0.4838709677419355"/>
    <n v="15.09677419354839"/>
    <s v="48 kbd FCC down 9/1-10/15"/>
  </r>
  <r>
    <x v="0"/>
    <s v="NA"/>
    <s v="U.S.A."/>
    <s v="Valero Refining Company"/>
    <x v="110"/>
    <x v="1"/>
    <x v="21"/>
    <n v="2025"/>
    <n v="1"/>
    <n v="1"/>
    <n v="2.85"/>
    <s v="HDc TA 9/26-11/9"/>
  </r>
  <r>
    <x v="0"/>
    <s v="NA"/>
    <s v="U.S.A."/>
    <s v="TotalEnergies Petrochemicals &amp; Refining USA Incorporated"/>
    <x v="111"/>
    <x v="0"/>
    <x v="21"/>
    <n v="2025"/>
    <n v="1"/>
    <n v="1"/>
    <n v="29.75"/>
    <s v="35 kbd Reformer down 9/5-11/3, precious 8/1-9/29"/>
  </r>
  <r>
    <x v="0"/>
    <s v="NA"/>
    <s v="U.S.A."/>
    <s v="TotalEnergies Petrochemicals &amp; Refining USA Incorporated"/>
    <x v="111"/>
    <x v="10"/>
    <x v="21"/>
    <n v="2025"/>
    <n v="1"/>
    <n v="1"/>
    <n v="0"/>
    <m/>
  </r>
  <r>
    <x v="0"/>
    <s v="NA"/>
    <s v="U.S.A."/>
    <s v="TotalEnergies Petrochemicals &amp; Refining USA Incorporated"/>
    <x v="111"/>
    <x v="1"/>
    <x v="21"/>
    <n v="2025"/>
    <n v="1"/>
    <n v="1"/>
    <n v="0"/>
    <m/>
  </r>
  <r>
    <x v="0"/>
    <s v="NA"/>
    <s v="U.S.A."/>
    <s v="TotalEnergies Petrochemicals &amp; Refining USA Incorporated"/>
    <x v="111"/>
    <x v="2"/>
    <x v="21"/>
    <n v="2025"/>
    <n v="1"/>
    <n v="1"/>
    <n v="15"/>
    <s v="150 kbd CDU down 9/5-11/3, precious 8/1-9/29"/>
  </r>
  <r>
    <x v="0"/>
    <s v="NA"/>
    <s v="U.S.A."/>
    <s v="TotalEnergies Petrochemicals &amp; Refining USA Incorporated"/>
    <x v="111"/>
    <x v="4"/>
    <x v="21"/>
    <n v="2025"/>
    <n v="1"/>
    <n v="1"/>
    <n v="4.75"/>
    <s v="5 kbd Alky down until 9/5-11/3, precious 8/1-9/29"/>
  </r>
  <r>
    <x v="0"/>
    <s v="NA"/>
    <s v="U.S.A."/>
    <s v="WRB Refining LP"/>
    <x v="25"/>
    <x v="3"/>
    <x v="21"/>
    <n v="2025"/>
    <n v="1"/>
    <n v="0.90322580645161288"/>
    <n v="17.612903225806452"/>
    <s v="30kbf FCC 9/20-10/28"/>
  </r>
  <r>
    <x v="0"/>
    <s v="NA"/>
    <s v="U.S.A."/>
    <s v="CITGO Petroleum Corporation"/>
    <x v="88"/>
    <x v="2"/>
    <x v="21"/>
    <n v="2025"/>
    <n v="1"/>
    <n v="1"/>
    <n v="16.5"/>
    <s v="165 kbd CDU down 9/29-10/29. changed 9/22-11/15"/>
  </r>
  <r>
    <x v="0"/>
    <s v="NA"/>
    <s v="U.S.A."/>
    <s v="CITGO Petroleum Corporation"/>
    <x v="88"/>
    <x v="0"/>
    <x v="21"/>
    <n v="2025"/>
    <n v="1"/>
    <n v="1"/>
    <n v="17"/>
    <s v="20kbd Refdown 9/29-10/29.  changed 9/22-11/15"/>
  </r>
  <r>
    <x v="0"/>
    <s v="NA"/>
    <s v="U.S.A."/>
    <s v="CITGO Petroleum Corporation"/>
    <x v="88"/>
    <x v="6"/>
    <x v="21"/>
    <n v="2025"/>
    <n v="1"/>
    <n v="1"/>
    <n v="4.5"/>
    <s v="45kbd Coker down 9/29-10/29. changed 9/22-11/15"/>
  </r>
  <r>
    <x v="0"/>
    <s v="NA"/>
    <s v="U.S.A."/>
    <s v="CITGO Petroleum Corporation"/>
    <x v="88"/>
    <x v="2"/>
    <x v="21"/>
    <n v="2025"/>
    <n v="1"/>
    <n v="0.5"/>
    <n v="8.25"/>
    <s v="165 kbd CDU down 9/29-10/29. changed 9/22-11/15"/>
  </r>
  <r>
    <x v="0"/>
    <s v="NA"/>
    <s v="U.S.A."/>
    <s v="CITGO Petroleum Corporation"/>
    <x v="88"/>
    <x v="0"/>
    <x v="21"/>
    <n v="2025"/>
    <n v="1"/>
    <n v="0.5"/>
    <n v="8.5"/>
    <s v="20kbd Refdown 9/29-10/29.  changed 9/22-11/15"/>
  </r>
  <r>
    <x v="0"/>
    <s v="NA"/>
    <s v="U.S.A."/>
    <s v="CITGO Petroleum Corporation"/>
    <x v="88"/>
    <x v="6"/>
    <x v="21"/>
    <n v="2025"/>
    <n v="1"/>
    <n v="0.5"/>
    <n v="2.25"/>
    <s v="45kbd Coker down 9/29-10/29. changed 9/22-11/15"/>
  </r>
  <r>
    <x v="0"/>
    <s v="NA"/>
    <s v="U.S.A."/>
    <s v="Deer Park Refining LP"/>
    <x v="22"/>
    <x v="0"/>
    <x v="21"/>
    <n v="2025"/>
    <n v="1"/>
    <n v="0.4838709677419355"/>
    <n v="31.258064516129032"/>
    <s v="76 kbd Reformer down 10/3-11/6. Moved to 9/15-10/15"/>
  </r>
  <r>
    <x v="0"/>
    <s v="NA"/>
    <s v="U.S.A."/>
    <s v="Deer Park Refining LP"/>
    <x v="22"/>
    <x v="6"/>
    <x v="21"/>
    <n v="2025"/>
    <n v="1"/>
    <n v="0.4838709677419355"/>
    <n v="4.4516129032258069"/>
    <s v="92 kbd Coker down 10/3-11/6. Moved to 9/15-10/15"/>
  </r>
  <r>
    <x v="0"/>
    <s v="NA"/>
    <s v="U.S.A."/>
    <s v="Deer Park Refining LP"/>
    <x v="22"/>
    <x v="3"/>
    <x v="21"/>
    <n v="2025"/>
    <n v="1"/>
    <n v="0.4838709677419355"/>
    <n v="6.2903225806451619"/>
    <s v="20kbd FCC derate. Moved to 9/15-10/15"/>
  </r>
  <r>
    <x v="0"/>
    <s v="NA"/>
    <s v="U.S.A."/>
    <s v="Deer Park Refining LP"/>
    <x v="22"/>
    <x v="2"/>
    <x v="21"/>
    <n v="2025"/>
    <n v="1"/>
    <n v="0.4838709677419355"/>
    <n v="13.06451612903226"/>
    <s v="270 kbd CDU down 10/3-11/6. Moved to 9/15-10/15"/>
  </r>
  <r>
    <x v="0"/>
    <s v="NA"/>
    <s v="U.S.A."/>
    <s v="Marathon Petroleum Corporation"/>
    <x v="8"/>
    <x v="6"/>
    <x v="21"/>
    <n v="2025"/>
    <n v="1"/>
    <n v="0.87096774193548387"/>
    <n v="9.1451612903225801"/>
    <s v="35 kbd DCU down from 10/4-11/2"/>
  </r>
  <r>
    <x v="0"/>
    <s v="NA"/>
    <s v="U.S.A."/>
    <s v="Marathon Petroleum Corporation"/>
    <x v="8"/>
    <x v="2"/>
    <x v="21"/>
    <n v="2025"/>
    <n v="1"/>
    <n v="0.67741935483870963"/>
    <n v="49.112903225806448"/>
    <s v="145 kbd CDUs down from 10/4-10/24"/>
  </r>
  <r>
    <x v="0"/>
    <s v="NA"/>
    <s v="U.S.A."/>
    <s v="Phillips 66"/>
    <x v="79"/>
    <x v="2"/>
    <x v="21"/>
    <n v="2025"/>
    <n v="1"/>
    <n v="0.16129032258064516"/>
    <n v="3.225806451612903"/>
    <s v="80 kbd Crude down 9/1-10/05"/>
  </r>
  <r>
    <x v="0"/>
    <s v="NA"/>
    <s v="U.S.A."/>
    <s v="Shell Oil Products US"/>
    <x v="78"/>
    <x v="1"/>
    <x v="21"/>
    <n v="2025"/>
    <n v="1"/>
    <m/>
    <n v="0"/>
    <m/>
  </r>
  <r>
    <x v="0"/>
    <s v="NA"/>
    <s v="U.S.A."/>
    <s v="Shell Oil Products US"/>
    <x v="78"/>
    <x v="3"/>
    <x v="21"/>
    <n v="2025"/>
    <n v="1"/>
    <n v="0.87096774193548387"/>
    <n v="63.406451612903226"/>
    <s v="112 kbd FCC down from 9/8-10/27"/>
  </r>
  <r>
    <x v="0"/>
    <s v="NA"/>
    <s v="U.S.A."/>
    <s v="Shell Oil Products US"/>
    <x v="78"/>
    <x v="4"/>
    <x v="21"/>
    <n v="2025"/>
    <n v="1"/>
    <m/>
    <n v="0"/>
    <m/>
  </r>
  <r>
    <x v="0"/>
    <s v="NA"/>
    <s v="U.S.A."/>
    <s v="Ergon Refining Incorporated"/>
    <x v="112"/>
    <x v="8"/>
    <x v="21"/>
    <n v="2025"/>
    <n v="1"/>
    <m/>
    <n v="0"/>
    <m/>
  </r>
  <r>
    <x v="0"/>
    <s v="NA"/>
    <s v="U.S.A."/>
    <s v="Ergon Refining Incorporated"/>
    <x v="112"/>
    <x v="10"/>
    <x v="21"/>
    <n v="2025"/>
    <n v="1"/>
    <m/>
    <n v="0"/>
    <m/>
  </r>
  <r>
    <x v="0"/>
    <s v="NA"/>
    <s v="U.S.A."/>
    <s v="Ergon Refining Incorporated"/>
    <x v="112"/>
    <x v="1"/>
    <x v="21"/>
    <n v="2025"/>
    <n v="1"/>
    <m/>
    <n v="0"/>
    <m/>
  </r>
  <r>
    <x v="0"/>
    <s v="NA"/>
    <s v="U.S.A."/>
    <s v="Ergon Refining Incorporated"/>
    <x v="112"/>
    <x v="2"/>
    <x v="21"/>
    <n v="2025"/>
    <n v="1"/>
    <n v="0.16129032258064516"/>
    <n v="1.0080645161290323"/>
    <s v="25 kbd crude unit down 9/1-10/5"/>
  </r>
  <r>
    <x v="0"/>
    <s v="NA"/>
    <s v="U.S.A."/>
    <s v="Marathon Petroleum Corporation"/>
    <x v="8"/>
    <x v="2"/>
    <x v="21"/>
    <n v="2025"/>
    <n v="1"/>
    <n v="0.19354838709677419"/>
    <n v="14.032258064516128"/>
    <s v="145 kbd CDUs down from 10/25-11/14"/>
  </r>
  <r>
    <x v="4"/>
    <s v="NA"/>
    <s v="U.S.A."/>
    <s v="Silver Eagle Refining Incorporated"/>
    <x v="58"/>
    <x v="2"/>
    <x v="21"/>
    <n v="2025"/>
    <n v="1"/>
    <n v="0.45161290322580644"/>
    <n v="0.15354838709677421"/>
    <s v="3.4 kbd CDU down from 10/18-10/31"/>
  </r>
  <r>
    <x v="4"/>
    <s v="NA"/>
    <s v="U.S.A."/>
    <s v="Silver Eagle Refining Incorporated"/>
    <x v="58"/>
    <x v="1"/>
    <x v="21"/>
    <n v="2025"/>
    <n v="1"/>
    <n v="0.45161290322580644"/>
    <n v="0"/>
    <m/>
  </r>
  <r>
    <x v="4"/>
    <s v="NA"/>
    <s v="U.S.A."/>
    <s v="Silver Eagle Refining Incorporated"/>
    <x v="58"/>
    <x v="9"/>
    <x v="21"/>
    <n v="2025"/>
    <n v="1"/>
    <n v="0.45161290322580644"/>
    <n v="0"/>
    <m/>
  </r>
  <r>
    <x v="4"/>
    <s v="NA"/>
    <s v="U.S.A."/>
    <s v="Silver Eagle Refining Incorporated"/>
    <x v="58"/>
    <x v="0"/>
    <x v="21"/>
    <n v="2025"/>
    <n v="1"/>
    <n v="0.45161290322580644"/>
    <n v="1.1516129032258065"/>
    <s v="3 kbd Reformer down from 10/18-10/31"/>
  </r>
  <r>
    <x v="4"/>
    <s v="NA"/>
    <s v="U.S.A."/>
    <s v="Calumet Great Falls"/>
    <x v="105"/>
    <x v="2"/>
    <x v="21"/>
    <n v="2025"/>
    <n v="1"/>
    <n v="0.41935483870967744"/>
    <n v="1.0483870967741935"/>
    <s v="25kbd cdu 9/5-10/13"/>
  </r>
  <r>
    <x v="4"/>
    <s v="NA"/>
    <s v="U.S.A."/>
    <s v="Calumet Great Falls"/>
    <x v="105"/>
    <x v="3"/>
    <x v="21"/>
    <n v="2025"/>
    <n v="1"/>
    <n v="0.41935483870967744"/>
    <n v="0.76322580645161286"/>
    <s v="2.8 kbd fcc 9/5-10/13"/>
  </r>
  <r>
    <x v="4"/>
    <s v="NA"/>
    <s v="U.S.A."/>
    <s v="Calumet Great Falls"/>
    <x v="105"/>
    <x v="5"/>
    <x v="21"/>
    <n v="2025"/>
    <n v="1"/>
    <n v="0.41935483870967744"/>
    <n v="0.3774193548387097"/>
    <s v="18kbd Ref 9/5-10/13"/>
  </r>
  <r>
    <x v="4"/>
    <s v="NA"/>
    <s v="U.S.A."/>
    <s v="Calumet Great Falls"/>
    <x v="105"/>
    <x v="0"/>
    <x v="21"/>
    <n v="2025"/>
    <n v="1"/>
    <n v="0.41935483870967744"/>
    <n v="0.3564516129032258"/>
    <s v="1kbd Ref 9/5-10/13"/>
  </r>
  <r>
    <x v="1"/>
    <s v="NA"/>
    <s v="U.S.A."/>
    <s v="Phillips 66"/>
    <x v="113"/>
    <x v="8"/>
    <x v="21"/>
    <n v="2025"/>
    <n v="1"/>
    <m/>
    <n v="0"/>
    <s v="Permanent shutdown of CDU (147), VDU (82), Coker (53)"/>
  </r>
  <r>
    <x v="1"/>
    <s v="NA"/>
    <s v="U.S.A."/>
    <s v="Phillips 66"/>
    <x v="113"/>
    <x v="2"/>
    <x v="21"/>
    <n v="2025"/>
    <n v="1"/>
    <m/>
    <n v="14.700000000000001"/>
    <s v="Permanent shutdown of CDU (147), VDU (82), Coker (53)"/>
  </r>
  <r>
    <x v="1"/>
    <s v="NA"/>
    <s v="U.S.A."/>
    <s v="Phillips 66"/>
    <x v="113"/>
    <x v="6"/>
    <x v="21"/>
    <n v="2025"/>
    <n v="1"/>
    <m/>
    <n v="5.3000000000000007"/>
    <s v="Permanent shutdown of CDU (147), VDU (82), Coker (53)"/>
  </r>
  <r>
    <x v="1"/>
    <s v="NA"/>
    <s v="U.S.A."/>
    <s v="Phillips 66"/>
    <x v="30"/>
    <x v="3"/>
    <x v="21"/>
    <n v="2024"/>
    <n v="1"/>
    <m/>
    <n v="32.5"/>
    <s v="Permanent shutdown of FCC (50), Ref (36), HDC (28), Alky (15)"/>
  </r>
  <r>
    <x v="1"/>
    <s v="NA"/>
    <s v="U.S.A."/>
    <s v="Phillips 66"/>
    <x v="30"/>
    <x v="0"/>
    <x v="21"/>
    <n v="2024"/>
    <n v="1"/>
    <m/>
    <n v="30.599999999999998"/>
    <s v="Permanent shutdown of FCC (50), Ref (36), HDC (28), Alky (15)"/>
  </r>
  <r>
    <x v="1"/>
    <s v="NA"/>
    <s v="U.S.A."/>
    <s v="Foreland Refining Corporation"/>
    <x v="114"/>
    <x v="2"/>
    <x v="21"/>
    <n v="2025"/>
    <n v="1"/>
    <n v="0.64516129032258063"/>
    <n v="0.80645161290322576"/>
    <s v="5 kbd CDU down 9/12-10/11"/>
  </r>
  <r>
    <x v="1"/>
    <s v="NA"/>
    <s v="U.S.A."/>
    <s v="Marathon Petroleum Corporation"/>
    <x v="101"/>
    <x v="3"/>
    <x v="21"/>
    <n v="2025"/>
    <n v="1"/>
    <n v="1"/>
    <n v="67.600000000000009"/>
    <s v="104 kbd FCC down 10/5-11/2. Moved to 9/20-10/19/25. Moved again to 9/24-11/24"/>
  </r>
  <r>
    <x v="1"/>
    <s v="NA"/>
    <s v="U.S.A."/>
    <s v="Marathon Petroleum Corporation"/>
    <x v="101"/>
    <x v="1"/>
    <x v="21"/>
    <n v="2025"/>
    <n v="1"/>
    <m/>
    <n v="0"/>
    <m/>
  </r>
  <r>
    <x v="1"/>
    <s v="NA"/>
    <s v="U.S.A."/>
    <s v="Marathon Petroleum Corporation"/>
    <x v="101"/>
    <x v="4"/>
    <x v="21"/>
    <n v="2025"/>
    <n v="1"/>
    <m/>
    <n v="0"/>
    <s v="Zeroing out Alky since FCC is OOS as well"/>
  </r>
  <r>
    <x v="1"/>
    <s v="NA"/>
    <s v="U.S.A."/>
    <s v="Phillips 66"/>
    <x v="30"/>
    <x v="5"/>
    <x v="21"/>
    <n v="2024"/>
    <n v="1"/>
    <m/>
    <n v="1.4000000000000001"/>
    <s v="Permanent shutdown of FCC (50), Ref (36), HDC (28), Alky (15)"/>
  </r>
  <r>
    <x v="1"/>
    <s v="NA"/>
    <s v="U.S.A."/>
    <s v="HF Sinclair Corporation"/>
    <x v="43"/>
    <x v="0"/>
    <x v="21"/>
    <n v="2025"/>
    <n v="1"/>
    <n v="0.45161290322580644"/>
    <n v="6.5258064516129028"/>
    <s v="17 kbd Reformer down 9/5-10/14"/>
  </r>
  <r>
    <x v="1"/>
    <s v="NA"/>
    <s v="U.S.A."/>
    <s v="HF Sinclair Corporation"/>
    <x v="43"/>
    <x v="6"/>
    <x v="21"/>
    <n v="2025"/>
    <n v="1"/>
    <n v="0.45161290322580644"/>
    <n v="1.0838709677419356"/>
    <s v="24 kbd Coker down 9/5-10/14"/>
  </r>
  <r>
    <x v="1"/>
    <s v="NA"/>
    <s v="U.S.A."/>
    <s v="HF Sinclair Corporation"/>
    <x v="43"/>
    <x v="2"/>
    <x v="21"/>
    <n v="2025"/>
    <n v="1"/>
    <n v="0.45161290322580644"/>
    <n v="6.5032258064516135"/>
    <s v="144 kbd CDU down 9/5-10/14"/>
  </r>
  <r>
    <x v="1"/>
    <s v="NA"/>
    <s v="U.S.A."/>
    <s v="HF Sinclair Corporation"/>
    <x v="43"/>
    <x v="8"/>
    <x v="21"/>
    <n v="2025"/>
    <n v="1"/>
    <n v="0.45161290322580644"/>
    <n v="0"/>
    <m/>
  </r>
  <r>
    <x v="1"/>
    <s v="NA"/>
    <s v="U.S.A."/>
    <s v="HF Sinclair Corporation"/>
    <x v="43"/>
    <x v="9"/>
    <x v="21"/>
    <n v="2025"/>
    <n v="1"/>
    <n v="0.45161290322580644"/>
    <n v="0"/>
    <m/>
  </r>
  <r>
    <x v="1"/>
    <s v="NA"/>
    <s v="U.S.A."/>
    <s v="HF Sinclair Corporation"/>
    <x v="43"/>
    <x v="1"/>
    <x v="21"/>
    <n v="2025"/>
    <n v="1"/>
    <n v="0.45161290322580644"/>
    <n v="0"/>
    <m/>
  </r>
  <r>
    <x v="1"/>
    <s v="NA"/>
    <s v="U.S.A."/>
    <s v="Par Pacific Holdings Incorporated"/>
    <x v="115"/>
    <x v="0"/>
    <x v="21"/>
    <n v="2025"/>
    <n v="1"/>
    <n v="3.2258064516129031E-2"/>
    <n v="0.23032258064516131"/>
    <s v="8.4 kbd Reformer down 10/31-12/18"/>
  </r>
  <r>
    <x v="1"/>
    <s v="NA"/>
    <s v="U.S.A."/>
    <s v="Par Pacific Holdings Incorporated"/>
    <x v="115"/>
    <x v="2"/>
    <x v="21"/>
    <n v="2025"/>
    <n v="1"/>
    <n v="3.2258064516129031E-2"/>
    <n v="0.13548387096774192"/>
    <s v="42 kbd CDU down 10/31-12/18"/>
  </r>
  <r>
    <x v="1"/>
    <s v="NA"/>
    <s v="U.S.A."/>
    <s v="Par Pacific Holdings Incorporated"/>
    <x v="115"/>
    <x v="8"/>
    <x v="21"/>
    <n v="2025"/>
    <n v="1"/>
    <m/>
    <n v="0"/>
    <m/>
  </r>
  <r>
    <x v="1"/>
    <s v="NA"/>
    <s v="U.S.A."/>
    <s v="Par Pacific Holdings Incorporated"/>
    <x v="115"/>
    <x v="10"/>
    <x v="21"/>
    <n v="2025"/>
    <n v="1"/>
    <n v="3.2258064516129031E-2"/>
    <n v="0"/>
    <m/>
  </r>
  <r>
    <x v="1"/>
    <s v="NA"/>
    <s v="U.S.A."/>
    <s v="Par Pacific Holdings Incorporated"/>
    <x v="115"/>
    <x v="9"/>
    <x v="21"/>
    <n v="2025"/>
    <n v="1"/>
    <n v="3.2258064516129031E-2"/>
    <n v="0"/>
    <m/>
  </r>
  <r>
    <x v="1"/>
    <s v="NA"/>
    <s v="U.S.A."/>
    <s v="Par Pacific Holdings Incorporated"/>
    <x v="115"/>
    <x v="1"/>
    <x v="21"/>
    <n v="2025"/>
    <n v="1"/>
    <n v="3.2258064516129031E-2"/>
    <n v="0"/>
    <m/>
  </r>
  <r>
    <x v="3"/>
    <s v="NA"/>
    <s v="U.S.A."/>
    <s v="Cenovus Energy Incorporated"/>
    <x v="71"/>
    <x v="0"/>
    <x v="22"/>
    <n v="2025"/>
    <n v="1"/>
    <n v="6.6666666666666666E-2"/>
    <n v="2.2666666666666666"/>
    <s v="40 kbd Reformer down 9/19-11/2"/>
  </r>
  <r>
    <x v="3"/>
    <s v="NA"/>
    <s v="U.S.A."/>
    <s v="Cenovus Energy Incorporated"/>
    <x v="71"/>
    <x v="5"/>
    <x v="22"/>
    <n v="2025"/>
    <n v="1"/>
    <n v="6.6666666666666666E-2"/>
    <n v="8.666666666666667E-2"/>
    <s v="26 kbd HDC down 9/19-11/2"/>
  </r>
  <r>
    <x v="3"/>
    <s v="NA"/>
    <s v="U.S.A."/>
    <s v="Cenovus Energy Incorporated"/>
    <x v="71"/>
    <x v="6"/>
    <x v="22"/>
    <n v="2025"/>
    <n v="1"/>
    <n v="6.6666666666666666E-2"/>
    <n v="0.20666666666666667"/>
    <s v="31 kbd Coker down 9/19-11/2"/>
  </r>
  <r>
    <x v="3"/>
    <s v="NA"/>
    <s v="U.S.A."/>
    <s v="Cenovus Energy Incorporated"/>
    <x v="71"/>
    <x v="3"/>
    <x v="22"/>
    <n v="2025"/>
    <n v="1"/>
    <n v="6.6666666666666666E-2"/>
    <n v="1.7333333333333334"/>
    <s v="40 kbd FCC down 9/19-11/2"/>
  </r>
  <r>
    <x v="3"/>
    <s v="NA"/>
    <s v="U.S.A."/>
    <s v="Cenovus Energy Incorporated"/>
    <x v="71"/>
    <x v="10"/>
    <x v="22"/>
    <n v="2025"/>
    <n v="1"/>
    <n v="6.6666666666666666E-2"/>
    <n v="0"/>
    <m/>
  </r>
  <r>
    <x v="3"/>
    <s v="NA"/>
    <s v="U.S.A."/>
    <s v="Cenovus Energy Incorporated"/>
    <x v="71"/>
    <x v="1"/>
    <x v="22"/>
    <n v="2025"/>
    <n v="1"/>
    <n v="6.6666666666666666E-2"/>
    <n v="0"/>
    <m/>
  </r>
  <r>
    <x v="0"/>
    <s v="NA"/>
    <s v="U.S.A."/>
    <s v="Valero Refining Company"/>
    <x v="110"/>
    <x v="1"/>
    <x v="22"/>
    <n v="2025"/>
    <n v="1"/>
    <n v="0.3"/>
    <n v="0.85499999999999998"/>
    <s v="HDc TA 9/26-11/9"/>
  </r>
  <r>
    <x v="0"/>
    <s v="NA"/>
    <s v="U.S.A."/>
    <s v="TotalEnergies Petrochemicals &amp; Refining USA Incorporated"/>
    <x v="111"/>
    <x v="0"/>
    <x v="22"/>
    <n v="2025"/>
    <n v="1"/>
    <n v="0.1"/>
    <n v="2.9750000000000001"/>
    <s v="35 kbd Reformer down 9/5-11/3, precious 8/1-9/29"/>
  </r>
  <r>
    <x v="0"/>
    <s v="NA"/>
    <s v="U.S.A."/>
    <s v="TotalEnergies Petrochemicals &amp; Refining USA Incorporated"/>
    <x v="111"/>
    <x v="10"/>
    <x v="22"/>
    <n v="2025"/>
    <n v="1"/>
    <n v="0.1"/>
    <n v="0"/>
    <m/>
  </r>
  <r>
    <x v="0"/>
    <s v="NA"/>
    <s v="U.S.A."/>
    <s v="TotalEnergies Petrochemicals &amp; Refining USA Incorporated"/>
    <x v="111"/>
    <x v="1"/>
    <x v="22"/>
    <n v="2025"/>
    <n v="1"/>
    <n v="0.1"/>
    <n v="0"/>
    <m/>
  </r>
  <r>
    <x v="0"/>
    <s v="NA"/>
    <s v="U.S.A."/>
    <s v="TotalEnergies Petrochemicals &amp; Refining USA Incorporated"/>
    <x v="111"/>
    <x v="2"/>
    <x v="22"/>
    <n v="2025"/>
    <n v="1"/>
    <n v="0.1"/>
    <n v="1.5000000000000002"/>
    <s v="150 kbd CDU down 9/5-11/3, precious 8/1-9/29"/>
  </r>
  <r>
    <x v="0"/>
    <s v="NA"/>
    <s v="U.S.A."/>
    <s v="TotalEnergies Petrochemicals &amp; Refining USA Incorporated"/>
    <x v="111"/>
    <x v="4"/>
    <x v="22"/>
    <n v="2025"/>
    <n v="1"/>
    <n v="0.1"/>
    <n v="0.47499999999999998"/>
    <s v="5 kbd Alky down until 9/5-11/3, precious 8/1-9/29"/>
  </r>
  <r>
    <x v="0"/>
    <s v="NA"/>
    <s v="U.S.A."/>
    <s v="Marathon Petroleum Corporation"/>
    <x v="8"/>
    <x v="6"/>
    <x v="22"/>
    <n v="2025"/>
    <n v="1"/>
    <n v="6.6666666666666666E-2"/>
    <n v="0.70000000000000007"/>
    <s v="35 kbd DCU down from 10/4-11/2"/>
  </r>
  <r>
    <x v="0"/>
    <s v="NA"/>
    <s v="U.S.A."/>
    <s v="Marathon Petroleum Corporation"/>
    <x v="8"/>
    <x v="2"/>
    <x v="22"/>
    <n v="2025"/>
    <n v="1"/>
    <n v="0.46666666666666667"/>
    <n v="33.833333333333336"/>
    <s v="145 kbd CDUs down from 10/25-11/14"/>
  </r>
  <r>
    <x v="1"/>
    <s v="NA"/>
    <s v="U.S.A."/>
    <s v="Marathon Petroleum Corporation"/>
    <x v="101"/>
    <x v="3"/>
    <x v="22"/>
    <n v="2025"/>
    <n v="1"/>
    <n v="0.8"/>
    <n v="54.080000000000005"/>
    <s v="104 kbd FCC down 10/5-11/2. Moved to 9/20-10/19/25. Moved again to 9/24-11/24"/>
  </r>
  <r>
    <x v="1"/>
    <s v="NA"/>
    <s v="U.S.A."/>
    <s v="Phillips 66"/>
    <x v="113"/>
    <x v="8"/>
    <x v="22"/>
    <n v="2025"/>
    <n v="1"/>
    <m/>
    <n v="0"/>
    <s v="Permanent shutdown of CDU (147), VDU (82), Coker (53)"/>
  </r>
  <r>
    <x v="1"/>
    <s v="NA"/>
    <s v="U.S.A."/>
    <s v="Phillips 66"/>
    <x v="113"/>
    <x v="2"/>
    <x v="22"/>
    <n v="2025"/>
    <n v="1"/>
    <m/>
    <n v="14.700000000000001"/>
    <s v="Permanent shutdown of CDU (147), VDU (82), Coker (53)"/>
  </r>
  <r>
    <x v="1"/>
    <s v="NA"/>
    <s v="U.S.A."/>
    <s v="Phillips 66"/>
    <x v="113"/>
    <x v="6"/>
    <x v="22"/>
    <n v="2025"/>
    <n v="1"/>
    <m/>
    <n v="5.3000000000000007"/>
    <s v="Permanent shutdown of CDU (147), VDU (82), Coker (53)"/>
  </r>
  <r>
    <x v="1"/>
    <s v="NA"/>
    <s v="U.S.A."/>
    <s v="Phillips 66"/>
    <x v="30"/>
    <x v="3"/>
    <x v="22"/>
    <n v="2024"/>
    <n v="1"/>
    <m/>
    <n v="32.5"/>
    <s v="Permanent shutdown of FCC (50), Ref (36), HDC (28), Alky (15)"/>
  </r>
  <r>
    <x v="1"/>
    <s v="NA"/>
    <s v="U.S.A."/>
    <s v="Phillips 66"/>
    <x v="30"/>
    <x v="0"/>
    <x v="22"/>
    <n v="2024"/>
    <n v="1"/>
    <m/>
    <n v="30.599999999999998"/>
    <s v="Permanent shutdown of FCC (50), Ref (36), HDC (28), Alky (15)"/>
  </r>
  <r>
    <x v="1"/>
    <s v="NA"/>
    <s v="U.S.A."/>
    <s v="Phillips 66"/>
    <x v="30"/>
    <x v="5"/>
    <x v="22"/>
    <n v="2024"/>
    <n v="1"/>
    <m/>
    <n v="1.4000000000000001"/>
    <s v="Permanent shutdown of FCC (50), Ref (36), HDC (28), Alky (15)"/>
  </r>
  <r>
    <x v="1"/>
    <s v="NA"/>
    <s v="U.S.A."/>
    <s v="Phillips 66"/>
    <x v="30"/>
    <x v="4"/>
    <x v="22"/>
    <n v="2024"/>
    <n v="1"/>
    <m/>
    <n v="0"/>
    <s v="Permanent shutdown of FCC (50), Ref (36), HDC (28), Alky (15)"/>
  </r>
  <r>
    <x v="1"/>
    <s v="NA"/>
    <s v="U.S.A."/>
    <s v="Par Pacific Holdings Incorporated"/>
    <x v="115"/>
    <x v="0"/>
    <x v="22"/>
    <n v="2025"/>
    <n v="1"/>
    <n v="1"/>
    <n v="7.14"/>
    <s v="8.4 kbd Reformer down 10/31-12/18"/>
  </r>
  <r>
    <x v="1"/>
    <s v="NA"/>
    <s v="U.S.A."/>
    <s v="Par Pacific Holdings Incorporated"/>
    <x v="115"/>
    <x v="2"/>
    <x v="22"/>
    <n v="2025"/>
    <n v="1"/>
    <n v="1"/>
    <n v="4.2"/>
    <s v="42 kbd CDU down 10/31-12/18"/>
  </r>
  <r>
    <x v="1"/>
    <s v="NA"/>
    <s v="U.S.A."/>
    <s v="Par Pacific Holdings Incorporated"/>
    <x v="115"/>
    <x v="8"/>
    <x v="22"/>
    <n v="2025"/>
    <n v="1"/>
    <m/>
    <n v="0"/>
    <m/>
  </r>
  <r>
    <x v="1"/>
    <s v="NA"/>
    <s v="U.S.A."/>
    <s v="Par Pacific Holdings Incorporated"/>
    <x v="115"/>
    <x v="10"/>
    <x v="22"/>
    <n v="2025"/>
    <n v="1"/>
    <n v="1"/>
    <n v="0"/>
    <m/>
  </r>
  <r>
    <x v="1"/>
    <s v="NA"/>
    <s v="U.S.A."/>
    <s v="Par Pacific Holdings Incorporated"/>
    <x v="115"/>
    <x v="9"/>
    <x v="22"/>
    <n v="2025"/>
    <n v="1"/>
    <n v="1"/>
    <n v="0"/>
    <m/>
  </r>
  <r>
    <x v="1"/>
    <s v="NA"/>
    <s v="U.S.A."/>
    <s v="Par Pacific Holdings Incorporated"/>
    <x v="115"/>
    <x v="1"/>
    <x v="22"/>
    <n v="2025"/>
    <n v="1"/>
    <n v="1"/>
    <n v="0"/>
    <m/>
  </r>
  <r>
    <x v="4"/>
    <s v="NA"/>
    <s v="U.S.A."/>
    <s v="Chevron Corporation"/>
    <x v="41"/>
    <x v="0"/>
    <x v="23"/>
    <n v="2025"/>
    <n v="1"/>
    <n v="0.19354838709677419"/>
    <n v="1.3161290322580645"/>
    <s v="8 kbd reformer down 10/17-12/6"/>
  </r>
  <r>
    <x v="4"/>
    <s v="NA"/>
    <s v="U.S.A."/>
    <s v="Chevron Corporation"/>
    <x v="41"/>
    <x v="3"/>
    <x v="23"/>
    <n v="2025"/>
    <n v="1"/>
    <n v="0.19354838709677419"/>
    <n v="1.6354838709677417"/>
    <s v="13 kbd FCC down 10/17-12/6"/>
  </r>
  <r>
    <x v="4"/>
    <s v="NA"/>
    <s v="U.S.A."/>
    <s v="Chevron Corporation"/>
    <x v="41"/>
    <x v="1"/>
    <x v="23"/>
    <n v="2025"/>
    <n v="1"/>
    <n v="0.19354838709677419"/>
    <n v="0"/>
    <m/>
  </r>
  <r>
    <x v="1"/>
    <s v="NA"/>
    <s v="U.S.A."/>
    <s v="Phillips 66"/>
    <x v="113"/>
    <x v="8"/>
    <x v="23"/>
    <n v="2025"/>
    <n v="1"/>
    <m/>
    <n v="0"/>
    <s v="Permanent shutdown of CDU (147), VDU (82), Coker (53)"/>
  </r>
  <r>
    <x v="1"/>
    <s v="NA"/>
    <s v="U.S.A."/>
    <s v="Phillips 66"/>
    <x v="113"/>
    <x v="2"/>
    <x v="23"/>
    <n v="2025"/>
    <n v="1"/>
    <m/>
    <n v="14.700000000000001"/>
    <s v="Permanent shutdown of CDU (147), VDU (82), Coker (53)"/>
  </r>
  <r>
    <x v="1"/>
    <s v="NA"/>
    <s v="U.S.A."/>
    <s v="Phillips 66"/>
    <x v="113"/>
    <x v="6"/>
    <x v="23"/>
    <n v="2025"/>
    <n v="1"/>
    <m/>
    <n v="5.3000000000000007"/>
    <s v="Permanent shutdown of CDU (147), VDU (82), Coker (53)"/>
  </r>
  <r>
    <x v="1"/>
    <s v="NA"/>
    <s v="U.S.A."/>
    <s v="Phillips 66"/>
    <x v="30"/>
    <x v="3"/>
    <x v="23"/>
    <n v="2024"/>
    <n v="1"/>
    <m/>
    <n v="32.5"/>
    <s v="Permanent shutdown of FCC (50), Ref (36), HDC (28), Alky (15)"/>
  </r>
  <r>
    <x v="1"/>
    <s v="NA"/>
    <s v="U.S.A."/>
    <s v="Phillips 66"/>
    <x v="30"/>
    <x v="0"/>
    <x v="23"/>
    <n v="2024"/>
    <n v="1"/>
    <m/>
    <n v="30.599999999999998"/>
    <s v="Permanent shutdown of FCC (50), Ref (36), HDC (28), Alky (15)"/>
  </r>
  <r>
    <x v="1"/>
    <s v="NA"/>
    <s v="U.S.A."/>
    <s v="Phillips 66"/>
    <x v="30"/>
    <x v="5"/>
    <x v="23"/>
    <n v="2024"/>
    <n v="1"/>
    <m/>
    <n v="1.4000000000000001"/>
    <s v="Permanent shutdown of FCC (50), Ref (36), HDC (28), Alky (15)"/>
  </r>
  <r>
    <x v="1"/>
    <s v="NA"/>
    <s v="U.S.A."/>
    <s v="Phillips 66"/>
    <x v="30"/>
    <x v="4"/>
    <x v="23"/>
    <n v="2024"/>
    <n v="1"/>
    <m/>
    <n v="0"/>
    <s v="Permanent shutdown of FCC (50), Ref (36), HDC (28), Alky (15)"/>
  </r>
  <r>
    <x v="1"/>
    <s v="NA"/>
    <s v="U.S.A."/>
    <s v="Par Pacific Holdings Incorporated"/>
    <x v="115"/>
    <x v="0"/>
    <x v="23"/>
    <n v="2025"/>
    <n v="1"/>
    <n v="0.58064516129032262"/>
    <n v="4.1458064516129038"/>
    <s v="8.4 kbd Reformer down 10/31-12/18"/>
  </r>
  <r>
    <x v="1"/>
    <s v="NA"/>
    <s v="U.S.A."/>
    <s v="Par Pacific Holdings Incorporated"/>
    <x v="115"/>
    <x v="2"/>
    <x v="23"/>
    <n v="2025"/>
    <n v="1"/>
    <n v="0.58064516129032262"/>
    <n v="2.4387096774193555"/>
    <s v="42 kbd CDU down 10/31-12/18"/>
  </r>
  <r>
    <x v="1"/>
    <s v="NA"/>
    <s v="U.S.A."/>
    <s v="Par Pacific Holdings Incorporated"/>
    <x v="115"/>
    <x v="8"/>
    <x v="23"/>
    <n v="2025"/>
    <n v="1"/>
    <n v="0.58064516129032262"/>
    <n v="0"/>
    <m/>
  </r>
  <r>
    <x v="1"/>
    <s v="NA"/>
    <s v="U.S.A."/>
    <s v="Par Pacific Holdings Incorporated"/>
    <x v="115"/>
    <x v="10"/>
    <x v="23"/>
    <n v="2025"/>
    <n v="1"/>
    <n v="0.58064516129032262"/>
    <n v="0"/>
    <m/>
  </r>
  <r>
    <x v="1"/>
    <s v="NA"/>
    <s v="U.S.A."/>
    <s v="Par Pacific Holdings Incorporated"/>
    <x v="115"/>
    <x v="9"/>
    <x v="23"/>
    <n v="2025"/>
    <n v="1"/>
    <n v="0.58064516129032262"/>
    <n v="0"/>
    <m/>
  </r>
  <r>
    <x v="1"/>
    <s v="NA"/>
    <s v="U.S.A."/>
    <s v="Par Pacific Holdings Incorporated"/>
    <x v="115"/>
    <x v="1"/>
    <x v="23"/>
    <n v="2025"/>
    <n v="1"/>
    <n v="0.58064516129032262"/>
    <n v="0"/>
    <m/>
  </r>
  <r>
    <x v="1"/>
    <s v="NA"/>
    <s v="U.S.A."/>
    <s v="Torrance Refining Company LLC"/>
    <x v="92"/>
    <x v="6"/>
    <x v="23"/>
    <n v="2025"/>
    <n v="1"/>
    <n v="1"/>
    <n v="2.4900000000000002"/>
    <s v="8.3kbd coker 11/27-1/10"/>
  </r>
  <r>
    <x v="2"/>
    <s v="NA"/>
    <s v="U.S.A."/>
    <s v="Monroe Energy LLC"/>
    <x v="68"/>
    <x v="0"/>
    <x v="24"/>
    <n v="2026"/>
    <n v="1"/>
    <n v="0.6333333333333333"/>
    <n v="32.299999999999997"/>
    <s v="unconfirmed source not it IIR"/>
  </r>
  <r>
    <x v="3"/>
    <s v="NA"/>
    <s v="U.S.A."/>
    <s v="Phillips 66"/>
    <x v="18"/>
    <x v="2"/>
    <x v="25"/>
    <n v="2026"/>
    <n v="1"/>
    <n v="1"/>
    <n v="21.5"/>
    <m/>
  </r>
  <r>
    <x v="3"/>
    <s v="NA"/>
    <s v="U.S.A."/>
    <s v="Phillips 66"/>
    <x v="18"/>
    <x v="12"/>
    <x v="25"/>
    <n v="2026"/>
    <n v="1"/>
    <n v="1"/>
    <n v="39.65"/>
    <m/>
  </r>
  <r>
    <x v="3"/>
    <s v="NA"/>
    <s v="U.S.A."/>
    <s v="Phillips 66"/>
    <x v="18"/>
    <x v="6"/>
    <x v="25"/>
    <n v="2026"/>
    <n v="1"/>
    <n v="1"/>
    <n v="3.1"/>
    <m/>
  </r>
  <r>
    <x v="3"/>
    <s v="NA"/>
    <s v="U.S.A."/>
    <s v="Phillips 66"/>
    <x v="18"/>
    <x v="0"/>
    <x v="25"/>
    <n v="2026"/>
    <n v="1"/>
    <n v="1"/>
    <n v="34"/>
    <m/>
  </r>
  <r>
    <x v="3"/>
    <s v="NA"/>
    <s v="U.S.A."/>
    <s v="Phillips 66"/>
    <x v="18"/>
    <x v="2"/>
    <x v="26"/>
    <n v="2026"/>
    <n v="1"/>
    <n v="6.4516129032258063E-2"/>
    <n v="1.3870967741935483"/>
    <m/>
  </r>
  <r>
    <x v="3"/>
    <s v="NA"/>
    <s v="U.S.A."/>
    <s v="Phillips 66"/>
    <x v="18"/>
    <x v="12"/>
    <x v="26"/>
    <n v="2026"/>
    <n v="1"/>
    <n v="6.4516129032258063E-2"/>
    <n v="2.5580645161290323"/>
    <m/>
  </r>
  <r>
    <x v="3"/>
    <s v="NA"/>
    <s v="U.S.A."/>
    <s v="Phillips 66"/>
    <x v="18"/>
    <x v="6"/>
    <x v="26"/>
    <n v="2026"/>
    <n v="1"/>
    <n v="6.4516129032258063E-2"/>
    <n v="0.2"/>
    <m/>
  </r>
  <r>
    <x v="3"/>
    <s v="NA"/>
    <s v="U.S.A."/>
    <s v="Phillips 66"/>
    <x v="18"/>
    <x v="0"/>
    <x v="26"/>
    <n v="2026"/>
    <n v="1"/>
    <n v="6.4516129032258063E-2"/>
    <n v="2.193548387096774"/>
    <m/>
  </r>
  <r>
    <x v="3"/>
    <s v="NA"/>
    <s v="U.S.A."/>
    <s v="Toledo Refining Company LLC"/>
    <x v="33"/>
    <x v="3"/>
    <x v="25"/>
    <n v="2026"/>
    <n v="1"/>
    <n v="0.7857142857142857"/>
    <n v="40.346428571428575"/>
    <m/>
  </r>
  <r>
    <x v="3"/>
    <s v="NA"/>
    <s v="U.S.A."/>
    <s v="Toledo Refining Company LLC"/>
    <x v="33"/>
    <x v="3"/>
    <x v="26"/>
    <n v="2026"/>
    <n v="1"/>
    <n v="0.70967741935483875"/>
    <n v="36.441935483870971"/>
    <m/>
  </r>
  <r>
    <x v="3"/>
    <s v="NA"/>
    <s v="U.S.A."/>
    <s v="Phillips 66"/>
    <x v="97"/>
    <x v="6"/>
    <x v="25"/>
    <n v="2026"/>
    <n v="1"/>
    <n v="0.5"/>
    <n v="8.125"/>
    <m/>
  </r>
  <r>
    <x v="3"/>
    <s v="NA"/>
    <s v="U.S.A."/>
    <s v="Phillips 66"/>
    <x v="97"/>
    <x v="6"/>
    <x v="26"/>
    <n v="2026"/>
    <n v="1"/>
    <n v="1"/>
    <n v="16.25"/>
    <m/>
  </r>
  <r>
    <x v="3"/>
    <s v="NA"/>
    <s v="U.S.A."/>
    <s v="Valero Refining Company"/>
    <x v="116"/>
    <x v="2"/>
    <x v="26"/>
    <n v="2026"/>
    <n v="1"/>
    <n v="0.967741935483871"/>
    <n v="26.612903225806452"/>
    <s v="Assuming just 110 kbd crude down- Full crude down doesn't make a lot of sense given that they have a 4Q25 FCC T/A"/>
  </r>
  <r>
    <x v="3"/>
    <s v="NA"/>
    <s v="U.S.A."/>
    <s v="Valero Refining Company"/>
    <x v="116"/>
    <x v="2"/>
    <x v="24"/>
    <n v="2026"/>
    <n v="1"/>
    <n v="3.3333333333333333E-2"/>
    <n v="0.91666666666666663"/>
    <s v="Assuming just 110 kbd crude down- Full crude down doesn't make a lot of sense given that they have a 4Q25 FCC T/A"/>
  </r>
  <r>
    <x v="3"/>
    <s v="NA"/>
    <s v="U.S.A."/>
    <s v="Valero Refining Company"/>
    <x v="116"/>
    <x v="5"/>
    <x v="26"/>
    <n v="2026"/>
    <n v="1"/>
    <n v="0.967741935483871"/>
    <n v="1.5967741935483872"/>
    <s v="Assuming just 110 kbd crude down- Full crude down doesn't make a lot of sense given that they have a 4Q25 FCC T/A"/>
  </r>
  <r>
    <x v="3"/>
    <s v="NA"/>
    <s v="U.S.A."/>
    <s v="Valero Refining Company"/>
    <x v="116"/>
    <x v="5"/>
    <x v="24"/>
    <n v="2026"/>
    <n v="1"/>
    <n v="3.3333333333333333E-2"/>
    <n v="5.5E-2"/>
    <s v="Assuming just 110 kbd crude down- Full crude down doesn't make a lot of sense given that they have a 4Q25 FCC T/A"/>
  </r>
  <r>
    <x v="3"/>
    <s v="NA"/>
    <s v="U.S.A."/>
    <s v="Marathon Petroleum Corporation"/>
    <x v="34"/>
    <x v="6"/>
    <x v="26"/>
    <n v="2026"/>
    <n v="1"/>
    <n v="0.61290322580645162"/>
    <n v="4.596774193548387"/>
    <m/>
  </r>
  <r>
    <x v="3"/>
    <s v="NA"/>
    <s v="U.S.A."/>
    <s v="Marathon Petroleum Corporation"/>
    <x v="34"/>
    <x v="6"/>
    <x v="24"/>
    <n v="2026"/>
    <n v="1"/>
    <n v="1"/>
    <n v="7.5"/>
    <m/>
  </r>
  <r>
    <x v="3"/>
    <s v="NA"/>
    <s v="U.S.A."/>
    <s v="Marathon Petroleum Corporation"/>
    <x v="34"/>
    <x v="6"/>
    <x v="27"/>
    <n v="2026"/>
    <n v="1"/>
    <n v="0.29032258064516131"/>
    <n v="2.17741935483871"/>
    <m/>
  </r>
  <r>
    <x v="3"/>
    <s v="NA"/>
    <s v="U.S.A."/>
    <s v="Marathon Petroleum Corporation"/>
    <x v="34"/>
    <x v="3"/>
    <x v="26"/>
    <n v="2026"/>
    <n v="1"/>
    <n v="0.61290322580645162"/>
    <n v="20.91532258064516"/>
    <s v="Major planned maintenance on FCCU."/>
  </r>
  <r>
    <x v="3"/>
    <s v="NA"/>
    <s v="U.S.A."/>
    <s v="Marathon Petroleum Corporation"/>
    <x v="34"/>
    <x v="3"/>
    <x v="24"/>
    <n v="2026"/>
    <n v="1"/>
    <n v="1"/>
    <n v="34.125"/>
    <m/>
  </r>
  <r>
    <x v="3"/>
    <s v="NA"/>
    <s v="U.S.A."/>
    <s v="Marathon Petroleum Corporation"/>
    <x v="34"/>
    <x v="3"/>
    <x v="27"/>
    <n v="2026"/>
    <n v="1"/>
    <n v="0.29032258064516131"/>
    <n v="9.9072580645161299"/>
    <m/>
  </r>
  <r>
    <x v="3"/>
    <s v="NA"/>
    <s v="U.S.A."/>
    <s v="Marathon Petroleum Corporation"/>
    <x v="34"/>
    <x v="4"/>
    <x v="26"/>
    <n v="2026"/>
    <n v="1"/>
    <n v="0.61290322580645162"/>
    <m/>
    <s v="0 kbd impact due to FCC being down at same time"/>
  </r>
  <r>
    <x v="3"/>
    <s v="NA"/>
    <s v="U.S.A."/>
    <s v="Marathon Petroleum Corporation"/>
    <x v="34"/>
    <x v="4"/>
    <x v="24"/>
    <n v="2026"/>
    <n v="1"/>
    <n v="1"/>
    <m/>
    <s v="0 kbd impact due to FCC being down at same time"/>
  </r>
  <r>
    <x v="3"/>
    <s v="NA"/>
    <s v="U.S.A."/>
    <s v="Marathon Petroleum Corporation"/>
    <x v="34"/>
    <x v="4"/>
    <x v="27"/>
    <n v="2026"/>
    <n v="1"/>
    <n v="0.29032258064516131"/>
    <m/>
    <s v="0 kbd impact due to FCC being down at same time"/>
  </r>
  <r>
    <x v="3"/>
    <s v="NA"/>
    <s v="U.S.A."/>
    <s v="HF Sinclair Corporation"/>
    <x v="72"/>
    <x v="2"/>
    <x v="26"/>
    <n v="2026"/>
    <n v="1"/>
    <n v="0.45161290322580644"/>
    <n v="7.3161290322580639"/>
    <s v="CDU down 3/17-4/30, assuming full site outage"/>
  </r>
  <r>
    <x v="3"/>
    <s v="NA"/>
    <s v="U.S.A."/>
    <s v="HF Sinclair Corporation"/>
    <x v="72"/>
    <x v="2"/>
    <x v="24"/>
    <n v="2026"/>
    <n v="1"/>
    <n v="1"/>
    <n v="16.2"/>
    <s v="CDU down 3/17-4/30, assuming full site outage"/>
  </r>
  <r>
    <x v="3"/>
    <s v="NA"/>
    <s v="U.S.A."/>
    <s v="HF Sinclair Corporation"/>
    <x v="72"/>
    <x v="6"/>
    <x v="26"/>
    <n v="2026"/>
    <n v="1"/>
    <n v="0.45161290322580644"/>
    <n v="0.92580645161290331"/>
    <s v="CDU down 3/17-4/30, assuming full site outage"/>
  </r>
  <r>
    <x v="3"/>
    <s v="NA"/>
    <s v="U.S.A."/>
    <s v="HF Sinclair Corporation"/>
    <x v="72"/>
    <x v="6"/>
    <x v="24"/>
    <n v="2026"/>
    <n v="1"/>
    <n v="1"/>
    <n v="2.0500000000000003"/>
    <s v="CDU down 3/17-4/30, assuming full site outage"/>
  </r>
  <r>
    <x v="3"/>
    <s v="NA"/>
    <s v="U.S.A."/>
    <s v="HF Sinclair Corporation"/>
    <x v="72"/>
    <x v="3"/>
    <x v="26"/>
    <n v="2026"/>
    <n v="1"/>
    <n v="0.45161290322580644"/>
    <n v="11.448387096774194"/>
    <s v="CDU down 3/17-4/30, assuming full site outage"/>
  </r>
  <r>
    <x v="3"/>
    <s v="NA"/>
    <s v="U.S.A."/>
    <s v="HF Sinclair Corporation"/>
    <x v="72"/>
    <x v="3"/>
    <x v="24"/>
    <n v="2026"/>
    <n v="1"/>
    <n v="1"/>
    <n v="25.35"/>
    <s v="CDU down 3/17-4/30, assuming full site outage"/>
  </r>
  <r>
    <x v="3"/>
    <s v="NA"/>
    <s v="U.S.A."/>
    <s v="HF Sinclair Corporation"/>
    <x v="72"/>
    <x v="0"/>
    <x v="26"/>
    <n v="2026"/>
    <n v="1"/>
    <n v="0.45161290322580644"/>
    <n v="11.324193548387097"/>
    <s v="CDU down 3/17-4/30, assuming full site outage"/>
  </r>
  <r>
    <x v="3"/>
    <s v="NA"/>
    <s v="U.S.A."/>
    <s v="HF Sinclair Corporation"/>
    <x v="72"/>
    <x v="0"/>
    <x v="24"/>
    <n v="2026"/>
    <n v="1"/>
    <n v="1"/>
    <n v="25.074999999999999"/>
    <s v="CDU down 3/17-4/30, assuming full site outage"/>
  </r>
  <r>
    <x v="3"/>
    <s v="NA"/>
    <s v="U.S.A."/>
    <s v="CITGO Petroleum Corporation"/>
    <x v="103"/>
    <x v="4"/>
    <x v="26"/>
    <n v="2026"/>
    <n v="1"/>
    <n v="0.32258064516129031"/>
    <n v="0"/>
    <s v="0 kbd impact due to FCC being down at same time"/>
  </r>
  <r>
    <x v="3"/>
    <s v="NA"/>
    <s v="U.S.A."/>
    <s v="CITGO Petroleum Corporation"/>
    <x v="103"/>
    <x v="4"/>
    <x v="24"/>
    <n v="2026"/>
    <n v="1"/>
    <n v="1"/>
    <n v="0"/>
    <s v="0 kbd impact due to FCC being down at same time"/>
  </r>
  <r>
    <x v="3"/>
    <s v="NA"/>
    <s v="U.S.A."/>
    <s v="CITGO Petroleum Corporation"/>
    <x v="103"/>
    <x v="4"/>
    <x v="27"/>
    <n v="2026"/>
    <n v="1"/>
    <n v="0.29032258064516131"/>
    <n v="0"/>
    <s v="0 kbd impact due to FCC being down at same time"/>
  </r>
  <r>
    <x v="3"/>
    <s v="NA"/>
    <s v="U.S.A."/>
    <s v="CITGO Petroleum Corporation"/>
    <x v="103"/>
    <x v="3"/>
    <x v="26"/>
    <n v="2026"/>
    <n v="1"/>
    <n v="0.32258064516129031"/>
    <n v="12.161290322580646"/>
    <m/>
  </r>
  <r>
    <x v="3"/>
    <s v="NA"/>
    <s v="U.S.A."/>
    <s v="CITGO Petroleum Corporation"/>
    <x v="103"/>
    <x v="3"/>
    <x v="24"/>
    <n v="2026"/>
    <n v="1"/>
    <n v="1"/>
    <n v="37.700000000000003"/>
    <m/>
  </r>
  <r>
    <x v="3"/>
    <s v="NA"/>
    <s v="U.S.A."/>
    <s v="CITGO Petroleum Corporation"/>
    <x v="103"/>
    <x v="3"/>
    <x v="27"/>
    <n v="2026"/>
    <n v="1"/>
    <n v="0.29032258064516131"/>
    <n v="10.945161290322583"/>
    <m/>
  </r>
  <r>
    <x v="3"/>
    <s v="NA"/>
    <s v="U.S.A."/>
    <s v="BP Products North America Incorporated"/>
    <x v="69"/>
    <x v="2"/>
    <x v="28"/>
    <n v="2026"/>
    <n v="1"/>
    <n v="0.16666666666666666"/>
    <n v="3.75"/>
    <s v="90 kbd CDU down from 9/5-11/3/25. Pushed to 9/5/26-11/3/26"/>
  </r>
  <r>
    <x v="3"/>
    <s v="NA"/>
    <s v="U.S.A."/>
    <s v="BP Products North America Incorporated"/>
    <x v="69"/>
    <x v="3"/>
    <x v="28"/>
    <n v="2026"/>
    <n v="1"/>
    <n v="0.16666666666666666"/>
    <n v="7.0416666666666661"/>
    <s v="65 kbd FCC down 9/5-11/3/25. Pushed to 2026"/>
  </r>
  <r>
    <x v="3"/>
    <s v="NA"/>
    <s v="U.S.A."/>
    <s v="BP Products North America Incorporated"/>
    <x v="69"/>
    <x v="2"/>
    <x v="29"/>
    <n v="2026"/>
    <n v="1"/>
    <n v="1"/>
    <n v="22.5"/>
    <s v="90 kbd CDU down from 9/5-11/3/25. Pushed to 9/5/26-11/3/26"/>
  </r>
  <r>
    <x v="3"/>
    <s v="NA"/>
    <s v="U.S.A."/>
    <s v="BP Products North America Incorporated"/>
    <x v="69"/>
    <x v="3"/>
    <x v="29"/>
    <n v="2026"/>
    <n v="1"/>
    <n v="1"/>
    <n v="42.25"/>
    <s v="65 kbd FCC down 9/5-11/3/25. Pushed to 2026"/>
  </r>
  <r>
    <x v="3"/>
    <s v="NA"/>
    <s v="U.S.A."/>
    <s v="BP Products North America Incorporated"/>
    <x v="69"/>
    <x v="2"/>
    <x v="30"/>
    <n v="2026"/>
    <n v="1"/>
    <n v="0.1"/>
    <n v="2.25"/>
    <s v="90 kbd CDU down from 9/5-11/3/25. Pushed to 9/5/26-11/3/26"/>
  </r>
  <r>
    <x v="3"/>
    <s v="NA"/>
    <s v="U.S.A."/>
    <s v="BP Products North America Incorporated"/>
    <x v="69"/>
    <x v="3"/>
    <x v="30"/>
    <n v="2026"/>
    <n v="1"/>
    <n v="0.1"/>
    <n v="4.2250000000000005"/>
    <s v="65 kbd FCC down 9/5-11/3/25. Pushed to 2026"/>
  </r>
  <r>
    <x v="0"/>
    <s v="NA"/>
    <s v="U.S.A."/>
    <s v="Valero Refining Company"/>
    <x v="117"/>
    <x v="2"/>
    <x v="25"/>
    <n v="2026"/>
    <n v="1"/>
    <n v="0.8571428571428571"/>
    <n v="21.964285714285712"/>
    <s v="Major turnaround. 2/3/24-3/15/24. Moved to 2/4/26 - 3/17/26"/>
  </r>
  <r>
    <x v="0"/>
    <s v="NA"/>
    <s v="U.S.A."/>
    <s v="Valero Refining Company"/>
    <x v="117"/>
    <x v="2"/>
    <x v="26"/>
    <n v="2026"/>
    <n v="1"/>
    <n v="0.54838709677419351"/>
    <n v="14.052419354838708"/>
    <s v="Major turnaround. 2/3/24-3/15/24. Moved to 2/4/26 - 3/17/26"/>
  </r>
  <r>
    <x v="0"/>
    <s v="NA"/>
    <s v="U.S.A."/>
    <s v="Calcasieu Refining Company"/>
    <x v="82"/>
    <x v="2"/>
    <x v="31"/>
    <n v="2026"/>
    <n v="1"/>
    <n v="0.64516129032258063"/>
    <n v="20.967741935483872"/>
    <m/>
  </r>
  <r>
    <x v="0"/>
    <s v="NA"/>
    <s v="U.S.A."/>
    <s v="Marathon Petroleum Corporation"/>
    <x v="118"/>
    <x v="2"/>
    <x v="31"/>
    <n v="2026"/>
    <n v="1"/>
    <n v="0.67741935483870963"/>
    <n v="46.572580645161288"/>
    <m/>
  </r>
  <r>
    <x v="0"/>
    <s v="NA"/>
    <s v="U.S.A."/>
    <s v="Calumet Specialty Products Partners LP"/>
    <x v="75"/>
    <x v="2"/>
    <x v="31"/>
    <n v="2026"/>
    <n v="1"/>
    <n v="0.41935483870967744"/>
    <n v="0.41935483870967744"/>
    <m/>
  </r>
  <r>
    <x v="0"/>
    <s v="NA"/>
    <s v="U.S.A."/>
    <s v="Calumet Specialty Products Partners LP"/>
    <x v="75"/>
    <x v="0"/>
    <x v="31"/>
    <n v="2026"/>
    <n v="1"/>
    <n v="0.41935483870967744"/>
    <n v="1.4258064516129032"/>
    <m/>
  </r>
  <r>
    <x v="0"/>
    <s v="NA"/>
    <s v="U.S.A."/>
    <s v="Marathon Petroleum Corporation"/>
    <x v="27"/>
    <x v="2"/>
    <x v="31"/>
    <n v="2026"/>
    <n v="1"/>
    <n v="0.87096774193548387"/>
    <n v="23.080645161290324"/>
    <m/>
  </r>
  <r>
    <x v="0"/>
    <s v="NA"/>
    <s v="U.S.A."/>
    <s v="Marathon Petroleum Corporation"/>
    <x v="27"/>
    <x v="2"/>
    <x v="25"/>
    <n v="2026"/>
    <n v="1"/>
    <n v="0.25"/>
    <n v="6.625"/>
    <m/>
  </r>
  <r>
    <x v="0"/>
    <s v="NA"/>
    <s v="U.S.A."/>
    <s v="Marathon Petroleum Corporation"/>
    <x v="27"/>
    <x v="3"/>
    <x v="31"/>
    <n v="2026"/>
    <n v="1"/>
    <n v="0.87096774193548387"/>
    <n v="79.258064516129039"/>
    <m/>
  </r>
  <r>
    <x v="0"/>
    <s v="NA"/>
    <s v="U.S.A."/>
    <s v="Marathon Petroleum Corporation"/>
    <x v="27"/>
    <x v="3"/>
    <x v="25"/>
    <n v="2026"/>
    <n v="1"/>
    <n v="0.25"/>
    <n v="22.75"/>
    <m/>
  </r>
  <r>
    <x v="0"/>
    <s v="NA"/>
    <s v="U.S.A."/>
    <s v="Marathon Petroleum Corporation"/>
    <x v="119"/>
    <x v="2"/>
    <x v="31"/>
    <n v="2026"/>
    <n v="1"/>
    <n v="0.64516129032258063"/>
    <n v="5.4838709677419351"/>
    <m/>
  </r>
  <r>
    <x v="0"/>
    <s v="NA"/>
    <s v="U.S.A."/>
    <s v="Marathon Petroleum Corporation"/>
    <x v="119"/>
    <x v="3"/>
    <x v="31"/>
    <n v="2026"/>
    <n v="1"/>
    <n v="0.64516129032258063"/>
    <n v="25.161290322580644"/>
    <m/>
  </r>
  <r>
    <x v="0"/>
    <s v="NA"/>
    <s v="U.S.A."/>
    <s v="Marathon Petroleum Corporation"/>
    <x v="119"/>
    <x v="4"/>
    <x v="31"/>
    <n v="2026"/>
    <n v="1"/>
    <n v="0.64516129032258063"/>
    <n v="0"/>
    <s v="0 Alky due to FCC"/>
  </r>
  <r>
    <x v="0"/>
    <s v="NA"/>
    <s v="U.S.A."/>
    <s v="Marathon Petroleum Corporation"/>
    <x v="119"/>
    <x v="2"/>
    <x v="25"/>
    <n v="2026"/>
    <n v="1"/>
    <n v="1"/>
    <n v="8.5"/>
    <m/>
  </r>
  <r>
    <x v="0"/>
    <s v="NA"/>
    <s v="U.S.A."/>
    <s v="Marathon Petroleum Corporation"/>
    <x v="119"/>
    <x v="3"/>
    <x v="25"/>
    <n v="2026"/>
    <n v="1"/>
    <n v="1"/>
    <n v="39"/>
    <m/>
  </r>
  <r>
    <x v="0"/>
    <s v="NA"/>
    <s v="U.S.A."/>
    <s v="Marathon Petroleum Corporation"/>
    <x v="119"/>
    <x v="4"/>
    <x v="25"/>
    <n v="2026"/>
    <n v="1"/>
    <n v="1"/>
    <n v="0"/>
    <s v="0 Alky due to FCC"/>
  </r>
  <r>
    <x v="0"/>
    <s v="NA"/>
    <s v="U.S.A."/>
    <s v="Marathon Petroleum Corporation"/>
    <x v="119"/>
    <x v="2"/>
    <x v="26"/>
    <n v="2026"/>
    <n v="1"/>
    <n v="0.25806451612903225"/>
    <n v="2.193548387096774"/>
    <m/>
  </r>
  <r>
    <x v="0"/>
    <s v="NA"/>
    <s v="U.S.A."/>
    <s v="Marathon Petroleum Corporation"/>
    <x v="119"/>
    <x v="3"/>
    <x v="26"/>
    <n v="2026"/>
    <n v="1"/>
    <n v="0.25806451612903225"/>
    <n v="10.064516129032258"/>
    <m/>
  </r>
  <r>
    <x v="0"/>
    <s v="NA"/>
    <s v="U.S.A."/>
    <s v="Marathon Petroleum Corporation"/>
    <x v="119"/>
    <x v="0"/>
    <x v="31"/>
    <n v="2026"/>
    <n v="1"/>
    <n v="0.64516129032258063"/>
    <n v="5.4838709677419351"/>
    <m/>
  </r>
  <r>
    <x v="0"/>
    <s v="NA"/>
    <s v="U.S.A."/>
    <s v="Marathon Petroleum Corporation"/>
    <x v="119"/>
    <x v="0"/>
    <x v="25"/>
    <n v="2026"/>
    <n v="1"/>
    <n v="1"/>
    <n v="8.5"/>
    <m/>
  </r>
  <r>
    <x v="0"/>
    <s v="NA"/>
    <s v="U.S.A."/>
    <s v="Marathon Petroleum Corporation"/>
    <x v="119"/>
    <x v="0"/>
    <x v="26"/>
    <n v="2026"/>
    <n v="1"/>
    <n v="0.25806451612903225"/>
    <n v="2.193548387096774"/>
    <m/>
  </r>
  <r>
    <x v="0"/>
    <s v="NA"/>
    <s v="U.S.A."/>
    <s v="CITGO Petroleum Corporation"/>
    <x v="5"/>
    <x v="6"/>
    <x v="31"/>
    <n v="2026"/>
    <n v="1"/>
    <n v="0.61290322580645162"/>
    <n v="9.193548387096774"/>
    <s v="60 kbd Coker down  1/12-3/13/26"/>
  </r>
  <r>
    <x v="0"/>
    <s v="NA"/>
    <s v="U.S.A."/>
    <s v="CITGO Petroleum Corporation"/>
    <x v="5"/>
    <x v="6"/>
    <x v="25"/>
    <n v="2026"/>
    <n v="1"/>
    <n v="1"/>
    <n v="15"/>
    <s v="60 kbd Coker down  1/12-3/13/26"/>
  </r>
  <r>
    <x v="0"/>
    <s v="NA"/>
    <s v="U.S.A."/>
    <s v="CITGO Petroleum Corporation"/>
    <x v="5"/>
    <x v="6"/>
    <x v="26"/>
    <n v="2026"/>
    <n v="1"/>
    <n v="0.41935483870967744"/>
    <n v="6.2903225806451619"/>
    <s v="60 kbd Coker down  1/12-3/13/26"/>
  </r>
  <r>
    <x v="0"/>
    <s v="NA"/>
    <s v="U.S.A."/>
    <s v="Valero Refining Company"/>
    <x v="120"/>
    <x v="3"/>
    <x v="31"/>
    <n v="2026"/>
    <n v="1"/>
    <n v="0.4838709677419355"/>
    <n v="20.443548387096776"/>
    <m/>
  </r>
  <r>
    <x v="0"/>
    <s v="NA"/>
    <s v="U.S.A."/>
    <s v="Valero Refining Company"/>
    <x v="120"/>
    <x v="3"/>
    <x v="25"/>
    <n v="2026"/>
    <n v="1"/>
    <n v="0.5"/>
    <n v="21.125"/>
    <m/>
  </r>
  <r>
    <x v="0"/>
    <s v="NA"/>
    <s v="U.S.A."/>
    <s v="Valero Refining Company"/>
    <x v="120"/>
    <x v="4"/>
    <x v="31"/>
    <n v="2026"/>
    <n v="1"/>
    <m/>
    <n v="0"/>
    <s v="0 Alky due to FCC"/>
  </r>
  <r>
    <x v="0"/>
    <s v="NA"/>
    <s v="U.S.A."/>
    <s v="Valero Refining Company"/>
    <x v="120"/>
    <x v="4"/>
    <x v="25"/>
    <n v="2026"/>
    <n v="1"/>
    <m/>
    <n v="0"/>
    <s v="0 Alky due to FCC"/>
  </r>
  <r>
    <x v="0"/>
    <s v="NA"/>
    <s v="U.S.A."/>
    <s v="Valero Refining Company"/>
    <x v="121"/>
    <x v="0"/>
    <x v="31"/>
    <n v="2026"/>
    <n v="1"/>
    <n v="0.25806451612903225"/>
    <n v="2.193548387096774"/>
    <m/>
  </r>
  <r>
    <x v="0"/>
    <s v="NA"/>
    <s v="U.S.A."/>
    <s v="Valero Refining Company"/>
    <x v="121"/>
    <x v="0"/>
    <x v="25"/>
    <n v="2026"/>
    <n v="1"/>
    <n v="0.8571428571428571"/>
    <n v="7.2857142857142856"/>
    <m/>
  </r>
  <r>
    <x v="0"/>
    <s v="NA"/>
    <s v="U.S.A."/>
    <s v="XOM"/>
    <x v="122"/>
    <x v="2"/>
    <x v="31"/>
    <n v="2026"/>
    <n v="1"/>
    <n v="0.16129032258064516"/>
    <n v="0"/>
    <s v="only alky planned IIR reports off for BRRF; discuss with Haley"/>
  </r>
  <r>
    <x v="0"/>
    <s v="NA"/>
    <s v="U.S.A."/>
    <s v="XOM"/>
    <x v="123"/>
    <x v="2"/>
    <x v="31"/>
    <n v="2026"/>
    <n v="1"/>
    <n v="0.16129032258064516"/>
    <n v="4.354838709677419"/>
    <s v="Jan 2026: PS3/DCU TA Block – ~85 kbd crude rate impact, 34 kbd resid capacity reduction"/>
  </r>
  <r>
    <x v="0"/>
    <s v="NA"/>
    <s v="U.S.A."/>
    <s v="XOM"/>
    <x v="123"/>
    <x v="6"/>
    <x v="31"/>
    <n v="2026"/>
    <n v="1"/>
    <n v="0.16129032258064516"/>
    <n v="2.0766129032258065"/>
    <m/>
  </r>
  <r>
    <x v="0"/>
    <s v="NA"/>
    <s v="U.S.A."/>
    <s v="XOM"/>
    <x v="122"/>
    <x v="3"/>
    <x v="31"/>
    <n v="2026"/>
    <n v="1"/>
    <d v="1899-12-30T03:52:15"/>
    <n v="0"/>
    <s v="only alky planned IIR reports off for BRRF; discuss with Haley"/>
  </r>
  <r>
    <x v="0"/>
    <s v="NA"/>
    <s v="U.S.A."/>
    <s v="XOM"/>
    <x v="122"/>
    <x v="0"/>
    <x v="31"/>
    <n v="2026"/>
    <n v="1"/>
    <n v="0.16129032258064516"/>
    <n v="0"/>
    <s v="only alky planned IIR reports off for BRRF; discuss with Haley"/>
  </r>
  <r>
    <x v="0"/>
    <s v="NA"/>
    <s v="U.S.A."/>
    <s v="XOM"/>
    <x v="122"/>
    <x v="2"/>
    <x v="25"/>
    <n v="2026"/>
    <n v="1"/>
    <n v="1"/>
    <n v="0"/>
    <s v="only alky planned IIR reports off for BRRF; discuss with Haley"/>
  </r>
  <r>
    <x v="0"/>
    <s v="NA"/>
    <s v="U.S.A."/>
    <s v="XOM"/>
    <x v="123"/>
    <x v="2"/>
    <x v="25"/>
    <n v="2026"/>
    <n v="1"/>
    <n v="1"/>
    <n v="27"/>
    <m/>
  </r>
  <r>
    <x v="0"/>
    <s v="NA"/>
    <s v="U.S.A."/>
    <s v="XOM"/>
    <x v="123"/>
    <x v="6"/>
    <x v="25"/>
    <n v="2026"/>
    <n v="1"/>
    <n v="1"/>
    <n v="12.875"/>
    <m/>
  </r>
  <r>
    <x v="0"/>
    <s v="NA"/>
    <s v="U.S.A."/>
    <s v="XOM"/>
    <x v="122"/>
    <x v="3"/>
    <x v="25"/>
    <n v="2026"/>
    <n v="1"/>
    <n v="1"/>
    <n v="0"/>
    <s v="only alky planned IIR reports off for BRRF; discuss with Haley"/>
  </r>
  <r>
    <x v="0"/>
    <s v="NA"/>
    <s v="U.S.A."/>
    <s v="XOM"/>
    <x v="122"/>
    <x v="0"/>
    <x v="25"/>
    <n v="2026"/>
    <n v="1"/>
    <n v="1"/>
    <n v="0"/>
    <s v="only alky planned IIR reports off for BRRF; discuss with Haley"/>
  </r>
  <r>
    <x v="0"/>
    <s v="NA"/>
    <s v="U.S.A."/>
    <s v="XOM"/>
    <x v="123"/>
    <x v="2"/>
    <x v="26"/>
    <n v="2026"/>
    <n v="1"/>
    <n v="6.4516129032258063E-2"/>
    <n v="1.7419354838709677"/>
    <m/>
  </r>
  <r>
    <x v="0"/>
    <s v="NA"/>
    <s v="U.S.A."/>
    <s v="XOM"/>
    <x v="123"/>
    <x v="6"/>
    <x v="26"/>
    <n v="2026"/>
    <n v="1"/>
    <n v="6.4516129032258063E-2"/>
    <n v="0.83064516129032251"/>
    <m/>
  </r>
  <r>
    <x v="0"/>
    <s v="NA"/>
    <s v="U.S.A."/>
    <s v="XOM"/>
    <x v="122"/>
    <x v="2"/>
    <x v="26"/>
    <n v="2026"/>
    <n v="1"/>
    <n v="0.38709677419354838"/>
    <n v="0"/>
    <s v="only alky planned IIR reports off for BRRF; discuss with Haley"/>
  </r>
  <r>
    <x v="0"/>
    <s v="NA"/>
    <s v="U.S.A."/>
    <s v="XOM"/>
    <x v="122"/>
    <x v="3"/>
    <x v="26"/>
    <n v="2026"/>
    <n v="1"/>
    <n v="0.38709677419354838"/>
    <n v="0"/>
    <s v="only alky planned IIR reports off for BRRF; discuss with Haley"/>
  </r>
  <r>
    <x v="0"/>
    <s v="NA"/>
    <s v="U.S.A."/>
    <s v="XOM"/>
    <x v="122"/>
    <x v="0"/>
    <x v="26"/>
    <n v="2026"/>
    <n v="1"/>
    <n v="0.38709677419354838"/>
    <n v="0"/>
    <s v="only alky planned IIR reports off for BRRF; discuss with Haley"/>
  </r>
  <r>
    <x v="0"/>
    <s v="NA"/>
    <s v="U.S.A."/>
    <s v="Valero Refining Company"/>
    <x v="1"/>
    <x v="8"/>
    <x v="25"/>
    <n v="2026"/>
    <n v="1"/>
    <m/>
    <n v="0"/>
    <m/>
  </r>
  <r>
    <x v="0"/>
    <s v="NA"/>
    <s v="U.S.A."/>
    <s v="Valero Refining Company"/>
    <x v="1"/>
    <x v="1"/>
    <x v="25"/>
    <n v="2026"/>
    <n v="1"/>
    <m/>
    <n v="0"/>
    <m/>
  </r>
  <r>
    <x v="0"/>
    <s v="NA"/>
    <s v="U.S.A."/>
    <s v="Valero Refining Company"/>
    <x v="1"/>
    <x v="2"/>
    <x v="25"/>
    <n v="2026"/>
    <n v="1"/>
    <n v="1"/>
    <n v="31.25"/>
    <s v="125 kbd CDU down from 9/5-11/8. Moved to 2/1-4/6/26"/>
  </r>
  <r>
    <x v="0"/>
    <s v="NA"/>
    <s v="U.S.A."/>
    <s v="Valero Refining Company"/>
    <x v="121"/>
    <x v="2"/>
    <x v="25"/>
    <n v="2026"/>
    <n v="1"/>
    <n v="0.8571428571428571"/>
    <n v="8.1428571428571423"/>
    <s v="Split between with reformer and without"/>
  </r>
  <r>
    <x v="0"/>
    <s v="NA"/>
    <s v="U.S.A."/>
    <s v="CITGO Petroleum Corporation"/>
    <x v="5"/>
    <x v="2"/>
    <x v="25"/>
    <n v="2026"/>
    <n v="1"/>
    <n v="1"/>
    <n v="38.75"/>
    <s v="155 CDU down 2/1 - 2/28/26"/>
  </r>
  <r>
    <x v="0"/>
    <s v="NA"/>
    <s v="U.S.A."/>
    <s v="Valero Refining Company"/>
    <x v="1"/>
    <x v="8"/>
    <x v="26"/>
    <n v="2026"/>
    <n v="1"/>
    <m/>
    <n v="0"/>
    <m/>
  </r>
  <r>
    <x v="0"/>
    <s v="NA"/>
    <s v="U.S.A."/>
    <s v="Valero Refining Company"/>
    <x v="1"/>
    <x v="1"/>
    <x v="26"/>
    <n v="2026"/>
    <n v="1"/>
    <m/>
    <n v="0"/>
    <m/>
  </r>
  <r>
    <x v="0"/>
    <s v="NA"/>
    <s v="U.S.A."/>
    <s v="Valero Refining Company"/>
    <x v="1"/>
    <x v="2"/>
    <x v="26"/>
    <n v="2026"/>
    <n v="1"/>
    <n v="1"/>
    <n v="31.25"/>
    <s v="125 kbd CDU down from 9/5-11/8. Moved to 2/1-4/6/26"/>
  </r>
  <r>
    <x v="0"/>
    <s v="NA"/>
    <s v="U.S.A."/>
    <s v="Valero Refining Company"/>
    <x v="1"/>
    <x v="8"/>
    <x v="24"/>
    <n v="2026"/>
    <n v="1"/>
    <m/>
    <n v="0"/>
    <m/>
  </r>
  <r>
    <x v="0"/>
    <s v="NA"/>
    <s v="U.S.A."/>
    <s v="Valero Refining Company"/>
    <x v="1"/>
    <x v="1"/>
    <x v="24"/>
    <n v="2026"/>
    <n v="1"/>
    <m/>
    <n v="0"/>
    <m/>
  </r>
  <r>
    <x v="0"/>
    <s v="NA"/>
    <s v="U.S.A."/>
    <s v="Valero Refining Company"/>
    <x v="1"/>
    <x v="2"/>
    <x v="24"/>
    <n v="2026"/>
    <n v="1"/>
    <n v="0.2"/>
    <n v="6.25"/>
    <s v="125 kbd CDU down from 9/5-11/8. Moved to 2/1-4/6/26"/>
  </r>
  <r>
    <x v="0"/>
    <s v="NA"/>
    <s v="U.S.A."/>
    <s v="Delek US Holdings"/>
    <x v="124"/>
    <x v="2"/>
    <x v="25"/>
    <n v="2026"/>
    <n v="1"/>
    <n v="0.9285714285714286"/>
    <n v="7.4285714285714288"/>
    <m/>
  </r>
  <r>
    <x v="0"/>
    <s v="NA"/>
    <s v="U.S.A."/>
    <s v="Delek US Holdings"/>
    <x v="124"/>
    <x v="0"/>
    <x v="25"/>
    <n v="2026"/>
    <n v="1"/>
    <n v="0.9285714285714286"/>
    <n v="12.628571428571428"/>
    <m/>
  </r>
  <r>
    <x v="0"/>
    <s v="NA"/>
    <s v="U.S.A."/>
    <s v="Delek US Holdings"/>
    <x v="124"/>
    <x v="3"/>
    <x v="25"/>
    <n v="2026"/>
    <n v="1"/>
    <n v="0.9285714285714286"/>
    <n v="12.071428571428571"/>
    <m/>
  </r>
  <r>
    <x v="0"/>
    <s v="NA"/>
    <s v="U.S.A."/>
    <s v="Delek US Holdings"/>
    <x v="124"/>
    <x v="4"/>
    <x v="25"/>
    <n v="2026"/>
    <n v="1"/>
    <n v="0.9285714285714286"/>
    <n v="0"/>
    <s v="0 Alky due to FCC"/>
  </r>
  <r>
    <x v="0"/>
    <s v="NA"/>
    <s v="U.S.A."/>
    <s v="Delek US Holdings"/>
    <x v="124"/>
    <x v="2"/>
    <x v="26"/>
    <n v="2026"/>
    <n v="1"/>
    <n v="1"/>
    <n v="8"/>
    <m/>
  </r>
  <r>
    <x v="0"/>
    <s v="NA"/>
    <s v="U.S.A."/>
    <s v="Delek US Holdings"/>
    <x v="124"/>
    <x v="0"/>
    <x v="26"/>
    <n v="2026"/>
    <n v="1"/>
    <n v="1"/>
    <n v="13.6"/>
    <m/>
  </r>
  <r>
    <x v="0"/>
    <s v="NA"/>
    <s v="U.S.A."/>
    <s v="Delek US Holdings"/>
    <x v="124"/>
    <x v="3"/>
    <x v="26"/>
    <n v="2026"/>
    <n v="1"/>
    <n v="1"/>
    <n v="13"/>
    <m/>
  </r>
  <r>
    <x v="0"/>
    <s v="NA"/>
    <s v="U.S.A."/>
    <s v="Delek US Holdings"/>
    <x v="124"/>
    <x v="4"/>
    <x v="26"/>
    <n v="2026"/>
    <n v="1"/>
    <n v="1"/>
    <n v="0"/>
    <s v="0 Alky due to FCC"/>
  </r>
  <r>
    <x v="0"/>
    <s v="NA"/>
    <s v="U.S.A."/>
    <s v="Delek US Holdings"/>
    <x v="124"/>
    <x v="2"/>
    <x v="24"/>
    <n v="2026"/>
    <n v="1"/>
    <n v="6.6666666666666666E-2"/>
    <n v="0.53333333333333333"/>
    <m/>
  </r>
  <r>
    <x v="0"/>
    <s v="NA"/>
    <s v="U.S.A."/>
    <s v="Delek US Holdings"/>
    <x v="124"/>
    <x v="0"/>
    <x v="24"/>
    <n v="2026"/>
    <n v="1"/>
    <n v="6.6666666666666666E-2"/>
    <n v="0.90666666666666662"/>
    <m/>
  </r>
  <r>
    <x v="0"/>
    <s v="NA"/>
    <s v="U.S.A."/>
    <s v="Delek US Holdings"/>
    <x v="124"/>
    <x v="3"/>
    <x v="24"/>
    <n v="2026"/>
    <n v="1"/>
    <n v="6.6666666666666666E-2"/>
    <n v="0.8666666666666667"/>
    <m/>
  </r>
  <r>
    <x v="0"/>
    <s v="NA"/>
    <s v="U.S.A."/>
    <s v="Delek US Holdings"/>
    <x v="124"/>
    <x v="4"/>
    <x v="24"/>
    <n v="2026"/>
    <n v="1"/>
    <n v="6.6666666666666666E-2"/>
    <n v="0"/>
    <s v="0 Alky due to FCC"/>
  </r>
  <r>
    <x v="0"/>
    <s v="NA"/>
    <s v="U.S.A."/>
    <s v="Shell Oil Products US"/>
    <x v="78"/>
    <x v="0"/>
    <x v="25"/>
    <n v="2026"/>
    <n v="1"/>
    <n v="0.8571428571428571"/>
    <n v="29.142857142857142"/>
    <m/>
  </r>
  <r>
    <x v="0"/>
    <s v="NA"/>
    <s v="U.S.A."/>
    <s v="Shell Oil Products US"/>
    <x v="78"/>
    <x v="0"/>
    <x v="26"/>
    <n v="2026"/>
    <n v="1"/>
    <n v="0.4838709677419355"/>
    <n v="16.451612903225808"/>
    <m/>
  </r>
  <r>
    <x v="0"/>
    <s v="NA"/>
    <s v="U.S.A."/>
    <s v="Hunt Refining Company"/>
    <x v="89"/>
    <x v="2"/>
    <x v="25"/>
    <n v="2026"/>
    <n v="1"/>
    <n v="0.7857142857142857"/>
    <n v="1.9642857142857142"/>
    <m/>
  </r>
  <r>
    <x v="0"/>
    <s v="NA"/>
    <s v="U.S.A."/>
    <s v="Hunt Refining Company"/>
    <x v="89"/>
    <x v="2"/>
    <x v="26"/>
    <n v="2026"/>
    <n v="1"/>
    <n v="3.2258064516129031E-2"/>
    <n v="8.0645161290322578E-2"/>
    <m/>
  </r>
  <r>
    <x v="0"/>
    <s v="NA"/>
    <s v="U.S.A."/>
    <s v="Vertex Energy"/>
    <x v="81"/>
    <x v="2"/>
    <x v="25"/>
    <n v="2026"/>
    <n v="1"/>
    <n v="0.6785714285714286"/>
    <n v="2.7142857142857144"/>
    <m/>
  </r>
  <r>
    <x v="0"/>
    <s v="NA"/>
    <s v="U.S.A."/>
    <s v="Vertex Energy"/>
    <x v="81"/>
    <x v="0"/>
    <x v="25"/>
    <n v="2026"/>
    <n v="1"/>
    <n v="0.6785714285714286"/>
    <n v="4.0375000000000005"/>
    <m/>
  </r>
  <r>
    <x v="0"/>
    <s v="NA"/>
    <s v="U.S.A."/>
    <s v="Vertex Energy"/>
    <x v="81"/>
    <x v="2"/>
    <x v="26"/>
    <n v="2026"/>
    <n v="1"/>
    <n v="0.4838709677419355"/>
    <n v="1.935483870967742"/>
    <m/>
  </r>
  <r>
    <x v="0"/>
    <s v="NA"/>
    <s v="U.S.A."/>
    <s v="Vertex Energy"/>
    <x v="81"/>
    <x v="0"/>
    <x v="26"/>
    <n v="2026"/>
    <n v="1"/>
    <n v="0.4838709677419355"/>
    <n v="2.8790322580645165"/>
    <m/>
  </r>
  <r>
    <x v="0"/>
    <s v="NA"/>
    <s v="U.S.A."/>
    <s v="Delek US Holdings"/>
    <x v="125"/>
    <x v="2"/>
    <x v="25"/>
    <n v="2026"/>
    <n v="1"/>
    <n v="0.5357142857142857"/>
    <n v="3.910714285714286"/>
    <s v="73 kbd CDU down 2/13-3/25/26"/>
  </r>
  <r>
    <x v="0"/>
    <s v="NA"/>
    <s v="U.S.A."/>
    <s v="Delek US Holdings"/>
    <x v="125"/>
    <x v="3"/>
    <x v="25"/>
    <n v="2026"/>
    <n v="1"/>
    <n v="0.5357142857142857"/>
    <n v="8.7053571428571423"/>
    <s v="25 kbd FCC down  2/13-3/25/26"/>
  </r>
  <r>
    <x v="0"/>
    <s v="NA"/>
    <s v="U.S.A."/>
    <s v="Delek US Holdings"/>
    <x v="125"/>
    <x v="4"/>
    <x v="25"/>
    <n v="2026"/>
    <n v="1"/>
    <n v="0.5357142857142857"/>
    <n v="0"/>
    <s v="0 Alky due to FCC"/>
  </r>
  <r>
    <x v="0"/>
    <s v="NA"/>
    <s v="U.S.A."/>
    <s v="Delek US Holdings"/>
    <x v="125"/>
    <x v="0"/>
    <x v="25"/>
    <n v="2026"/>
    <n v="1"/>
    <n v="0.5357142857142857"/>
    <n v="9.5624999999999982"/>
    <s v="21 kbd reformer down  2/13/2026-3/25/2026"/>
  </r>
  <r>
    <x v="0"/>
    <s v="NA"/>
    <s v="U.S.A."/>
    <s v="Delek US Holdings"/>
    <x v="125"/>
    <x v="2"/>
    <x v="26"/>
    <n v="2026"/>
    <n v="1"/>
    <n v="0.80645161290322576"/>
    <n v="5.8870967741935489"/>
    <s v="73 kbd CDU down 2/13-3/25/26"/>
  </r>
  <r>
    <x v="0"/>
    <s v="NA"/>
    <s v="U.S.A."/>
    <s v="Delek US Holdings"/>
    <x v="125"/>
    <x v="3"/>
    <x v="26"/>
    <n v="2026"/>
    <n v="1"/>
    <n v="0.80645161290322576"/>
    <n v="13.104838709677418"/>
    <s v="25 kbd FCC down  2/13-3/25/26"/>
  </r>
  <r>
    <x v="0"/>
    <s v="NA"/>
    <s v="U.S.A."/>
    <s v="Delek US Holdings"/>
    <x v="125"/>
    <x v="4"/>
    <x v="26"/>
    <n v="2026"/>
    <n v="1"/>
    <n v="0.80645161290322576"/>
    <n v="0"/>
    <s v="0 Alky due to FCC"/>
  </r>
  <r>
    <x v="0"/>
    <s v="NA"/>
    <s v="U.S.A."/>
    <s v="Delek US Holdings"/>
    <x v="125"/>
    <x v="0"/>
    <x v="26"/>
    <n v="2026"/>
    <n v="1"/>
    <n v="0.80645161290322576"/>
    <n v="14.395161290322578"/>
    <s v="21 kbd reformer down  2/13/2026-3/25/2026"/>
  </r>
  <r>
    <x v="0"/>
    <s v="NA"/>
    <s v="U.S.A."/>
    <s v="XOM"/>
    <x v="126"/>
    <x v="2"/>
    <x v="25"/>
    <n v="2026"/>
    <n v="1"/>
    <n v="0.5"/>
    <n v="22.5"/>
    <s v="IIR date range different from company plan"/>
  </r>
  <r>
    <x v="0"/>
    <s v="NA"/>
    <s v="U.S.A."/>
    <s v="XOM"/>
    <x v="126"/>
    <x v="2"/>
    <x v="26"/>
    <n v="2026"/>
    <n v="1"/>
    <n v="0.77419354838709675"/>
    <n v="34.838709677419352"/>
    <s v="IIR date range different from company plan"/>
  </r>
  <r>
    <x v="0"/>
    <s v="NA"/>
    <s v="U.S.A."/>
    <s v="Valero Refining Company"/>
    <x v="121"/>
    <x v="2"/>
    <x v="25"/>
    <n v="2026"/>
    <n v="1"/>
    <n v="0.14285714285714285"/>
    <n v="3.3928571428571428"/>
    <s v="Split between with reformer and without"/>
  </r>
  <r>
    <x v="0"/>
    <s v="NA"/>
    <s v="U.S.A."/>
    <s v="Valero Refining Company"/>
    <x v="121"/>
    <x v="2"/>
    <x v="26"/>
    <n v="2026"/>
    <n v="1"/>
    <n v="0.54838709677419351"/>
    <n v="13.024193548387096"/>
    <s v="Split between with reformer and without"/>
  </r>
  <r>
    <x v="0"/>
    <s v="NA"/>
    <s v="U.S.A."/>
    <s v="Cross Oil Refining &amp; Marketing Incorporated"/>
    <x v="37"/>
    <x v="2"/>
    <x v="26"/>
    <n v="2026"/>
    <n v="1"/>
    <n v="0.35483870967741937"/>
    <n v="0.62096774193548387"/>
    <m/>
  </r>
  <r>
    <x v="0"/>
    <s v="NA"/>
    <s v="U.S.A."/>
    <s v="Cross Oil Refining &amp; Marketing Incorporated"/>
    <x v="37"/>
    <x v="2"/>
    <x v="24"/>
    <n v="2026"/>
    <n v="1"/>
    <n v="0.26666666666666666"/>
    <n v="0.46666666666666667"/>
    <m/>
  </r>
  <r>
    <x v="0"/>
    <s v="NA"/>
    <s v="U.S.A."/>
    <s v="Placid Refining Company LLC"/>
    <x v="127"/>
    <x v="2"/>
    <x v="24"/>
    <n v="2026"/>
    <n v="1"/>
    <n v="0.9"/>
    <n v="7.2"/>
    <m/>
  </r>
  <r>
    <x v="0"/>
    <s v="NA"/>
    <s v="U.S.A."/>
    <s v="Placid Refining Company LLC"/>
    <x v="127"/>
    <x v="0"/>
    <x v="24"/>
    <n v="2026"/>
    <n v="1"/>
    <n v="0.9"/>
    <n v="8.4149999999999991"/>
    <m/>
  </r>
  <r>
    <x v="0"/>
    <s v="NA"/>
    <s v="U.S.A."/>
    <s v="Placid Refining Company LLC"/>
    <x v="127"/>
    <x v="3"/>
    <x v="24"/>
    <n v="2026"/>
    <n v="1"/>
    <n v="0.9"/>
    <n v="13.7475"/>
    <m/>
  </r>
  <r>
    <x v="0"/>
    <s v="NA"/>
    <s v="U.S.A."/>
    <s v="Placid Refining Company LLC"/>
    <x v="127"/>
    <x v="4"/>
    <x v="24"/>
    <n v="2026"/>
    <n v="1"/>
    <n v="0.9"/>
    <n v="0"/>
    <s v="0 for Alky due to FCC being down"/>
  </r>
  <r>
    <x v="0"/>
    <s v="NA"/>
    <s v="U.S.A."/>
    <s v="Placid Refining Company LLC"/>
    <x v="127"/>
    <x v="2"/>
    <x v="27"/>
    <n v="2026"/>
    <n v="1"/>
    <n v="0.22580645161290322"/>
    <n v="1.8064516129032258"/>
    <m/>
  </r>
  <r>
    <x v="0"/>
    <s v="NA"/>
    <s v="U.S.A."/>
    <s v="Placid Refining Company LLC"/>
    <x v="127"/>
    <x v="0"/>
    <x v="27"/>
    <n v="2026"/>
    <n v="1"/>
    <n v="0.22580645161290322"/>
    <n v="2.1112903225806452"/>
    <m/>
  </r>
  <r>
    <x v="0"/>
    <s v="NA"/>
    <s v="U.S.A."/>
    <s v="Placid Refining Company LLC"/>
    <x v="127"/>
    <x v="3"/>
    <x v="27"/>
    <n v="2026"/>
    <n v="1"/>
    <n v="0.22580645161290322"/>
    <n v="3.4491935483870968"/>
    <m/>
  </r>
  <r>
    <x v="0"/>
    <s v="NA"/>
    <s v="U.S.A."/>
    <s v="Placid Refining Company LLC"/>
    <x v="127"/>
    <x v="4"/>
    <x v="27"/>
    <n v="2026"/>
    <n v="1"/>
    <n v="0.22580645161290322"/>
    <n v="0"/>
    <s v="0 for Alky due to FCC being down"/>
  </r>
  <r>
    <x v="0"/>
    <s v="NA"/>
    <s v="U.S.A."/>
    <s v="Valero Refining Company"/>
    <x v="76"/>
    <x v="5"/>
    <x v="27"/>
    <n v="2026"/>
    <n v="1"/>
    <n v="0.93548387096774188"/>
    <n v="2.57258064516129"/>
    <m/>
  </r>
  <r>
    <x v="0"/>
    <s v="NA"/>
    <s v="U.S.A."/>
    <s v="Valero Refining Company"/>
    <x v="76"/>
    <x v="5"/>
    <x v="32"/>
    <n v="2026"/>
    <n v="1"/>
    <n v="1"/>
    <n v="2.75"/>
    <m/>
  </r>
  <r>
    <x v="0"/>
    <s v="NA"/>
    <s v="U.S.A."/>
    <s v="Valero Refining Company"/>
    <x v="62"/>
    <x v="5"/>
    <x v="33"/>
    <n v="2026"/>
    <n v="1"/>
    <n v="0.61290322580645162"/>
    <n v="0.91935483870967749"/>
    <m/>
  </r>
  <r>
    <x v="0"/>
    <s v="NA"/>
    <s v="U.S.A."/>
    <s v="Valero Refining Company"/>
    <x v="62"/>
    <x v="5"/>
    <x v="34"/>
    <n v="2026"/>
    <n v="1"/>
    <n v="0.73333333333333328"/>
    <n v="1.0999999999999999"/>
    <m/>
  </r>
  <r>
    <x v="0"/>
    <s v="NA"/>
    <s v="U.S.A."/>
    <s v="XOM"/>
    <x v="123"/>
    <x v="13"/>
    <x v="29"/>
    <n v="2026"/>
    <m/>
    <m/>
    <m/>
    <s v="October 2026: HF3 R-2 C/O – 20 kbd reformer cut"/>
  </r>
  <r>
    <x v="0"/>
    <s v="NA"/>
    <s v="U.S.A."/>
    <s v="XOM"/>
    <x v="123"/>
    <x v="13"/>
    <x v="30"/>
    <n v="2026"/>
    <m/>
    <m/>
    <m/>
    <s v="November 2026: HF4 C/Os – 13 kbd reformer cut"/>
  </r>
  <r>
    <x v="4"/>
    <s v="NA"/>
    <s v="U.S.A."/>
    <s v="Big West Oil LLC"/>
    <x v="29"/>
    <x v="4"/>
    <x v="25"/>
    <n v="2026"/>
    <n v="1"/>
    <n v="1"/>
    <n v="0"/>
    <s v="Zeroing out Alky since FCC is OOS as well"/>
  </r>
  <r>
    <x v="4"/>
    <s v="NA"/>
    <s v="U.S.A."/>
    <s v="Big West Oil LLC"/>
    <x v="29"/>
    <x v="3"/>
    <x v="25"/>
    <n v="2026"/>
    <n v="1"/>
    <n v="1"/>
    <n v="7.15"/>
    <s v="11.5 kbd FCC down 9/1-9/30. moved to 2/6-3/7/26"/>
  </r>
  <r>
    <x v="4"/>
    <s v="NA"/>
    <s v="U.S.A."/>
    <s v="Big West Oil LLC"/>
    <x v="29"/>
    <x v="2"/>
    <x v="25"/>
    <n v="2026"/>
    <n v="1"/>
    <n v="1"/>
    <n v="3.1"/>
    <s v="11.5 kbd FCC down 9/1-9/30. moved to 2/6-3/7/26"/>
  </r>
  <r>
    <x v="4"/>
    <s v="NA"/>
    <s v="U.S.A."/>
    <s v="Big West Oil LLC"/>
    <x v="29"/>
    <x v="0"/>
    <x v="25"/>
    <n v="2026"/>
    <n v="1"/>
    <n v="1"/>
    <n v="8.5"/>
    <m/>
  </r>
  <r>
    <x v="4"/>
    <s v="NA"/>
    <s v="U.S.A."/>
    <s v="Big West Oil LLC"/>
    <x v="29"/>
    <x v="4"/>
    <x v="26"/>
    <n v="2026"/>
    <n v="1"/>
    <n v="0.22580645161290322"/>
    <n v="0"/>
    <s v="Zeroing out Alky since FCC is OOS as well"/>
  </r>
  <r>
    <x v="4"/>
    <s v="NA"/>
    <s v="U.S.A."/>
    <s v="Big West Oil LLC"/>
    <x v="29"/>
    <x v="3"/>
    <x v="26"/>
    <n v="2026"/>
    <n v="1"/>
    <n v="0.22580645161290322"/>
    <n v="1.6145161290322581"/>
    <s v="11.5 kbd FCC down 9/1-9/30. moved to 2/6-3/7/26"/>
  </r>
  <r>
    <x v="4"/>
    <s v="NA"/>
    <s v="U.S.A."/>
    <s v="Big West Oil LLC"/>
    <x v="29"/>
    <x v="2"/>
    <x v="26"/>
    <n v="2026"/>
    <n v="1"/>
    <n v="0.22580645161290322"/>
    <n v="0.70000000000000007"/>
    <s v="11.5 kbd FCC down 9/1-9/30. moved to 2/6-3/7/26"/>
  </r>
  <r>
    <x v="4"/>
    <s v="NA"/>
    <s v="U.S.A."/>
    <s v="Big West Oil LLC"/>
    <x v="29"/>
    <x v="0"/>
    <x v="26"/>
    <n v="2026"/>
    <n v="1"/>
    <n v="0.22580645161290322"/>
    <n v="1.9193548387096773"/>
    <m/>
  </r>
  <r>
    <x v="4"/>
    <s v="NA"/>
    <s v="U.S.A."/>
    <s v="HF Sinclair Corporation"/>
    <x v="51"/>
    <x v="2"/>
    <x v="26"/>
    <n v="2026"/>
    <n v="1"/>
    <n v="1"/>
    <n v="4.5"/>
    <m/>
  </r>
  <r>
    <x v="4"/>
    <s v="NA"/>
    <s v="U.S.A."/>
    <s v="HF Sinclair Corporation"/>
    <x v="51"/>
    <x v="2"/>
    <x v="24"/>
    <n v="2026"/>
    <n v="1"/>
    <n v="1"/>
    <n v="4.5"/>
    <m/>
  </r>
  <r>
    <x v="4"/>
    <s v="NA"/>
    <s v="U.S.A."/>
    <s v="HF Sinclair Corporation"/>
    <x v="51"/>
    <x v="2"/>
    <x v="27"/>
    <n v="2026"/>
    <n v="1"/>
    <n v="0.12903225806451613"/>
    <n v="0.58064516129032251"/>
    <m/>
  </r>
  <r>
    <x v="4"/>
    <s v="NA"/>
    <s v="U.S.A."/>
    <s v="HF Sinclair Corporation"/>
    <x v="51"/>
    <x v="5"/>
    <x v="26"/>
    <n v="2026"/>
    <n v="1"/>
    <n v="1"/>
    <n v="0.75"/>
    <m/>
  </r>
  <r>
    <x v="4"/>
    <s v="NA"/>
    <s v="U.S.A."/>
    <s v="HF Sinclair Corporation"/>
    <x v="51"/>
    <x v="5"/>
    <x v="24"/>
    <n v="2026"/>
    <n v="1"/>
    <n v="1"/>
    <n v="0.75"/>
    <m/>
  </r>
  <r>
    <x v="4"/>
    <s v="NA"/>
    <s v="U.S.A."/>
    <s v="HF Sinclair Corporation"/>
    <x v="51"/>
    <x v="5"/>
    <x v="27"/>
    <n v="2026"/>
    <n v="1"/>
    <n v="0.12903225806451613"/>
    <n v="9.6774193548387094E-2"/>
    <m/>
  </r>
  <r>
    <x v="4"/>
    <s v="NA"/>
    <s v="U.S.A."/>
    <s v="HF Sinclair Corporation"/>
    <x v="51"/>
    <x v="3"/>
    <x v="26"/>
    <n v="2026"/>
    <n v="1"/>
    <n v="1"/>
    <n v="11.309999999999999"/>
    <m/>
  </r>
  <r>
    <x v="4"/>
    <s v="NA"/>
    <s v="U.S.A."/>
    <s v="HF Sinclair Corporation"/>
    <x v="51"/>
    <x v="3"/>
    <x v="24"/>
    <n v="2026"/>
    <n v="1"/>
    <n v="1"/>
    <n v="11.309999999999999"/>
    <m/>
  </r>
  <r>
    <x v="4"/>
    <s v="NA"/>
    <s v="U.S.A."/>
    <s v="HF Sinclair Corporation"/>
    <x v="51"/>
    <x v="3"/>
    <x v="27"/>
    <n v="2026"/>
    <n v="1"/>
    <n v="0.12903225806451613"/>
    <n v="1.4593548387096773"/>
    <m/>
  </r>
  <r>
    <x v="4"/>
    <s v="NA"/>
    <s v="U.S.A."/>
    <s v="HF Sinclair Corporation"/>
    <x v="51"/>
    <x v="4"/>
    <x v="26"/>
    <n v="2026"/>
    <n v="1"/>
    <n v="1"/>
    <n v="0"/>
    <s v="0 Alky due to FCC"/>
  </r>
  <r>
    <x v="4"/>
    <s v="NA"/>
    <s v="U.S.A."/>
    <s v="HF Sinclair Corporation"/>
    <x v="51"/>
    <x v="4"/>
    <x v="24"/>
    <n v="2026"/>
    <n v="1"/>
    <n v="1"/>
    <n v="0"/>
    <m/>
  </r>
  <r>
    <x v="4"/>
    <s v="NA"/>
    <s v="U.S.A."/>
    <s v="HF Sinclair Corporation"/>
    <x v="51"/>
    <x v="4"/>
    <x v="27"/>
    <n v="2026"/>
    <n v="1"/>
    <n v="0.12903225806451613"/>
    <n v="0"/>
    <m/>
  </r>
  <r>
    <x v="4"/>
    <s v="NA"/>
    <s v="U.S.A."/>
    <s v="HF Sinclair Corporation"/>
    <x v="51"/>
    <x v="0"/>
    <x v="26"/>
    <n v="2026"/>
    <n v="1"/>
    <n v="1"/>
    <n v="6.8"/>
    <m/>
  </r>
  <r>
    <x v="4"/>
    <s v="NA"/>
    <s v="U.S.A."/>
    <s v="HF Sinclair Corporation"/>
    <x v="51"/>
    <x v="0"/>
    <x v="24"/>
    <n v="2026"/>
    <n v="1"/>
    <n v="1"/>
    <n v="6.8"/>
    <m/>
  </r>
  <r>
    <x v="4"/>
    <s v="NA"/>
    <s v="U.S.A."/>
    <s v="HF Sinclair Corporation"/>
    <x v="51"/>
    <x v="0"/>
    <x v="27"/>
    <n v="2026"/>
    <n v="1"/>
    <n v="0.12903225806451613"/>
    <n v="0.87741935483870959"/>
    <m/>
  </r>
  <r>
    <x v="4"/>
    <s v="NA"/>
    <s v="U.S.A."/>
    <s v="HF Sinclair Corporation"/>
    <x v="128"/>
    <x v="2"/>
    <x v="26"/>
    <n v="2026"/>
    <n v="1"/>
    <n v="0.80645161290322576"/>
    <n v="2.0161290322580645"/>
    <m/>
  </r>
  <r>
    <x v="4"/>
    <s v="NA"/>
    <s v="U.S.A."/>
    <s v="HF Sinclair Corporation"/>
    <x v="128"/>
    <x v="2"/>
    <x v="24"/>
    <n v="2026"/>
    <n v="1"/>
    <n v="0.45161290322580644"/>
    <n v="1.129032258064516"/>
    <m/>
  </r>
  <r>
    <x v="4"/>
    <s v="NA"/>
    <s v="U.S.A."/>
    <s v="Wyoming Refining Company"/>
    <x v="129"/>
    <x v="2"/>
    <x v="26"/>
    <n v="2026"/>
    <n v="1"/>
    <n v="0.80645161290322576"/>
    <n v="1.6129032258064515"/>
    <m/>
  </r>
  <r>
    <x v="4"/>
    <s v="NA"/>
    <s v="U.S.A."/>
    <s v="Wyoming Refining Company"/>
    <x v="129"/>
    <x v="2"/>
    <x v="24"/>
    <n v="2026"/>
    <n v="1"/>
    <n v="0.8"/>
    <n v="1.6"/>
    <m/>
  </r>
  <r>
    <x v="4"/>
    <s v="NA"/>
    <s v="U.S.A."/>
    <s v="Suncor Energy Incorporated"/>
    <x v="130"/>
    <x v="2"/>
    <x v="26"/>
    <n v="2026"/>
    <n v="1"/>
    <n v="0.80645161290322576"/>
    <n v="5.6451612903225801"/>
    <m/>
  </r>
  <r>
    <x v="4"/>
    <s v="NA"/>
    <s v="U.S.A."/>
    <s v="Suncor Energy Incorporated"/>
    <x v="130"/>
    <x v="2"/>
    <x v="24"/>
    <n v="2026"/>
    <n v="1"/>
    <n v="0.3"/>
    <n v="2.1"/>
    <m/>
  </r>
  <r>
    <x v="4"/>
    <s v="NA"/>
    <s v="U.S.A."/>
    <s v="HF Sinclair Corporation"/>
    <x v="128"/>
    <x v="3"/>
    <x v="26"/>
    <n v="2026"/>
    <n v="1"/>
    <n v="0.80645161290322576"/>
    <n v="6.8145161290322589"/>
    <m/>
  </r>
  <r>
    <x v="4"/>
    <s v="NA"/>
    <s v="U.S.A."/>
    <s v="HF Sinclair Corporation"/>
    <x v="128"/>
    <x v="3"/>
    <x v="24"/>
    <n v="2026"/>
    <n v="1"/>
    <n v="0.45161290322580644"/>
    <n v="3.8161290322580648"/>
    <m/>
  </r>
  <r>
    <x v="4"/>
    <s v="NA"/>
    <s v="U.S.A."/>
    <s v="Wyoming Refining Company"/>
    <x v="129"/>
    <x v="3"/>
    <x v="26"/>
    <n v="2026"/>
    <n v="1"/>
    <n v="0.80645161290322576"/>
    <n v="2.883064516129032"/>
    <m/>
  </r>
  <r>
    <x v="4"/>
    <s v="NA"/>
    <s v="U.S.A."/>
    <s v="Wyoming Refining Company"/>
    <x v="129"/>
    <x v="3"/>
    <x v="24"/>
    <n v="2026"/>
    <n v="1"/>
    <n v="0.8"/>
    <n v="2.8600000000000003"/>
    <m/>
  </r>
  <r>
    <x v="4"/>
    <s v="NA"/>
    <s v="U.S.A."/>
    <s v="Suncor Energy Incorporated"/>
    <x v="130"/>
    <x v="3"/>
    <x v="26"/>
    <n v="2026"/>
    <n v="1"/>
    <n v="0.80645161290322576"/>
    <n v="14.834677419354838"/>
    <m/>
  </r>
  <r>
    <x v="4"/>
    <s v="NA"/>
    <s v="U.S.A."/>
    <s v="Suncor Energy Incorporated"/>
    <x v="130"/>
    <x v="3"/>
    <x v="24"/>
    <n v="2026"/>
    <n v="1"/>
    <n v="0.3"/>
    <n v="5.5184999999999995"/>
    <m/>
  </r>
  <r>
    <x v="4"/>
    <s v="NA"/>
    <s v="U.S.A."/>
    <s v="HF Sinclair Corporation"/>
    <x v="128"/>
    <x v="0"/>
    <x v="26"/>
    <n v="2026"/>
    <n v="1"/>
    <n v="0.80645161290322576"/>
    <n v="5.1411290322580641"/>
    <m/>
  </r>
  <r>
    <x v="4"/>
    <s v="NA"/>
    <s v="U.S.A."/>
    <s v="HF Sinclair Corporation"/>
    <x v="128"/>
    <x v="0"/>
    <x v="24"/>
    <n v="2026"/>
    <n v="1"/>
    <n v="0.45161290322580644"/>
    <n v="2.879032258064516"/>
    <m/>
  </r>
  <r>
    <x v="4"/>
    <s v="NA"/>
    <s v="U.S.A."/>
    <s v="Wyoming Refining Company"/>
    <x v="129"/>
    <x v="0"/>
    <x v="26"/>
    <n v="2026"/>
    <n v="1"/>
    <n v="0.80645161290322576"/>
    <n v="2.193548387096774"/>
    <m/>
  </r>
  <r>
    <x v="4"/>
    <s v="NA"/>
    <s v="U.S.A."/>
    <s v="Wyoming Refining Company"/>
    <x v="129"/>
    <x v="0"/>
    <x v="24"/>
    <n v="2026"/>
    <n v="1"/>
    <n v="0.8"/>
    <n v="2.1760000000000002"/>
    <m/>
  </r>
  <r>
    <x v="4"/>
    <s v="NA"/>
    <s v="U.S.A."/>
    <s v="Suncor Energy Incorporated"/>
    <x v="130"/>
    <x v="0"/>
    <x v="26"/>
    <n v="2026"/>
    <n v="1"/>
    <n v="0.80645161290322576"/>
    <n v="6.854838709677419"/>
    <m/>
  </r>
  <r>
    <x v="4"/>
    <s v="NA"/>
    <s v="U.S.A."/>
    <s v="Suncor Energy Incorporated"/>
    <x v="130"/>
    <x v="0"/>
    <x v="24"/>
    <n v="2026"/>
    <n v="1"/>
    <n v="0.3"/>
    <n v="2.5499999999999998"/>
    <m/>
  </r>
  <r>
    <x v="4"/>
    <s v="NA"/>
    <s v="U.S.A."/>
    <s v="Par Pacific Holdings Incorporated"/>
    <x v="67"/>
    <x v="2"/>
    <x v="24"/>
    <n v="2026"/>
    <n v="1"/>
    <n v="1"/>
    <n v="15.75"/>
    <m/>
  </r>
  <r>
    <x v="4"/>
    <s v="NA"/>
    <s v="U.S.A."/>
    <s v="Silver Eagle Refining Incorporated"/>
    <x v="131"/>
    <x v="2"/>
    <x v="24"/>
    <n v="2026"/>
    <n v="1"/>
    <n v="0.43333333333333335"/>
    <n v="0.14733333333333334"/>
    <m/>
  </r>
  <r>
    <x v="4"/>
    <s v="NA"/>
    <s v="U.S.A."/>
    <s v="Silver Eagle Refining Incorporated"/>
    <x v="131"/>
    <x v="0"/>
    <x v="24"/>
    <n v="2026"/>
    <n v="1"/>
    <n v="0.43333333333333335"/>
    <n v="1.105"/>
    <m/>
  </r>
  <r>
    <x v="4"/>
    <s v="NA"/>
    <s v="U.S.A."/>
    <s v="Chevron Corporation"/>
    <x v="41"/>
    <x v="3"/>
    <x v="29"/>
    <n v="2026"/>
    <n v="1"/>
    <n v="0.45161290322580644"/>
    <n v="3.8161290322580648"/>
    <s v="13 kbd FCC down 10/17-12/6. Moved to 10/17-12/6/26"/>
  </r>
  <r>
    <x v="4"/>
    <s v="NA"/>
    <s v="U.S.A."/>
    <s v="Chevron Corporation"/>
    <x v="41"/>
    <x v="1"/>
    <x v="29"/>
    <n v="2026"/>
    <n v="1"/>
    <n v="0.45161290322580644"/>
    <n v="0"/>
    <m/>
  </r>
  <r>
    <x v="4"/>
    <s v="NA"/>
    <s v="U.S.A."/>
    <s v="Chevron Corporation"/>
    <x v="41"/>
    <x v="0"/>
    <x v="29"/>
    <n v="2026"/>
    <n v="1"/>
    <n v="0.45161290322580644"/>
    <n v="3.0709677419354837"/>
    <s v="8 kbd reformer down 10/17-12/6.  Moved to 10/17-12/6/26"/>
  </r>
  <r>
    <x v="4"/>
    <s v="NA"/>
    <s v="U.S.A."/>
    <s v="Chevron Corporation"/>
    <x v="41"/>
    <x v="3"/>
    <x v="30"/>
    <n v="2026"/>
    <n v="1"/>
    <n v="1"/>
    <n v="8.4500000000000011"/>
    <s v="13 kbd FCC down 10/17-12/6. Moved to 10/17-12/6/26"/>
  </r>
  <r>
    <x v="4"/>
    <s v="NA"/>
    <s v="U.S.A."/>
    <s v="Chevron Corporation"/>
    <x v="41"/>
    <x v="1"/>
    <x v="30"/>
    <n v="2026"/>
    <n v="1"/>
    <n v="1"/>
    <n v="0"/>
    <m/>
  </r>
  <r>
    <x v="4"/>
    <s v="NA"/>
    <s v="U.S.A."/>
    <s v="Chevron Corporation"/>
    <x v="41"/>
    <x v="0"/>
    <x v="30"/>
    <n v="2026"/>
    <n v="1"/>
    <n v="1"/>
    <n v="6.8"/>
    <s v="8 kbd reformer down 10/17-12/6. Moved to 10/17-12/6/26"/>
  </r>
  <r>
    <x v="4"/>
    <s v="NA"/>
    <s v="U.S.A."/>
    <s v="Chevron Corporation"/>
    <x v="41"/>
    <x v="3"/>
    <x v="35"/>
    <n v="2026"/>
    <n v="1"/>
    <n v="0.19354838709677419"/>
    <n v="1.6354838709677419"/>
    <s v="13 kbd FCC down 10/17-12/6. Moved to 10/17-12/6/26"/>
  </r>
  <r>
    <x v="4"/>
    <s v="NA"/>
    <s v="U.S.A."/>
    <s v="Chevron Corporation"/>
    <x v="41"/>
    <x v="1"/>
    <x v="35"/>
    <n v="2026"/>
    <n v="1"/>
    <n v="0.19354838709677419"/>
    <n v="0"/>
    <m/>
  </r>
  <r>
    <x v="4"/>
    <s v="NA"/>
    <s v="U.S.A."/>
    <s v="Chevron Corporation"/>
    <x v="41"/>
    <x v="0"/>
    <x v="35"/>
    <n v="2026"/>
    <n v="1"/>
    <n v="0.19354838709677419"/>
    <n v="1.3161290322580645"/>
    <s v="8 kbd reformer down 10/17-12/6. Moved to 10/17-12/6/26"/>
  </r>
  <r>
    <x v="1"/>
    <s v="NA"/>
    <s v="U.S.A."/>
    <s v="Torrance Refining Company LLC"/>
    <x v="92"/>
    <x v="6"/>
    <x v="31"/>
    <n v="2026"/>
    <n v="1"/>
    <n v="0.32258064516129031"/>
    <n v="0.8032258064516129"/>
    <s v="8.3kbd coker 11/27-1/10"/>
  </r>
  <r>
    <x v="1"/>
    <s v="NA"/>
    <s v="U.S.A."/>
    <s v="Marathon Petroleum Corporation"/>
    <x v="132"/>
    <x v="2"/>
    <x v="31"/>
    <n v="2026"/>
    <n v="1"/>
    <n v="1"/>
    <n v="10.3"/>
    <s v="Tar Confirmed 01/2025."/>
  </r>
  <r>
    <x v="1"/>
    <s v="NA"/>
    <s v="U.S.A."/>
    <s v="Marathon Petroleum Corporation"/>
    <x v="132"/>
    <x v="2"/>
    <x v="25"/>
    <n v="2026"/>
    <n v="1"/>
    <n v="7.1428571428571425E-2"/>
    <n v="0.73571428571428577"/>
    <s v="Tar Confirmed 01/2025."/>
  </r>
  <r>
    <x v="1"/>
    <s v="NA"/>
    <s v="U.S.A."/>
    <s v="Marathon Petroleum Corporation"/>
    <x v="132"/>
    <x v="4"/>
    <x v="24"/>
    <n v="2026"/>
    <n v="1"/>
    <n v="1"/>
    <n v="11.399999999999999"/>
    <m/>
  </r>
  <r>
    <x v="1"/>
    <s v="NA"/>
    <s v="U.S.A."/>
    <s v="Marathon Petroleum Corporation"/>
    <x v="132"/>
    <x v="4"/>
    <x v="27"/>
    <n v="2026"/>
    <n v="1"/>
    <n v="3.2258064516129031E-2"/>
    <n v="0.36774193548387091"/>
    <m/>
  </r>
  <r>
    <x v="1"/>
    <s v="NA"/>
    <s v="U.S.A."/>
    <s v="Marathon Petroleum Corporation"/>
    <x v="133"/>
    <x v="0"/>
    <x v="31"/>
    <n v="2026"/>
    <n v="1"/>
    <n v="0.87096774193548387"/>
    <n v="14.806451612903226"/>
    <m/>
  </r>
  <r>
    <x v="1"/>
    <s v="NA"/>
    <s v="U.S.A."/>
    <s v="Marathon Petroleum Corporation"/>
    <x v="133"/>
    <x v="0"/>
    <x v="25"/>
    <n v="2026"/>
    <n v="1"/>
    <n v="3.5714285714285712E-2"/>
    <n v="0.6071428571428571"/>
    <m/>
  </r>
  <r>
    <x v="1"/>
    <s v="NA"/>
    <s v="U.S.A."/>
    <s v="San Joaquin Refining Company Incorporated"/>
    <x v="91"/>
    <x v="2"/>
    <x v="25"/>
    <n v="2026"/>
    <n v="1"/>
    <n v="0.39285714285714285"/>
    <n v="0.95464285714285724"/>
    <m/>
  </r>
  <r>
    <x v="1"/>
    <s v="NA"/>
    <s v="U.S.A."/>
    <s v="Par Pacific Holdings Incorporated"/>
    <x v="134"/>
    <x v="2"/>
    <x v="25"/>
    <n v="2026"/>
    <n v="1"/>
    <n v="0.5357142857142857"/>
    <n v="2.25"/>
    <m/>
  </r>
  <r>
    <x v="1"/>
    <s v="NA"/>
    <s v="U.S.A."/>
    <s v="Par Pacific Holdings Incorporated"/>
    <x v="134"/>
    <x v="2"/>
    <x v="26"/>
    <n v="2026"/>
    <n v="1"/>
    <n v="1"/>
    <n v="4.2"/>
    <m/>
  </r>
  <r>
    <x v="1"/>
    <s v="NA"/>
    <s v="U.S.A."/>
    <s v="Par Pacific Holdings Incorporated"/>
    <x v="134"/>
    <x v="2"/>
    <x v="24"/>
    <n v="2026"/>
    <n v="1"/>
    <n v="6.6666666666666666E-2"/>
    <n v="0.28000000000000003"/>
    <m/>
  </r>
  <r>
    <x v="1"/>
    <s v="NA"/>
    <s v="U.S.A."/>
    <s v="Par Pacific Holdings Incorporated"/>
    <x v="134"/>
    <x v="0"/>
    <x v="25"/>
    <n v="2026"/>
    <n v="1"/>
    <n v="0.5357142857142857"/>
    <n v="3.8249999999999997"/>
    <m/>
  </r>
  <r>
    <x v="1"/>
    <s v="NA"/>
    <s v="U.S.A."/>
    <s v="Par Pacific Holdings Incorporated"/>
    <x v="134"/>
    <x v="0"/>
    <x v="26"/>
    <n v="2026"/>
    <n v="1"/>
    <n v="1"/>
    <n v="7.14"/>
    <m/>
  </r>
  <r>
    <x v="1"/>
    <s v="NA"/>
    <s v="U.S.A."/>
    <s v="Par Pacific Holdings Incorporated"/>
    <x v="134"/>
    <x v="0"/>
    <x v="24"/>
    <n v="2026"/>
    <n v="1"/>
    <n v="6.6666666666666666E-2"/>
    <n v="0.47599999999999998"/>
    <m/>
  </r>
  <r>
    <x v="1"/>
    <s v="NA"/>
    <s v="U.S.A."/>
    <s v="Valero Refining Company"/>
    <x v="85"/>
    <x v="0"/>
    <x v="24"/>
    <n v="2026"/>
    <n v="1"/>
    <n v="1"/>
    <n v="34"/>
    <s v="40 kbd Reformer SD permanently April '26"/>
  </r>
  <r>
    <x v="1"/>
    <s v="NA"/>
    <s v="U.S.A."/>
    <s v="Valero Refining Company"/>
    <x v="85"/>
    <x v="2"/>
    <x v="24"/>
    <n v="2026"/>
    <n v="1"/>
    <n v="1"/>
    <n v="14.4"/>
    <s v="144 kbd CDU SD permanently April '26"/>
  </r>
  <r>
    <x v="1"/>
    <s v="NA"/>
    <s v="U.S.A."/>
    <s v="Valero Refining Company"/>
    <x v="85"/>
    <x v="3"/>
    <x v="24"/>
    <n v="2026"/>
    <n v="1"/>
    <n v="1"/>
    <n v="50.050000000000004"/>
    <s v="77 kbd FCCU SD permanently April '26"/>
  </r>
  <r>
    <x v="1"/>
    <s v="NA"/>
    <s v="U.S.A."/>
    <s v="Valero Refining Company"/>
    <x v="85"/>
    <x v="5"/>
    <x v="24"/>
    <n v="2026"/>
    <n v="1"/>
    <n v="1"/>
    <n v="1.8"/>
    <s v="36 kbd HDC SD permanently April '26"/>
  </r>
  <r>
    <x v="1"/>
    <s v="NA"/>
    <s v="U.S.A."/>
    <s v="Valero Refining Company"/>
    <x v="85"/>
    <x v="6"/>
    <x v="24"/>
    <n v="2026"/>
    <n v="1"/>
    <n v="1"/>
    <n v="2.8000000000000003"/>
    <s v="28kbd Coker SD permanently April '26"/>
  </r>
  <r>
    <x v="1"/>
    <s v="NA"/>
    <s v="U.S.A."/>
    <s v="Marathon Petroleum Corporation"/>
    <x v="135"/>
    <x v="14"/>
    <x v="24"/>
    <n v="2026"/>
    <n v="1"/>
    <n v="1"/>
    <n v="0"/>
    <s v="no mogas impact; PowerBI showing Atmos dist"/>
  </r>
  <r>
    <x v="1"/>
    <s v="NA"/>
    <s v="U.S.A."/>
    <s v="Valero Refining Company"/>
    <x v="85"/>
    <x v="0"/>
    <x v="27"/>
    <n v="2026"/>
    <n v="1"/>
    <n v="1"/>
    <n v="34"/>
    <s v="40 kbd Reformer SD permanently April '26"/>
  </r>
  <r>
    <x v="1"/>
    <s v="NA"/>
    <s v="U.S.A."/>
    <s v="Valero Refining Company"/>
    <x v="85"/>
    <x v="2"/>
    <x v="27"/>
    <n v="2026"/>
    <n v="1"/>
    <n v="1"/>
    <n v="14.4"/>
    <s v="144 kbd CDU SD permanently April '26"/>
  </r>
  <r>
    <x v="1"/>
    <s v="NA"/>
    <s v="U.S.A."/>
    <s v="Valero Refining Company"/>
    <x v="85"/>
    <x v="3"/>
    <x v="27"/>
    <n v="2026"/>
    <n v="1"/>
    <n v="1"/>
    <n v="50.050000000000004"/>
    <s v="77 kbd FCCU SD permanently April '26"/>
  </r>
  <r>
    <x v="1"/>
    <s v="NA"/>
    <s v="U.S.A."/>
    <s v="Valero Refining Company"/>
    <x v="85"/>
    <x v="5"/>
    <x v="27"/>
    <n v="2026"/>
    <n v="1"/>
    <n v="1"/>
    <n v="1.8"/>
    <s v="36 kbd HDC SD permanently April '26"/>
  </r>
  <r>
    <x v="1"/>
    <s v="NA"/>
    <s v="U.S.A."/>
    <s v="Valero Refining Company"/>
    <x v="85"/>
    <x v="6"/>
    <x v="27"/>
    <n v="2026"/>
    <n v="1"/>
    <n v="1"/>
    <n v="2.8000000000000003"/>
    <s v="28kbd Coker SD permanently April '26"/>
  </r>
  <r>
    <x v="1"/>
    <s v="NA"/>
    <s v="U.S.A."/>
    <s v="Valero Refining Company"/>
    <x v="85"/>
    <x v="0"/>
    <x v="32"/>
    <n v="2026"/>
    <n v="1"/>
    <n v="1"/>
    <n v="34"/>
    <s v="40 kbd Reformer SD permanently April '26"/>
  </r>
  <r>
    <x v="1"/>
    <s v="NA"/>
    <s v="U.S.A."/>
    <s v="Valero Refining Company"/>
    <x v="85"/>
    <x v="2"/>
    <x v="32"/>
    <n v="2026"/>
    <n v="1"/>
    <n v="1"/>
    <n v="14.4"/>
    <s v="144 kbd CDU SD permanently April '26"/>
  </r>
  <r>
    <x v="1"/>
    <s v="NA"/>
    <s v="U.S.A."/>
    <s v="Valero Refining Company"/>
    <x v="85"/>
    <x v="3"/>
    <x v="32"/>
    <n v="2026"/>
    <n v="1"/>
    <n v="1"/>
    <n v="50.050000000000004"/>
    <s v="77 kbd FCCU SD permanently April '26"/>
  </r>
  <r>
    <x v="1"/>
    <s v="NA"/>
    <s v="U.S.A."/>
    <s v="Valero Refining Company"/>
    <x v="85"/>
    <x v="5"/>
    <x v="32"/>
    <n v="2026"/>
    <n v="1"/>
    <n v="1"/>
    <n v="1.8"/>
    <s v="36 kbd HDC SD permanently April '26"/>
  </r>
  <r>
    <x v="1"/>
    <s v="NA"/>
    <s v="U.S.A."/>
    <s v="Valero Refining Company"/>
    <x v="85"/>
    <x v="6"/>
    <x v="32"/>
    <n v="2026"/>
    <n v="1"/>
    <n v="1"/>
    <n v="2.8000000000000003"/>
    <s v="28kbd Coker SD permanently April '26"/>
  </r>
  <r>
    <x v="1"/>
    <s v="NA"/>
    <s v="U.S.A."/>
    <s v="Valero Refining Company"/>
    <x v="85"/>
    <x v="0"/>
    <x v="33"/>
    <n v="2026"/>
    <n v="1"/>
    <n v="1"/>
    <n v="34"/>
    <s v="40 kbd Reformer SD permanently April '26"/>
  </r>
  <r>
    <x v="1"/>
    <s v="NA"/>
    <s v="U.S.A."/>
    <s v="Valero Refining Company"/>
    <x v="85"/>
    <x v="2"/>
    <x v="33"/>
    <n v="2026"/>
    <n v="1"/>
    <n v="1"/>
    <n v="14.4"/>
    <s v="144 kbd CDU SD permanently April '26"/>
  </r>
  <r>
    <x v="1"/>
    <s v="NA"/>
    <s v="U.S.A."/>
    <s v="Valero Refining Company"/>
    <x v="85"/>
    <x v="3"/>
    <x v="33"/>
    <n v="2026"/>
    <n v="1"/>
    <n v="1"/>
    <n v="50.050000000000004"/>
    <s v="77 kbd FCCU SD permanently April '26"/>
  </r>
  <r>
    <x v="1"/>
    <s v="NA"/>
    <s v="U.S.A."/>
    <s v="Valero Refining Company"/>
    <x v="85"/>
    <x v="5"/>
    <x v="33"/>
    <n v="2026"/>
    <n v="1"/>
    <n v="1"/>
    <n v="1.8"/>
    <s v="36 kbd HDC SD permanently April '26"/>
  </r>
  <r>
    <x v="1"/>
    <s v="NA"/>
    <s v="U.S.A."/>
    <s v="Valero Refining Company"/>
    <x v="85"/>
    <x v="6"/>
    <x v="33"/>
    <n v="2026"/>
    <n v="1"/>
    <n v="1"/>
    <n v="2.8000000000000003"/>
    <s v="28kbd Coker SD permanently April '26"/>
  </r>
  <r>
    <x v="1"/>
    <s v="NA"/>
    <s v="U.S.A."/>
    <s v="Valero Refining Company"/>
    <x v="85"/>
    <x v="0"/>
    <x v="34"/>
    <n v="2026"/>
    <n v="1"/>
    <n v="1"/>
    <n v="34"/>
    <s v="40 kbd Reformer SD permanently April '26"/>
  </r>
  <r>
    <x v="1"/>
    <s v="NA"/>
    <s v="U.S.A."/>
    <s v="Valero Refining Company"/>
    <x v="85"/>
    <x v="2"/>
    <x v="34"/>
    <n v="2026"/>
    <n v="1"/>
    <n v="1"/>
    <n v="14.4"/>
    <s v="144 kbd CDU SD permanently April '26"/>
  </r>
  <r>
    <x v="1"/>
    <s v="NA"/>
    <s v="U.S.A."/>
    <s v="Valero Refining Company"/>
    <x v="85"/>
    <x v="3"/>
    <x v="34"/>
    <n v="2026"/>
    <n v="1"/>
    <n v="1"/>
    <n v="50.050000000000004"/>
    <s v="77 kbd FCCU SD permanently April '26"/>
  </r>
  <r>
    <x v="1"/>
    <s v="NA"/>
    <s v="U.S.A."/>
    <s v="Valero Refining Company"/>
    <x v="85"/>
    <x v="5"/>
    <x v="34"/>
    <n v="2026"/>
    <n v="1"/>
    <n v="1"/>
    <n v="1.8"/>
    <s v="36 kbd HDC SD permanently April '26"/>
  </r>
  <r>
    <x v="1"/>
    <s v="NA"/>
    <s v="U.S.A."/>
    <s v="Valero Refining Company"/>
    <x v="85"/>
    <x v="6"/>
    <x v="34"/>
    <n v="2026"/>
    <n v="1"/>
    <n v="1"/>
    <n v="2.8000000000000003"/>
    <s v="28kbd Coker SD permanently April '26"/>
  </r>
  <r>
    <x v="1"/>
    <s v="NA"/>
    <s v="U.S.A."/>
    <s v="Valero Refining Company"/>
    <x v="85"/>
    <x v="0"/>
    <x v="28"/>
    <n v="2026"/>
    <n v="1"/>
    <n v="1"/>
    <n v="34"/>
    <s v="40 kbd Reformer SD permanently April '26"/>
  </r>
  <r>
    <x v="1"/>
    <s v="NA"/>
    <s v="U.S.A."/>
    <s v="Valero Refining Company"/>
    <x v="85"/>
    <x v="2"/>
    <x v="28"/>
    <n v="2026"/>
    <n v="1"/>
    <n v="1"/>
    <n v="14.4"/>
    <s v="144 kbd CDU SD permanently April '26"/>
  </r>
  <r>
    <x v="1"/>
    <s v="NA"/>
    <s v="U.S.A."/>
    <s v="Valero Refining Company"/>
    <x v="85"/>
    <x v="3"/>
    <x v="28"/>
    <n v="2026"/>
    <n v="1"/>
    <n v="1"/>
    <n v="50.050000000000004"/>
    <s v="77 kbd FCCU SD permanently April '26"/>
  </r>
  <r>
    <x v="1"/>
    <s v="NA"/>
    <s v="U.S.A."/>
    <s v="Valero Refining Company"/>
    <x v="85"/>
    <x v="5"/>
    <x v="28"/>
    <n v="2026"/>
    <n v="1"/>
    <n v="1"/>
    <n v="1.8"/>
    <s v="36 kbd HDC SD permanently April '26"/>
  </r>
  <r>
    <x v="1"/>
    <s v="NA"/>
    <s v="U.S.A."/>
    <s v="Valero Refining Company"/>
    <x v="85"/>
    <x v="6"/>
    <x v="28"/>
    <n v="2026"/>
    <n v="1"/>
    <n v="1"/>
    <n v="2.8000000000000003"/>
    <s v="28kbd Coker SD permanently April '26"/>
  </r>
  <r>
    <x v="1"/>
    <s v="NA"/>
    <s v="U.S.A."/>
    <s v="Valero Refining Company"/>
    <x v="85"/>
    <x v="0"/>
    <x v="29"/>
    <n v="2026"/>
    <n v="1"/>
    <n v="1"/>
    <n v="34"/>
    <s v="40 kbd Reformer SD permanently April '26"/>
  </r>
  <r>
    <x v="1"/>
    <s v="NA"/>
    <s v="U.S.A."/>
    <s v="Valero Refining Company"/>
    <x v="85"/>
    <x v="2"/>
    <x v="29"/>
    <n v="2026"/>
    <n v="1"/>
    <n v="1"/>
    <n v="14.4"/>
    <s v="144 kbd CDU SD permanently April '26"/>
  </r>
  <r>
    <x v="1"/>
    <s v="NA"/>
    <s v="U.S.A."/>
    <s v="Valero Refining Company"/>
    <x v="85"/>
    <x v="3"/>
    <x v="29"/>
    <n v="2026"/>
    <n v="1"/>
    <n v="1"/>
    <n v="50.050000000000004"/>
    <s v="77 kbd FCCU SD permanently April '26"/>
  </r>
  <r>
    <x v="1"/>
    <s v="NA"/>
    <s v="U.S.A."/>
    <s v="Valero Refining Company"/>
    <x v="85"/>
    <x v="5"/>
    <x v="29"/>
    <n v="2026"/>
    <n v="1"/>
    <n v="1"/>
    <n v="1.8"/>
    <s v="36 kbd HDC SD permanently April '26"/>
  </r>
  <r>
    <x v="1"/>
    <s v="NA"/>
    <s v="U.S.A."/>
    <s v="Valero Refining Company"/>
    <x v="85"/>
    <x v="6"/>
    <x v="29"/>
    <n v="2026"/>
    <n v="1"/>
    <n v="1"/>
    <n v="2.8000000000000003"/>
    <s v="28kbd Coker SD permanently April '26"/>
  </r>
  <r>
    <x v="1"/>
    <s v="NA"/>
    <s v="U.S.A."/>
    <s v="Valero Refining Company"/>
    <x v="85"/>
    <x v="0"/>
    <x v="30"/>
    <n v="2026"/>
    <n v="1"/>
    <n v="1"/>
    <n v="34"/>
    <s v="40 kbd Reformer SD permanently April '26"/>
  </r>
  <r>
    <x v="1"/>
    <s v="NA"/>
    <s v="U.S.A."/>
    <s v="Valero Refining Company"/>
    <x v="85"/>
    <x v="2"/>
    <x v="30"/>
    <n v="2026"/>
    <n v="1"/>
    <n v="1"/>
    <n v="14.4"/>
    <s v="144 kbd CDU SD permanently April '26"/>
  </r>
  <r>
    <x v="1"/>
    <s v="NA"/>
    <s v="U.S.A."/>
    <s v="Valero Refining Company"/>
    <x v="85"/>
    <x v="3"/>
    <x v="30"/>
    <n v="2026"/>
    <n v="1"/>
    <n v="1"/>
    <n v="50.050000000000004"/>
    <s v="77 kbd FCCU SD permanently April '26"/>
  </r>
  <r>
    <x v="1"/>
    <s v="NA"/>
    <s v="U.S.A."/>
    <s v="Valero Refining Company"/>
    <x v="85"/>
    <x v="5"/>
    <x v="30"/>
    <n v="2026"/>
    <n v="1"/>
    <n v="1"/>
    <n v="1.8"/>
    <s v="36 kbd HDC SD permanently April '26"/>
  </r>
  <r>
    <x v="1"/>
    <s v="NA"/>
    <s v="U.S.A."/>
    <s v="Valero Refining Company"/>
    <x v="85"/>
    <x v="6"/>
    <x v="30"/>
    <n v="2026"/>
    <n v="1"/>
    <n v="1"/>
    <n v="2.8000000000000003"/>
    <s v="28kbd Coker SD permanently April '26"/>
  </r>
  <r>
    <x v="1"/>
    <s v="NA"/>
    <s v="U.S.A."/>
    <s v="Valero Refining Company"/>
    <x v="85"/>
    <x v="0"/>
    <x v="35"/>
    <n v="2026"/>
    <n v="1"/>
    <n v="1"/>
    <n v="34"/>
    <s v="40 kbd Reformer SD permanently April '26"/>
  </r>
  <r>
    <x v="1"/>
    <s v="NA"/>
    <s v="U.S.A."/>
    <s v="Valero Refining Company"/>
    <x v="85"/>
    <x v="2"/>
    <x v="35"/>
    <n v="2026"/>
    <n v="1"/>
    <n v="1"/>
    <n v="14.4"/>
    <s v="144 kbd CDU SD permanently April '26"/>
  </r>
  <r>
    <x v="1"/>
    <s v="NA"/>
    <s v="U.S.A."/>
    <s v="Valero Refining Company"/>
    <x v="85"/>
    <x v="3"/>
    <x v="35"/>
    <n v="2026"/>
    <n v="1"/>
    <n v="1"/>
    <n v="50.050000000000004"/>
    <s v="77 kbd FCCU SD permanently April '26"/>
  </r>
  <r>
    <x v="1"/>
    <s v="NA"/>
    <s v="U.S.A."/>
    <s v="Valero Refining Company"/>
    <x v="85"/>
    <x v="5"/>
    <x v="35"/>
    <n v="2026"/>
    <n v="1"/>
    <n v="1"/>
    <n v="1.8"/>
    <s v="36 kbd HDC SD permanently April '26"/>
  </r>
  <r>
    <x v="1"/>
    <s v="NA"/>
    <s v="U.S.A."/>
    <s v="Valero Refining Company"/>
    <x v="85"/>
    <x v="6"/>
    <x v="35"/>
    <n v="2026"/>
    <n v="1"/>
    <n v="1"/>
    <n v="2.8000000000000003"/>
    <s v="28kbd Coker SD permanently April '26"/>
  </r>
  <r>
    <x v="1"/>
    <s v="NA"/>
    <s v="U.S.A."/>
    <s v="BP Products North America Incorporated"/>
    <x v="52"/>
    <x v="5"/>
    <x v="24"/>
    <n v="2026"/>
    <n v="1"/>
    <n v="0.66666666666666663"/>
    <n v="1.8333333333333333"/>
    <m/>
  </r>
  <r>
    <x v="1"/>
    <s v="NA"/>
    <s v="U.S.A."/>
    <s v="BP Products North America Incorporated"/>
    <x v="52"/>
    <x v="5"/>
    <x v="27"/>
    <n v="2026"/>
    <n v="1"/>
    <n v="0.80645161290322576"/>
    <n v="2.217741935483871"/>
    <m/>
  </r>
  <r>
    <x v="1"/>
    <s v="NA"/>
    <s v="U.S.A."/>
    <s v="Petro Star Incorporated"/>
    <x v="136"/>
    <x v="2"/>
    <x v="24"/>
    <n v="2026"/>
    <n v="1"/>
    <n v="0.1"/>
    <n v="1.5"/>
    <m/>
  </r>
  <r>
    <x v="1"/>
    <s v="NA"/>
    <s v="U.S.A."/>
    <s v="Petro Star Incorporated"/>
    <x v="136"/>
    <x v="2"/>
    <x v="27"/>
    <n v="2026"/>
    <n v="1"/>
    <n v="0.5161290322580645"/>
    <n v="7.741935483870968"/>
    <m/>
  </r>
  <r>
    <x v="1"/>
    <s v="NA"/>
    <s v="U.S.A."/>
    <s v="Par Hawaii Refining LLC"/>
    <x v="106"/>
    <x v="2"/>
    <x v="27"/>
    <n v="2026"/>
    <n v="1"/>
    <n v="0.53333333333333333"/>
    <n v="8.2666666666666657"/>
    <m/>
  </r>
  <r>
    <x v="1"/>
    <s v="NA"/>
    <s v="U.S.A."/>
    <s v="Par Hawaii Refining LLC"/>
    <x v="106"/>
    <x v="2"/>
    <x v="32"/>
    <n v="2026"/>
    <n v="1"/>
    <n v="0.53333333333333333"/>
    <n v="8.2666666666666657"/>
    <m/>
  </r>
  <r>
    <x v="1"/>
    <s v="NA"/>
    <s v="U.S.A."/>
    <s v="Par Hawaii Refining LLC"/>
    <x v="106"/>
    <x v="5"/>
    <x v="27"/>
    <n v="2026"/>
    <n v="1"/>
    <n v="0.53333333333333333"/>
    <n v="0.34666666666666668"/>
    <m/>
  </r>
  <r>
    <x v="1"/>
    <s v="NA"/>
    <s v="U.S.A."/>
    <s v="Par Hawaii Refining LLC"/>
    <x v="106"/>
    <x v="5"/>
    <x v="32"/>
    <n v="2026"/>
    <n v="1"/>
    <n v="0.53333333333333333"/>
    <n v="0.34666666666666668"/>
    <m/>
  </r>
  <r>
    <x v="1"/>
    <s v="NA"/>
    <s v="U.S.A."/>
    <s v="Par Hawaii Refining LLC"/>
    <x v="106"/>
    <x v="0"/>
    <x v="27"/>
    <n v="2026"/>
    <n v="1"/>
    <n v="0.53333333333333333"/>
    <n v="5.8933333333333326"/>
    <m/>
  </r>
  <r>
    <x v="1"/>
    <s v="NA"/>
    <s v="U.S.A."/>
    <s v="Par Hawaii Refining LLC"/>
    <x v="106"/>
    <x v="0"/>
    <x v="32"/>
    <n v="2026"/>
    <n v="1"/>
    <n v="0.53333333333333333"/>
    <n v="5.8933333333333326"/>
    <m/>
  </r>
  <r>
    <x v="1"/>
    <s v="NA"/>
    <s v="U.S.A."/>
    <s v="Petro Star Incorporated"/>
    <x v="137"/>
    <x v="2"/>
    <x v="27"/>
    <n v="2026"/>
    <n v="1"/>
    <n v="0.3"/>
    <n v="1.65"/>
    <m/>
  </r>
  <r>
    <x v="5"/>
    <m/>
    <m/>
    <m/>
    <x v="138"/>
    <x v="15"/>
    <x v="36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793BEE-396C-47F2-A2E1-64E1AB985A97}" name="PivotTable10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B112:O127" firstHeaderRow="1" firstDataRow="2" firstDataCol="1" rowPageCount="1" colPageCount="1"/>
  <pivotFields count="15">
    <pivotField axis="axisRow" multipleItemSelectionAllowed="1" showAll="0">
      <items count="7">
        <item sd="0" x="2"/>
        <item x="3"/>
        <item sd="0" x="0"/>
        <item sd="0" x="4"/>
        <item sd="0" x="1"/>
        <item sd="0" x="5"/>
        <item t="default" sd="0"/>
      </items>
    </pivotField>
    <pivotField showAll="0"/>
    <pivotField showAll="0"/>
    <pivotField showAll="0"/>
    <pivotField axis="axisRow" showAll="0">
      <items count="140">
        <item sd="0" x="40"/>
        <item sd="0" x="90"/>
        <item sd="0" x="95"/>
        <item sd="0" x="42"/>
        <item sd="0" x="91"/>
        <item sd="0" x="13"/>
        <item sd="0" x="12"/>
        <item sd="0" x="11"/>
        <item sd="0" x="17"/>
        <item sd="0" x="26"/>
        <item sd="0" x="85"/>
        <item sd="0" x="125"/>
        <item sd="0" x="50"/>
        <item sd="0" x="25"/>
        <item sd="0" x="93"/>
        <item sd="0" x="57"/>
        <item sd="0" x="108"/>
        <item sd="0" x="109"/>
        <item sd="0" x="10"/>
        <item sd="0" x="52"/>
        <item sd="0" x="19"/>
        <item sd="0" x="94"/>
        <item sd="0" x="24"/>
        <item sd="0" x="23"/>
        <item sd="0" x="9"/>
        <item sd="0" x="88"/>
        <item sd="0" x="56"/>
        <item sd="0" x="86"/>
        <item sd="0" x="84"/>
        <item sd="0" x="22"/>
        <item sd="0" x="31"/>
        <item sd="0" x="73"/>
        <item sd="0" x="49"/>
        <item sd="0" x="114"/>
        <item sd="0" x="124"/>
        <item sd="0" x="72"/>
        <item sd="0" x="21"/>
        <item sd="0" x="53"/>
        <item sd="0" x="58"/>
        <item sd="0" x="122"/>
        <item sd="0" x="123"/>
        <item sd="0" x="126"/>
        <item sd="0" x="27"/>
        <item sd="0" x="107"/>
        <item sd="0" x="8"/>
        <item sd="0" x="7"/>
        <item sd="0" x="105"/>
        <item sd="0" x="99"/>
        <item sd="0" x="20"/>
        <item sd="0" x="120"/>
        <item sd="0" x="6"/>
        <item sd="0" x="48"/>
        <item sd="0" x="83"/>
        <item sd="0" x="63"/>
        <item sd="0" x="82"/>
        <item sd="0" x="5"/>
        <item sd="0" x="79"/>
        <item sd="0" x="47"/>
        <item sd="0" x="103"/>
        <item sd="0" x="71"/>
        <item sd="0" x="128"/>
        <item sd="0" x="66"/>
        <item sd="0" x="14"/>
        <item sd="0" x="133"/>
        <item sd="0" x="132"/>
        <item sd="0" x="101"/>
        <item sd="0" x="113"/>
        <item sd="0" x="102"/>
        <item sd="0" x="30"/>
        <item sd="0" x="46"/>
        <item sd="0" x="118"/>
        <item sd="0" x="135"/>
        <item sd="0" x="119"/>
        <item sd="0" x="54"/>
        <item sd="0" x="62"/>
        <item sd="0" x="96"/>
        <item sd="0" x="35"/>
        <item sd="0" x="76"/>
        <item sd="0" x="81"/>
        <item sd="0" x="45"/>
        <item sd="0" x="78"/>
        <item sd="0" x="59"/>
        <item sd="0" x="29"/>
        <item sd="0" x="106"/>
        <item sd="0" x="67"/>
        <item sd="0" x="134"/>
        <item sd="0" x="129"/>
        <item sd="0" x="39"/>
        <item sd="0" x="38"/>
        <item sd="0" x="16"/>
        <item sd="0" x="137"/>
        <item sd="0" x="65"/>
        <item sd="0" x="18"/>
        <item sd="0" x="127"/>
        <item sd="0" x="110"/>
        <item sd="0" x="77"/>
        <item sd="0" x="4"/>
        <item sd="0" x="111"/>
        <item sd="0" x="3"/>
        <item sd="0" x="75"/>
        <item sd="0" x="43"/>
        <item sd="0" x="60"/>
        <item sd="0" x="34"/>
        <item sd="0" x="2"/>
        <item sd="0" x="41"/>
        <item sd="0" x="28"/>
        <item sd="0" x="100"/>
        <item sd="0" x="89"/>
        <item sd="0" x="80"/>
        <item sd="0" x="37"/>
        <item sd="0" x="61"/>
        <item sd="0" x="74"/>
        <item sd="0" x="130"/>
        <item sd="0" x="104"/>
        <item sd="0" x="36"/>
        <item sd="0" x="115"/>
        <item sd="0" x="1"/>
        <item sd="0" x="0"/>
        <item sd="0" x="87"/>
        <item sd="0" x="44"/>
        <item sd="0" x="98"/>
        <item sd="0" x="33"/>
        <item sd="0" x="92"/>
        <item sd="0" x="68"/>
        <item sd="0" x="70"/>
        <item sd="0" x="64"/>
        <item sd="0" x="55"/>
        <item sd="0" x="121"/>
        <item sd="0" x="117"/>
        <item sd="0" x="112"/>
        <item sd="0" x="69"/>
        <item sd="0" x="15"/>
        <item sd="0" x="97"/>
        <item sd="0" x="51"/>
        <item sd="0" x="32"/>
        <item sd="0" x="131"/>
        <item sd="0" x="138"/>
        <item sd="0" x="116"/>
        <item sd="0" x="136"/>
        <item t="default" sd="0"/>
      </items>
    </pivotField>
    <pivotField axis="axisRow" multipleItemSelectionAllowed="1" showAll="0">
      <items count="17">
        <item x="4"/>
        <item x="3"/>
        <item x="2"/>
        <item x="6"/>
        <item x="12"/>
        <item x="5"/>
        <item x="1"/>
        <item x="9"/>
        <item x="11"/>
        <item x="14"/>
        <item x="10"/>
        <item x="0"/>
        <item x="7"/>
        <item x="8"/>
        <item x="15"/>
        <item x="13"/>
        <item t="default"/>
      </items>
    </pivotField>
    <pivotField numFmtId="14" showAll="0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31"/>
        <item x="25"/>
        <item x="26"/>
        <item x="24"/>
        <item x="27"/>
        <item x="32"/>
        <item x="28"/>
        <item x="29"/>
        <item x="30"/>
        <item x="36"/>
        <item x="33"/>
        <item x="34"/>
        <item x="35"/>
        <item t="default"/>
      </items>
    </pivotField>
    <pivotField showAll="0"/>
    <pivotField showAll="0"/>
    <pivotField showAll="0"/>
    <pivotField dataField="1" showAll="0"/>
    <pivotField showAll="0"/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 sd="0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axis="axisPage" multipleItemSelectionAllowed="1" showAll="0">
      <items count="6">
        <item h="1" x="0"/>
        <item h="1" x="1"/>
        <item h="1" x="2"/>
        <item x="3"/>
        <item h="1" x="4"/>
        <item t="default"/>
      </items>
    </pivotField>
  </pivotFields>
  <rowFields count="3">
    <field x="0"/>
    <field x="4"/>
    <field x="5"/>
  </rowFields>
  <rowItems count="14">
    <i>
      <x/>
    </i>
    <i>
      <x v="1"/>
    </i>
    <i r="1">
      <x v="35"/>
    </i>
    <i r="1">
      <x v="58"/>
    </i>
    <i r="1">
      <x v="92"/>
    </i>
    <i r="1">
      <x v="102"/>
    </i>
    <i r="1">
      <x v="121"/>
    </i>
    <i r="1">
      <x v="130"/>
    </i>
    <i r="1">
      <x v="132"/>
    </i>
    <i r="1">
      <x v="137"/>
    </i>
    <i>
      <x v="2"/>
    </i>
    <i>
      <x v="3"/>
    </i>
    <i>
      <x v="4"/>
    </i>
    <i t="grand">
      <x/>
    </i>
  </rowItems>
  <colFields count="1">
    <field x="12"/>
  </colFields>
  <col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pageFields count="1">
    <pageField fld="14" hier="-1"/>
  </pageFields>
  <dataFields count="1">
    <dataField name="Sum of Gasoline Production Offline (KBD)" fld="10" baseField="0" baseItem="0" numFmtId="166"/>
  </dataFields>
  <formats count="1"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0671B9-3081-4F9C-A15E-10DF6E42E10A}" name="PivotTable8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00:M158" firstHeaderRow="1" firstDataRow="3" firstDataCol="1" rowPageCount="1" colPageCount="1"/>
  <pivotFields count="15">
    <pivotField axis="axisPage" multipleItemSelectionAllowed="1" showAll="0">
      <items count="7">
        <item h="1" sd="0" x="2"/>
        <item h="1" sd="0" x="3"/>
        <item sd="0" x="0"/>
        <item h="1" sd="0" x="4"/>
        <item h="1" sd="0" x="1"/>
        <item h="1" sd="0" x="5"/>
        <item t="default" sd="0"/>
      </items>
    </pivotField>
    <pivotField showAll="0"/>
    <pivotField showAll="0"/>
    <pivotField showAll="0"/>
    <pivotField axis="axisRow" showAll="0">
      <items count="140">
        <item x="40"/>
        <item x="90"/>
        <item sd="0" x="95"/>
        <item x="42"/>
        <item x="91"/>
        <item x="13"/>
        <item x="12"/>
        <item x="11"/>
        <item x="17"/>
        <item x="26"/>
        <item x="85"/>
        <item x="125"/>
        <item x="50"/>
        <item x="25"/>
        <item x="93"/>
        <item x="57"/>
        <item sd="0" x="108"/>
        <item sd="0" x="109"/>
        <item x="10"/>
        <item x="52"/>
        <item x="19"/>
        <item x="94"/>
        <item x="24"/>
        <item x="23"/>
        <item x="9"/>
        <item x="88"/>
        <item x="56"/>
        <item x="86"/>
        <item x="84"/>
        <item x="22"/>
        <item x="31"/>
        <item x="73"/>
        <item x="49"/>
        <item x="114"/>
        <item x="124"/>
        <item x="72"/>
        <item x="21"/>
        <item x="53"/>
        <item x="58"/>
        <item x="122"/>
        <item x="123"/>
        <item x="126"/>
        <item x="27"/>
        <item x="107"/>
        <item x="8"/>
        <item x="7"/>
        <item x="105"/>
        <item x="99"/>
        <item x="20"/>
        <item x="120"/>
        <item x="6"/>
        <item x="48"/>
        <item x="83"/>
        <item x="63"/>
        <item x="82"/>
        <item x="5"/>
        <item x="79"/>
        <item x="47"/>
        <item x="103"/>
        <item x="71"/>
        <item x="128"/>
        <item x="66"/>
        <item x="14"/>
        <item x="133"/>
        <item x="132"/>
        <item x="101"/>
        <item x="113"/>
        <item x="102"/>
        <item x="30"/>
        <item x="46"/>
        <item x="118"/>
        <item x="135"/>
        <item x="119"/>
        <item x="54"/>
        <item x="62"/>
        <item x="96"/>
        <item x="35"/>
        <item x="76"/>
        <item x="81"/>
        <item x="45"/>
        <item x="78"/>
        <item x="59"/>
        <item x="29"/>
        <item x="106"/>
        <item x="67"/>
        <item x="134"/>
        <item x="129"/>
        <item x="39"/>
        <item x="38"/>
        <item x="16"/>
        <item x="137"/>
        <item x="65"/>
        <item x="18"/>
        <item x="127"/>
        <item x="110"/>
        <item x="77"/>
        <item x="4"/>
        <item x="111"/>
        <item x="3"/>
        <item x="75"/>
        <item x="43"/>
        <item x="60"/>
        <item x="34"/>
        <item x="2"/>
        <item x="41"/>
        <item x="28"/>
        <item x="100"/>
        <item x="89"/>
        <item x="80"/>
        <item x="37"/>
        <item x="61"/>
        <item x="74"/>
        <item x="130"/>
        <item x="104"/>
        <item x="36"/>
        <item x="115"/>
        <item x="1"/>
        <item x="0"/>
        <item x="87"/>
        <item x="44"/>
        <item x="98"/>
        <item x="33"/>
        <item x="92"/>
        <item x="68"/>
        <item x="70"/>
        <item x="64"/>
        <item x="55"/>
        <item x="121"/>
        <item x="117"/>
        <item x="112"/>
        <item x="69"/>
        <item x="15"/>
        <item x="97"/>
        <item x="51"/>
        <item x="32"/>
        <item x="131"/>
        <item x="138"/>
        <item x="116"/>
        <item x="136"/>
        <item t="default"/>
      </items>
    </pivotField>
    <pivotField axis="axisRow" multipleItemSelectionAllowed="1" showAll="0">
      <items count="17">
        <item x="4"/>
        <item x="3"/>
        <item x="2"/>
        <item x="6"/>
        <item x="12"/>
        <item x="5"/>
        <item x="1"/>
        <item x="9"/>
        <item x="11"/>
        <item x="14"/>
        <item x="10"/>
        <item x="0"/>
        <item x="7"/>
        <item x="8"/>
        <item x="15"/>
        <item x="13"/>
        <item t="default"/>
      </items>
    </pivotField>
    <pivotField numFmtId="14" showAll="0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31"/>
        <item x="25"/>
        <item x="26"/>
        <item x="24"/>
        <item x="27"/>
        <item x="32"/>
        <item x="28"/>
        <item x="29"/>
        <item x="30"/>
        <item x="36"/>
        <item x="33"/>
        <item x="34"/>
        <item x="35"/>
        <item t="default"/>
      </items>
    </pivotField>
    <pivotField showAll="0"/>
    <pivotField showAll="0"/>
    <pivotField showAll="0"/>
    <pivotField dataField="1" showAll="0"/>
    <pivotField showAll="0"/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 sd="0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Col" showAll="0">
      <items count="6">
        <item h="1" sd="0" x="0"/>
        <item h="1" sd="0" x="1"/>
        <item h="1" sd="0" x="2"/>
        <item x="3"/>
        <item h="1" sd="0" x="4"/>
        <item t="default"/>
      </items>
    </pivotField>
  </pivotFields>
  <rowFields count="2">
    <field x="5"/>
    <field x="4"/>
  </rowFields>
  <rowItems count="56">
    <i>
      <x/>
    </i>
    <i r="1">
      <x v="11"/>
    </i>
    <i r="1">
      <x v="34"/>
    </i>
    <i r="1">
      <x v="49"/>
    </i>
    <i r="1">
      <x v="72"/>
    </i>
    <i r="1">
      <x v="93"/>
    </i>
    <i>
      <x v="1"/>
    </i>
    <i r="1">
      <x v="11"/>
    </i>
    <i r="1">
      <x v="34"/>
    </i>
    <i r="1">
      <x v="39"/>
    </i>
    <i r="1">
      <x v="42"/>
    </i>
    <i r="1">
      <x v="49"/>
    </i>
    <i r="1">
      <x v="72"/>
    </i>
    <i r="1">
      <x v="93"/>
    </i>
    <i>
      <x v="2"/>
    </i>
    <i r="1">
      <x v="11"/>
    </i>
    <i r="1">
      <x v="34"/>
    </i>
    <i r="1">
      <x v="39"/>
    </i>
    <i r="1">
      <x v="40"/>
    </i>
    <i r="1">
      <x v="41"/>
    </i>
    <i r="1">
      <x v="42"/>
    </i>
    <i r="1">
      <x v="54"/>
    </i>
    <i r="1">
      <x v="55"/>
    </i>
    <i r="1">
      <x v="70"/>
    </i>
    <i r="1">
      <x v="72"/>
    </i>
    <i r="1">
      <x v="78"/>
    </i>
    <i r="1">
      <x v="93"/>
    </i>
    <i r="1">
      <x v="99"/>
    </i>
    <i r="1">
      <x v="107"/>
    </i>
    <i r="1">
      <x v="109"/>
    </i>
    <i r="1">
      <x v="116"/>
    </i>
    <i r="1">
      <x v="127"/>
    </i>
    <i r="1">
      <x v="128"/>
    </i>
    <i>
      <x v="3"/>
    </i>
    <i r="1">
      <x v="40"/>
    </i>
    <i r="1">
      <x v="55"/>
    </i>
    <i>
      <x v="5"/>
    </i>
    <i r="1">
      <x v="74"/>
    </i>
    <i r="1">
      <x v="77"/>
    </i>
    <i>
      <x v="6"/>
    </i>
    <i r="1">
      <x v="116"/>
    </i>
    <i>
      <x v="11"/>
    </i>
    <i r="1">
      <x v="11"/>
    </i>
    <i r="1">
      <x v="34"/>
    </i>
    <i r="1">
      <x v="39"/>
    </i>
    <i r="1">
      <x v="72"/>
    </i>
    <i r="1">
      <x v="78"/>
    </i>
    <i r="1">
      <x v="80"/>
    </i>
    <i r="1">
      <x v="93"/>
    </i>
    <i r="1">
      <x v="99"/>
    </i>
    <i r="1">
      <x v="127"/>
    </i>
    <i>
      <x v="13"/>
    </i>
    <i r="1">
      <x v="116"/>
    </i>
    <i>
      <x v="15"/>
    </i>
    <i r="1">
      <x v="40"/>
    </i>
    <i t="grand">
      <x/>
    </i>
  </rowItems>
  <colFields count="2">
    <field x="14"/>
    <field x="12"/>
  </colFields>
  <colItems count="12">
    <i>
      <x v="3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10"/>
    </i>
    <i r="1">
      <x v="11"/>
    </i>
    <i t="default">
      <x v="3"/>
    </i>
    <i t="grand">
      <x/>
    </i>
  </colItems>
  <pageFields count="1">
    <pageField fld="0" hier="-1"/>
  </pageFields>
  <dataFields count="1">
    <dataField name="Sum of Gasoline Production Offline (KBD)" fld="10" baseField="0" baseItem="0" numFmtId="166"/>
  </dataFields>
  <formats count="1">
    <format dxfId="0">
      <pivotArea outline="0" collapsedLevelsAreSubtotals="1" fieldPosition="0"/>
    </format>
  </formats>
  <conditionalFormats count="1">
    <conditionalFormat priority="1">
      <pivotAreas count="18">
        <pivotArea type="data" collapsedLevelsAreSubtotals="1" fieldPosition="0">
          <references count="4">
            <reference field="4294967294" count="1" selected="0">
              <x v="0"/>
            </reference>
            <reference field="5" count="1">
              <x v="0"/>
            </reference>
            <reference field="12" count="10" selected="0">
              <x v="1"/>
              <x v="2"/>
              <x v="3"/>
              <x v="4"/>
              <x v="5"/>
              <x v="6"/>
              <x v="7"/>
              <x v="8"/>
              <x v="10"/>
              <x v="11"/>
            </reference>
            <reference field="14" count="1" selected="0">
              <x v="3"/>
            </reference>
          </references>
        </pivotArea>
        <pivotArea type="data" collapsedLevelsAreSubtotals="1" fieldPosition="0">
          <references count="5">
            <reference field="4294967294" count="1" selected="0">
              <x v="0"/>
            </reference>
            <reference field="4" count="5">
              <x v="11"/>
              <x v="34"/>
              <x v="49"/>
              <x v="72"/>
              <x v="93"/>
            </reference>
            <reference field="5" count="1" selected="0">
              <x v="0"/>
            </reference>
            <reference field="12" count="10" selected="0">
              <x v="1"/>
              <x v="2"/>
              <x v="3"/>
              <x v="4"/>
              <x v="5"/>
              <x v="6"/>
              <x v="7"/>
              <x v="8"/>
              <x v="10"/>
              <x v="11"/>
            </reference>
            <reference field="14" count="1" selected="0">
              <x v="3"/>
            </reference>
          </references>
        </pivotArea>
        <pivotArea type="data" collapsedLevelsAreSubtotals="1" fieldPosition="0">
          <references count="4">
            <reference field="4294967294" count="1" selected="0">
              <x v="0"/>
            </reference>
            <reference field="5" count="1">
              <x v="1"/>
            </reference>
            <reference field="12" count="10" selected="0">
              <x v="1"/>
              <x v="2"/>
              <x v="3"/>
              <x v="4"/>
              <x v="5"/>
              <x v="6"/>
              <x v="7"/>
              <x v="8"/>
              <x v="10"/>
              <x v="11"/>
            </reference>
            <reference field="14" count="1" selected="0">
              <x v="3"/>
            </reference>
          </references>
        </pivotArea>
        <pivotArea type="data" collapsedLevelsAreSubtotals="1" fieldPosition="0">
          <references count="5">
            <reference field="4294967294" count="1" selected="0">
              <x v="0"/>
            </reference>
            <reference field="4" count="7">
              <x v="11"/>
              <x v="34"/>
              <x v="39"/>
              <x v="42"/>
              <x v="49"/>
              <x v="72"/>
              <x v="93"/>
            </reference>
            <reference field="5" count="1" selected="0">
              <x v="1"/>
            </reference>
            <reference field="12" count="10" selected="0">
              <x v="1"/>
              <x v="2"/>
              <x v="3"/>
              <x v="4"/>
              <x v="5"/>
              <x v="6"/>
              <x v="7"/>
              <x v="8"/>
              <x v="10"/>
              <x v="11"/>
            </reference>
            <reference field="14" count="1" selected="0">
              <x v="3"/>
            </reference>
          </references>
        </pivotArea>
        <pivotArea type="data" collapsedLevelsAreSubtotals="1" fieldPosition="0">
          <references count="4">
            <reference field="4294967294" count="1" selected="0">
              <x v="0"/>
            </reference>
            <reference field="5" count="1">
              <x v="2"/>
            </reference>
            <reference field="12" count="10" selected="0">
              <x v="1"/>
              <x v="2"/>
              <x v="3"/>
              <x v="4"/>
              <x v="5"/>
              <x v="6"/>
              <x v="7"/>
              <x v="8"/>
              <x v="10"/>
              <x v="11"/>
            </reference>
            <reference field="14" count="1" selected="0">
              <x v="3"/>
            </reference>
          </references>
        </pivotArea>
        <pivotArea type="data" collapsedLevelsAreSubtotals="1" fieldPosition="0">
          <references count="5">
            <reference field="4294967294" count="1" selected="0">
              <x v="0"/>
            </reference>
            <reference field="4" count="18">
              <x v="11"/>
              <x v="34"/>
              <x v="39"/>
              <x v="40"/>
              <x v="41"/>
              <x v="42"/>
              <x v="54"/>
              <x v="55"/>
              <x v="70"/>
              <x v="72"/>
              <x v="78"/>
              <x v="93"/>
              <x v="99"/>
              <x v="107"/>
              <x v="109"/>
              <x v="116"/>
              <x v="127"/>
              <x v="128"/>
            </reference>
            <reference field="5" count="1" selected="0">
              <x v="2"/>
            </reference>
            <reference field="12" count="10" selected="0">
              <x v="1"/>
              <x v="2"/>
              <x v="3"/>
              <x v="4"/>
              <x v="5"/>
              <x v="6"/>
              <x v="7"/>
              <x v="8"/>
              <x v="10"/>
              <x v="11"/>
            </reference>
            <reference field="14" count="1" selected="0">
              <x v="3"/>
            </reference>
          </references>
        </pivotArea>
        <pivotArea type="data" collapsedLevelsAreSubtotals="1" fieldPosition="0">
          <references count="4">
            <reference field="4294967294" count="1" selected="0">
              <x v="0"/>
            </reference>
            <reference field="5" count="1">
              <x v="3"/>
            </reference>
            <reference field="12" count="10" selected="0">
              <x v="1"/>
              <x v="2"/>
              <x v="3"/>
              <x v="4"/>
              <x v="5"/>
              <x v="6"/>
              <x v="7"/>
              <x v="8"/>
              <x v="10"/>
              <x v="11"/>
            </reference>
            <reference field="14" count="1" selected="0">
              <x v="3"/>
            </reference>
          </references>
        </pivotArea>
        <pivotArea type="data" collapsedLevelsAreSubtotals="1" fieldPosition="0">
          <references count="5">
            <reference field="4294967294" count="1" selected="0">
              <x v="0"/>
            </reference>
            <reference field="4" count="2">
              <x v="40"/>
              <x v="55"/>
            </reference>
            <reference field="5" count="1" selected="0">
              <x v="3"/>
            </reference>
            <reference field="12" count="10" selected="0">
              <x v="1"/>
              <x v="2"/>
              <x v="3"/>
              <x v="4"/>
              <x v="5"/>
              <x v="6"/>
              <x v="7"/>
              <x v="8"/>
              <x v="10"/>
              <x v="11"/>
            </reference>
            <reference field="14" count="1" selected="0">
              <x v="3"/>
            </reference>
          </references>
        </pivotArea>
        <pivotArea type="data" collapsedLevelsAreSubtotals="1" fieldPosition="0">
          <references count="4">
            <reference field="4294967294" count="1" selected="0">
              <x v="0"/>
            </reference>
            <reference field="5" count="1">
              <x v="5"/>
            </reference>
            <reference field="12" count="10" selected="0">
              <x v="1"/>
              <x v="2"/>
              <x v="3"/>
              <x v="4"/>
              <x v="5"/>
              <x v="6"/>
              <x v="7"/>
              <x v="8"/>
              <x v="10"/>
              <x v="11"/>
            </reference>
            <reference field="14" count="1" selected="0">
              <x v="3"/>
            </reference>
          </references>
        </pivotArea>
        <pivotArea type="data" collapsedLevelsAreSubtotals="1" fieldPosition="0">
          <references count="5">
            <reference field="4294967294" count="1" selected="0">
              <x v="0"/>
            </reference>
            <reference field="4" count="2">
              <x v="74"/>
              <x v="77"/>
            </reference>
            <reference field="5" count="1" selected="0">
              <x v="5"/>
            </reference>
            <reference field="12" count="10" selected="0">
              <x v="1"/>
              <x v="2"/>
              <x v="3"/>
              <x v="4"/>
              <x v="5"/>
              <x v="6"/>
              <x v="7"/>
              <x v="8"/>
              <x v="10"/>
              <x v="11"/>
            </reference>
            <reference field="14" count="1" selected="0">
              <x v="3"/>
            </reference>
          </references>
        </pivotArea>
        <pivotArea type="data" collapsedLevelsAreSubtotals="1" fieldPosition="0">
          <references count="4">
            <reference field="4294967294" count="1" selected="0">
              <x v="0"/>
            </reference>
            <reference field="5" count="1">
              <x v="6"/>
            </reference>
            <reference field="12" count="10" selected="0">
              <x v="1"/>
              <x v="2"/>
              <x v="3"/>
              <x v="4"/>
              <x v="5"/>
              <x v="6"/>
              <x v="7"/>
              <x v="8"/>
              <x v="10"/>
              <x v="11"/>
            </reference>
            <reference field="14" count="1" selected="0">
              <x v="3"/>
            </reference>
          </references>
        </pivotArea>
        <pivotArea type="data" collapsedLevelsAreSubtotals="1" fieldPosition="0">
          <references count="5">
            <reference field="4294967294" count="1" selected="0">
              <x v="0"/>
            </reference>
            <reference field="4" count="1">
              <x v="116"/>
            </reference>
            <reference field="5" count="1" selected="0">
              <x v="6"/>
            </reference>
            <reference field="12" count="10" selected="0">
              <x v="1"/>
              <x v="2"/>
              <x v="3"/>
              <x v="4"/>
              <x v="5"/>
              <x v="6"/>
              <x v="7"/>
              <x v="8"/>
              <x v="10"/>
              <x v="11"/>
            </reference>
            <reference field="14" count="1" selected="0">
              <x v="3"/>
            </reference>
          </references>
        </pivotArea>
        <pivotArea type="data" collapsedLevelsAreSubtotals="1" fieldPosition="0">
          <references count="4">
            <reference field="4294967294" count="1" selected="0">
              <x v="0"/>
            </reference>
            <reference field="5" count="1">
              <x v="11"/>
            </reference>
            <reference field="12" count="10" selected="0">
              <x v="1"/>
              <x v="2"/>
              <x v="3"/>
              <x v="4"/>
              <x v="5"/>
              <x v="6"/>
              <x v="7"/>
              <x v="8"/>
              <x v="10"/>
              <x v="11"/>
            </reference>
            <reference field="14" count="1" selected="0">
              <x v="3"/>
            </reference>
          </references>
        </pivotArea>
        <pivotArea type="data" collapsedLevelsAreSubtotals="1" fieldPosition="0">
          <references count="5">
            <reference field="4294967294" count="1" selected="0">
              <x v="0"/>
            </reference>
            <reference field="4" count="9">
              <x v="11"/>
              <x v="34"/>
              <x v="39"/>
              <x v="72"/>
              <x v="78"/>
              <x v="80"/>
              <x v="93"/>
              <x v="99"/>
              <x v="127"/>
            </reference>
            <reference field="5" count="1" selected="0">
              <x v="11"/>
            </reference>
            <reference field="12" count="10" selected="0">
              <x v="1"/>
              <x v="2"/>
              <x v="3"/>
              <x v="4"/>
              <x v="5"/>
              <x v="6"/>
              <x v="7"/>
              <x v="8"/>
              <x v="10"/>
              <x v="11"/>
            </reference>
            <reference field="14" count="1" selected="0">
              <x v="3"/>
            </reference>
          </references>
        </pivotArea>
        <pivotArea type="data" collapsedLevelsAreSubtotals="1" fieldPosition="0">
          <references count="4">
            <reference field="4294967294" count="1" selected="0">
              <x v="0"/>
            </reference>
            <reference field="5" count="1">
              <x v="13"/>
            </reference>
            <reference field="12" count="10" selected="0">
              <x v="1"/>
              <x v="2"/>
              <x v="3"/>
              <x v="4"/>
              <x v="5"/>
              <x v="6"/>
              <x v="7"/>
              <x v="8"/>
              <x v="10"/>
              <x v="11"/>
            </reference>
            <reference field="14" count="1" selected="0">
              <x v="3"/>
            </reference>
          </references>
        </pivotArea>
        <pivotArea type="data" collapsedLevelsAreSubtotals="1" fieldPosition="0">
          <references count="5">
            <reference field="4294967294" count="1" selected="0">
              <x v="0"/>
            </reference>
            <reference field="4" count="1">
              <x v="116"/>
            </reference>
            <reference field="5" count="1" selected="0">
              <x v="13"/>
            </reference>
            <reference field="12" count="10" selected="0">
              <x v="1"/>
              <x v="2"/>
              <x v="3"/>
              <x v="4"/>
              <x v="5"/>
              <x v="6"/>
              <x v="7"/>
              <x v="8"/>
              <x v="10"/>
              <x v="11"/>
            </reference>
            <reference field="14" count="1" selected="0">
              <x v="3"/>
            </reference>
          </references>
        </pivotArea>
        <pivotArea type="data" collapsedLevelsAreSubtotals="1" fieldPosition="0">
          <references count="4">
            <reference field="4294967294" count="1" selected="0">
              <x v="0"/>
            </reference>
            <reference field="5" count="1">
              <x v="15"/>
            </reference>
            <reference field="12" count="10" selected="0">
              <x v="1"/>
              <x v="2"/>
              <x v="3"/>
              <x v="4"/>
              <x v="5"/>
              <x v="6"/>
              <x v="7"/>
              <x v="8"/>
              <x v="10"/>
              <x v="11"/>
            </reference>
            <reference field="14" count="1" selected="0">
              <x v="3"/>
            </reference>
          </references>
        </pivotArea>
        <pivotArea type="data" collapsedLevelsAreSubtotals="1" fieldPosition="0">
          <references count="5">
            <reference field="4294967294" count="1" selected="0">
              <x v="0"/>
            </reference>
            <reference field="4" count="1">
              <x v="40"/>
            </reference>
            <reference field="5" count="1" selected="0">
              <x v="15"/>
            </reference>
            <reference field="12" count="10" selected="0">
              <x v="1"/>
              <x v="2"/>
              <x v="3"/>
              <x v="4"/>
              <x v="5"/>
              <x v="6"/>
              <x v="7"/>
              <x v="8"/>
              <x v="10"/>
              <x v="11"/>
            </reference>
            <reference field="14" count="1" selected="0">
              <x v="3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40EBE9-EB9E-4A72-827A-7C43EFAAFF85}" name="PivotTable3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3:E44" firstHeaderRow="1" firstDataRow="2" firstDataCol="1" rowPageCount="1" colPageCount="1"/>
  <pivotFields count="15">
    <pivotField axis="axisPage" multipleItemSelectionAllowed="1" showAll="0">
      <items count="7">
        <item sd="0" x="2"/>
        <item h="1" sd="0" x="3"/>
        <item h="1" sd="0" x="0"/>
        <item h="1" sd="0" x="4"/>
        <item h="1" sd="0" x="1"/>
        <item h="1" sd="0" x="5"/>
        <item t="default" sd="0"/>
      </items>
    </pivotField>
    <pivotField showAll="0"/>
    <pivotField showAll="0"/>
    <pivotField showAll="0"/>
    <pivotField axis="axisRow" showAll="0">
      <items count="140">
        <item x="40"/>
        <item x="90"/>
        <item x="95"/>
        <item x="42"/>
        <item x="91"/>
        <item x="13"/>
        <item x="12"/>
        <item x="11"/>
        <item x="17"/>
        <item x="26"/>
        <item x="85"/>
        <item x="125"/>
        <item x="50"/>
        <item x="25"/>
        <item x="93"/>
        <item x="57"/>
        <item x="108"/>
        <item x="109"/>
        <item x="10"/>
        <item x="52"/>
        <item x="19"/>
        <item x="94"/>
        <item x="24"/>
        <item x="23"/>
        <item x="9"/>
        <item x="88"/>
        <item x="56"/>
        <item x="86"/>
        <item x="84"/>
        <item x="22"/>
        <item x="31"/>
        <item x="73"/>
        <item x="49"/>
        <item x="114"/>
        <item x="124"/>
        <item x="72"/>
        <item x="21"/>
        <item x="53"/>
        <item x="58"/>
        <item x="122"/>
        <item x="123"/>
        <item x="126"/>
        <item x="27"/>
        <item x="107"/>
        <item x="8"/>
        <item x="7"/>
        <item x="105"/>
        <item x="99"/>
        <item x="20"/>
        <item x="120"/>
        <item x="6"/>
        <item x="48"/>
        <item x="83"/>
        <item x="63"/>
        <item x="82"/>
        <item x="5"/>
        <item x="79"/>
        <item x="47"/>
        <item x="103"/>
        <item x="71"/>
        <item x="128"/>
        <item x="66"/>
        <item x="14"/>
        <item x="133"/>
        <item x="132"/>
        <item x="101"/>
        <item x="113"/>
        <item x="102"/>
        <item x="30"/>
        <item x="46"/>
        <item x="118"/>
        <item x="135"/>
        <item x="119"/>
        <item x="54"/>
        <item x="62"/>
        <item x="96"/>
        <item x="35"/>
        <item x="76"/>
        <item x="81"/>
        <item x="45"/>
        <item x="78"/>
        <item x="59"/>
        <item x="29"/>
        <item x="106"/>
        <item x="67"/>
        <item x="134"/>
        <item x="129"/>
        <item x="39"/>
        <item x="38"/>
        <item x="16"/>
        <item x="137"/>
        <item x="65"/>
        <item x="18"/>
        <item x="127"/>
        <item x="110"/>
        <item x="77"/>
        <item x="4"/>
        <item x="111"/>
        <item x="3"/>
        <item x="75"/>
        <item x="43"/>
        <item x="60"/>
        <item x="34"/>
        <item x="2"/>
        <item x="41"/>
        <item x="28"/>
        <item x="100"/>
        <item x="89"/>
        <item x="80"/>
        <item x="37"/>
        <item x="61"/>
        <item x="74"/>
        <item x="130"/>
        <item x="104"/>
        <item x="36"/>
        <item x="115"/>
        <item x="1"/>
        <item x="0"/>
        <item x="87"/>
        <item x="44"/>
        <item x="98"/>
        <item x="33"/>
        <item x="92"/>
        <item x="68"/>
        <item x="70"/>
        <item x="64"/>
        <item x="55"/>
        <item x="121"/>
        <item x="117"/>
        <item x="112"/>
        <item x="69"/>
        <item x="15"/>
        <item x="97"/>
        <item x="51"/>
        <item x="32"/>
        <item x="131"/>
        <item x="138"/>
        <item x="116"/>
        <item x="136"/>
        <item t="default"/>
      </items>
    </pivotField>
    <pivotField axis="axisRow" multipleItemSelectionAllowed="1" showAll="0">
      <items count="17">
        <item x="4"/>
        <item x="3"/>
        <item x="2"/>
        <item x="6"/>
        <item x="12"/>
        <item x="5"/>
        <item x="1"/>
        <item x="9"/>
        <item x="11"/>
        <item x="14"/>
        <item x="10"/>
        <item x="0"/>
        <item x="7"/>
        <item x="8"/>
        <item x="15"/>
        <item x="13"/>
        <item t="default"/>
      </items>
    </pivotField>
    <pivotField numFmtId="14" showAll="0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31"/>
        <item x="25"/>
        <item x="26"/>
        <item x="24"/>
        <item x="27"/>
        <item x="32"/>
        <item x="28"/>
        <item x="29"/>
        <item x="30"/>
        <item x="36"/>
        <item x="33"/>
        <item x="34"/>
        <item x="35"/>
        <item t="default"/>
      </items>
    </pivotField>
    <pivotField showAll="0"/>
    <pivotField showAll="0"/>
    <pivotField showAll="0"/>
    <pivotField dataField="1"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 sd="0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axis="axisCol" showAll="0">
      <items count="6">
        <item x="0"/>
        <item x="1"/>
        <item x="2"/>
        <item x="3"/>
        <item x="4"/>
        <item t="default"/>
      </items>
    </pivotField>
  </pivotFields>
  <rowFields count="3">
    <field x="12"/>
    <field x="5"/>
    <field x="4"/>
  </rowFields>
  <rowItems count="10">
    <i>
      <x v="1"/>
    </i>
    <i>
      <x v="2"/>
    </i>
    <i>
      <x v="3"/>
    </i>
    <i>
      <x v="4"/>
    </i>
    <i>
      <x v="5"/>
    </i>
    <i>
      <x v="6"/>
    </i>
    <i>
      <x v="9"/>
    </i>
    <i>
      <x v="10"/>
    </i>
    <i>
      <x v="11"/>
    </i>
    <i t="grand">
      <x/>
    </i>
  </rowItems>
  <colFields count="1">
    <field x="14"/>
  </colFields>
  <colItems count="4">
    <i>
      <x v="1"/>
    </i>
    <i>
      <x v="2"/>
    </i>
    <i>
      <x v="3"/>
    </i>
    <i t="grand">
      <x/>
    </i>
  </colItems>
  <pageFields count="1">
    <pageField fld="0" hier="-1"/>
  </pageFields>
  <dataFields count="1">
    <dataField name="Sum of Gasoline Production Offline (KBD)" fld="10" baseField="0" baseItem="0" numFmtId="166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55" dT="2026-05-14T18:02:30.08" personId="{54744C53-0888-4741-BF8F-47AFFBF588AC}" id="{09828FAF-A882-43DA-B119-40CE23CE393D}">
    <text xml:space="preserve">Decreased unplanned layer by 30-35kbd due to preventative maintenance getting pushed due to strong margins 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R30" dT="2025-10-13T15:25:00.90" personId="{15201DD0-F250-4263-8BC4-FC3304249538}" id="{049A9DBA-A92D-4A86-9BEE-B63F60CC694C}">
    <text>Added in 61 kbd from PBF Martinez FCC issue extended through Jan</text>
  </threadedComment>
  <threadedComment ref="R30" dT="2025-11-05T22:40:29.28" personId="{54744C53-0888-4741-BF8F-47AFFBF588AC}" id="{4D95AB5A-78DB-48AD-9667-C06CF4D5F0B3}" parentId="{049A9DBA-A92D-4A86-9BEE-B63F60CC694C}">
    <text>3Q25 earning call said SU by end of year ‘25</text>
  </threadedComment>
  <threadedComment ref="R30" dT="2026-01-05T17:28:37.48" personId="{54744C53-0888-4741-BF8F-47AFFBF588AC}" id="{8D9A59CE-2B75-4FC2-A4A7-44A6A8EF0D93}" parentId="{049A9DBA-A92D-4A86-9BEE-B63F60CC694C}">
    <text>IIR updated that Martinez is now starting up through the first 3 weeks in Mar</text>
  </threadedComment>
  <threadedComment ref="U30" dT="2026-04-06T10:25:40.09" personId="{54744C53-0888-4741-BF8F-47AFFBF588AC}" id="{F8C182C3-907B-4A22-8150-DBCB0F3F651A}">
    <text>Added 20kbd due to Martinez extending into 4/16 SU</text>
  </threadedComment>
  <threadedComment ref="U30" dT="2026-04-11T11:03:38.63" personId="{54744C53-0888-4741-BF8F-47AFFBF588AC}" id="{7DCF3077-253D-4E47-9D0C-162B44D77901}" parentId="{F8C182C3-907B-4A22-8150-DBCB0F3F651A}">
    <text>Add 24 more duet o Martinez now on 4/24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CA834" dT="2024-11-20T20:41:49.59" personId="{15201DD0-F250-4263-8BC4-FC3304249538}" id="{D83A9B79-1FA8-41A4-8C51-1AA549F801EB}">
    <text>Undoing last week’s adjustment</text>
  </threadedComment>
  <threadedComment ref="CD834" dT="2024-11-21T22:22:57.53" personId="{95DBF590-A477-46F8-BE86-9FAD0C7E296F}" id="{99E72D09-6A18-4F8B-891E-D6A79ADA7846}">
    <text>Added 10 based on expected increase in production</text>
  </threadedComment>
  <threadedComment ref="CC835" dT="2024-12-04T23:38:59.02" personId="{15201DD0-F250-4263-8BC4-FC3304249538}" id="{BC34F9A5-1553-46C4-B353-6222751FB06A}">
    <text>Matching EIA data- folks may be marginally sparing due to margins being under pressure</text>
  </threadedComment>
  <threadedComment ref="CD836" dT="2024-11-21T22:55:26.62" personId="{95DBF590-A477-46F8-BE86-9FAD0C7E296F}" id="{34B68089-5E55-460D-B3EF-29A96A651583}">
    <text xml:space="preserve">Softening ramp based on several outages and uncertainty of startup 
</text>
  </threadedComment>
  <threadedComment ref="CE836" dT="2024-11-15T20:03:11.62" personId="{15201DD0-F250-4263-8BC4-FC3304249538}" id="{5373BCFC-6D7C-49F5-B814-492112E74A6D}">
    <text>Reliability factor since no outages currently planned</text>
  </threadedComment>
  <threadedComment ref="CE836" dT="2024-11-21T22:56:00.26" personId="{95DBF590-A477-46F8-BE86-9FAD0C7E296F}" id="{1E789C8B-CB42-4954-BF34-ACFEE8F89F4B}" parentId="{5373BCFC-6D7C-49F5-B814-492112E74A6D}">
    <text xml:space="preserve">Pulled forward one week
</text>
  </threadedComment>
  <threadedComment ref="CE836" dT="2024-12-06T22:00:52.67" personId="{63D9545E-901E-454F-A20F-4131B6FC3A8D}" id="{5D87FCC8-72A7-4E6A-AAD1-791CB5BB438A}" parentId="{5373BCFC-6D7C-49F5-B814-492112E74A6D}">
    <text>Added 40 kbd reliability factor to keep yields below 50% (historical)</text>
  </threadedComment>
  <threadedComment ref="BZ838" dT="2024-11-15T19:45:10.44" personId="{15201DD0-F250-4263-8BC4-FC3304249538}" id="{7BE63010-B532-44DE-A711-B6277527CDDF}">
    <text>Added 30 because missed low by 60 but don’t want to come all the way up</text>
  </threadedComment>
  <threadedComment ref="CA838" dT="2024-11-15T19:46:41.71" personId="{15201DD0-F250-4263-8BC4-FC3304249538}" id="{EAD7288E-43EF-42DD-AD1A-DF87BCF1EF27}">
    <text>Suspected production issues/come off from last week’s addition</text>
  </threadedComment>
  <threadedComment ref="CB838" dT="2024-11-15T19:46:53.71" personId="{15201DD0-F250-4263-8BC4-FC3304249538}" id="{EBE524EA-F512-4FAA-ACF2-F6EA1317B4D3}">
    <text>5 year band solver</text>
  </threadedComment>
  <threadedComment ref="CC838" dT="2024-11-15T19:47:02.33" personId="{15201DD0-F250-4263-8BC4-FC3304249538}" id="{728DEBB0-E553-4F30-A9CF-AA606829016B}">
    <text>5 year band</text>
  </threadedComment>
  <threadedComment ref="CD838" dT="2024-11-15T19:47:14.08" personId="{15201DD0-F250-4263-8BC4-FC3304249538}" id="{A2606ECB-A780-4560-A5FA-B87D68419EF0}">
    <text>Reliability adder</text>
  </threadedComment>
  <threadedComment ref="CP838" dT="2025-02-27T23:33:55.18" personId="{95DBF590-A477-46F8-BE86-9FAD0C7E296F}" id="{BBE22B51-4AE5-449C-BE28-FAC56B1F10BD}">
    <text xml:space="preserve">Possibly missing some offline capacity
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2026%20Outage%20Capacity%20Percent%20Loss%20by%20PADD_Changing%20CDU%20yields%20v2.xlsx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2026%20Outage%20Capacity%20Percent%20Loss%20by%20PADD_Changing%20CDU%20yields%20v2.xlsx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energyrt.woodmac.com/oil/alerts/images/37c18c5b-d6fe-4dbf-b487-c00bb97e9e03" TargetMode="External"/><Relationship Id="rId5" Type="http://schemas.microsoft.com/office/2017/10/relationships/threadedComment" Target="../threadedComments/threadedComment3.xml"/><Relationship Id="rId4" Type="http://schemas.openxmlformats.org/officeDocument/2006/relationships/comments" Target="../comments3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DD075-58E8-4643-8CA1-9680319572DA}">
  <sheetPr codeName="Sheet5"/>
  <dimension ref="B1:AI61"/>
  <sheetViews>
    <sheetView topLeftCell="I1" zoomScale="80" zoomScaleNormal="85" workbookViewId="0">
      <pane ySplit="4" topLeftCell="A43" activePane="bottomLeft" state="frozen"/>
      <selection pane="bottomLeft" activeCell="A61" sqref="A61:XFD61"/>
    </sheetView>
  </sheetViews>
  <sheetFormatPr defaultRowHeight="15" x14ac:dyDescent="0.25"/>
  <cols>
    <col min="2" max="2" width="37.28515625" customWidth="1"/>
    <col min="3" max="14" width="9.140625" customWidth="1"/>
    <col min="17" max="17" width="32.7109375" customWidth="1"/>
    <col min="18" max="29" width="9.140625" customWidth="1"/>
    <col min="30" max="30" width="14.42578125" customWidth="1"/>
    <col min="31" max="31" width="12.28515625" customWidth="1"/>
    <col min="33" max="33" width="12.7109375" bestFit="1" customWidth="1"/>
    <col min="34" max="35" width="12" bestFit="1" customWidth="1"/>
  </cols>
  <sheetData>
    <row r="1" spans="2:31" ht="15.75" thickBot="1" x14ac:dyDescent="0.3"/>
    <row r="2" spans="2:31" ht="15.75" thickBot="1" x14ac:dyDescent="0.3">
      <c r="O2" s="15"/>
      <c r="P2" s="15"/>
      <c r="Q2" s="493" t="s">
        <v>69</v>
      </c>
      <c r="R2" s="494"/>
      <c r="S2" s="494"/>
      <c r="T2" s="494"/>
      <c r="U2" s="494"/>
      <c r="V2" s="494"/>
      <c r="W2" s="494"/>
      <c r="X2" s="494"/>
      <c r="Y2" s="494"/>
      <c r="Z2" s="494"/>
      <c r="AA2" s="494"/>
      <c r="AB2" s="494"/>
      <c r="AC2" s="494"/>
      <c r="AD2" s="495"/>
    </row>
    <row r="3" spans="2:31" ht="21" customHeight="1" thickBot="1" x14ac:dyDescent="0.3"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O3" s="15"/>
      <c r="P3" s="15"/>
      <c r="Q3" s="1"/>
      <c r="R3" s="1" t="s">
        <v>1</v>
      </c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5"/>
    </row>
    <row r="4" spans="2:31" x14ac:dyDescent="0.25">
      <c r="B4" s="2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  <c r="O4" s="15"/>
      <c r="P4" s="15"/>
      <c r="Q4" s="2" t="s">
        <v>2</v>
      </c>
      <c r="R4" s="3" t="s">
        <v>3</v>
      </c>
      <c r="S4" s="3" t="s">
        <v>4</v>
      </c>
      <c r="T4" s="3" t="s">
        <v>5</v>
      </c>
      <c r="U4" s="3" t="s">
        <v>6</v>
      </c>
      <c r="V4" s="3" t="s">
        <v>7</v>
      </c>
      <c r="W4" s="3" t="s">
        <v>8</v>
      </c>
      <c r="X4" s="3" t="s">
        <v>45</v>
      </c>
      <c r="Y4" s="3" t="s">
        <v>46</v>
      </c>
      <c r="Z4" s="3" t="s">
        <v>9</v>
      </c>
      <c r="AA4" s="3" t="s">
        <v>10</v>
      </c>
      <c r="AB4" s="3" t="s">
        <v>11</v>
      </c>
      <c r="AC4" s="3" t="s">
        <v>12</v>
      </c>
      <c r="AD4" s="37" t="s">
        <v>68</v>
      </c>
      <c r="AE4" s="13" t="s">
        <v>58</v>
      </c>
    </row>
    <row r="5" spans="2:31" x14ac:dyDescent="0.25">
      <c r="B5" s="4" t="s">
        <v>14</v>
      </c>
      <c r="C5" s="5">
        <v>220.76</v>
      </c>
      <c r="D5" s="5">
        <v>77.745714285999995</v>
      </c>
      <c r="E5" s="5"/>
      <c r="F5" s="5"/>
      <c r="G5" s="5"/>
      <c r="H5" s="5"/>
      <c r="I5" s="5"/>
      <c r="J5" s="5"/>
      <c r="K5" s="5"/>
      <c r="L5" s="5">
        <v>24.768571428999998</v>
      </c>
      <c r="M5" s="5">
        <v>323.27428571500002</v>
      </c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</row>
    <row r="6" spans="2:31" x14ac:dyDescent="0.25">
      <c r="B6" s="6" t="s">
        <v>15</v>
      </c>
      <c r="C6" s="7">
        <v>220.76</v>
      </c>
      <c r="D6" s="7">
        <v>77.745714285999995</v>
      </c>
      <c r="E6" s="7"/>
      <c r="F6" s="7"/>
      <c r="G6" s="7"/>
      <c r="H6" s="7"/>
      <c r="I6" s="7"/>
      <c r="J6" s="7"/>
      <c r="K6" s="7"/>
      <c r="L6" s="7">
        <v>24.768571428999998</v>
      </c>
      <c r="M6" s="7">
        <v>323.27428571500002</v>
      </c>
      <c r="Q6" s="6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7" spans="2:31" x14ac:dyDescent="0.25">
      <c r="B7" s="4" t="s">
        <v>16</v>
      </c>
      <c r="C7" s="5"/>
      <c r="D7" s="5"/>
      <c r="E7" s="5"/>
      <c r="F7" s="5">
        <v>43.2</v>
      </c>
      <c r="G7" s="5">
        <v>86.4</v>
      </c>
      <c r="H7" s="5">
        <v>43.2</v>
      </c>
      <c r="I7" s="5"/>
      <c r="J7" s="5"/>
      <c r="K7" s="5"/>
      <c r="L7" s="5"/>
      <c r="M7" s="5">
        <v>172.8</v>
      </c>
      <c r="Q7" s="4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</row>
    <row r="8" spans="2:31" x14ac:dyDescent="0.25">
      <c r="B8" s="6" t="s">
        <v>17</v>
      </c>
      <c r="C8" s="7"/>
      <c r="D8" s="7"/>
      <c r="E8" s="7"/>
      <c r="F8" s="7">
        <v>43.2</v>
      </c>
      <c r="G8" s="7">
        <v>86.4</v>
      </c>
      <c r="H8" s="7">
        <v>43.2</v>
      </c>
      <c r="I8" s="7"/>
      <c r="J8" s="7"/>
      <c r="K8" s="7"/>
      <c r="L8" s="7"/>
      <c r="M8" s="7">
        <v>172.8</v>
      </c>
      <c r="Q8" s="6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</row>
    <row r="9" spans="2:31" x14ac:dyDescent="0.25">
      <c r="B9" s="4" t="s">
        <v>18</v>
      </c>
      <c r="C9" s="5">
        <v>19.942857142999998</v>
      </c>
      <c r="D9" s="5">
        <v>267.2</v>
      </c>
      <c r="E9" s="5">
        <v>392.14000000100009</v>
      </c>
      <c r="F9" s="5">
        <v>97.8</v>
      </c>
      <c r="G9" s="5"/>
      <c r="H9" s="5"/>
      <c r="I9" s="5">
        <v>180.51428571399998</v>
      </c>
      <c r="J9" s="5">
        <v>187.2</v>
      </c>
      <c r="K9" s="5">
        <v>33.428571429000002</v>
      </c>
      <c r="L9" s="5"/>
      <c r="M9" s="5">
        <v>1178.2257142870001</v>
      </c>
      <c r="Q9" s="4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</row>
    <row r="10" spans="2:31" x14ac:dyDescent="0.25">
      <c r="B10" s="6" t="s">
        <v>19</v>
      </c>
      <c r="C10" s="7"/>
      <c r="D10" s="7"/>
      <c r="E10" s="7">
        <v>83.785714286000001</v>
      </c>
      <c r="F10" s="7">
        <v>69.214285713999999</v>
      </c>
      <c r="G10" s="7"/>
      <c r="H10" s="7"/>
      <c r="I10" s="7"/>
      <c r="J10" s="7"/>
      <c r="K10" s="7"/>
      <c r="L10" s="7"/>
      <c r="M10" s="7">
        <v>153</v>
      </c>
      <c r="Q10" s="6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</row>
    <row r="11" spans="2:31" x14ac:dyDescent="0.25">
      <c r="B11" s="6" t="s">
        <v>20</v>
      </c>
      <c r="C11" s="7"/>
      <c r="D11" s="7"/>
      <c r="E11" s="7">
        <v>194.38285714300002</v>
      </c>
      <c r="F11" s="7">
        <v>28.585714286000002</v>
      </c>
      <c r="G11" s="7"/>
      <c r="H11" s="7"/>
      <c r="I11" s="7"/>
      <c r="J11" s="7"/>
      <c r="K11" s="7"/>
      <c r="L11" s="7"/>
      <c r="M11" s="7">
        <v>222.96857142900004</v>
      </c>
      <c r="Q11" s="6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</row>
    <row r="12" spans="2:31" x14ac:dyDescent="0.25">
      <c r="B12" s="6" t="s">
        <v>21</v>
      </c>
      <c r="C12" s="7">
        <v>19.942857142999998</v>
      </c>
      <c r="D12" s="7">
        <v>267.2</v>
      </c>
      <c r="E12" s="7">
        <v>113.97142857200001</v>
      </c>
      <c r="F12" s="7"/>
      <c r="G12" s="7"/>
      <c r="H12" s="7"/>
      <c r="I12" s="7">
        <v>180.51428571399998</v>
      </c>
      <c r="J12" s="7">
        <v>187.2</v>
      </c>
      <c r="K12" s="7">
        <v>33.428571429000002</v>
      </c>
      <c r="L12" s="7"/>
      <c r="M12" s="7">
        <v>802.25714285800007</v>
      </c>
      <c r="Q12" s="6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</row>
    <row r="13" spans="2:31" x14ac:dyDescent="0.25">
      <c r="B13" s="4" t="s">
        <v>22</v>
      </c>
      <c r="C13" s="5"/>
      <c r="D13" s="5"/>
      <c r="E13" s="5"/>
      <c r="F13" s="5"/>
      <c r="G13" s="5"/>
      <c r="H13" s="5"/>
      <c r="I13" s="5">
        <v>27.867857142999998</v>
      </c>
      <c r="J13" s="5">
        <v>156.06</v>
      </c>
      <c r="K13" s="5">
        <v>11.147142857</v>
      </c>
      <c r="L13" s="5"/>
      <c r="M13" s="5">
        <v>195.07500000000002</v>
      </c>
      <c r="Q13" s="4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</row>
    <row r="14" spans="2:31" x14ac:dyDescent="0.25">
      <c r="B14" s="6" t="s">
        <v>23</v>
      </c>
      <c r="C14" s="7"/>
      <c r="D14" s="7"/>
      <c r="E14" s="7"/>
      <c r="F14" s="7"/>
      <c r="G14" s="7"/>
      <c r="H14" s="7"/>
      <c r="I14" s="7">
        <v>27.867857142999998</v>
      </c>
      <c r="J14" s="7">
        <v>156.06</v>
      </c>
      <c r="K14" s="7">
        <v>11.147142857</v>
      </c>
      <c r="L14" s="7"/>
      <c r="M14" s="7">
        <v>195.07500000000002</v>
      </c>
      <c r="Q14" s="6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</row>
    <row r="15" spans="2:31" x14ac:dyDescent="0.25">
      <c r="B15" s="4" t="s">
        <v>24</v>
      </c>
      <c r="C15" s="5"/>
      <c r="D15" s="5"/>
      <c r="E15" s="5"/>
      <c r="F15" s="5"/>
      <c r="G15" s="5"/>
      <c r="H15" s="5"/>
      <c r="I15" s="5"/>
      <c r="J15" s="5">
        <v>115.328571428</v>
      </c>
      <c r="K15" s="5">
        <v>76.885714284999992</v>
      </c>
      <c r="L15" s="5"/>
      <c r="M15" s="5">
        <v>192.21428571299998</v>
      </c>
      <c r="Q15" s="4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</row>
    <row r="16" spans="2:31" x14ac:dyDescent="0.25">
      <c r="B16" s="6" t="s">
        <v>25</v>
      </c>
      <c r="C16" s="7"/>
      <c r="D16" s="7"/>
      <c r="E16" s="7"/>
      <c r="F16" s="7"/>
      <c r="G16" s="7"/>
      <c r="H16" s="7"/>
      <c r="I16" s="7"/>
      <c r="J16" s="7">
        <v>115.328571428</v>
      </c>
      <c r="K16" s="7">
        <v>76.885714284999992</v>
      </c>
      <c r="L16" s="7"/>
      <c r="M16" s="7">
        <v>192.21428571299998</v>
      </c>
      <c r="Q16" s="6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</row>
    <row r="17" spans="2:35" x14ac:dyDescent="0.25">
      <c r="B17" s="4" t="s">
        <v>26</v>
      </c>
      <c r="C17" s="5">
        <v>433.67857142900004</v>
      </c>
      <c r="D17" s="5">
        <v>413.73571428499997</v>
      </c>
      <c r="E17" s="5"/>
      <c r="F17" s="5"/>
      <c r="G17" s="5"/>
      <c r="H17" s="5"/>
      <c r="I17" s="5"/>
      <c r="J17" s="5"/>
      <c r="K17" s="5"/>
      <c r="L17" s="5">
        <v>18.228571428999999</v>
      </c>
      <c r="M17" s="5">
        <v>865.64285714300013</v>
      </c>
      <c r="Q17" s="4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</row>
    <row r="18" spans="2:35" x14ac:dyDescent="0.25">
      <c r="B18" s="6" t="s">
        <v>27</v>
      </c>
      <c r="C18" s="7">
        <v>255.2</v>
      </c>
      <c r="D18" s="7">
        <v>45.571428570999998</v>
      </c>
      <c r="E18" s="7"/>
      <c r="F18" s="7"/>
      <c r="G18" s="7"/>
      <c r="H18" s="7"/>
      <c r="I18" s="7"/>
      <c r="J18" s="7"/>
      <c r="K18" s="7"/>
      <c r="L18" s="7">
        <v>18.228571428999999</v>
      </c>
      <c r="M18" s="7">
        <v>319</v>
      </c>
      <c r="Q18" s="6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</row>
    <row r="19" spans="2:35" x14ac:dyDescent="0.25">
      <c r="B19" s="6" t="s">
        <v>28</v>
      </c>
      <c r="C19" s="7">
        <v>159.19285714300003</v>
      </c>
      <c r="D19" s="7">
        <v>117.664285714</v>
      </c>
      <c r="E19" s="7"/>
      <c r="F19" s="7"/>
      <c r="G19" s="7"/>
      <c r="H19" s="7"/>
      <c r="I19" s="7"/>
      <c r="J19" s="7"/>
      <c r="K19" s="7"/>
      <c r="L19" s="7"/>
      <c r="M19" s="7">
        <v>276.85714285700004</v>
      </c>
      <c r="Q19" s="6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</row>
    <row r="20" spans="2:35" x14ac:dyDescent="0.25">
      <c r="B20" s="6" t="s">
        <v>29</v>
      </c>
      <c r="C20" s="7">
        <v>19.285714286000001</v>
      </c>
      <c r="D20" s="7">
        <v>250.5</v>
      </c>
      <c r="E20" s="7"/>
      <c r="F20" s="7"/>
      <c r="G20" s="7"/>
      <c r="H20" s="7"/>
      <c r="I20" s="7"/>
      <c r="J20" s="7"/>
      <c r="K20" s="7"/>
      <c r="L20" s="7"/>
      <c r="M20" s="7">
        <v>269.78571428600003</v>
      </c>
      <c r="Q20" s="6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</row>
    <row r="21" spans="2:35" x14ac:dyDescent="0.25">
      <c r="B21" s="4" t="s">
        <v>30</v>
      </c>
      <c r="C21" s="5">
        <v>155.81428571399999</v>
      </c>
      <c r="D21" s="5">
        <v>155.81428571399999</v>
      </c>
      <c r="E21" s="5"/>
      <c r="F21" s="5"/>
      <c r="G21" s="5"/>
      <c r="H21" s="5"/>
      <c r="I21" s="5">
        <v>91.142857143000001</v>
      </c>
      <c r="J21" s="5">
        <v>68.357142856999999</v>
      </c>
      <c r="K21" s="5"/>
      <c r="L21" s="5"/>
      <c r="M21" s="5">
        <v>471.12857142799999</v>
      </c>
      <c r="Q21" s="4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F21" t="s">
        <v>95</v>
      </c>
    </row>
    <row r="22" spans="2:35" x14ac:dyDescent="0.25">
      <c r="B22" s="6" t="s">
        <v>31</v>
      </c>
      <c r="C22" s="7"/>
      <c r="D22" s="7"/>
      <c r="E22" s="7"/>
      <c r="F22" s="7"/>
      <c r="G22" s="7"/>
      <c r="H22" s="7"/>
      <c r="I22" s="7">
        <v>91.142857143000001</v>
      </c>
      <c r="J22" s="7">
        <v>68.357142856999999</v>
      </c>
      <c r="K22" s="7"/>
      <c r="L22" s="7"/>
      <c r="M22" s="7">
        <v>159.5</v>
      </c>
      <c r="Q22" s="6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G22">
        <v>2024</v>
      </c>
      <c r="AH22">
        <v>2025</v>
      </c>
      <c r="AI22" t="s">
        <v>92</v>
      </c>
    </row>
    <row r="23" spans="2:35" x14ac:dyDescent="0.25">
      <c r="B23" s="6" t="s">
        <v>32</v>
      </c>
      <c r="C23" s="7">
        <v>155.81428571399999</v>
      </c>
      <c r="D23" s="7">
        <v>155.81428571399999</v>
      </c>
      <c r="E23" s="7"/>
      <c r="F23" s="7"/>
      <c r="G23" s="7"/>
      <c r="H23" s="7"/>
      <c r="I23" s="7"/>
      <c r="J23" s="7"/>
      <c r="K23" s="7"/>
      <c r="L23" s="7"/>
      <c r="M23" s="7">
        <v>311.62857142799999</v>
      </c>
      <c r="Q23" s="6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F23" t="s">
        <v>3</v>
      </c>
      <c r="AH23">
        <v>8.637096774193548</v>
      </c>
    </row>
    <row r="24" spans="2:35" x14ac:dyDescent="0.25">
      <c r="B24" s="4" t="s">
        <v>33</v>
      </c>
      <c r="C24" s="5">
        <v>160.82857142799998</v>
      </c>
      <c r="D24" s="5">
        <v>49.485714285</v>
      </c>
      <c r="E24" s="5"/>
      <c r="F24" s="5"/>
      <c r="G24" s="5"/>
      <c r="H24" s="5"/>
      <c r="I24" s="5"/>
      <c r="J24" s="5"/>
      <c r="K24" s="5"/>
      <c r="L24" s="5"/>
      <c r="M24" s="5">
        <v>210.31428571299998</v>
      </c>
      <c r="Q24" s="4">
        <v>2026</v>
      </c>
      <c r="R24" s="5"/>
      <c r="S24" s="5"/>
      <c r="T24" s="5"/>
      <c r="U24" s="5"/>
      <c r="V24" s="5"/>
      <c r="W24" s="5">
        <v>97.516888889000001</v>
      </c>
      <c r="X24" s="5">
        <v>84.983870967741936</v>
      </c>
      <c r="Y24" s="5">
        <v>119.15488172043011</v>
      </c>
      <c r="Z24" s="5">
        <v>231.42722222255557</v>
      </c>
      <c r="AA24" s="5">
        <v>165.62492831530108</v>
      </c>
      <c r="AB24" s="5">
        <v>76.768333333333331</v>
      </c>
      <c r="AC24" s="5">
        <v>30</v>
      </c>
      <c r="AF24" t="s">
        <v>4</v>
      </c>
      <c r="AG24">
        <v>13.6</v>
      </c>
      <c r="AH24">
        <v>36.455357142857146</v>
      </c>
      <c r="AI24">
        <v>40.346428571428575</v>
      </c>
    </row>
    <row r="25" spans="2:35" x14ac:dyDescent="0.25">
      <c r="B25" s="6" t="s">
        <v>34</v>
      </c>
      <c r="C25" s="7">
        <v>160.82857142799998</v>
      </c>
      <c r="D25" s="7">
        <v>49.485714285</v>
      </c>
      <c r="E25" s="7"/>
      <c r="F25" s="7"/>
      <c r="G25" s="7"/>
      <c r="H25" s="7"/>
      <c r="I25" s="7"/>
      <c r="J25" s="7"/>
      <c r="K25" s="7"/>
      <c r="L25" s="7"/>
      <c r="M25" s="7">
        <v>210.31428571299998</v>
      </c>
      <c r="Q25" s="6">
        <v>2025</v>
      </c>
      <c r="R25" s="5"/>
      <c r="S25" s="5"/>
      <c r="T25" s="5"/>
      <c r="U25" s="5"/>
      <c r="V25" s="5"/>
      <c r="W25" s="5">
        <v>36.5</v>
      </c>
      <c r="X25" s="5">
        <v>131.6</v>
      </c>
      <c r="Y25" s="5">
        <v>97</v>
      </c>
      <c r="Z25" s="5">
        <v>203</v>
      </c>
      <c r="AA25" s="5">
        <v>280.8</v>
      </c>
      <c r="AB25" s="5">
        <v>132</v>
      </c>
      <c r="AC25" s="5">
        <v>2</v>
      </c>
      <c r="AF25" t="s">
        <v>5</v>
      </c>
      <c r="AG25">
        <v>134.09944086054838</v>
      </c>
      <c r="AH25">
        <v>280.16212903225806</v>
      </c>
      <c r="AI25">
        <v>89.583064516129014</v>
      </c>
    </row>
    <row r="26" spans="2:35" x14ac:dyDescent="0.25">
      <c r="B26" s="4" t="s">
        <v>35</v>
      </c>
      <c r="C26" s="5"/>
      <c r="D26" s="5">
        <v>9</v>
      </c>
      <c r="E26" s="5">
        <v>157.5</v>
      </c>
      <c r="F26" s="5">
        <v>22.5</v>
      </c>
      <c r="G26" s="5"/>
      <c r="H26" s="5"/>
      <c r="I26" s="5">
        <v>76.56</v>
      </c>
      <c r="J26" s="5">
        <v>107.184</v>
      </c>
      <c r="K26" s="5">
        <v>45.936</v>
      </c>
      <c r="L26" s="5"/>
      <c r="M26" s="5">
        <v>418.68</v>
      </c>
      <c r="Q26" s="4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F26" t="s">
        <v>6</v>
      </c>
      <c r="AG26">
        <v>343.47233333220458</v>
      </c>
      <c r="AH26">
        <v>383.54149999999998</v>
      </c>
      <c r="AI26">
        <v>82.446666666666658</v>
      </c>
    </row>
    <row r="27" spans="2:35" x14ac:dyDescent="0.25">
      <c r="B27" s="6" t="s">
        <v>36</v>
      </c>
      <c r="C27" s="7"/>
      <c r="D27" s="7"/>
      <c r="E27" s="7"/>
      <c r="F27" s="7"/>
      <c r="G27" s="7"/>
      <c r="H27" s="7"/>
      <c r="I27" s="7">
        <v>76.56</v>
      </c>
      <c r="J27" s="7">
        <v>107.184</v>
      </c>
      <c r="K27" s="7">
        <v>45.936</v>
      </c>
      <c r="L27" s="7"/>
      <c r="M27" s="7">
        <v>229.68</v>
      </c>
      <c r="Q27" s="6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F27" t="s">
        <v>7</v>
      </c>
      <c r="AG27">
        <v>148.09725806451615</v>
      </c>
      <c r="AH27">
        <v>110.88064516129032</v>
      </c>
      <c r="AI27">
        <v>12.08467741935484</v>
      </c>
    </row>
    <row r="28" spans="2:35" x14ac:dyDescent="0.25">
      <c r="B28" s="6" t="s">
        <v>37</v>
      </c>
      <c r="C28" s="7"/>
      <c r="D28" s="7">
        <v>9</v>
      </c>
      <c r="E28" s="7">
        <v>157.5</v>
      </c>
      <c r="F28" s="7">
        <v>22.5</v>
      </c>
      <c r="G28" s="7"/>
      <c r="H28" s="7"/>
      <c r="I28" s="7"/>
      <c r="J28" s="7"/>
      <c r="K28" s="7"/>
      <c r="L28" s="7"/>
      <c r="M28" s="7">
        <v>189</v>
      </c>
      <c r="Q28" s="6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F28" t="s">
        <v>8</v>
      </c>
      <c r="AH28">
        <v>45.25</v>
      </c>
    </row>
    <row r="29" spans="2:35" x14ac:dyDescent="0.25">
      <c r="B29" s="4" t="s">
        <v>38</v>
      </c>
      <c r="C29" s="5">
        <v>374.15999999999997</v>
      </c>
      <c r="D29" s="5">
        <v>319.51714285700001</v>
      </c>
      <c r="E29" s="5">
        <v>51.04</v>
      </c>
      <c r="F29" s="5"/>
      <c r="G29" s="5"/>
      <c r="H29" s="5"/>
      <c r="I29" s="5">
        <v>19.794285714000001</v>
      </c>
      <c r="J29" s="5">
        <v>277.11999999999995</v>
      </c>
      <c r="K29" s="5">
        <v>98.971428571000004</v>
      </c>
      <c r="L29" s="5">
        <v>26.725714285999999</v>
      </c>
      <c r="M29" s="5">
        <v>1167.328571428</v>
      </c>
      <c r="Q29" s="4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F29" t="s">
        <v>45</v>
      </c>
      <c r="AG29">
        <v>3.916666666666667</v>
      </c>
      <c r="AH29">
        <v>36.193548387096783</v>
      </c>
    </row>
    <row r="30" spans="2:35" x14ac:dyDescent="0.25">
      <c r="B30" s="6" t="s">
        <v>39</v>
      </c>
      <c r="C30" s="7"/>
      <c r="D30" s="7"/>
      <c r="E30" s="7"/>
      <c r="F30" s="7"/>
      <c r="G30" s="7"/>
      <c r="H30" s="7"/>
      <c r="I30" s="7">
        <v>19.794285714000001</v>
      </c>
      <c r="J30" s="7">
        <v>277.11999999999995</v>
      </c>
      <c r="K30" s="7">
        <v>98.971428571000004</v>
      </c>
      <c r="L30" s="7"/>
      <c r="M30" s="7">
        <v>395.88571428499995</v>
      </c>
      <c r="Q30" s="6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F30" t="s">
        <v>46</v>
      </c>
      <c r="AG30">
        <v>0</v>
      </c>
      <c r="AH30">
        <v>42.25</v>
      </c>
    </row>
    <row r="31" spans="2:35" x14ac:dyDescent="0.25">
      <c r="B31" s="6" t="s">
        <v>40</v>
      </c>
      <c r="C31" s="7">
        <v>170</v>
      </c>
      <c r="D31" s="7">
        <v>115.357142857</v>
      </c>
      <c r="E31" s="7"/>
      <c r="F31" s="7"/>
      <c r="G31" s="7"/>
      <c r="H31" s="7"/>
      <c r="I31" s="7"/>
      <c r="J31" s="7"/>
      <c r="K31" s="7"/>
      <c r="L31" s="7">
        <v>12.142857143000001</v>
      </c>
      <c r="M31" s="7">
        <v>297.5</v>
      </c>
      <c r="Q31" s="6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F31" t="s">
        <v>9</v>
      </c>
      <c r="AG31">
        <v>212.34333333333331</v>
      </c>
      <c r="AH31">
        <v>205.09833333333333</v>
      </c>
      <c r="AI31">
        <v>53.958333333333336</v>
      </c>
    </row>
    <row r="32" spans="2:35" x14ac:dyDescent="0.25">
      <c r="B32" s="6" t="s">
        <v>41</v>
      </c>
      <c r="C32" s="7">
        <v>204.16</v>
      </c>
      <c r="D32" s="7">
        <v>204.16</v>
      </c>
      <c r="E32" s="7">
        <v>51.04</v>
      </c>
      <c r="F32" s="7"/>
      <c r="G32" s="7"/>
      <c r="H32" s="7"/>
      <c r="I32" s="7"/>
      <c r="J32" s="7"/>
      <c r="K32" s="7"/>
      <c r="L32" s="7">
        <v>14.582857143</v>
      </c>
      <c r="M32" s="7">
        <v>473.94285714300003</v>
      </c>
      <c r="Q32" s="6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F32" t="s">
        <v>10</v>
      </c>
      <c r="AG32">
        <v>347.7645161290323</v>
      </c>
      <c r="AH32">
        <v>110.3991935483871</v>
      </c>
      <c r="AI32">
        <v>64.75</v>
      </c>
    </row>
    <row r="33" spans="2:34" x14ac:dyDescent="0.25">
      <c r="B33" s="4" t="s">
        <v>42</v>
      </c>
      <c r="C33" s="5"/>
      <c r="D33" s="5"/>
      <c r="E33" s="5"/>
      <c r="F33" s="5"/>
      <c r="G33" s="5"/>
      <c r="H33" s="5"/>
      <c r="I33" s="5">
        <v>3.2785714289999999</v>
      </c>
      <c r="J33" s="5">
        <v>45.9</v>
      </c>
      <c r="K33" s="5">
        <v>8.1964285710000002</v>
      </c>
      <c r="L33" s="5"/>
      <c r="M33" s="5">
        <v>57.375</v>
      </c>
      <c r="Q33" s="4"/>
      <c r="R33" s="5">
        <v>347.18258064516124</v>
      </c>
      <c r="S33" s="5">
        <v>441.12196428571428</v>
      </c>
      <c r="T33" s="5">
        <v>724.38672580645175</v>
      </c>
      <c r="U33" s="5">
        <v>672.1814999996667</v>
      </c>
      <c r="V33" s="5">
        <v>233.31654838709673</v>
      </c>
      <c r="W33" s="5">
        <v>75.509166666666658</v>
      </c>
      <c r="X33" s="5">
        <v>52.535483870967745</v>
      </c>
      <c r="Y33" s="5">
        <v>44.8241935483871</v>
      </c>
      <c r="Z33" s="5">
        <v>490.20733333333334</v>
      </c>
      <c r="AA33" s="5">
        <v>605.17758064516124</v>
      </c>
      <c r="AB33" s="5">
        <v>201.02666666666664</v>
      </c>
      <c r="AC33" s="5">
        <v>96.526129032258055</v>
      </c>
      <c r="AF33" t="s">
        <v>11</v>
      </c>
      <c r="AG33">
        <v>43.561666666666667</v>
      </c>
      <c r="AH33">
        <v>10.768333333333334</v>
      </c>
    </row>
    <row r="34" spans="2:34" ht="15.75" thickBot="1" x14ac:dyDescent="0.3">
      <c r="B34" s="6" t="s">
        <v>43</v>
      </c>
      <c r="C34" s="7"/>
      <c r="D34" s="7"/>
      <c r="E34" s="7"/>
      <c r="F34" s="7"/>
      <c r="G34" s="7"/>
      <c r="H34" s="7"/>
      <c r="I34" s="7">
        <v>3.2785714289999999</v>
      </c>
      <c r="J34" s="7">
        <v>45.9</v>
      </c>
      <c r="K34" s="7">
        <v>8.1964285710000002</v>
      </c>
      <c r="L34" s="7"/>
      <c r="M34" s="7">
        <v>57.375</v>
      </c>
      <c r="Q34" s="6" t="s">
        <v>43</v>
      </c>
      <c r="R34" s="7"/>
      <c r="S34" s="7"/>
      <c r="T34" s="7"/>
      <c r="U34" s="7"/>
      <c r="V34" s="7"/>
      <c r="W34" s="7"/>
      <c r="X34" s="5">
        <v>0</v>
      </c>
      <c r="Y34" s="5">
        <v>0</v>
      </c>
      <c r="Z34" s="7"/>
      <c r="AA34" s="7"/>
      <c r="AB34" s="7"/>
      <c r="AC34" s="7"/>
    </row>
    <row r="35" spans="2:34" ht="14.45" customHeight="1" x14ac:dyDescent="0.25">
      <c r="B35" s="16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O35" s="496" t="s">
        <v>75</v>
      </c>
      <c r="P35" s="497"/>
      <c r="Q35" s="16" t="s">
        <v>90</v>
      </c>
      <c r="R35" s="17"/>
      <c r="S35" s="17"/>
      <c r="T35" s="17"/>
      <c r="U35" s="17"/>
      <c r="V35" s="17"/>
      <c r="W35" s="17">
        <f t="shared" ref="W35:AC35" si="0">W42+W51</f>
        <v>-3.4104444443333315</v>
      </c>
      <c r="X35" s="17">
        <f t="shared" si="0"/>
        <v>84.983870967741936</v>
      </c>
      <c r="Y35" s="17">
        <f t="shared" si="0"/>
        <v>101.91132616509677</v>
      </c>
      <c r="Z35" s="17">
        <f t="shared" si="0"/>
        <v>216.29499999988892</v>
      </c>
      <c r="AA35" s="17">
        <f t="shared" si="0"/>
        <v>128.79186164863438</v>
      </c>
      <c r="AB35" s="17">
        <f t="shared" si="0"/>
        <v>76.768333333333331</v>
      </c>
      <c r="AC35" s="17">
        <f t="shared" si="0"/>
        <v>30</v>
      </c>
      <c r="AD35" s="17"/>
      <c r="AE35" s="9">
        <f>AVERAGE(W35:AC35)</f>
        <v>90.762849667194573</v>
      </c>
    </row>
    <row r="36" spans="2:34" x14ac:dyDescent="0.25">
      <c r="O36" s="498"/>
      <c r="P36" s="499"/>
      <c r="Q36" s="6" t="s">
        <v>88</v>
      </c>
      <c r="R36" s="11"/>
      <c r="S36" s="11"/>
      <c r="T36" s="11"/>
      <c r="U36" s="11"/>
      <c r="V36" s="11"/>
      <c r="W36" s="11"/>
      <c r="X36" s="11">
        <v>131.6</v>
      </c>
      <c r="Y36" s="11">
        <v>97</v>
      </c>
      <c r="Z36" s="11">
        <v>203</v>
      </c>
      <c r="AA36" s="11">
        <v>280.8</v>
      </c>
      <c r="AB36" s="11">
        <v>132</v>
      </c>
      <c r="AC36" s="11">
        <v>2</v>
      </c>
      <c r="AD36" s="39"/>
      <c r="AE36" s="29">
        <f>AVERAGE(W36:AC36)</f>
        <v>141.06666666666669</v>
      </c>
    </row>
    <row r="37" spans="2:34" x14ac:dyDescent="0.25">
      <c r="O37" s="498"/>
      <c r="P37" s="499"/>
      <c r="Q37" s="6" t="s">
        <v>89</v>
      </c>
      <c r="R37" s="30" t="e">
        <f t="shared" ref="R37:W37" si="1">(R$35-R36)/R36</f>
        <v>#DIV/0!</v>
      </c>
      <c r="S37" s="30" t="e">
        <f t="shared" si="1"/>
        <v>#DIV/0!</v>
      </c>
      <c r="T37" s="30" t="e">
        <f t="shared" si="1"/>
        <v>#DIV/0!</v>
      </c>
      <c r="U37" s="30" t="e">
        <f t="shared" si="1"/>
        <v>#DIV/0!</v>
      </c>
      <c r="V37" s="30" t="e">
        <f t="shared" si="1"/>
        <v>#DIV/0!</v>
      </c>
      <c r="W37" s="30" t="e">
        <f t="shared" si="1"/>
        <v>#DIV/0!</v>
      </c>
      <c r="X37" s="30">
        <f t="shared" ref="X37:AC37" si="2">(X$35-X36)/X36</f>
        <v>-0.35422590450044117</v>
      </c>
      <c r="Y37" s="30">
        <f>(Y$35-Y36)/Y36</f>
        <v>5.063222850615224E-2</v>
      </c>
      <c r="Z37" s="30">
        <f t="shared" si="2"/>
        <v>6.5492610836891216E-2</v>
      </c>
      <c r="AA37" s="30">
        <f t="shared" si="2"/>
        <v>-0.54133952404332486</v>
      </c>
      <c r="AB37" s="30">
        <f t="shared" si="2"/>
        <v>-0.41842171717171717</v>
      </c>
      <c r="AC37" s="30">
        <f t="shared" si="2"/>
        <v>14</v>
      </c>
      <c r="AD37" s="39"/>
      <c r="AE37" s="30">
        <f>(AE$35-AE36)/AE36</f>
        <v>-0.35659605623444313</v>
      </c>
    </row>
    <row r="38" spans="2:34" x14ac:dyDescent="0.25">
      <c r="O38" s="498"/>
      <c r="P38" s="499"/>
      <c r="Q38" s="6" t="s">
        <v>65</v>
      </c>
      <c r="R38" s="11"/>
      <c r="S38" s="11"/>
      <c r="T38" s="11"/>
      <c r="U38" s="11"/>
      <c r="V38" s="11"/>
      <c r="W38" s="11"/>
      <c r="X38" s="11">
        <v>36.5</v>
      </c>
      <c r="Y38" s="11">
        <v>131.6</v>
      </c>
      <c r="Z38" s="11">
        <v>97</v>
      </c>
      <c r="AA38" s="11">
        <v>203</v>
      </c>
      <c r="AB38" s="11">
        <v>280.8</v>
      </c>
      <c r="AC38" s="11">
        <v>132</v>
      </c>
      <c r="AD38" s="26">
        <v>2</v>
      </c>
      <c r="AE38" s="29">
        <f>AVERAGE(W38:AC38)</f>
        <v>146.81666666666669</v>
      </c>
    </row>
    <row r="39" spans="2:34" x14ac:dyDescent="0.25">
      <c r="O39" s="498"/>
      <c r="P39" s="499"/>
      <c r="Q39" s="6" t="s">
        <v>89</v>
      </c>
      <c r="R39" s="30" t="e">
        <f>(R35-R38)/R38</f>
        <v>#DIV/0!</v>
      </c>
      <c r="S39" s="30" t="e">
        <f>(S35-S38)/S38</f>
        <v>#DIV/0!</v>
      </c>
      <c r="T39" s="30" t="e">
        <f>(T35-T38)/T38</f>
        <v>#DIV/0!</v>
      </c>
      <c r="U39" s="30" t="e">
        <f>(U35-U38)/U38</f>
        <v>#DIV/0!</v>
      </c>
      <c r="V39" s="30" t="e">
        <f>(V35-V38)/V38</f>
        <v>#DIV/0!</v>
      </c>
      <c r="W39" s="30" t="e">
        <f>(W$35-W38)/W38</f>
        <v>#DIV/0!</v>
      </c>
      <c r="X39" s="30">
        <f t="shared" ref="X39:AC39" si="3">(X35-X38)/X38</f>
        <v>1.3283252319929297</v>
      </c>
      <c r="Y39" s="30">
        <f t="shared" si="3"/>
        <v>-0.22559782549318563</v>
      </c>
      <c r="Z39" s="30">
        <f t="shared" si="3"/>
        <v>1.2298453608235971</v>
      </c>
      <c r="AA39" s="30">
        <f t="shared" si="3"/>
        <v>-0.36555733178012623</v>
      </c>
      <c r="AB39" s="30">
        <f t="shared" si="3"/>
        <v>-0.72660849952516626</v>
      </c>
      <c r="AC39" s="30">
        <f t="shared" si="3"/>
        <v>-0.77272727272727271</v>
      </c>
      <c r="AD39" s="30" t="e">
        <f>(#REF!-AD38)/AD38</f>
        <v>#REF!</v>
      </c>
      <c r="AE39" s="30">
        <f>(AE35-AE38)/AE38</f>
        <v>-0.38179464411037878</v>
      </c>
    </row>
    <row r="40" spans="2:34" x14ac:dyDescent="0.25">
      <c r="B40">
        <v>2026</v>
      </c>
      <c r="O40" s="498"/>
      <c r="P40" s="499"/>
      <c r="Q40" s="6" t="s">
        <v>44</v>
      </c>
      <c r="R40" s="26">
        <v>290.55306666500002</v>
      </c>
      <c r="S40" s="26">
        <v>234.396999999</v>
      </c>
      <c r="T40" s="26">
        <v>282.96883333100004</v>
      </c>
      <c r="U40" s="26">
        <v>366</v>
      </c>
      <c r="V40" s="26">
        <v>207.17533333399999</v>
      </c>
      <c r="W40" s="26">
        <v>86.418666666999997</v>
      </c>
      <c r="X40" s="26">
        <v>74.094000000000008</v>
      </c>
      <c r="Y40" s="26">
        <v>22.667666666000002</v>
      </c>
      <c r="Z40" s="26">
        <v>242.75643333300002</v>
      </c>
      <c r="AA40" s="26">
        <v>308.80980000099999</v>
      </c>
      <c r="AB40" s="26">
        <v>71.480000001000008</v>
      </c>
      <c r="AC40" s="26">
        <v>15</v>
      </c>
      <c r="AD40" s="26">
        <f>AVERAGE(R40:AC40)</f>
        <v>183.52673333308337</v>
      </c>
      <c r="AE40" s="29">
        <f>AVERAGE(W40:AC40)</f>
        <v>117.31808095257144</v>
      </c>
    </row>
    <row r="41" spans="2:34" ht="15.75" thickBot="1" x14ac:dyDescent="0.3">
      <c r="B41" s="1" t="s">
        <v>78</v>
      </c>
      <c r="C41" s="1" t="s">
        <v>1</v>
      </c>
      <c r="D41" s="1"/>
      <c r="E41" s="1"/>
      <c r="F41" s="1"/>
      <c r="G41" s="1"/>
      <c r="H41" s="1"/>
      <c r="I41" s="1"/>
      <c r="J41" s="1"/>
      <c r="K41" s="1"/>
      <c r="L41" s="1"/>
      <c r="O41" s="500"/>
      <c r="P41" s="501"/>
      <c r="Q41" s="6" t="s">
        <v>89</v>
      </c>
      <c r="R41" s="30">
        <f t="shared" ref="R41:AC41" si="4">(R35-R40)/R40</f>
        <v>-1</v>
      </c>
      <c r="S41" s="30">
        <f t="shared" si="4"/>
        <v>-1</v>
      </c>
      <c r="T41" s="30">
        <f t="shared" si="4"/>
        <v>-1</v>
      </c>
      <c r="U41" s="30">
        <f t="shared" si="4"/>
        <v>-1</v>
      </c>
      <c r="V41" s="30">
        <f t="shared" si="4"/>
        <v>-1</v>
      </c>
      <c r="W41" s="30">
        <f t="shared" si="4"/>
        <v>-1.0394642104057787</v>
      </c>
      <c r="X41" s="30">
        <f t="shared" si="4"/>
        <v>0.14697372213326215</v>
      </c>
      <c r="Y41" s="30">
        <f t="shared" si="4"/>
        <v>3.4958895711113045</v>
      </c>
      <c r="Z41" s="30">
        <f t="shared" si="4"/>
        <v>-0.10900404561807329</v>
      </c>
      <c r="AA41" s="30">
        <f t="shared" si="4"/>
        <v>-0.58294114484638337</v>
      </c>
      <c r="AB41" s="30">
        <f t="shared" si="4"/>
        <v>7.3983398604635417E-2</v>
      </c>
      <c r="AC41" s="30">
        <f t="shared" si="4"/>
        <v>1</v>
      </c>
      <c r="AD41" s="30" t="e">
        <f>(#REF!-AD40)/AD40</f>
        <v>#REF!</v>
      </c>
      <c r="AE41" s="30">
        <f>(AE35-AE40)/AE40</f>
        <v>-0.22635241788614352</v>
      </c>
    </row>
    <row r="42" spans="2:34" ht="14.45" customHeight="1" x14ac:dyDescent="0.25">
      <c r="B42" s="1"/>
      <c r="C42" s="1" t="s">
        <v>3</v>
      </c>
      <c r="D42" s="1" t="s">
        <v>4</v>
      </c>
      <c r="E42" s="1" t="s">
        <v>5</v>
      </c>
      <c r="F42" s="1" t="s">
        <v>6</v>
      </c>
      <c r="G42" s="1" t="s">
        <v>7</v>
      </c>
      <c r="H42" s="1" t="s">
        <v>8</v>
      </c>
      <c r="I42" s="1" t="s">
        <v>9</v>
      </c>
      <c r="J42" s="1" t="s">
        <v>10</v>
      </c>
      <c r="K42" s="1" t="s">
        <v>11</v>
      </c>
      <c r="L42" s="1" t="s">
        <v>13</v>
      </c>
      <c r="O42" s="496" t="s">
        <v>67</v>
      </c>
      <c r="P42" s="497"/>
      <c r="Q42" s="28" t="s">
        <v>87</v>
      </c>
      <c r="R42" s="27">
        <v>0</v>
      </c>
      <c r="S42" s="27">
        <v>40.346428571428575</v>
      </c>
      <c r="T42" s="27">
        <v>89.583064516129042</v>
      </c>
      <c r="U42" s="27">
        <v>82.446666666666658</v>
      </c>
      <c r="V42" s="27">
        <v>12.08467741935484</v>
      </c>
      <c r="W42" s="27">
        <v>0</v>
      </c>
      <c r="X42" s="27">
        <v>29.983870967741939</v>
      </c>
      <c r="Y42" s="27">
        <v>53</v>
      </c>
      <c r="Z42" s="27">
        <v>198.01500000000001</v>
      </c>
      <c r="AA42" s="27">
        <v>99.915322580645153</v>
      </c>
      <c r="AB42" s="27">
        <v>10.768333333333334</v>
      </c>
      <c r="AC42" s="27">
        <v>0</v>
      </c>
      <c r="AD42" s="41">
        <f>(R42*(31/90))+(S42*(28/90))+(T42*(31/90))</f>
        <v>43.408611111111114</v>
      </c>
      <c r="AE42" s="27">
        <f>AVERAGE(W42:AC42)</f>
        <v>55.954646697388625</v>
      </c>
      <c r="AG42">
        <f>(AE42-AE45)*30*4</f>
        <v>-2535.0235391705069</v>
      </c>
      <c r="AH42" s="31">
        <f>AE42-148</f>
        <v>-92.045353302611375</v>
      </c>
    </row>
    <row r="43" spans="2:34" x14ac:dyDescent="0.25">
      <c r="B43" s="2" t="s">
        <v>2</v>
      </c>
      <c r="C43" s="2"/>
      <c r="D43" s="2"/>
      <c r="E43" s="2"/>
      <c r="F43" s="2"/>
      <c r="G43" s="2"/>
      <c r="H43" s="2"/>
      <c r="I43" s="2"/>
      <c r="J43" s="2"/>
      <c r="K43" s="2"/>
      <c r="L43" s="2"/>
      <c r="O43" s="502"/>
      <c r="P43" s="499"/>
      <c r="Q43" s="6" t="s">
        <v>88</v>
      </c>
      <c r="R43" s="46">
        <v>0</v>
      </c>
      <c r="S43" s="46">
        <v>13.6</v>
      </c>
      <c r="T43" s="46">
        <v>135.1494408605484</v>
      </c>
      <c r="U43" s="46">
        <v>343.64733333217271</v>
      </c>
      <c r="V43" s="46">
        <v>148.09725806451613</v>
      </c>
      <c r="W43" s="46">
        <v>0</v>
      </c>
      <c r="X43" s="46">
        <v>4.0733333333333341</v>
      </c>
      <c r="Y43" s="46">
        <v>6.9193548387096779</v>
      </c>
      <c r="Z43" s="46">
        <v>199.59333333333333</v>
      </c>
      <c r="AA43" s="46">
        <v>280.56451612903226</v>
      </c>
      <c r="AB43" s="46">
        <v>44.496666666666663</v>
      </c>
      <c r="AC43" s="46">
        <v>0</v>
      </c>
      <c r="AD43" s="42">
        <f>(R43*(31/90))+(S43*(28/90))+(T43*(31/90))</f>
        <v>50.7825851853</v>
      </c>
      <c r="AE43" s="29">
        <f>AVERAGE(W43:AC43)</f>
        <v>76.521029185867889</v>
      </c>
      <c r="AH43" s="31"/>
    </row>
    <row r="44" spans="2:34" x14ac:dyDescent="0.25">
      <c r="B44" s="4">
        <v>1</v>
      </c>
      <c r="C44" s="51"/>
      <c r="D44" s="51"/>
      <c r="E44" s="51"/>
      <c r="F44" s="51">
        <v>32.299999999999997</v>
      </c>
      <c r="G44" s="51"/>
      <c r="H44" s="51"/>
      <c r="I44" s="51"/>
      <c r="J44" s="51"/>
      <c r="K44" s="51"/>
      <c r="L44" s="51">
        <v>32.299999999999997</v>
      </c>
      <c r="O44" s="502"/>
      <c r="P44" s="499"/>
      <c r="Q44" s="6" t="s">
        <v>89</v>
      </c>
      <c r="R44" s="47" t="str">
        <f>IFERROR((R42-R43)/R43,"")</f>
        <v/>
      </c>
      <c r="S44" s="47">
        <f t="shared" ref="S44:AC44" si="5">IFERROR((S42-S43)/S43,"")</f>
        <v>1.9666491596638658</v>
      </c>
      <c r="T44" s="47">
        <f t="shared" si="5"/>
        <v>-0.33715549286982421</v>
      </c>
      <c r="U44" s="47">
        <f t="shared" si="5"/>
        <v>-0.7600834964519485</v>
      </c>
      <c r="V44" s="47">
        <f t="shared" si="5"/>
        <v>-0.91840039729776524</v>
      </c>
      <c r="W44" s="47" t="str">
        <f t="shared" si="5"/>
        <v/>
      </c>
      <c r="X44" s="47">
        <f t="shared" si="5"/>
        <v>6.3610157858613583</v>
      </c>
      <c r="Y44" s="47">
        <f t="shared" si="5"/>
        <v>6.6596736596736585</v>
      </c>
      <c r="Z44" s="47">
        <f t="shared" si="5"/>
        <v>-7.9077457496909663E-3</v>
      </c>
      <c r="AA44" s="47">
        <f t="shared" si="5"/>
        <v>-0.64387755102040822</v>
      </c>
      <c r="AB44" s="47">
        <f t="shared" si="5"/>
        <v>-0.75799685369690606</v>
      </c>
      <c r="AC44" s="47" t="str">
        <f t="shared" si="5"/>
        <v/>
      </c>
      <c r="AD44" s="43">
        <f>(AD42-AD43)/AD43</f>
        <v>-0.14520674848045007</v>
      </c>
      <c r="AE44" s="30">
        <f>(AE42-AE43)/AE43</f>
        <v>-0.26876771924386922</v>
      </c>
      <c r="AH44" s="31"/>
    </row>
    <row r="45" spans="2:34" x14ac:dyDescent="0.25">
      <c r="B45" s="6" t="s">
        <v>84</v>
      </c>
      <c r="C45" s="52"/>
      <c r="D45" s="52"/>
      <c r="E45" s="52"/>
      <c r="F45" s="52">
        <v>32.299999999999997</v>
      </c>
      <c r="G45" s="52"/>
      <c r="H45" s="52"/>
      <c r="I45" s="52"/>
      <c r="J45" s="52"/>
      <c r="K45" s="52"/>
      <c r="L45" s="52">
        <v>32.299999999999997</v>
      </c>
      <c r="O45" s="498"/>
      <c r="P45" s="499"/>
      <c r="Q45" s="6" t="s">
        <v>65</v>
      </c>
      <c r="R45" s="46">
        <v>100.925666666</v>
      </c>
      <c r="S45" s="46">
        <v>91.353666666000009</v>
      </c>
      <c r="T45" s="46">
        <v>131.694499998</v>
      </c>
      <c r="U45" s="46">
        <v>199.05599999999998</v>
      </c>
      <c r="V45" s="46">
        <v>55.635333332999991</v>
      </c>
      <c r="W45" s="46">
        <v>0</v>
      </c>
      <c r="X45" s="46">
        <v>12.474666666000001</v>
      </c>
      <c r="Y45" s="46">
        <v>0</v>
      </c>
      <c r="Z45" s="46">
        <v>224.61643333299997</v>
      </c>
      <c r="AA45" s="46">
        <v>270.88113333400003</v>
      </c>
      <c r="AB45" s="46">
        <v>31.586666666999996</v>
      </c>
      <c r="AC45" s="46">
        <v>0</v>
      </c>
      <c r="AD45" s="42">
        <f>(R45*(31/90))+(S45*(28/90))+(T45*(31/90))</f>
        <v>108.54586481368889</v>
      </c>
      <c r="AE45" s="29">
        <f>AVERAGE(W45:AC45)</f>
        <v>77.07984285714285</v>
      </c>
    </row>
    <row r="46" spans="2:34" x14ac:dyDescent="0.25">
      <c r="B46" s="4">
        <v>2</v>
      </c>
      <c r="C46" s="51"/>
      <c r="D46" s="51">
        <v>40.346428571428575</v>
      </c>
      <c r="E46" s="51">
        <v>89.583064516129042</v>
      </c>
      <c r="F46" s="51">
        <v>82.446666666666673</v>
      </c>
      <c r="G46" s="51">
        <v>12.08467741935484</v>
      </c>
      <c r="H46" s="51"/>
      <c r="I46" s="51">
        <v>53.958333333333336</v>
      </c>
      <c r="J46" s="51">
        <v>64.75</v>
      </c>
      <c r="K46" s="51"/>
      <c r="L46" s="51">
        <v>343.16917050691245</v>
      </c>
      <c r="O46" s="498"/>
      <c r="P46" s="499"/>
      <c r="Q46" s="6" t="s">
        <v>89</v>
      </c>
      <c r="R46" s="47">
        <f t="shared" ref="R46:AB46" si="6">(R42-R45)/R45</f>
        <v>-1</v>
      </c>
      <c r="S46" s="47">
        <f t="shared" si="6"/>
        <v>-0.55834910580064656</v>
      </c>
      <c r="T46" s="47">
        <f t="shared" si="6"/>
        <v>-0.3197660910858881</v>
      </c>
      <c r="U46" s="47">
        <f t="shared" si="6"/>
        <v>-0.58581169788066345</v>
      </c>
      <c r="V46" s="47">
        <f t="shared" si="6"/>
        <v>-0.78278772327967994</v>
      </c>
      <c r="W46" s="47"/>
      <c r="X46" s="47">
        <f t="shared" si="6"/>
        <v>1.4035809349089614</v>
      </c>
      <c r="Y46" s="47"/>
      <c r="Z46" s="47">
        <f t="shared" si="6"/>
        <v>-0.11843048586548702</v>
      </c>
      <c r="AA46" s="47">
        <f t="shared" si="6"/>
        <v>-0.63114698557670224</v>
      </c>
      <c r="AB46" s="47">
        <f t="shared" si="6"/>
        <v>-0.65908611228726155</v>
      </c>
      <c r="AC46" s="47"/>
      <c r="AD46" s="43">
        <f>(AD42-AD45)/AD45</f>
        <v>-0.60008968388046058</v>
      </c>
      <c r="AE46" s="30">
        <f>(AE42-AE45)/AE45</f>
        <v>-0.27406900918190691</v>
      </c>
    </row>
    <row r="47" spans="2:34" x14ac:dyDescent="0.25">
      <c r="B47" s="6" t="s">
        <v>81</v>
      </c>
      <c r="C47" s="52"/>
      <c r="D47" s="52"/>
      <c r="E47" s="52">
        <v>18.29032258064516</v>
      </c>
      <c r="F47" s="52">
        <v>40.5</v>
      </c>
      <c r="G47" s="52"/>
      <c r="H47" s="52"/>
      <c r="I47" s="52"/>
      <c r="J47" s="52"/>
      <c r="K47" s="52"/>
      <c r="L47" s="52">
        <v>58.79032258064516</v>
      </c>
      <c r="O47" s="498"/>
      <c r="P47" s="499"/>
      <c r="Q47" s="6" t="s">
        <v>44</v>
      </c>
      <c r="R47" s="46">
        <v>0</v>
      </c>
      <c r="S47" s="46">
        <v>9.83</v>
      </c>
      <c r="T47" s="46">
        <v>153.45400000000001</v>
      </c>
      <c r="U47" s="46">
        <v>122.55800000100001</v>
      </c>
      <c r="V47" s="46">
        <v>102.25186666600001</v>
      </c>
      <c r="W47" s="46">
        <v>96.649999999999991</v>
      </c>
      <c r="X47" s="46">
        <v>111.17683333299999</v>
      </c>
      <c r="Y47" s="46">
        <v>97.614333332000001</v>
      </c>
      <c r="Z47" s="46">
        <v>63.706666667</v>
      </c>
      <c r="AA47" s="46">
        <v>154.534533334</v>
      </c>
      <c r="AB47" s="46">
        <v>69.530333334000005</v>
      </c>
      <c r="AC47" s="46">
        <v>0.66</v>
      </c>
      <c r="AD47" s="42">
        <f>(R47*(31/90))+(S47*(28/90))+(T47*(31/90))</f>
        <v>55.9146</v>
      </c>
      <c r="AE47" s="29">
        <f>AVERAGE(W47:AC47)</f>
        <v>84.83895714285714</v>
      </c>
    </row>
    <row r="48" spans="2:34" ht="15.75" thickBot="1" x14ac:dyDescent="0.3">
      <c r="B48" s="6" t="s">
        <v>80</v>
      </c>
      <c r="C48" s="52"/>
      <c r="D48" s="52"/>
      <c r="E48" s="52">
        <v>0</v>
      </c>
      <c r="F48" s="52">
        <v>0</v>
      </c>
      <c r="G48" s="52">
        <v>0</v>
      </c>
      <c r="H48" s="52"/>
      <c r="I48" s="52"/>
      <c r="J48" s="52"/>
      <c r="K48" s="52"/>
      <c r="L48" s="52">
        <v>0</v>
      </c>
      <c r="O48" s="500"/>
      <c r="P48" s="501"/>
      <c r="Q48" s="6" t="s">
        <v>89</v>
      </c>
      <c r="R48" s="47"/>
      <c r="S48" s="47">
        <f t="shared" ref="S48:AD48" si="7">(S42-S47)/S47</f>
        <v>3.1044179625054502</v>
      </c>
      <c r="T48" s="47">
        <f t="shared" si="7"/>
        <v>-0.41622203060116364</v>
      </c>
      <c r="U48" s="47">
        <f t="shared" si="7"/>
        <v>-0.3272844965975788</v>
      </c>
      <c r="V48" s="47">
        <f t="shared" si="7"/>
        <v>-0.88181460335752337</v>
      </c>
      <c r="W48" s="47">
        <f t="shared" si="7"/>
        <v>-1</v>
      </c>
      <c r="X48" s="47">
        <f t="shared" si="7"/>
        <v>-0.73030468606770438</v>
      </c>
      <c r="Y48" s="47">
        <f t="shared" si="7"/>
        <v>-0.45704695006480672</v>
      </c>
      <c r="Z48" s="47">
        <f t="shared" si="7"/>
        <v>2.1082304311264743</v>
      </c>
      <c r="AA48" s="47">
        <f t="shared" si="7"/>
        <v>-0.35344339918705908</v>
      </c>
      <c r="AB48" s="47">
        <f t="shared" si="7"/>
        <v>-0.84512754625228204</v>
      </c>
      <c r="AC48" s="47">
        <f t="shared" si="7"/>
        <v>-1</v>
      </c>
      <c r="AD48" s="44">
        <f t="shared" si="7"/>
        <v>-0.22366231518939395</v>
      </c>
      <c r="AE48" s="30">
        <f>(AE42-AE47)/AE47</f>
        <v>-0.3404604608332385</v>
      </c>
    </row>
    <row r="49" spans="2:31" x14ac:dyDescent="0.25">
      <c r="B49" s="6" t="s">
        <v>83</v>
      </c>
      <c r="C49" s="52"/>
      <c r="D49" s="52"/>
      <c r="E49" s="52">
        <v>25.512096774193548</v>
      </c>
      <c r="F49" s="52">
        <v>41.625</v>
      </c>
      <c r="G49" s="52">
        <v>12.08467741935484</v>
      </c>
      <c r="H49" s="52"/>
      <c r="I49" s="52"/>
      <c r="J49" s="52"/>
      <c r="K49" s="52"/>
      <c r="L49" s="52">
        <v>79.221774193548384</v>
      </c>
      <c r="O49" s="15"/>
      <c r="P49" s="15"/>
      <c r="Q49" s="8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13"/>
    </row>
    <row r="50" spans="2:31" x14ac:dyDescent="0.25">
      <c r="B50" s="6" t="s">
        <v>86</v>
      </c>
      <c r="C50" s="52"/>
      <c r="D50" s="52">
        <v>40.346428571428575</v>
      </c>
      <c r="E50" s="52">
        <v>36.441935483870971</v>
      </c>
      <c r="F50" s="52"/>
      <c r="G50" s="52"/>
      <c r="H50" s="52"/>
      <c r="I50" s="52"/>
      <c r="J50" s="52"/>
      <c r="K50" s="52"/>
      <c r="L50" s="52">
        <v>76.788364055299553</v>
      </c>
      <c r="O50" s="15"/>
      <c r="P50" s="15"/>
      <c r="Q50" s="16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10">
        <f>AVERAGE(W51:AC51)</f>
        <v>34.80820296980594</v>
      </c>
    </row>
    <row r="51" spans="2:31" x14ac:dyDescent="0.25">
      <c r="B51" s="6" t="s">
        <v>77</v>
      </c>
      <c r="C51" s="52"/>
      <c r="D51" s="52"/>
      <c r="E51" s="52">
        <v>9.3387096774193559</v>
      </c>
      <c r="F51" s="52">
        <v>0.32166666666666666</v>
      </c>
      <c r="G51" s="52"/>
      <c r="H51" s="52"/>
      <c r="I51" s="52"/>
      <c r="J51" s="52"/>
      <c r="K51" s="52"/>
      <c r="L51" s="52">
        <v>9.6603763440860231</v>
      </c>
      <c r="O51" s="15"/>
      <c r="P51" s="15"/>
      <c r="Q51" s="6" t="s">
        <v>73</v>
      </c>
      <c r="R51" s="17"/>
      <c r="S51" s="17"/>
      <c r="T51" s="17"/>
      <c r="U51" s="17"/>
      <c r="V51" s="17"/>
      <c r="W51" s="48">
        <f>AVERAGE(W52:W54)</f>
        <v>-3.4104444443333315</v>
      </c>
      <c r="X51" s="48">
        <v>55</v>
      </c>
      <c r="Y51" s="48">
        <f>AVERAGE(Y52:Y54)</f>
        <v>48.911326165096774</v>
      </c>
      <c r="Z51" s="48">
        <f>AVERAGE(Z52:Z54)</f>
        <v>18.279999999888901</v>
      </c>
      <c r="AA51" s="48">
        <f>AVERAGE(AA52:AA54)</f>
        <v>28.876539067989238</v>
      </c>
      <c r="AB51" s="48">
        <v>66</v>
      </c>
      <c r="AC51" s="48">
        <v>30</v>
      </c>
      <c r="AD51" s="17"/>
      <c r="AE51" s="10">
        <f>AVERAGE(W52:AC52)</f>
        <v>44.393256528417815</v>
      </c>
    </row>
    <row r="52" spans="2:31" x14ac:dyDescent="0.25">
      <c r="B52" s="6" t="s">
        <v>79</v>
      </c>
      <c r="C52" s="52"/>
      <c r="D52" s="52"/>
      <c r="E52" s="52"/>
      <c r="F52" s="52"/>
      <c r="G52" s="52"/>
      <c r="H52" s="52"/>
      <c r="I52" s="52">
        <v>53.958333333333336</v>
      </c>
      <c r="J52" s="52">
        <v>64.75</v>
      </c>
      <c r="K52" s="52"/>
      <c r="L52" s="52">
        <v>118.70833333333334</v>
      </c>
      <c r="O52" s="15"/>
      <c r="P52" s="15"/>
      <c r="Q52" s="6" t="s">
        <v>60</v>
      </c>
      <c r="R52" s="17"/>
      <c r="S52" s="17"/>
      <c r="T52" s="17"/>
      <c r="U52" s="17"/>
      <c r="V52" s="17"/>
      <c r="W52" s="11">
        <f>W36-W43</f>
        <v>0</v>
      </c>
      <c r="X52" s="11">
        <f t="shared" ref="X52:AD52" si="8">X36-X43</f>
        <v>127.52666666666666</v>
      </c>
      <c r="Y52" s="11">
        <f t="shared" si="8"/>
        <v>90.08064516129032</v>
      </c>
      <c r="Z52" s="11">
        <f t="shared" si="8"/>
        <v>3.4066666666666663</v>
      </c>
      <c r="AA52" s="11">
        <f t="shared" si="8"/>
        <v>0.23548387096775514</v>
      </c>
      <c r="AB52" s="11">
        <f t="shared" si="8"/>
        <v>87.50333333333333</v>
      </c>
      <c r="AC52" s="11">
        <f>AC36-AC43</f>
        <v>2</v>
      </c>
      <c r="AD52" s="11">
        <f t="shared" si="8"/>
        <v>-50.7825851853</v>
      </c>
      <c r="AE52" s="10">
        <f>AVERAGE(W53:AC53)</f>
        <v>48.763014285714284</v>
      </c>
    </row>
    <row r="53" spans="2:31" x14ac:dyDescent="0.25">
      <c r="O53" s="15"/>
      <c r="P53" s="15"/>
      <c r="Q53" s="6" t="s">
        <v>52</v>
      </c>
      <c r="R53" s="11">
        <f t="shared" ref="R53:AC53" si="9">R38-R45</f>
        <v>-100.925666666</v>
      </c>
      <c r="S53" s="11">
        <f t="shared" si="9"/>
        <v>-91.353666666000009</v>
      </c>
      <c r="T53" s="11">
        <f t="shared" si="9"/>
        <v>-131.694499998</v>
      </c>
      <c r="U53" s="11">
        <f t="shared" si="9"/>
        <v>-199.05599999999998</v>
      </c>
      <c r="V53" s="11">
        <f t="shared" si="9"/>
        <v>-55.635333332999991</v>
      </c>
      <c r="W53" s="11">
        <f t="shared" si="9"/>
        <v>0</v>
      </c>
      <c r="X53" s="11">
        <f t="shared" si="9"/>
        <v>24.025333333999999</v>
      </c>
      <c r="Y53" s="11">
        <f t="shared" si="9"/>
        <v>131.6</v>
      </c>
      <c r="Z53" s="11">
        <f t="shared" si="9"/>
        <v>-127.61643333299997</v>
      </c>
      <c r="AA53" s="11">
        <f t="shared" si="9"/>
        <v>-67.881133334000026</v>
      </c>
      <c r="AB53" s="11">
        <f t="shared" si="9"/>
        <v>249.21333333300001</v>
      </c>
      <c r="AC53" s="11">
        <f t="shared" si="9"/>
        <v>132</v>
      </c>
      <c r="AD53" s="11">
        <f>AVERAGE(R53:AC53)</f>
        <v>-19.777005555249975</v>
      </c>
      <c r="AE53" s="10">
        <f>AVERAGE(W54:AC54)</f>
        <v>32.479123809714288</v>
      </c>
    </row>
    <row r="54" spans="2:31" x14ac:dyDescent="0.25">
      <c r="Q54" s="6" t="s">
        <v>53</v>
      </c>
      <c r="R54" s="11">
        <f t="shared" ref="R54:AC54" si="10">R40-R47</f>
        <v>290.55306666500002</v>
      </c>
      <c r="S54" s="11">
        <f t="shared" si="10"/>
        <v>224.56699999899999</v>
      </c>
      <c r="T54" s="11">
        <f t="shared" si="10"/>
        <v>129.51483333100003</v>
      </c>
      <c r="U54" s="11">
        <f t="shared" si="10"/>
        <v>243.44199999899999</v>
      </c>
      <c r="V54" s="11">
        <f t="shared" si="10"/>
        <v>104.92346666799997</v>
      </c>
      <c r="W54" s="11">
        <f t="shared" si="10"/>
        <v>-10.231333332999995</v>
      </c>
      <c r="X54" s="11">
        <f t="shared" si="10"/>
        <v>-37.082833332999982</v>
      </c>
      <c r="Y54" s="11">
        <f t="shared" si="10"/>
        <v>-74.946666665999999</v>
      </c>
      <c r="Z54" s="11">
        <f t="shared" si="10"/>
        <v>179.04976666600001</v>
      </c>
      <c r="AA54" s="11">
        <f t="shared" si="10"/>
        <v>154.27526666699998</v>
      </c>
      <c r="AB54" s="11">
        <f t="shared" si="10"/>
        <v>1.9496666670000025</v>
      </c>
      <c r="AC54" s="11">
        <f t="shared" si="10"/>
        <v>14.34</v>
      </c>
      <c r="AD54" s="11">
        <f>AVERAGE(R54:AC54)</f>
        <v>101.69618611083335</v>
      </c>
    </row>
    <row r="57" spans="2:31" x14ac:dyDescent="0.25">
      <c r="X57" s="10">
        <f t="shared" ref="X57:AC57" si="11">W35-X35</f>
        <v>-88.394315412075272</v>
      </c>
      <c r="Y57" s="10">
        <f t="shared" si="11"/>
        <v>-16.927455197354831</v>
      </c>
      <c r="Z57" s="10">
        <f t="shared" si="11"/>
        <v>-114.38367383479215</v>
      </c>
      <c r="AA57" s="10">
        <f t="shared" si="11"/>
        <v>87.503138351254535</v>
      </c>
      <c r="AB57" s="10">
        <f t="shared" si="11"/>
        <v>52.02352831530105</v>
      </c>
      <c r="AC57" s="10">
        <f t="shared" si="11"/>
        <v>46.768333333333331</v>
      </c>
    </row>
    <row r="58" spans="2:31" x14ac:dyDescent="0.25">
      <c r="W58" s="23"/>
    </row>
    <row r="59" spans="2:31" x14ac:dyDescent="0.25">
      <c r="Z59" s="10">
        <f>Z36-Z35</f>
        <v>-13.294999999888915</v>
      </c>
      <c r="AA59" s="10">
        <f>AA36-AA35</f>
        <v>152.00813835136563</v>
      </c>
      <c r="AB59" s="10">
        <f>AB36-AB35</f>
        <v>55.231666666666669</v>
      </c>
      <c r="AC59" s="10">
        <f>AC36-AC35</f>
        <v>-28</v>
      </c>
      <c r="AD59" s="10">
        <f>AD36-AD35</f>
        <v>0</v>
      </c>
    </row>
    <row r="60" spans="2:31" x14ac:dyDescent="0.25">
      <c r="Z60" s="10">
        <f>Z38-Z35</f>
        <v>-119.29499999988892</v>
      </c>
      <c r="AA60" s="10">
        <f>AA38-AA35</f>
        <v>74.208138351365619</v>
      </c>
      <c r="AB60" s="10">
        <f>AB38-AB35</f>
        <v>204.03166666666669</v>
      </c>
      <c r="AC60" s="10">
        <f>AC38-AC35</f>
        <v>102</v>
      </c>
      <c r="AD60" s="10">
        <f>AD38-AD35</f>
        <v>2</v>
      </c>
    </row>
    <row r="61" spans="2:31" x14ac:dyDescent="0.25">
      <c r="Y61" s="10"/>
      <c r="Z61" s="10"/>
      <c r="AA61" s="10"/>
      <c r="AB61" s="10"/>
      <c r="AC61" s="10"/>
    </row>
  </sheetData>
  <mergeCells count="3">
    <mergeCell ref="Q2:AD2"/>
    <mergeCell ref="O35:P41"/>
    <mergeCell ref="O42:P48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90F62-2398-4953-BDED-EB54B6CE06E5}">
  <sheetPr codeName="Sheet1">
    <tabColor rgb="FF00B0F0"/>
  </sheetPr>
  <dimension ref="A2:M7"/>
  <sheetViews>
    <sheetView workbookViewId="0">
      <selection activeCell="I12" sqref="I12"/>
    </sheetView>
  </sheetViews>
  <sheetFormatPr defaultRowHeight="15" x14ac:dyDescent="0.25"/>
  <cols>
    <col min="1" max="1" width="26.28515625" bestFit="1" customWidth="1"/>
    <col min="11" max="13" width="12.85546875" customWidth="1"/>
  </cols>
  <sheetData>
    <row r="2" spans="1:13" x14ac:dyDescent="0.25">
      <c r="B2" s="481">
        <v>46023</v>
      </c>
      <c r="C2" s="481">
        <v>46054</v>
      </c>
      <c r="D2" s="481">
        <v>46082</v>
      </c>
      <c r="E2" s="481">
        <v>46113</v>
      </c>
      <c r="F2" s="481">
        <v>46143</v>
      </c>
      <c r="G2" s="481">
        <v>46174</v>
      </c>
      <c r="H2" s="481">
        <v>46204</v>
      </c>
      <c r="I2" s="481">
        <v>46235</v>
      </c>
      <c r="J2" s="481">
        <v>46266</v>
      </c>
      <c r="K2" s="481">
        <v>46296</v>
      </c>
      <c r="L2" s="481">
        <v>46327</v>
      </c>
      <c r="M2" s="481">
        <v>46357</v>
      </c>
    </row>
    <row r="3" spans="1:13" x14ac:dyDescent="0.25">
      <c r="A3" s="6" t="s">
        <v>1458</v>
      </c>
      <c r="B3">
        <f>IFERROR(VLOOKUP(B2,'[1]PADD 1 Query'!$G:$M,7,FALSE),"")</f>
        <v>8.8529999999999998</v>
      </c>
      <c r="C3">
        <f>IFERROR(VLOOKUP(C2,'[1]PADD 1 Query'!$G:$M,7,FALSE),"")</f>
        <v>2.1174999999999997</v>
      </c>
      <c r="D3">
        <f>IFERROR(VLOOKUP(D2,'[1]PADD 1 Query'!$G:$M,7,FALSE),"")</f>
        <v>7.4292999999999996</v>
      </c>
      <c r="E3">
        <f>IFERROR(VLOOKUP(E2,'[1]PADD 1 Query'!$G:$M,7,FALSE),"")</f>
        <v>1.87</v>
      </c>
      <c r="F3">
        <f>IFERROR(VLOOKUP(F2,'[1]PADD 1 Query'!$G:$M,7,FALSE),"")</f>
        <v>5.3949999999999996</v>
      </c>
      <c r="G3">
        <f>IFERROR(VLOOKUP(G2,'[1]PADD 1 Query'!$G:$M,7,FALSE),"")</f>
        <v>37.725999999999999</v>
      </c>
      <c r="H3">
        <f>IFERROR(VLOOKUP(H2,'[1]PADD 1 Query'!$G:$M,7,FALSE),"")</f>
        <v>0.59839999999999993</v>
      </c>
      <c r="I3" t="str">
        <f>IFERROR(VLOOKUP(I2,'[1]PADD 1 Query'!$G:$M,7,FALSE),"")</f>
        <v/>
      </c>
      <c r="J3">
        <f>IFERROR(VLOOKUP(J2,'[1]PADD 1 Query'!$G:$M,7,FALSE),"")</f>
        <v>9.0474999999999994</v>
      </c>
      <c r="K3">
        <f>IFERROR(VLOOKUP(K2,'[1]PADD 1 Query'!$G:$M,7,FALSE),"")</f>
        <v>13.089999999999998</v>
      </c>
      <c r="L3">
        <f>IFERROR(VLOOKUP(L2,'[1]PADD 1 Query'!$G:$M,7,FALSE),0)</f>
        <v>0</v>
      </c>
      <c r="M3" t="str">
        <f>IFERROR(VLOOKUP(M2,'[1]PADD 1 Query'!$G:$M,7,FALSE),"")</f>
        <v/>
      </c>
    </row>
    <row r="4" spans="1:13" x14ac:dyDescent="0.25">
      <c r="A4" s="489">
        <v>46192</v>
      </c>
      <c r="B4">
        <v>8.8529999999999998</v>
      </c>
      <c r="C4">
        <v>2.1174999999999997</v>
      </c>
      <c r="D4">
        <v>7.4292999999999996</v>
      </c>
      <c r="E4">
        <v>1.87</v>
      </c>
      <c r="F4">
        <v>5.3949999999999996</v>
      </c>
      <c r="G4">
        <v>0.61709999999999998</v>
      </c>
      <c r="H4" t="s">
        <v>1368</v>
      </c>
      <c r="I4" t="s">
        <v>1368</v>
      </c>
      <c r="J4">
        <v>9.0474999999999994</v>
      </c>
      <c r="K4">
        <v>13.089999999999998</v>
      </c>
      <c r="L4">
        <v>0</v>
      </c>
      <c r="M4" t="s">
        <v>1368</v>
      </c>
    </row>
    <row r="5" spans="1:13" x14ac:dyDescent="0.25">
      <c r="A5" s="480" t="s">
        <v>1460</v>
      </c>
      <c r="B5">
        <v>0</v>
      </c>
      <c r="C5">
        <v>0</v>
      </c>
      <c r="E5">
        <v>0</v>
      </c>
      <c r="K5">
        <v>7.9749999999999996</v>
      </c>
      <c r="L5">
        <v>27.5</v>
      </c>
      <c r="M5" t="s">
        <v>1461</v>
      </c>
    </row>
    <row r="6" spans="1:13" x14ac:dyDescent="0.25">
      <c r="A6" s="6" t="s">
        <v>1468</v>
      </c>
      <c r="C6">
        <f>B3-C3</f>
        <v>6.7355</v>
      </c>
      <c r="D6">
        <f t="shared" ref="D6:L6" si="0">C3-D3</f>
        <v>-5.3117999999999999</v>
      </c>
      <c r="E6">
        <f t="shared" si="0"/>
        <v>5.5592999999999995</v>
      </c>
      <c r="F6">
        <f t="shared" si="0"/>
        <v>-3.5249999999999995</v>
      </c>
      <c r="G6">
        <f t="shared" si="0"/>
        <v>-32.331000000000003</v>
      </c>
      <c r="H6">
        <f t="shared" si="0"/>
        <v>37.127600000000001</v>
      </c>
      <c r="I6" t="e">
        <f t="shared" si="0"/>
        <v>#VALUE!</v>
      </c>
      <c r="J6" t="e">
        <f t="shared" si="0"/>
        <v>#VALUE!</v>
      </c>
      <c r="K6">
        <f t="shared" si="0"/>
        <v>-4.0424999999999986</v>
      </c>
      <c r="L6">
        <f t="shared" si="0"/>
        <v>13.089999999999998</v>
      </c>
    </row>
    <row r="7" spans="1:13" x14ac:dyDescent="0.25">
      <c r="A7" t="s">
        <v>1469</v>
      </c>
      <c r="B7">
        <f>B4-B3</f>
        <v>0</v>
      </c>
      <c r="C7">
        <f t="shared" ref="C7:M7" si="1">C4-C3</f>
        <v>0</v>
      </c>
      <c r="D7">
        <f>D4-D3</f>
        <v>0</v>
      </c>
      <c r="E7">
        <f>E4-E3</f>
        <v>0</v>
      </c>
      <c r="F7">
        <f t="shared" si="1"/>
        <v>0</v>
      </c>
      <c r="G7">
        <f t="shared" si="1"/>
        <v>-37.108899999999998</v>
      </c>
      <c r="H7" t="e">
        <f t="shared" si="1"/>
        <v>#VALUE!</v>
      </c>
      <c r="I7" t="e">
        <f t="shared" si="1"/>
        <v>#VALUE!</v>
      </c>
      <c r="J7">
        <f t="shared" si="1"/>
        <v>0</v>
      </c>
      <c r="K7">
        <f t="shared" si="1"/>
        <v>0</v>
      </c>
      <c r="L7">
        <f>L4-L3</f>
        <v>0</v>
      </c>
      <c r="M7" t="e">
        <f t="shared" si="1"/>
        <v>#VALUE!</v>
      </c>
    </row>
  </sheetData>
  <phoneticPr fontId="13" type="noConversion"/>
  <hyperlinks>
    <hyperlink ref="A5" r:id="rId1" xr:uid="{2CB943A5-B767-48CB-8568-B50ECFD1189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C7FCF-B1A1-4605-BC9A-8E2A1D80EA94}">
  <sheetPr codeName="Sheet10">
    <tabColor rgb="FF00B0F0"/>
  </sheetPr>
  <dimension ref="B1:AR127"/>
  <sheetViews>
    <sheetView topLeftCell="C1" zoomScale="80" zoomScaleNormal="80" workbookViewId="0">
      <pane ySplit="4" topLeftCell="A30" activePane="bottomLeft" state="frozen"/>
      <selection pane="bottomLeft" activeCell="S30" sqref="S30"/>
    </sheetView>
  </sheetViews>
  <sheetFormatPr defaultRowHeight="15" outlineLevelCol="1" x14ac:dyDescent="0.25"/>
  <cols>
    <col min="2" max="2" width="38.7109375" bestFit="1" customWidth="1"/>
    <col min="3" max="3" width="16.28515625" bestFit="1" customWidth="1"/>
    <col min="4" max="12" width="5.5703125" bestFit="1" customWidth="1"/>
    <col min="13" max="13" width="17.28515625" customWidth="1"/>
    <col min="14" max="14" width="9.28515625" customWidth="1"/>
    <col min="15" max="15" width="11.42578125" bestFit="1" customWidth="1"/>
    <col min="16" max="18" width="9.140625" customWidth="1"/>
    <col min="19" max="19" width="10.85546875" customWidth="1"/>
    <col min="20" max="20" width="9.140625" customWidth="1"/>
    <col min="21" max="22" width="9.140625" customWidth="1" outlineLevel="1"/>
    <col min="23" max="23" width="10.28515625" customWidth="1" outlineLevel="1"/>
    <col min="24" max="24" width="10.140625" customWidth="1" outlineLevel="1"/>
    <col min="25" max="25" width="11.140625" customWidth="1" outlineLevel="1"/>
    <col min="26" max="27" width="14.7109375" customWidth="1" outlineLevel="1"/>
    <col min="28" max="28" width="12.28515625" customWidth="1" outlineLevel="1"/>
    <col min="30" max="30" width="9.42578125" bestFit="1" customWidth="1"/>
    <col min="32" max="32" width="12.140625" bestFit="1" customWidth="1"/>
    <col min="33" max="33" width="9.28515625" bestFit="1" customWidth="1"/>
    <col min="34" max="35" width="12.140625" bestFit="1" customWidth="1"/>
    <col min="36" max="37" width="12" bestFit="1" customWidth="1"/>
  </cols>
  <sheetData>
    <row r="1" spans="2:38" ht="15.75" thickBot="1" x14ac:dyDescent="0.3"/>
    <row r="2" spans="2:38" ht="15.75" thickBot="1" x14ac:dyDescent="0.3">
      <c r="K2" s="15"/>
      <c r="L2" s="15"/>
      <c r="M2" s="493" t="s">
        <v>74</v>
      </c>
      <c r="N2" s="494"/>
      <c r="O2" s="494"/>
      <c r="P2" s="494"/>
      <c r="Q2" s="494"/>
      <c r="R2" s="494"/>
      <c r="S2" s="494"/>
      <c r="T2" s="494"/>
      <c r="U2" s="494"/>
      <c r="V2" s="494"/>
      <c r="W2" s="494"/>
      <c r="X2" s="494"/>
      <c r="Y2" s="494"/>
      <c r="Z2" s="495"/>
      <c r="AA2" s="471"/>
    </row>
    <row r="3" spans="2:38" ht="21" hidden="1" customHeight="1" x14ac:dyDescent="0.25">
      <c r="B3" s="1" t="s">
        <v>0</v>
      </c>
      <c r="C3" s="1" t="s">
        <v>1</v>
      </c>
      <c r="D3" s="1"/>
      <c r="E3" s="1"/>
      <c r="F3" s="1"/>
      <c r="G3" s="1"/>
      <c r="H3" s="1"/>
      <c r="I3" s="1"/>
      <c r="K3" s="15"/>
      <c r="L3" s="15"/>
      <c r="M3" s="1"/>
      <c r="N3" s="1" t="s">
        <v>1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5"/>
      <c r="AA3" s="15"/>
    </row>
    <row r="4" spans="2:38" x14ac:dyDescent="0.25">
      <c r="B4" s="2"/>
      <c r="C4" s="32"/>
      <c r="D4" s="32"/>
      <c r="E4" s="32"/>
      <c r="F4" s="32"/>
      <c r="G4" s="32"/>
      <c r="H4" s="32"/>
      <c r="I4" s="2"/>
      <c r="K4" s="15"/>
      <c r="L4" s="15"/>
      <c r="M4" s="2" t="s">
        <v>2</v>
      </c>
      <c r="N4" s="3" t="s">
        <v>3</v>
      </c>
      <c r="O4" s="3" t="s">
        <v>4</v>
      </c>
      <c r="P4" s="3" t="s">
        <v>5</v>
      </c>
      <c r="Q4" s="3" t="s">
        <v>6</v>
      </c>
      <c r="R4" s="3" t="s">
        <v>7</v>
      </c>
      <c r="S4" s="3" t="s">
        <v>8</v>
      </c>
      <c r="T4" s="3" t="s">
        <v>45</v>
      </c>
      <c r="U4" s="3" t="s">
        <v>46</v>
      </c>
      <c r="V4" s="3" t="s">
        <v>9</v>
      </c>
      <c r="W4" s="3" t="s">
        <v>10</v>
      </c>
      <c r="X4" s="3" t="s">
        <v>11</v>
      </c>
      <c r="Y4" s="3" t="s">
        <v>12</v>
      </c>
      <c r="Z4" s="37" t="s">
        <v>50</v>
      </c>
      <c r="AA4" s="13" t="s">
        <v>1426</v>
      </c>
      <c r="AB4" s="13" t="s">
        <v>72</v>
      </c>
    </row>
    <row r="5" spans="2:38" x14ac:dyDescent="0.25">
      <c r="B5" s="4"/>
      <c r="C5" s="33"/>
      <c r="D5" s="33"/>
      <c r="E5" s="33"/>
      <c r="F5" s="33"/>
      <c r="G5" s="33"/>
      <c r="H5" s="33"/>
      <c r="I5" s="33"/>
      <c r="M5" s="4"/>
      <c r="N5" s="33"/>
      <c r="O5" s="33"/>
      <c r="P5" s="33"/>
      <c r="Q5" s="5"/>
      <c r="R5" s="5"/>
      <c r="S5" s="5"/>
      <c r="T5" s="5"/>
      <c r="U5" s="5"/>
      <c r="V5" s="5"/>
      <c r="W5" s="5"/>
      <c r="X5" s="5"/>
      <c r="Y5" s="5"/>
      <c r="Z5" s="38"/>
    </row>
    <row r="6" spans="2:38" x14ac:dyDescent="0.25">
      <c r="B6" s="6"/>
      <c r="C6" s="10"/>
      <c r="D6" s="10"/>
      <c r="E6" s="10"/>
      <c r="F6" s="10"/>
      <c r="G6" s="10"/>
      <c r="H6" s="10"/>
      <c r="I6" s="10"/>
      <c r="M6" s="6"/>
      <c r="N6" s="10"/>
      <c r="O6" s="10"/>
      <c r="P6" s="10"/>
      <c r="Q6" s="5"/>
      <c r="R6" s="5"/>
      <c r="S6" s="5"/>
      <c r="T6" s="5"/>
      <c r="U6" s="5"/>
      <c r="V6" s="5"/>
      <c r="W6" s="5"/>
      <c r="X6" s="5"/>
      <c r="Y6" s="5"/>
      <c r="Z6" s="38"/>
    </row>
    <row r="7" spans="2:38" x14ac:dyDescent="0.25">
      <c r="B7" s="6"/>
      <c r="C7" s="10"/>
      <c r="D7" s="10"/>
      <c r="E7" s="10"/>
      <c r="F7" s="10"/>
      <c r="G7" s="10"/>
      <c r="H7" s="10"/>
      <c r="I7" s="10"/>
      <c r="M7" s="6"/>
      <c r="N7" s="10"/>
      <c r="O7" s="10"/>
      <c r="P7" s="10"/>
      <c r="Q7" s="5"/>
      <c r="R7" s="5"/>
      <c r="S7" s="5"/>
      <c r="T7" s="5"/>
      <c r="U7" s="5"/>
      <c r="V7" s="5"/>
      <c r="W7" s="5"/>
      <c r="X7" s="5"/>
      <c r="Y7" s="5"/>
      <c r="Z7" s="38"/>
    </row>
    <row r="8" spans="2:38" x14ac:dyDescent="0.25">
      <c r="B8" s="4"/>
      <c r="C8" s="33"/>
      <c r="D8" s="33"/>
      <c r="E8" s="33"/>
      <c r="F8" s="33"/>
      <c r="G8" s="33"/>
      <c r="H8" s="33"/>
      <c r="I8" s="33"/>
      <c r="M8" s="4"/>
      <c r="N8" s="33"/>
      <c r="O8" s="33"/>
      <c r="P8" s="33"/>
      <c r="Q8" s="5"/>
      <c r="R8" s="5"/>
      <c r="S8" s="5"/>
      <c r="T8" s="5"/>
      <c r="U8" s="5"/>
      <c r="V8" s="5"/>
      <c r="W8" s="5"/>
      <c r="X8" s="5"/>
      <c r="Y8" s="5"/>
      <c r="Z8" s="38"/>
    </row>
    <row r="9" spans="2:38" x14ac:dyDescent="0.25">
      <c r="B9" s="6"/>
      <c r="C9" s="10"/>
      <c r="D9" s="10"/>
      <c r="E9" s="10"/>
      <c r="F9" s="10"/>
      <c r="G9" s="10"/>
      <c r="H9" s="10"/>
      <c r="I9" s="10"/>
      <c r="M9" s="6"/>
      <c r="N9" s="10"/>
      <c r="O9" s="10"/>
      <c r="P9" s="10"/>
      <c r="Q9" s="5"/>
      <c r="R9" s="5"/>
      <c r="S9" s="5"/>
      <c r="T9" s="5"/>
      <c r="U9" s="5"/>
      <c r="V9" s="5"/>
      <c r="W9" s="5"/>
      <c r="X9" s="5"/>
      <c r="Y9" s="5"/>
      <c r="Z9" s="38"/>
    </row>
    <row r="10" spans="2:38" x14ac:dyDescent="0.25">
      <c r="B10" s="4"/>
      <c r="C10" s="33"/>
      <c r="D10" s="33"/>
      <c r="E10" s="33"/>
      <c r="F10" s="33"/>
      <c r="G10" s="33"/>
      <c r="H10" s="33"/>
      <c r="I10" s="33"/>
      <c r="M10" s="4"/>
      <c r="N10" s="33"/>
      <c r="O10" s="33"/>
      <c r="P10" s="33"/>
      <c r="Q10" s="5"/>
      <c r="R10" s="5"/>
      <c r="S10" s="5"/>
      <c r="T10" s="5"/>
      <c r="U10" s="5"/>
      <c r="V10" s="5"/>
      <c r="W10" s="5"/>
      <c r="X10" s="5"/>
      <c r="Y10" s="5"/>
      <c r="Z10" s="38"/>
    </row>
    <row r="11" spans="2:38" x14ac:dyDescent="0.25">
      <c r="B11" s="6"/>
      <c r="C11" s="10"/>
      <c r="D11" s="10"/>
      <c r="E11" s="10"/>
      <c r="F11" s="10"/>
      <c r="G11" s="10"/>
      <c r="H11" s="10"/>
      <c r="I11" s="10"/>
      <c r="M11" s="6"/>
      <c r="N11" s="10"/>
      <c r="O11" s="10"/>
      <c r="P11" s="10"/>
      <c r="Q11" s="5"/>
      <c r="R11" s="5"/>
      <c r="S11" s="5"/>
      <c r="T11" s="5"/>
      <c r="U11" s="5"/>
      <c r="V11" s="5"/>
      <c r="W11" s="5"/>
      <c r="X11" s="5"/>
      <c r="Y11" s="5"/>
      <c r="Z11" s="38"/>
    </row>
    <row r="12" spans="2:38" x14ac:dyDescent="0.25">
      <c r="B12" s="4"/>
      <c r="C12" s="33"/>
      <c r="D12" s="33"/>
      <c r="E12" s="33"/>
      <c r="F12" s="33"/>
      <c r="G12" s="33"/>
      <c r="H12" s="33"/>
      <c r="I12" s="33"/>
      <c r="M12" s="4"/>
      <c r="N12" s="33"/>
      <c r="O12" s="33"/>
      <c r="P12" s="33"/>
      <c r="Q12" s="5"/>
      <c r="R12" s="5"/>
      <c r="S12" s="5"/>
      <c r="T12" s="5"/>
      <c r="U12" s="5"/>
      <c r="V12" s="5"/>
      <c r="W12" s="5"/>
      <c r="X12" s="5"/>
      <c r="Y12" s="5"/>
      <c r="Z12" s="38"/>
    </row>
    <row r="13" spans="2:38" x14ac:dyDescent="0.25">
      <c r="B13" s="6"/>
      <c r="C13" s="10"/>
      <c r="D13" s="10"/>
      <c r="E13" s="10"/>
      <c r="F13" s="10"/>
      <c r="G13" s="10"/>
      <c r="H13" s="10"/>
      <c r="I13" s="10"/>
      <c r="M13" s="6"/>
      <c r="N13" s="10"/>
      <c r="O13" s="10"/>
      <c r="P13" s="10"/>
      <c r="Q13" s="5"/>
      <c r="R13" s="5"/>
      <c r="S13" s="5"/>
      <c r="T13" s="5"/>
      <c r="U13" s="5"/>
      <c r="V13" s="5"/>
      <c r="W13" s="5"/>
      <c r="X13" s="5"/>
      <c r="Y13" s="5"/>
      <c r="Z13" s="38"/>
    </row>
    <row r="14" spans="2:38" x14ac:dyDescent="0.25">
      <c r="B14" s="4"/>
      <c r="C14" s="33"/>
      <c r="D14" s="33"/>
      <c r="E14" s="33"/>
      <c r="F14" s="33"/>
      <c r="G14" s="33"/>
      <c r="H14" s="33"/>
      <c r="I14" s="33"/>
      <c r="M14" s="4"/>
      <c r="N14" s="33"/>
      <c r="O14" s="33"/>
      <c r="P14" s="33"/>
      <c r="Q14" s="5"/>
      <c r="R14" s="5"/>
      <c r="S14" s="5"/>
      <c r="T14" s="5"/>
      <c r="U14" s="5"/>
      <c r="V14" s="5"/>
      <c r="W14" s="5"/>
      <c r="X14" s="5"/>
      <c r="Y14" s="5"/>
      <c r="Z14" s="38"/>
    </row>
    <row r="15" spans="2:38" x14ac:dyDescent="0.25">
      <c r="B15" s="6"/>
      <c r="C15" s="10"/>
      <c r="D15" s="10"/>
      <c r="E15" s="10"/>
      <c r="F15" s="10"/>
      <c r="G15" s="10"/>
      <c r="H15" s="10"/>
      <c r="I15" s="10"/>
      <c r="M15" s="6"/>
      <c r="N15" s="10"/>
      <c r="O15" s="10"/>
      <c r="P15" s="10"/>
      <c r="Q15" s="5"/>
      <c r="R15" s="5"/>
      <c r="S15" s="5"/>
      <c r="T15" s="5"/>
      <c r="U15" s="5"/>
      <c r="V15" s="5"/>
      <c r="W15" s="5"/>
      <c r="X15" s="5"/>
      <c r="Y15" s="5"/>
      <c r="Z15" s="38"/>
      <c r="AF15" t="s">
        <v>1419</v>
      </c>
      <c r="AG15" t="s">
        <v>1420</v>
      </c>
      <c r="AH15" t="s">
        <v>1421</v>
      </c>
      <c r="AI15" t="s">
        <v>1422</v>
      </c>
      <c r="AJ15" t="s">
        <v>1423</v>
      </c>
      <c r="AK15" t="s">
        <v>1424</v>
      </c>
      <c r="AL15" t="s">
        <v>1427</v>
      </c>
    </row>
    <row r="16" spans="2:38" ht="15.75" x14ac:dyDescent="0.3">
      <c r="B16" s="6"/>
      <c r="C16" s="10"/>
      <c r="D16" s="10"/>
      <c r="E16" s="10"/>
      <c r="F16" s="10"/>
      <c r="G16" s="10"/>
      <c r="H16" s="10"/>
      <c r="I16" s="10"/>
      <c r="M16" s="6"/>
      <c r="N16" s="10"/>
      <c r="O16" s="10"/>
      <c r="P16" s="10"/>
      <c r="Q16" s="5"/>
      <c r="R16" s="5"/>
      <c r="S16" s="5"/>
      <c r="T16" s="5"/>
      <c r="U16" s="5"/>
      <c r="V16" s="5"/>
      <c r="W16" s="5"/>
      <c r="X16" s="5"/>
      <c r="Y16" s="5"/>
      <c r="Z16" s="38"/>
      <c r="AE16">
        <v>2025</v>
      </c>
      <c r="AF16" s="50">
        <v>-47.430483870967741</v>
      </c>
      <c r="AG16" s="50">
        <v>-99.612500000000011</v>
      </c>
      <c r="AH16" s="50">
        <v>-210.36193548387095</v>
      </c>
      <c r="AI16" s="50">
        <v>-371.07308333333339</v>
      </c>
      <c r="AJ16" s="50">
        <v>-244.7332258064516</v>
      </c>
      <c r="AK16" s="50">
        <v>-45.521333333333324</v>
      </c>
      <c r="AL16" s="84">
        <v>-38.177741935483873</v>
      </c>
    </row>
    <row r="17" spans="2:41" x14ac:dyDescent="0.25">
      <c r="B17" s="4"/>
      <c r="C17" s="33"/>
      <c r="D17" s="33"/>
      <c r="E17" s="33"/>
      <c r="F17" s="33"/>
      <c r="G17" s="33"/>
      <c r="H17" s="33"/>
      <c r="I17" s="33"/>
      <c r="M17" s="4"/>
      <c r="N17" s="33"/>
      <c r="O17" s="33"/>
      <c r="P17" s="33"/>
      <c r="Q17" s="5"/>
      <c r="R17" s="5"/>
      <c r="S17" s="5"/>
      <c r="T17" s="5"/>
      <c r="U17" s="5"/>
      <c r="V17" s="5"/>
      <c r="W17" s="5"/>
      <c r="X17" s="5"/>
      <c r="Y17" s="5"/>
      <c r="Z17" s="38"/>
      <c r="AF17" s="50">
        <f>-1*AF16</f>
        <v>47.430483870967741</v>
      </c>
      <c r="AG17" s="50">
        <f t="shared" ref="AG17:AL17" si="0">-1*AG16</f>
        <v>99.612500000000011</v>
      </c>
      <c r="AH17" s="50">
        <f t="shared" si="0"/>
        <v>210.36193548387095</v>
      </c>
      <c r="AI17" s="50">
        <f t="shared" si="0"/>
        <v>371.07308333333339</v>
      </c>
      <c r="AJ17" s="50">
        <f t="shared" si="0"/>
        <v>244.7332258064516</v>
      </c>
      <c r="AK17" s="50">
        <f t="shared" si="0"/>
        <v>45.521333333333324</v>
      </c>
      <c r="AL17" s="50">
        <f t="shared" si="0"/>
        <v>38.177741935483873</v>
      </c>
    </row>
    <row r="18" spans="2:41" x14ac:dyDescent="0.25">
      <c r="B18" s="6"/>
      <c r="C18" s="10"/>
      <c r="D18" s="10"/>
      <c r="E18" s="10"/>
      <c r="F18" s="10"/>
      <c r="G18" s="10"/>
      <c r="H18" s="10"/>
      <c r="I18" s="10"/>
      <c r="M18" s="6"/>
      <c r="N18" s="10"/>
      <c r="O18" s="10"/>
      <c r="P18" s="10"/>
      <c r="Q18" s="5"/>
      <c r="R18" s="5"/>
      <c r="S18" s="5"/>
      <c r="T18" s="5"/>
      <c r="U18" s="5"/>
      <c r="V18" s="5"/>
      <c r="W18" s="5"/>
      <c r="X18" s="5"/>
      <c r="Y18" s="5"/>
      <c r="Z18" s="38"/>
      <c r="AE18">
        <v>2024</v>
      </c>
      <c r="AF18" s="50">
        <v>-4.4838709677419342</v>
      </c>
      <c r="AG18" s="50">
        <v>-280.58189655172407</v>
      </c>
      <c r="AH18" s="50">
        <v>-110.81612903225806</v>
      </c>
      <c r="AI18" s="50">
        <v>-276.65499999999997</v>
      </c>
      <c r="AJ18" s="50">
        <v>-126.35806451612903</v>
      </c>
      <c r="AK18" s="50"/>
      <c r="AL18" s="50"/>
    </row>
    <row r="19" spans="2:41" x14ac:dyDescent="0.25">
      <c r="B19" s="6"/>
      <c r="C19" s="10"/>
      <c r="D19" s="10"/>
      <c r="E19" s="10"/>
      <c r="F19" s="10"/>
      <c r="G19" s="10"/>
      <c r="H19" s="10"/>
      <c r="I19" s="10"/>
      <c r="M19" s="6"/>
      <c r="N19" s="10"/>
      <c r="O19" s="10"/>
      <c r="P19" s="10"/>
      <c r="Q19" s="5"/>
      <c r="R19" s="5"/>
      <c r="S19" s="5"/>
      <c r="T19" s="5"/>
      <c r="U19" s="5"/>
      <c r="V19" s="5"/>
      <c r="W19" s="5"/>
      <c r="X19" s="5"/>
      <c r="Y19" s="5"/>
      <c r="Z19" s="38"/>
      <c r="AF19" s="50">
        <f>-1*AF18</f>
        <v>4.4838709677419342</v>
      </c>
      <c r="AG19" s="50">
        <f>-1*AG18</f>
        <v>280.58189655172407</v>
      </c>
      <c r="AH19" s="50">
        <f>-1*AH18</f>
        <v>110.81612903225806</v>
      </c>
      <c r="AI19" s="50">
        <f>-1*AI18</f>
        <v>276.65499999999997</v>
      </c>
      <c r="AJ19" s="50">
        <f>-1*AJ18</f>
        <v>126.35806451612903</v>
      </c>
      <c r="AK19" s="50"/>
      <c r="AL19" s="50"/>
    </row>
    <row r="20" spans="2:41" x14ac:dyDescent="0.25">
      <c r="B20" s="4"/>
      <c r="C20" s="33"/>
      <c r="D20" s="33"/>
      <c r="E20" s="33"/>
      <c r="F20" s="33"/>
      <c r="G20" s="33"/>
      <c r="H20" s="33"/>
      <c r="I20" s="33"/>
      <c r="M20" s="4"/>
      <c r="N20" s="33"/>
      <c r="O20" s="33"/>
      <c r="P20" s="33"/>
      <c r="Q20" s="5"/>
      <c r="R20" s="5"/>
      <c r="S20" s="5"/>
      <c r="T20" s="5"/>
      <c r="U20" s="5"/>
      <c r="V20" s="5"/>
      <c r="W20" s="5"/>
      <c r="X20" s="5"/>
      <c r="Y20" s="5"/>
      <c r="Z20" s="38"/>
    </row>
    <row r="21" spans="2:41" x14ac:dyDescent="0.25">
      <c r="B21" s="6"/>
      <c r="C21" s="10"/>
      <c r="D21" s="10"/>
      <c r="E21" s="10"/>
      <c r="F21" s="10"/>
      <c r="G21" s="10"/>
      <c r="H21" s="10"/>
      <c r="I21" s="10"/>
      <c r="M21" s="6"/>
      <c r="N21" s="10"/>
      <c r="O21" s="10"/>
      <c r="P21" s="10"/>
      <c r="Q21" s="5"/>
      <c r="R21" s="5"/>
      <c r="S21" s="5"/>
      <c r="T21" s="5"/>
      <c r="U21" s="5"/>
      <c r="V21" s="5"/>
      <c r="W21" s="5"/>
      <c r="X21" s="5"/>
      <c r="Y21" s="5"/>
      <c r="Z21" s="38"/>
    </row>
    <row r="22" spans="2:41" x14ac:dyDescent="0.25">
      <c r="B22" s="4"/>
      <c r="C22" s="33"/>
      <c r="D22" s="33"/>
      <c r="E22" s="33"/>
      <c r="F22" s="33"/>
      <c r="G22" s="33"/>
      <c r="H22" s="33"/>
      <c r="I22" s="33"/>
      <c r="M22" s="4"/>
      <c r="N22" s="33"/>
      <c r="O22" s="33"/>
      <c r="P22" s="33"/>
      <c r="Q22" s="5"/>
      <c r="R22" s="5"/>
      <c r="S22" s="5"/>
      <c r="T22" s="5"/>
      <c r="U22" s="5"/>
      <c r="V22" s="5"/>
      <c r="W22" s="5"/>
      <c r="X22" s="5"/>
      <c r="Y22" s="5"/>
      <c r="Z22" s="38"/>
    </row>
    <row r="23" spans="2:41" x14ac:dyDescent="0.25">
      <c r="B23" s="6"/>
      <c r="C23" s="10"/>
      <c r="D23" s="10"/>
      <c r="E23" s="10"/>
      <c r="F23" s="10"/>
      <c r="G23" s="10"/>
      <c r="H23" s="10"/>
      <c r="I23" s="10"/>
      <c r="M23" s="6"/>
      <c r="N23" s="10"/>
      <c r="O23" s="10"/>
      <c r="P23" s="10"/>
      <c r="Q23" s="5"/>
      <c r="R23" s="5"/>
      <c r="S23" s="5"/>
      <c r="T23" s="5"/>
      <c r="U23" s="5"/>
      <c r="V23" s="5"/>
      <c r="W23" s="5"/>
      <c r="X23" s="5"/>
      <c r="Y23" s="5"/>
      <c r="Z23" s="38"/>
    </row>
    <row r="24" spans="2:41" x14ac:dyDescent="0.25">
      <c r="B24" s="6"/>
      <c r="C24" s="10"/>
      <c r="D24" s="10"/>
      <c r="E24" s="10"/>
      <c r="F24" s="10"/>
      <c r="G24" s="10"/>
      <c r="H24" s="10"/>
      <c r="I24" s="10"/>
      <c r="M24" s="6"/>
      <c r="N24" s="10"/>
      <c r="O24" s="10"/>
      <c r="P24" s="10"/>
      <c r="Q24" s="5"/>
      <c r="R24" s="5"/>
      <c r="S24" s="5"/>
      <c r="T24" s="5"/>
      <c r="U24" s="5"/>
      <c r="V24" s="5"/>
      <c r="W24" s="5"/>
      <c r="X24" s="5"/>
      <c r="Y24" s="5"/>
      <c r="Z24" s="38"/>
    </row>
    <row r="25" spans="2:41" x14ac:dyDescent="0.25">
      <c r="B25" s="4"/>
      <c r="C25" s="33"/>
      <c r="D25" s="33"/>
      <c r="E25" s="33"/>
      <c r="F25" s="33"/>
      <c r="G25" s="33"/>
      <c r="H25" s="33"/>
      <c r="I25" s="33"/>
      <c r="M25" s="4"/>
      <c r="N25" s="481">
        <v>46388</v>
      </c>
      <c r="O25" s="481">
        <v>46419</v>
      </c>
      <c r="P25" s="481">
        <v>46447</v>
      </c>
      <c r="Q25" s="481">
        <v>46478</v>
      </c>
      <c r="R25" s="481">
        <v>46508</v>
      </c>
      <c r="S25" s="481">
        <v>46539</v>
      </c>
      <c r="T25" s="481">
        <v>46569</v>
      </c>
      <c r="U25" s="481">
        <v>46600</v>
      </c>
      <c r="V25" s="481">
        <v>46631</v>
      </c>
      <c r="W25" s="481">
        <v>46661</v>
      </c>
      <c r="X25" s="481">
        <v>46692</v>
      </c>
      <c r="Y25" s="481">
        <v>46722</v>
      </c>
    </row>
    <row r="26" spans="2:41" x14ac:dyDescent="0.25">
      <c r="B26" s="6"/>
      <c r="C26" s="10"/>
      <c r="D26" s="10"/>
      <c r="E26" s="10"/>
      <c r="F26" s="10"/>
      <c r="G26" s="10"/>
      <c r="H26" s="10"/>
      <c r="I26" s="10"/>
      <c r="M26" s="6" t="s">
        <v>1473</v>
      </c>
      <c r="N26" s="10">
        <f>IFERROR(VLOOKUP(N25,'[1]PADD 2 Planned'!$G:$M,7,FALSE),0)</f>
        <v>0</v>
      </c>
      <c r="O26" s="10">
        <f>IFERROR(VLOOKUP(O25,'[1]PADD 2 Planned'!$G:$M,7,FALSE),0)</f>
        <v>41.275999999999996</v>
      </c>
      <c r="P26" s="10">
        <f>IFERROR(VLOOKUP(P25,'[1]PADD 2 Planned'!$G:$M,7,FALSE),0)</f>
        <v>88.625499999999988</v>
      </c>
      <c r="Q26" s="10">
        <f>IFERROR(VLOOKUP(Q25,'[1]PADD 2 Planned'!$G:$M,7,FALSE),0)</f>
        <v>160.57174999999998</v>
      </c>
      <c r="R26" s="10">
        <f>IFERROR(VLOOKUP(R25,'[1]PADD 2 Planned'!$G:$M,7,FALSE),0)</f>
        <v>106.83799999999999</v>
      </c>
      <c r="S26" s="10">
        <f>IFERROR(VLOOKUP(S25,'[1]PADD 2 Planned'!$G:$M,7,FALSE),0)</f>
        <v>0</v>
      </c>
      <c r="T26" s="10">
        <f>IFERROR(VLOOKUP(T25,'[1]PADD 2 Planned'!$G:$M,7,FALSE),0)</f>
        <v>0</v>
      </c>
      <c r="U26" s="10">
        <f>IFERROR(VLOOKUP(U25,'[1]PADD 2 Planned'!$G:$M,7,FALSE),0)</f>
        <v>0</v>
      </c>
      <c r="V26" s="10">
        <f>IFERROR(VLOOKUP(V25,'[1]PADD 2 Planned'!$G:$M,7,FALSE),0)</f>
        <v>288.98412499999995</v>
      </c>
      <c r="W26" s="10">
        <f>IFERROR(VLOOKUP(W25,'[1]PADD 2 Planned'!$G:$M,7,FALSE),0)</f>
        <v>183.07537499999998</v>
      </c>
      <c r="X26" s="10">
        <f>IFERROR(VLOOKUP(X25,'[1]PADD 2 Planned'!$G:$M,7,FALSE),0)</f>
        <v>1.53</v>
      </c>
      <c r="Y26" s="10">
        <f>IFERROR(VLOOKUP(Y25,'[1]PADD 2 Planned'!$G:$M,7,FALSE),0)</f>
        <v>0</v>
      </c>
      <c r="Z26" s="38"/>
    </row>
    <row r="27" spans="2:41" x14ac:dyDescent="0.25">
      <c r="B27" s="4"/>
      <c r="C27" s="33"/>
      <c r="D27" s="33"/>
      <c r="E27" s="33"/>
      <c r="F27" s="33"/>
      <c r="G27" s="33"/>
      <c r="H27" s="33"/>
      <c r="I27" s="33"/>
      <c r="M27" s="4"/>
      <c r="N27" s="33"/>
      <c r="O27" s="33"/>
      <c r="P27" s="33"/>
      <c r="Q27" s="5"/>
      <c r="R27" s="5"/>
      <c r="S27" s="5"/>
      <c r="T27" s="5"/>
      <c r="U27" s="5"/>
      <c r="V27" s="5"/>
      <c r="W27" s="5"/>
      <c r="X27" s="5"/>
      <c r="Y27" s="5"/>
      <c r="Z27" s="38"/>
    </row>
    <row r="28" spans="2:41" x14ac:dyDescent="0.25">
      <c r="B28" s="6"/>
      <c r="C28" s="10"/>
      <c r="D28" s="10"/>
      <c r="E28" s="10"/>
      <c r="F28" s="10"/>
      <c r="G28" s="10"/>
      <c r="H28" s="10"/>
      <c r="I28" s="10"/>
      <c r="M28" s="6"/>
      <c r="N28" s="481">
        <v>46023</v>
      </c>
      <c r="O28" s="481">
        <v>46054</v>
      </c>
      <c r="P28" s="481">
        <v>46082</v>
      </c>
      <c r="Q28" s="481">
        <v>46113</v>
      </c>
      <c r="R28" s="481">
        <v>46143</v>
      </c>
      <c r="S28" s="481">
        <v>46174</v>
      </c>
      <c r="T28" s="481">
        <v>46204</v>
      </c>
      <c r="U28" s="481">
        <v>46235</v>
      </c>
      <c r="V28" s="481">
        <v>46266</v>
      </c>
      <c r="W28" s="481">
        <v>46296</v>
      </c>
      <c r="X28" s="481">
        <v>46327</v>
      </c>
      <c r="Y28" s="481">
        <v>46357</v>
      </c>
      <c r="Z28" s="38"/>
    </row>
    <row r="29" spans="2:41" x14ac:dyDescent="0.25">
      <c r="B29" s="6"/>
      <c r="C29" s="10"/>
      <c r="D29" s="10"/>
      <c r="E29" s="10"/>
      <c r="F29" s="10"/>
      <c r="G29" s="10"/>
      <c r="H29" s="10"/>
      <c r="I29" s="10"/>
      <c r="M29" s="479" t="s">
        <v>1458</v>
      </c>
      <c r="N29" s="482">
        <f>IFERROR(VLOOKUP(N28,'[1]PADD 2 Query'!$G:$M,7,FALSE),0)</f>
        <v>29.842974999999999</v>
      </c>
      <c r="O29" s="482">
        <f>IFERROR(VLOOKUP(O28,'[1]PADD 2 Query'!$G:$M,7,FALSE),0)</f>
        <v>148.15512500000003</v>
      </c>
      <c r="P29" s="482">
        <f>IFERROR(VLOOKUP(P28,'[1]PADD 2 Query'!$G:$M,7,FALSE),0)</f>
        <v>205.01354999999995</v>
      </c>
      <c r="Q29" s="482">
        <f>IFERROR(VLOOKUP(Q28,'[1]PADD 2 Query'!$G:$M,7,FALSE),0)</f>
        <v>234.55924999999999</v>
      </c>
      <c r="R29" s="482">
        <f>IFERROR(VLOOKUP(R28,'[1]PADD 2 Query'!$G:$M,7,FALSE),0)</f>
        <v>213.58859999999999</v>
      </c>
      <c r="S29" s="482">
        <f>IFERROR(VLOOKUP(S28,'[1]PADD 2 Query'!$G:$M,7,FALSE),0)</f>
        <v>57.72025</v>
      </c>
      <c r="T29" s="482">
        <f>IFERROR(VLOOKUP(T28,'[1]PADD 2 Query'!$G:$M,7,FALSE),0)</f>
        <v>1.2249999999999999</v>
      </c>
      <c r="U29" s="482">
        <f>IFERROR(VLOOKUP(U28,'[1]PADD 2 Query'!$G:$M,7,FALSE),0)</f>
        <v>0</v>
      </c>
      <c r="V29" s="482">
        <f>IFERROR(VLOOKUP(V28,'[1]PADD 2 Query'!$G:$M,7,FALSE),0)</f>
        <v>140.39425</v>
      </c>
      <c r="W29" s="482">
        <f>IFERROR(VLOOKUP(W28,'[1]PADD 2 Query'!$G:$M,7,FALSE),0)</f>
        <v>176.55915000000002</v>
      </c>
      <c r="X29" s="482">
        <f>IFERROR(VLOOKUP(X28,'[1]PADD 2 Query'!$G:$M,7,FALSE),0)</f>
        <v>93.350000000000009</v>
      </c>
      <c r="Y29" s="482">
        <f>IFERROR(VLOOKUP(Y28,'[1]PADD 2 Query'!$G:$M,7,FALSE),0)</f>
        <v>0</v>
      </c>
      <c r="Z29" s="38"/>
      <c r="AG29" t="s">
        <v>95</v>
      </c>
      <c r="AK29" t="s">
        <v>98</v>
      </c>
      <c r="AL29" t="s">
        <v>1</v>
      </c>
    </row>
    <row r="30" spans="2:41" x14ac:dyDescent="0.25">
      <c r="B30" s="4"/>
      <c r="C30" s="33"/>
      <c r="D30" s="33"/>
      <c r="E30" s="33"/>
      <c r="F30" s="33"/>
      <c r="G30" s="33"/>
      <c r="H30" s="33"/>
      <c r="I30" s="33"/>
      <c r="M30" s="4"/>
      <c r="N30" s="33">
        <f t="shared" ref="N30:S30" si="1">N35-N29</f>
        <v>-0.44297500000000056</v>
      </c>
      <c r="O30" s="33">
        <f t="shared" si="1"/>
        <v>-1.7640000000000384</v>
      </c>
      <c r="P30" s="33">
        <f t="shared" si="1"/>
        <v>-3.8849999999999909</v>
      </c>
      <c r="Q30" s="33">
        <f t="shared" si="1"/>
        <v>-2.7157499999999857</v>
      </c>
      <c r="R30" s="33">
        <f t="shared" si="1"/>
        <v>0</v>
      </c>
      <c r="S30" s="33">
        <f t="shared" si="1"/>
        <v>-5.5973611109999979</v>
      </c>
      <c r="T30" s="33">
        <f t="shared" ref="T30:Y30" si="2">T42-T29</f>
        <v>-1.2249999999999999</v>
      </c>
      <c r="U30" s="33">
        <f>U42-U29</f>
        <v>0</v>
      </c>
      <c r="V30" s="33">
        <f t="shared" si="2"/>
        <v>5.1589999999999918</v>
      </c>
      <c r="W30" s="33">
        <f t="shared" si="2"/>
        <v>1.2090000000000032</v>
      </c>
      <c r="X30" s="33">
        <f t="shared" si="2"/>
        <v>-10.475000000000009</v>
      </c>
      <c r="Y30" s="33">
        <f t="shared" si="2"/>
        <v>0</v>
      </c>
      <c r="Z30" s="38"/>
      <c r="AH30" t="s">
        <v>100</v>
      </c>
      <c r="AI30" t="s">
        <v>101</v>
      </c>
      <c r="AJ30" t="s">
        <v>92</v>
      </c>
      <c r="AL30" t="s">
        <v>99</v>
      </c>
      <c r="AM30" t="s">
        <v>100</v>
      </c>
      <c r="AN30" t="s">
        <v>101</v>
      </c>
      <c r="AO30" t="s">
        <v>92</v>
      </c>
    </row>
    <row r="31" spans="2:41" x14ac:dyDescent="0.25">
      <c r="B31" s="6"/>
      <c r="C31" s="10"/>
      <c r="D31" s="10"/>
      <c r="E31" s="10"/>
      <c r="F31" s="10"/>
      <c r="G31" s="10"/>
      <c r="H31" s="10"/>
      <c r="I31" s="10"/>
      <c r="M31" s="6" t="s">
        <v>1464</v>
      </c>
      <c r="N31" s="10">
        <f>IFERROR(VLOOKUP(N28,'[1]PADD 2 Planned'!$G:$M,7,FALSE),0)</f>
        <v>0</v>
      </c>
      <c r="O31" s="10">
        <f>IFERROR(VLOOKUP(O28,'[1]PADD 2 Planned'!$G:$M,7,FALSE),0)</f>
        <v>32.673000000000002</v>
      </c>
      <c r="P31" s="10">
        <f>IFERROR(VLOOKUP(P28,'[1]PADD 2 Planned'!$G:$M,7,FALSE),0)</f>
        <v>182.54075000000003</v>
      </c>
      <c r="Q31" s="10">
        <f>IFERROR(VLOOKUP(Q28,'[1]PADD 2 Planned'!$G:$M,7,FALSE),0)</f>
        <v>178.00899999999999</v>
      </c>
      <c r="R31" s="10">
        <f>IFERROR(VLOOKUP(R28,'[1]PADD 2 Planned'!$G:$M,7,FALSE),0)</f>
        <v>74.820999999999998</v>
      </c>
      <c r="S31" s="10">
        <f>IFERROR(VLOOKUP(S28,'[1]PADD 2 Planned'!$G:$M,7,FALSE),0)</f>
        <v>0</v>
      </c>
      <c r="T31" s="10">
        <f>IFERROR(VLOOKUP(T28,'[1]PADD 2 Planned'!$G:$M,7,FALSE),0)</f>
        <v>0</v>
      </c>
      <c r="U31" s="10">
        <f>IFERROR(VLOOKUP(U28,'[1]PADD 2 Planned'!$G:$M,7,FALSE),0)</f>
        <v>0</v>
      </c>
      <c r="V31" s="10">
        <f>IFERROR(VLOOKUP(V28,'[1]PADD 2 Planned'!$G:$M,7,FALSE),0)</f>
        <v>140.39425</v>
      </c>
      <c r="W31" s="10">
        <f>IFERROR(VLOOKUP(W28,'[1]PADD 2 Planned'!$G:$M,7,FALSE),0)</f>
        <v>176.55915000000002</v>
      </c>
      <c r="X31" s="10">
        <f>IFERROR(VLOOKUP(X28,'[1]PADD 2 Planned'!$G:$M,7,FALSE),0)</f>
        <v>93.350000000000009</v>
      </c>
      <c r="Y31" s="10">
        <f>IFERROR(VLOOKUP(Y28,'[1]PADD 2 Planned'!$G:$M,7,FALSE),0)</f>
        <v>0</v>
      </c>
      <c r="Z31" s="38"/>
      <c r="AG31" t="s">
        <v>3</v>
      </c>
      <c r="AI31">
        <v>8.637096774193548</v>
      </c>
      <c r="AK31" t="s">
        <v>2</v>
      </c>
    </row>
    <row r="32" spans="2:41" ht="15.75" thickBot="1" x14ac:dyDescent="0.3">
      <c r="B32" s="8"/>
      <c r="C32" s="34"/>
      <c r="D32" s="34"/>
      <c r="E32" s="34"/>
      <c r="F32" s="34"/>
      <c r="G32" s="34"/>
      <c r="H32" s="34"/>
      <c r="I32" s="34"/>
      <c r="M32" s="6"/>
      <c r="N32" s="5">
        <f>N29-N31</f>
        <v>29.842974999999999</v>
      </c>
      <c r="O32" s="5">
        <f>O29-O31</f>
        <v>115.48212500000002</v>
      </c>
      <c r="P32" s="5">
        <f>P29-P31</f>
        <v>22.472799999999921</v>
      </c>
      <c r="Q32" s="5"/>
      <c r="R32" s="5"/>
      <c r="S32" s="5"/>
      <c r="T32" s="5"/>
      <c r="U32" s="5"/>
      <c r="V32" s="5"/>
      <c r="W32" s="5"/>
      <c r="X32" s="5"/>
      <c r="Y32" s="5">
        <f>Y35-X35</f>
        <v>-116.58000000044444</v>
      </c>
      <c r="Z32" s="38"/>
      <c r="AG32" t="s">
        <v>4</v>
      </c>
      <c r="AH32">
        <v>13.6</v>
      </c>
      <c r="AI32">
        <v>36.455357142857146</v>
      </c>
      <c r="AJ32">
        <v>146.72142857142856</v>
      </c>
      <c r="AK32" t="s">
        <v>3</v>
      </c>
      <c r="AL32">
        <v>187.67000000000004</v>
      </c>
      <c r="AM32">
        <v>90.000000000000043</v>
      </c>
      <c r="AN32">
        <v>29.506322580645161</v>
      </c>
      <c r="AO32">
        <v>0</v>
      </c>
    </row>
    <row r="33" spans="2:42" ht="15.75" thickBot="1" x14ac:dyDescent="0.3">
      <c r="M33" s="493" t="s">
        <v>1428</v>
      </c>
      <c r="N33" s="494"/>
      <c r="O33" s="494"/>
      <c r="P33" s="494"/>
      <c r="Q33" s="494"/>
      <c r="R33" s="494"/>
      <c r="S33" s="494"/>
      <c r="T33" s="494"/>
      <c r="U33" s="494"/>
      <c r="V33" s="494"/>
      <c r="W33" s="494"/>
      <c r="X33" s="494"/>
      <c r="Y33" s="494"/>
      <c r="Z33" s="495"/>
      <c r="AA33" s="471"/>
      <c r="AG33" t="s">
        <v>5</v>
      </c>
      <c r="AH33">
        <v>134.09944086054838</v>
      </c>
      <c r="AI33">
        <v>280.16212903225801</v>
      </c>
      <c r="AJ33">
        <v>155.92822580645159</v>
      </c>
      <c r="AK33" t="s">
        <v>4</v>
      </c>
      <c r="AL33">
        <v>194.47892857142853</v>
      </c>
      <c r="AM33" s="63">
        <v>103.36620689655169</v>
      </c>
      <c r="AN33">
        <v>64.85899999999998</v>
      </c>
      <c r="AO33">
        <v>137.81785714285718</v>
      </c>
      <c r="AP33">
        <f t="shared" ref="AP33:AP38" si="3">AO33-X30</f>
        <v>148.2928571428572</v>
      </c>
    </row>
    <row r="34" spans="2:42" ht="15.75" thickBot="1" x14ac:dyDescent="0.3">
      <c r="M34" s="17"/>
      <c r="N34" s="17" t="s">
        <v>3</v>
      </c>
      <c r="O34" s="17" t="s">
        <v>4</v>
      </c>
      <c r="P34" s="17" t="s">
        <v>5</v>
      </c>
      <c r="Q34" s="17" t="s">
        <v>6</v>
      </c>
      <c r="R34" s="17" t="s">
        <v>7</v>
      </c>
      <c r="S34" s="17" t="s">
        <v>8</v>
      </c>
      <c r="T34" s="17" t="s">
        <v>45</v>
      </c>
      <c r="U34" s="17" t="s">
        <v>46</v>
      </c>
      <c r="V34" s="17" t="s">
        <v>9</v>
      </c>
      <c r="W34" s="17" t="s">
        <v>10</v>
      </c>
      <c r="X34" s="17" t="s">
        <v>11</v>
      </c>
      <c r="Y34" s="17" t="s">
        <v>12</v>
      </c>
      <c r="Z34" s="38"/>
      <c r="AA34" s="13" t="s">
        <v>1426</v>
      </c>
      <c r="AG34" t="s">
        <v>6</v>
      </c>
      <c r="AH34">
        <v>343.47233333220458</v>
      </c>
      <c r="AI34">
        <v>383.54150000000004</v>
      </c>
      <c r="AJ34">
        <v>148.97166666666666</v>
      </c>
      <c r="AK34" t="s">
        <v>5</v>
      </c>
      <c r="AL34">
        <v>225.18338709677428</v>
      </c>
      <c r="AM34" s="63">
        <v>163.40016129032264</v>
      </c>
      <c r="AN34">
        <v>190.22870967741937</v>
      </c>
      <c r="AO34">
        <v>84.803225806451607</v>
      </c>
      <c r="AP34">
        <f t="shared" si="3"/>
        <v>-8.5467741935484014</v>
      </c>
    </row>
    <row r="35" spans="2:42" ht="15" customHeight="1" x14ac:dyDescent="0.25">
      <c r="K35" s="503" t="s">
        <v>1394</v>
      </c>
      <c r="L35" s="497"/>
      <c r="M35" s="16" t="s">
        <v>90</v>
      </c>
      <c r="N35" s="17">
        <v>29.4</v>
      </c>
      <c r="O35" s="17">
        <v>146.39112499999999</v>
      </c>
      <c r="P35" s="17">
        <v>201.12854999999996</v>
      </c>
      <c r="Q35" s="17">
        <v>231.84350000000001</v>
      </c>
      <c r="R35" s="17">
        <v>213.58859999999999</v>
      </c>
      <c r="S35" s="17">
        <f>S42+S54</f>
        <v>52.122888889000002</v>
      </c>
      <c r="T35" s="17">
        <f t="shared" ref="T35:X35" si="4">T42+T54</f>
        <v>52.999660215409314</v>
      </c>
      <c r="U35" s="17">
        <f>U42+U54</f>
        <v>54.230731182499404</v>
      </c>
      <c r="V35" s="17">
        <f t="shared" si="4"/>
        <v>166.90891666666667</v>
      </c>
      <c r="W35" s="17">
        <f>W42+W54</f>
        <v>233.32115394276346</v>
      </c>
      <c r="X35" s="17">
        <f t="shared" si="4"/>
        <v>132.48000000044445</v>
      </c>
      <c r="Y35" s="17">
        <f>Y42+Y54</f>
        <v>15.9</v>
      </c>
      <c r="Z35" s="17">
        <f t="shared" ref="Z35" si="5">Z42+Z50</f>
        <v>83.594841666666667</v>
      </c>
      <c r="AA35" s="17">
        <f t="shared" ref="AA35:AA41" si="6">AVERAGE(N35:S35)</f>
        <v>145.74577731483336</v>
      </c>
      <c r="AB35" s="9">
        <f>AVERAGE(N35:S35)</f>
        <v>145.74577731483336</v>
      </c>
      <c r="AD35" s="10">
        <f>AB35-AB36</f>
        <v>-23.916094100937272</v>
      </c>
      <c r="AG35" t="s">
        <v>7</v>
      </c>
      <c r="AH35">
        <v>148.09725806451615</v>
      </c>
      <c r="AI35">
        <v>110.88064516129032</v>
      </c>
      <c r="AJ35">
        <v>23.029838709677421</v>
      </c>
      <c r="AK35" t="s">
        <v>6</v>
      </c>
      <c r="AL35">
        <v>276.39600000000007</v>
      </c>
      <c r="AM35" s="63">
        <v>226.50133333333326</v>
      </c>
      <c r="AN35">
        <v>351.62783333333334</v>
      </c>
      <c r="AO35">
        <v>56.081666666666678</v>
      </c>
      <c r="AP35">
        <f t="shared" si="3"/>
        <v>56.081666666666678</v>
      </c>
    </row>
    <row r="36" spans="2:42" x14ac:dyDescent="0.25">
      <c r="K36" s="498"/>
      <c r="L36" s="499"/>
      <c r="M36" s="45" t="s">
        <v>88</v>
      </c>
      <c r="N36" s="469">
        <v>47.430483870967741</v>
      </c>
      <c r="O36" s="469">
        <v>99.612500000000011</v>
      </c>
      <c r="P36" s="469">
        <v>210.36193548387095</v>
      </c>
      <c r="Q36" s="469">
        <v>371.07308333333339</v>
      </c>
      <c r="R36" s="469">
        <v>244.7332258064516</v>
      </c>
      <c r="S36" s="470">
        <v>44.76</v>
      </c>
      <c r="T36" s="26">
        <v>59.686999999999998</v>
      </c>
      <c r="U36" s="26">
        <v>79.650000000000006</v>
      </c>
      <c r="V36" s="26">
        <v>159.2175</v>
      </c>
      <c r="W36" s="26">
        <v>313.09969999999998</v>
      </c>
      <c r="X36" s="26">
        <v>83.47</v>
      </c>
      <c r="Y36" s="26">
        <v>15.9</v>
      </c>
      <c r="Z36" s="39">
        <f t="shared" ref="Z36:Z41" si="7">AVERAGE(N36:Y36)</f>
        <v>144.08295237455198</v>
      </c>
      <c r="AA36" s="11">
        <f t="shared" si="6"/>
        <v>169.66187141577063</v>
      </c>
      <c r="AB36" s="10">
        <f>AVERAGE(N36:S36)</f>
        <v>169.66187141577063</v>
      </c>
      <c r="AD36" s="10"/>
      <c r="AG36" t="s">
        <v>8</v>
      </c>
      <c r="AI36">
        <v>45.25</v>
      </c>
      <c r="AK36" t="s">
        <v>7</v>
      </c>
      <c r="AL36">
        <v>137.33741935483874</v>
      </c>
      <c r="AM36" s="63">
        <v>113.01387096774192</v>
      </c>
      <c r="AN36">
        <v>161.14806451612904</v>
      </c>
      <c r="AO36">
        <v>11.453225806451613</v>
      </c>
      <c r="AP36">
        <f t="shared" si="3"/>
        <v>11.453225806451613</v>
      </c>
    </row>
    <row r="37" spans="2:42" x14ac:dyDescent="0.25">
      <c r="B37" t="s">
        <v>81</v>
      </c>
      <c r="K37" s="498"/>
      <c r="L37" s="499"/>
      <c r="M37" s="45" t="s">
        <v>89</v>
      </c>
      <c r="N37" s="14">
        <f t="shared" ref="N37:Y37" si="8">(N$35-N36)/N36</f>
        <v>-0.38014547606174065</v>
      </c>
      <c r="O37" s="14">
        <f t="shared" si="8"/>
        <v>0.46960597314594021</v>
      </c>
      <c r="P37" s="14">
        <f t="shared" si="8"/>
        <v>-4.3892852871088649E-2</v>
      </c>
      <c r="Q37" s="14">
        <f t="shared" si="8"/>
        <v>-0.37520798351268186</v>
      </c>
      <c r="R37" s="14">
        <f t="shared" si="8"/>
        <v>-0.12725949124326291</v>
      </c>
      <c r="S37" s="14">
        <f t="shared" si="8"/>
        <v>0.16449707079982137</v>
      </c>
      <c r="T37" s="14">
        <f t="shared" si="8"/>
        <v>-0.11204013913566914</v>
      </c>
      <c r="U37" s="14">
        <f t="shared" si="8"/>
        <v>-0.31913708496548149</v>
      </c>
      <c r="V37" s="14">
        <f t="shared" si="8"/>
        <v>4.8307608564803921E-2</v>
      </c>
      <c r="W37" s="14">
        <f t="shared" si="8"/>
        <v>-0.25480237144026818</v>
      </c>
      <c r="X37" s="14">
        <f t="shared" si="8"/>
        <v>0.58715706242295973</v>
      </c>
      <c r="Y37" s="14">
        <f t="shared" si="8"/>
        <v>0</v>
      </c>
      <c r="Z37" s="40">
        <f t="shared" si="7"/>
        <v>-2.8576473691388965E-2</v>
      </c>
      <c r="AA37" s="14">
        <f t="shared" si="6"/>
        <v>-4.8733793290502071E-2</v>
      </c>
      <c r="AB37" s="14">
        <f>(AB35-AB36)/AB36</f>
        <v>-0.14096328126859381</v>
      </c>
      <c r="AG37" t="s">
        <v>45</v>
      </c>
      <c r="AH37">
        <v>3.916666666666667</v>
      </c>
      <c r="AI37">
        <v>36.193548387096783</v>
      </c>
      <c r="AK37" t="s">
        <v>8</v>
      </c>
      <c r="AL37">
        <v>90</v>
      </c>
      <c r="AM37" s="63">
        <v>45.804666666666662</v>
      </c>
      <c r="AN37">
        <v>55.68</v>
      </c>
      <c r="AP37" t="e">
        <f t="shared" si="3"/>
        <v>#VALUE!</v>
      </c>
    </row>
    <row r="38" spans="2:42" x14ac:dyDescent="0.25">
      <c r="B38" t="s">
        <v>80</v>
      </c>
      <c r="K38" s="498"/>
      <c r="L38" s="499"/>
      <c r="M38" s="45" t="s">
        <v>65</v>
      </c>
      <c r="N38" s="469">
        <v>90</v>
      </c>
      <c r="O38" s="469">
        <v>280.58189655172407</v>
      </c>
      <c r="P38" s="469">
        <v>163</v>
      </c>
      <c r="Q38" s="469">
        <v>276.65499999999997</v>
      </c>
      <c r="R38" s="469">
        <v>126.35806451612903</v>
      </c>
      <c r="S38" s="469">
        <v>45</v>
      </c>
      <c r="T38" s="11">
        <v>131.6</v>
      </c>
      <c r="U38" s="11">
        <v>97</v>
      </c>
      <c r="V38" s="11">
        <v>203</v>
      </c>
      <c r="W38" s="11">
        <v>280.8</v>
      </c>
      <c r="X38" s="11">
        <v>132</v>
      </c>
      <c r="Y38" s="11">
        <v>2</v>
      </c>
      <c r="Z38" s="39">
        <f t="shared" si="7"/>
        <v>152.33291342232107</v>
      </c>
      <c r="AA38" s="11">
        <f t="shared" si="6"/>
        <v>163.59916017797551</v>
      </c>
      <c r="AB38" s="10">
        <f>AVERAGE(N38:S38)</f>
        <v>163.59916017797551</v>
      </c>
      <c r="AG38" t="s">
        <v>46</v>
      </c>
      <c r="AH38">
        <v>0</v>
      </c>
      <c r="AI38">
        <v>42.25</v>
      </c>
      <c r="AK38" t="s">
        <v>45</v>
      </c>
      <c r="AL38">
        <v>100.67870967741939</v>
      </c>
      <c r="AM38">
        <v>35.771741935483867</v>
      </c>
      <c r="AN38">
        <v>33.37096774193548</v>
      </c>
      <c r="AP38">
        <f t="shared" si="3"/>
        <v>-132.48000000044445</v>
      </c>
    </row>
    <row r="39" spans="2:42" x14ac:dyDescent="0.25">
      <c r="B39" t="s">
        <v>1429</v>
      </c>
      <c r="K39" s="498"/>
      <c r="L39" s="499"/>
      <c r="M39" s="45" t="s">
        <v>89</v>
      </c>
      <c r="N39" s="14">
        <f>(N35-N38)/N38</f>
        <v>-0.67333333333333334</v>
      </c>
      <c r="O39" s="14">
        <f>(O35-O38)/O38</f>
        <v>-0.47825883708426137</v>
      </c>
      <c r="P39" s="14">
        <f t="shared" ref="P39:S39" si="9">(P35-P38)/P38</f>
        <v>0.23391748466257645</v>
      </c>
      <c r="Q39" s="14">
        <f t="shared" si="9"/>
        <v>-0.16197610742621665</v>
      </c>
      <c r="R39" s="14">
        <f t="shared" si="9"/>
        <v>0.69034403002221023</v>
      </c>
      <c r="S39" s="14">
        <f t="shared" si="9"/>
        <v>0.1582864197555556</v>
      </c>
      <c r="T39" s="14">
        <f t="shared" ref="T39:Y39" si="10">(T35-T38)/T38</f>
        <v>-0.59726701963974693</v>
      </c>
      <c r="U39" s="14">
        <f t="shared" si="10"/>
        <v>-0.44092029708763503</v>
      </c>
      <c r="V39" s="14">
        <f t="shared" si="10"/>
        <v>-0.17778858784893267</v>
      </c>
      <c r="W39" s="14">
        <f t="shared" si="10"/>
        <v>-0.16908420960554327</v>
      </c>
      <c r="X39" s="14">
        <f t="shared" si="10"/>
        <v>3.63636363973067E-3</v>
      </c>
      <c r="Y39" s="14">
        <f t="shared" si="10"/>
        <v>6.95</v>
      </c>
      <c r="Z39" s="40">
        <f t="shared" si="7"/>
        <v>0.44479632550453369</v>
      </c>
      <c r="AA39" s="14">
        <f t="shared" si="6"/>
        <v>-3.8503390567244847E-2</v>
      </c>
      <c r="AB39" s="14">
        <f>(AB35-AB38)/AB38</f>
        <v>-0.10912881731006374</v>
      </c>
      <c r="AG39" t="s">
        <v>9</v>
      </c>
      <c r="AH39">
        <v>212.34333333333331</v>
      </c>
      <c r="AI39">
        <v>177.59833333333333</v>
      </c>
      <c r="AJ39">
        <v>10.791666666666666</v>
      </c>
      <c r="AK39" t="s">
        <v>46</v>
      </c>
      <c r="AL39">
        <v>91.419354838709722</v>
      </c>
      <c r="AM39">
        <v>8.7345161290322579</v>
      </c>
      <c r="AN39">
        <v>41.379999999999995</v>
      </c>
    </row>
    <row r="40" spans="2:42" x14ac:dyDescent="0.25">
      <c r="B40" t="s">
        <v>83</v>
      </c>
      <c r="K40" s="498"/>
      <c r="L40" s="499"/>
      <c r="M40" s="45" t="s">
        <v>44</v>
      </c>
      <c r="N40" s="11">
        <v>290.55306666500002</v>
      </c>
      <c r="O40" s="11">
        <v>234.396999999</v>
      </c>
      <c r="P40" s="11">
        <v>282.96883333100004</v>
      </c>
      <c r="Q40" s="11">
        <v>366</v>
      </c>
      <c r="R40" s="11">
        <v>207.17533333399999</v>
      </c>
      <c r="S40" s="11">
        <v>86.418666666999997</v>
      </c>
      <c r="T40" s="11">
        <v>74.094000000000008</v>
      </c>
      <c r="U40" s="11">
        <v>22.667666666000002</v>
      </c>
      <c r="V40" s="11">
        <v>242.75643333300002</v>
      </c>
      <c r="W40" s="11">
        <v>308.80980000099999</v>
      </c>
      <c r="X40" s="11">
        <v>71.480000001000008</v>
      </c>
      <c r="Y40" s="11">
        <v>15</v>
      </c>
      <c r="Z40" s="39">
        <f t="shared" si="7"/>
        <v>183.52673333308337</v>
      </c>
      <c r="AA40" s="11">
        <f t="shared" si="6"/>
        <v>244.58548333266671</v>
      </c>
      <c r="AB40" s="10">
        <f>AVERAGE(S40:Y40)</f>
        <v>117.31808095257144</v>
      </c>
      <c r="AG40" t="s">
        <v>10</v>
      </c>
      <c r="AH40">
        <v>347.76451612903224</v>
      </c>
      <c r="AI40">
        <v>105.96370967741936</v>
      </c>
      <c r="AJ40">
        <v>64.75</v>
      </c>
      <c r="AK40" t="s">
        <v>9</v>
      </c>
      <c r="AL40">
        <v>323.94976666666662</v>
      </c>
      <c r="AM40">
        <v>164.10499999999996</v>
      </c>
      <c r="AN40">
        <v>199.91600000000003</v>
      </c>
      <c r="AO40">
        <v>53.958333333333336</v>
      </c>
    </row>
    <row r="41" spans="2:42" ht="15.75" thickBot="1" x14ac:dyDescent="0.3">
      <c r="B41" t="s">
        <v>86</v>
      </c>
      <c r="K41" s="500"/>
      <c r="L41" s="501"/>
      <c r="M41" s="45" t="s">
        <v>89</v>
      </c>
      <c r="N41" s="14">
        <f t="shared" ref="N41:Y41" si="11">(N35-N40)/N40</f>
        <v>-0.89881366478951197</v>
      </c>
      <c r="O41" s="14">
        <f>(O35-O40)/O40</f>
        <v>-0.37545649048142882</v>
      </c>
      <c r="P41" s="14">
        <f t="shared" ref="P41:S41" si="12">(P35-P40)/P40</f>
        <v>-0.28922013201103391</v>
      </c>
      <c r="Q41" s="14">
        <f t="shared" si="12"/>
        <v>-0.36654781420765026</v>
      </c>
      <c r="R41" s="14">
        <f t="shared" si="12"/>
        <v>3.0955744406409521E-2</v>
      </c>
      <c r="S41" s="14">
        <f t="shared" si="12"/>
        <v>-0.39685613190669888</v>
      </c>
      <c r="T41" s="14">
        <f t="shared" si="11"/>
        <v>-0.28469700359800648</v>
      </c>
      <c r="U41" s="14">
        <f t="shared" si="11"/>
        <v>1.3924267098846088</v>
      </c>
      <c r="V41" s="14">
        <f t="shared" si="11"/>
        <v>-0.31244286969025398</v>
      </c>
      <c r="W41" s="14">
        <f t="shared" si="11"/>
        <v>-0.24445029289223361</v>
      </c>
      <c r="X41" s="14">
        <f t="shared" si="11"/>
        <v>0.85338556237536445</v>
      </c>
      <c r="Y41" s="14">
        <f t="shared" si="11"/>
        <v>6.0000000000000026E-2</v>
      </c>
      <c r="Z41" s="40">
        <f t="shared" si="7"/>
        <v>-6.9309698575869577E-2</v>
      </c>
      <c r="AA41" s="14">
        <f t="shared" si="6"/>
        <v>-0.38265641483165241</v>
      </c>
      <c r="AB41" s="14">
        <f>(AB35-AB40)/AB40</f>
        <v>0.24231300181047527</v>
      </c>
      <c r="AG41" t="s">
        <v>11</v>
      </c>
      <c r="AH41">
        <v>43.56166666666666</v>
      </c>
      <c r="AI41">
        <v>4.293333333333333</v>
      </c>
      <c r="AJ41">
        <v>6.4750000000000005</v>
      </c>
      <c r="AK41" t="s">
        <v>10</v>
      </c>
      <c r="AL41">
        <v>406.71464516129049</v>
      </c>
      <c r="AM41">
        <v>234.14435483870955</v>
      </c>
      <c r="AN41">
        <v>131.22096774193554</v>
      </c>
      <c r="AO41">
        <v>64.75</v>
      </c>
    </row>
    <row r="42" spans="2:42" ht="15" customHeight="1" x14ac:dyDescent="0.25">
      <c r="K42" s="503" t="s">
        <v>1395</v>
      </c>
      <c r="L42" s="497"/>
      <c r="M42" s="28" t="s">
        <v>87</v>
      </c>
      <c r="N42" s="9">
        <v>0</v>
      </c>
      <c r="O42" s="9">
        <v>53.057000000000002</v>
      </c>
      <c r="P42" s="9">
        <v>194.77225000000001</v>
      </c>
      <c r="Q42" s="9">
        <v>178.60900000000001</v>
      </c>
      <c r="R42" s="9">
        <v>54.30449999999999</v>
      </c>
      <c r="S42" s="9">
        <v>0</v>
      </c>
      <c r="T42" s="9">
        <v>0</v>
      </c>
      <c r="U42" s="9">
        <v>0</v>
      </c>
      <c r="V42" s="9">
        <v>145.55324999999999</v>
      </c>
      <c r="W42" s="9">
        <v>177.76815000000002</v>
      </c>
      <c r="X42" s="9">
        <v>82.875</v>
      </c>
      <c r="Y42" s="9">
        <v>0</v>
      </c>
      <c r="Z42" s="41">
        <f>(N42*(31/90))+(O42*(28/90))+(P42*(31/90))</f>
        <v>83.594841666666667</v>
      </c>
      <c r="AA42" s="9">
        <f t="shared" ref="AA42:AA52" si="13">AVERAGE(N42:S42)</f>
        <v>80.123791666666662</v>
      </c>
      <c r="AB42" s="9">
        <f>AVERAGE(S42:Y42)</f>
        <v>58.028057142857151</v>
      </c>
      <c r="AD42" s="10">
        <f>AB42-AB43</f>
        <v>-5.308617204301072</v>
      </c>
      <c r="AG42" t="s">
        <v>13</v>
      </c>
      <c r="AH42">
        <v>1246.8552150529681</v>
      </c>
      <c r="AI42">
        <v>1231.2256528417818</v>
      </c>
      <c r="AJ42">
        <v>556.66782642089095</v>
      </c>
      <c r="AK42" t="s">
        <v>11</v>
      </c>
      <c r="AL42">
        <v>135.98666666666665</v>
      </c>
      <c r="AM42">
        <v>62.874166666666653</v>
      </c>
    </row>
    <row r="43" spans="2:42" x14ac:dyDescent="0.25">
      <c r="K43" s="502"/>
      <c r="L43" s="499"/>
      <c r="M43" s="45" t="s">
        <v>88</v>
      </c>
      <c r="N43" s="472">
        <v>8.637096774193548</v>
      </c>
      <c r="O43" s="472">
        <v>18.350000000000001</v>
      </c>
      <c r="P43" s="472">
        <v>202.00806451612902</v>
      </c>
      <c r="Q43" s="473">
        <v>278.0990000000001</v>
      </c>
      <c r="R43" s="473">
        <v>122.1725806451613</v>
      </c>
      <c r="S43" s="473">
        <v>19.7</v>
      </c>
      <c r="T43" s="473">
        <v>36.193548387096783</v>
      </c>
      <c r="U43" s="473">
        <v>42.56666666666667</v>
      </c>
      <c r="V43" s="473">
        <v>127.37500000000001</v>
      </c>
      <c r="W43" s="473">
        <v>184.60483870967738</v>
      </c>
      <c r="X43" s="473">
        <v>32.916666666666664</v>
      </c>
      <c r="Y43" s="473">
        <v>0</v>
      </c>
      <c r="Z43" s="42">
        <f>(N43*(31/90))+(O43*(28/90))+(P43*(31/90))</f>
        <v>78.264444444444436</v>
      </c>
      <c r="AA43" s="11">
        <f t="shared" si="13"/>
        <v>108.16112365591401</v>
      </c>
      <c r="AB43" s="10">
        <f>AVERAGE(S43:Y43)</f>
        <v>63.336674347158223</v>
      </c>
      <c r="AD43" s="10"/>
      <c r="AK43" t="s">
        <v>12</v>
      </c>
      <c r="AL43">
        <v>90.000000000000043</v>
      </c>
    </row>
    <row r="44" spans="2:42" x14ac:dyDescent="0.25">
      <c r="K44" s="502"/>
      <c r="L44" s="499"/>
      <c r="M44" s="45" t="s">
        <v>89</v>
      </c>
      <c r="N44" s="36">
        <f>(N42-N43)/N43</f>
        <v>-1</v>
      </c>
      <c r="O44" s="36">
        <f t="shared" ref="O44:S44" si="14">(O42-O43)/O43</f>
        <v>1.8913896457765667</v>
      </c>
      <c r="P44" s="36">
        <f t="shared" si="14"/>
        <v>-3.58194339095372E-2</v>
      </c>
      <c r="Q44" s="36">
        <f t="shared" si="14"/>
        <v>-0.35775029755590654</v>
      </c>
      <c r="R44" s="36">
        <f t="shared" si="14"/>
        <v>-0.55550992118499753</v>
      </c>
      <c r="S44" s="36">
        <f t="shared" si="14"/>
        <v>-1</v>
      </c>
      <c r="T44" s="14">
        <f t="shared" ref="T44:Y44" si="15">(T$42-T43)/T43</f>
        <v>-1</v>
      </c>
      <c r="U44" s="14">
        <f t="shared" si="15"/>
        <v>-1</v>
      </c>
      <c r="V44" s="14">
        <f t="shared" si="15"/>
        <v>0.14271442590775249</v>
      </c>
      <c r="W44" s="14">
        <f t="shared" si="15"/>
        <v>-3.7034179371805205E-2</v>
      </c>
      <c r="X44" s="14">
        <f t="shared" si="15"/>
        <v>1.5177215189873419</v>
      </c>
      <c r="Y44" s="14" t="e">
        <f t="shared" si="15"/>
        <v>#DIV/0!</v>
      </c>
      <c r="Z44" s="43">
        <f>(Z42-Z43)/Z43</f>
        <v>6.8107520088588669E-2</v>
      </c>
      <c r="AA44" s="14">
        <f t="shared" si="13"/>
        <v>-0.17628166781231244</v>
      </c>
      <c r="AB44" s="14">
        <f>(AB42-AB43)/AB43</f>
        <v>-8.3815850121901098E-2</v>
      </c>
      <c r="AD44" s="10"/>
      <c r="AK44" t="s">
        <v>13</v>
      </c>
      <c r="AL44">
        <v>2259.8148780337947</v>
      </c>
      <c r="AM44">
        <v>1247.7160187245088</v>
      </c>
      <c r="AN44">
        <v>1258.9378655913979</v>
      </c>
      <c r="AO44">
        <v>290.15597542242705</v>
      </c>
    </row>
    <row r="45" spans="2:42" x14ac:dyDescent="0.25">
      <c r="K45" s="498"/>
      <c r="L45" s="499"/>
      <c r="M45" s="45" t="s">
        <v>65</v>
      </c>
      <c r="N45" s="46">
        <v>1.0000000000000001E-5</v>
      </c>
      <c r="O45" s="46">
        <v>13.6</v>
      </c>
      <c r="P45" s="46">
        <v>135.1494408605484</v>
      </c>
      <c r="Q45" s="46">
        <v>343.64733333217271</v>
      </c>
      <c r="R45" s="46">
        <v>148.09725806451613</v>
      </c>
      <c r="S45" s="46">
        <v>0.01</v>
      </c>
      <c r="T45" s="46">
        <v>4.0733333333333341</v>
      </c>
      <c r="U45" s="46">
        <v>6.9193548387096779</v>
      </c>
      <c r="V45" s="46">
        <v>199.59333333333333</v>
      </c>
      <c r="W45" s="46">
        <v>280.56451612903226</v>
      </c>
      <c r="X45" s="46">
        <v>44.496666666666663</v>
      </c>
      <c r="Y45" s="46">
        <v>0.01</v>
      </c>
      <c r="Z45" s="42">
        <f>(N45*(31/90))+(O45*(28/90))+(P45*(31/90))</f>
        <v>50.782588629744446</v>
      </c>
      <c r="AA45" s="11">
        <f t="shared" si="13"/>
        <v>106.75067370953953</v>
      </c>
      <c r="AB45" s="10">
        <f>AVERAGE(S45:Y45)</f>
        <v>76.523886328725027</v>
      </c>
    </row>
    <row r="46" spans="2:42" x14ac:dyDescent="0.25">
      <c r="K46" s="498"/>
      <c r="L46" s="499"/>
      <c r="M46" s="45" t="s">
        <v>89</v>
      </c>
      <c r="N46" s="36">
        <f t="shared" ref="N46:Z46" si="16">(N42-N45)/N45</f>
        <v>-1</v>
      </c>
      <c r="O46" s="36">
        <f t="shared" si="16"/>
        <v>2.9012500000000001</v>
      </c>
      <c r="P46" s="36">
        <f t="shared" si="16"/>
        <v>0.44116208516890854</v>
      </c>
      <c r="Q46" s="36">
        <f t="shared" si="16"/>
        <v>-0.48025495129521378</v>
      </c>
      <c r="R46" s="36">
        <f t="shared" si="16"/>
        <v>-0.63331866700500872</v>
      </c>
      <c r="S46" s="36">
        <f t="shared" si="16"/>
        <v>-1</v>
      </c>
      <c r="T46" s="14">
        <f>(T42-T45)/T45</f>
        <v>-1</v>
      </c>
      <c r="U46" s="14">
        <f t="shared" si="16"/>
        <v>-1</v>
      </c>
      <c r="V46" s="14">
        <f t="shared" si="16"/>
        <v>-0.27075094358529012</v>
      </c>
      <c r="W46" s="14">
        <f t="shared" si="16"/>
        <v>-0.36639118712273633</v>
      </c>
      <c r="X46" s="14">
        <f t="shared" si="16"/>
        <v>0.86249906360026984</v>
      </c>
      <c r="Y46" s="14">
        <f t="shared" si="16"/>
        <v>-1</v>
      </c>
      <c r="Z46" s="43">
        <f t="shared" si="16"/>
        <v>0.64613195038473059</v>
      </c>
      <c r="AA46" s="14">
        <f t="shared" si="13"/>
        <v>3.8139744478114412E-2</v>
      </c>
      <c r="AB46" s="14">
        <f>(AB42-AB45)/AB45</f>
        <v>-0.24170007658020676</v>
      </c>
    </row>
    <row r="47" spans="2:42" x14ac:dyDescent="0.25">
      <c r="K47" s="498"/>
      <c r="L47" s="499"/>
      <c r="M47" s="45" t="s">
        <v>44</v>
      </c>
      <c r="N47" s="46">
        <v>100.925666666</v>
      </c>
      <c r="O47" s="46">
        <v>91.353666666000009</v>
      </c>
      <c r="P47" s="46">
        <v>131.694499998</v>
      </c>
      <c r="Q47" s="46">
        <v>199.05599999999998</v>
      </c>
      <c r="R47" s="46">
        <v>55.635333332999991</v>
      </c>
      <c r="S47" s="46">
        <v>0.1</v>
      </c>
      <c r="T47" s="46">
        <v>12.474666666000001</v>
      </c>
      <c r="U47" s="46">
        <v>0</v>
      </c>
      <c r="V47" s="46">
        <v>224.61643333299997</v>
      </c>
      <c r="W47" s="46">
        <v>270.88113333400003</v>
      </c>
      <c r="X47" s="46">
        <v>31.586666666999996</v>
      </c>
      <c r="Y47" s="46">
        <v>0.01</v>
      </c>
      <c r="Z47" s="42">
        <f>(N47*(31/90))+(O47*(28/90))+(P47*(31/90))</f>
        <v>108.54586481368889</v>
      </c>
      <c r="AA47" s="11">
        <f t="shared" si="13"/>
        <v>96.460861110499991</v>
      </c>
      <c r="AB47" s="10">
        <f>AVERAGE(S47:Y47)</f>
        <v>77.095557142857146</v>
      </c>
    </row>
    <row r="48" spans="2:42" ht="15.75" thickBot="1" x14ac:dyDescent="0.3">
      <c r="K48" s="500"/>
      <c r="L48" s="501"/>
      <c r="M48" s="45" t="s">
        <v>89</v>
      </c>
      <c r="N48" s="36">
        <f>(N42-N47)/N47</f>
        <v>-1</v>
      </c>
      <c r="O48" s="36">
        <f t="shared" ref="O48:Z48" si="17">(O42-O47)/O47</f>
        <v>-0.41921324084360212</v>
      </c>
      <c r="P48" s="36">
        <f t="shared" si="17"/>
        <v>0.47897026833283057</v>
      </c>
      <c r="Q48" s="36">
        <f t="shared" si="17"/>
        <v>-0.10271983763363061</v>
      </c>
      <c r="R48" s="36">
        <f t="shared" si="17"/>
        <v>-2.3920649940828518E-2</v>
      </c>
      <c r="S48" s="36">
        <f t="shared" si="17"/>
        <v>-1</v>
      </c>
      <c r="T48" s="14">
        <f t="shared" si="17"/>
        <v>-1</v>
      </c>
      <c r="U48" s="14" t="e">
        <f t="shared" si="17"/>
        <v>#DIV/0!</v>
      </c>
      <c r="V48" s="14">
        <f t="shared" si="17"/>
        <v>-0.35199198099538276</v>
      </c>
      <c r="W48" s="14">
        <f t="shared" si="17"/>
        <v>-0.34374111695402004</v>
      </c>
      <c r="X48" s="14">
        <f t="shared" si="17"/>
        <v>1.6237336428596063</v>
      </c>
      <c r="Y48" s="14">
        <f t="shared" si="17"/>
        <v>-1</v>
      </c>
      <c r="Z48" s="44">
        <f t="shared" si="17"/>
        <v>-0.22986617859509295</v>
      </c>
      <c r="AA48" s="14">
        <f t="shared" si="13"/>
        <v>-0.34448057668087179</v>
      </c>
      <c r="AB48" s="14">
        <f>(AB42-AB47)/AB47</f>
        <v>-0.24732294190011683</v>
      </c>
    </row>
    <row r="49" spans="11:44" x14ac:dyDescent="0.25">
      <c r="K49" s="15"/>
      <c r="L49" s="15"/>
      <c r="M49" s="8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17"/>
      <c r="AA49" s="9"/>
      <c r="AB49" s="9"/>
    </row>
    <row r="50" spans="11:44" x14ac:dyDescent="0.25">
      <c r="K50" s="15"/>
      <c r="L50" s="15"/>
      <c r="M50" s="6" t="s">
        <v>1418</v>
      </c>
      <c r="N50" s="11">
        <f>N36-N43</f>
        <v>38.793387096774197</v>
      </c>
      <c r="O50" s="11">
        <f t="shared" ref="O50:Y50" si="18">O36-O43</f>
        <v>81.262500000000017</v>
      </c>
      <c r="P50" s="11">
        <f t="shared" si="18"/>
        <v>8.3538709677419263</v>
      </c>
      <c r="Q50" s="11">
        <f t="shared" si="18"/>
        <v>92.974083333333283</v>
      </c>
      <c r="R50" s="11">
        <f t="shared" si="18"/>
        <v>122.5606451612903</v>
      </c>
      <c r="S50" s="11">
        <f t="shared" si="18"/>
        <v>25.06</v>
      </c>
      <c r="T50" s="11">
        <f t="shared" si="18"/>
        <v>23.493451612903215</v>
      </c>
      <c r="U50" s="11">
        <f t="shared" si="18"/>
        <v>37.083333333333336</v>
      </c>
      <c r="V50" s="11">
        <f t="shared" si="18"/>
        <v>31.842499999999987</v>
      </c>
      <c r="W50" s="11">
        <f t="shared" si="18"/>
        <v>128.4948612903226</v>
      </c>
      <c r="X50" s="11">
        <f t="shared" si="18"/>
        <v>50.553333333333335</v>
      </c>
      <c r="Y50" s="11">
        <f t="shared" si="18"/>
        <v>15.9</v>
      </c>
      <c r="Z50" s="17"/>
      <c r="AA50" s="17">
        <f t="shared" si="13"/>
        <v>61.500747759856615</v>
      </c>
      <c r="AB50" s="10">
        <f>AVERAGE(S50:Y50)</f>
        <v>44.632497081413206</v>
      </c>
      <c r="AG50" s="2" t="s">
        <v>3</v>
      </c>
      <c r="AH50" s="2" t="s">
        <v>4</v>
      </c>
      <c r="AI50" s="2" t="s">
        <v>5</v>
      </c>
      <c r="AJ50" s="2" t="s">
        <v>6</v>
      </c>
      <c r="AK50" s="2" t="s">
        <v>7</v>
      </c>
      <c r="AL50" s="2" t="s">
        <v>8</v>
      </c>
      <c r="AM50" s="2" t="s">
        <v>45</v>
      </c>
      <c r="AN50" s="2" t="s">
        <v>46</v>
      </c>
      <c r="AO50" s="2" t="s">
        <v>9</v>
      </c>
      <c r="AP50" s="2" t="s">
        <v>10</v>
      </c>
      <c r="AQ50" s="2" t="s">
        <v>11</v>
      </c>
      <c r="AR50" s="2" t="s">
        <v>12</v>
      </c>
    </row>
    <row r="51" spans="11:44" x14ac:dyDescent="0.25">
      <c r="K51" s="15"/>
      <c r="L51" s="15"/>
      <c r="M51" s="6" t="s">
        <v>60</v>
      </c>
      <c r="N51" s="11">
        <f>N38-N45</f>
        <v>89.999989999999997</v>
      </c>
      <c r="O51" s="11">
        <f t="shared" ref="O51:Y51" si="19">O38-O45</f>
        <v>266.98189655172405</v>
      </c>
      <c r="P51" s="11">
        <f t="shared" si="19"/>
        <v>27.850559139451605</v>
      </c>
      <c r="Q51" s="11">
        <f t="shared" si="19"/>
        <v>-66.992333332172734</v>
      </c>
      <c r="R51" s="11">
        <f t="shared" si="19"/>
        <v>-21.739193548387092</v>
      </c>
      <c r="S51" s="11">
        <f t="shared" si="19"/>
        <v>44.99</v>
      </c>
      <c r="T51" s="11">
        <f t="shared" si="19"/>
        <v>127.52666666666666</v>
      </c>
      <c r="U51" s="11">
        <f t="shared" si="19"/>
        <v>90.08064516129032</v>
      </c>
      <c r="V51" s="11">
        <f t="shared" si="19"/>
        <v>3.4066666666666663</v>
      </c>
      <c r="W51" s="11">
        <f t="shared" si="19"/>
        <v>0.23548387096775514</v>
      </c>
      <c r="X51" s="11">
        <f t="shared" si="19"/>
        <v>87.50333333333333</v>
      </c>
      <c r="Y51" s="11">
        <f t="shared" si="19"/>
        <v>1.99</v>
      </c>
      <c r="Z51" s="11">
        <f>Z36-Z43</f>
        <v>65.818507930107543</v>
      </c>
      <c r="AA51" s="17">
        <f t="shared" si="13"/>
        <v>56.848486468435972</v>
      </c>
      <c r="AB51" s="10">
        <f>AVERAGE(N51:Y51)</f>
        <v>54.319476209128375</v>
      </c>
      <c r="AF51">
        <v>1</v>
      </c>
      <c r="AG51" s="51"/>
      <c r="AH51" s="51"/>
      <c r="AI51" s="51"/>
      <c r="AJ51" s="51">
        <v>32.299999999999997</v>
      </c>
      <c r="AK51" s="51"/>
      <c r="AL51" s="51"/>
      <c r="AM51" s="51"/>
      <c r="AN51" s="51"/>
      <c r="AO51" s="51"/>
      <c r="AP51" s="51"/>
      <c r="AQ51" s="51"/>
      <c r="AR51" s="51"/>
    </row>
    <row r="52" spans="11:44" x14ac:dyDescent="0.25">
      <c r="K52" s="15"/>
      <c r="L52" s="15"/>
      <c r="M52" s="6" t="s">
        <v>52</v>
      </c>
      <c r="N52" s="11">
        <f>N40-N47</f>
        <v>189.62739999900003</v>
      </c>
      <c r="O52" s="11">
        <f t="shared" ref="O52:Y52" si="20">O40-O47</f>
        <v>143.04333333299999</v>
      </c>
      <c r="P52" s="11">
        <f t="shared" si="20"/>
        <v>151.27433333300004</v>
      </c>
      <c r="Q52" s="11">
        <f t="shared" si="20"/>
        <v>166.94400000000002</v>
      </c>
      <c r="R52" s="11">
        <f t="shared" si="20"/>
        <v>151.54000000100001</v>
      </c>
      <c r="S52" s="11">
        <f t="shared" si="20"/>
        <v>86.318666667000002</v>
      </c>
      <c r="T52" s="11">
        <f t="shared" si="20"/>
        <v>61.619333334000004</v>
      </c>
      <c r="U52" s="11">
        <f t="shared" si="20"/>
        <v>22.667666666000002</v>
      </c>
      <c r="V52" s="11">
        <f t="shared" si="20"/>
        <v>18.140000000000043</v>
      </c>
      <c r="W52" s="11">
        <f t="shared" si="20"/>
        <v>37.928666666999959</v>
      </c>
      <c r="X52" s="11">
        <f t="shared" si="20"/>
        <v>39.893333334000012</v>
      </c>
      <c r="Y52" s="11">
        <f t="shared" si="20"/>
        <v>14.99</v>
      </c>
      <c r="Z52" s="11">
        <f>AVERAGE(N52:Y52)</f>
        <v>90.332227777833353</v>
      </c>
      <c r="AA52" s="17">
        <f t="shared" si="13"/>
        <v>148.12462222216669</v>
      </c>
      <c r="AB52" s="10">
        <f>AVERAGE(S52:Y52)</f>
        <v>40.222523809714289</v>
      </c>
      <c r="AF52">
        <v>2</v>
      </c>
      <c r="AG52" s="51"/>
      <c r="AH52" s="51">
        <v>146.72142857142859</v>
      </c>
      <c r="AI52" s="51">
        <v>155.92822580645159</v>
      </c>
      <c r="AJ52" s="51">
        <v>148.97166666666666</v>
      </c>
      <c r="AK52" s="51">
        <v>23.029838709677421</v>
      </c>
      <c r="AL52" s="51"/>
      <c r="AM52" s="51"/>
      <c r="AN52" s="51"/>
      <c r="AO52" s="51">
        <v>10.791666666666666</v>
      </c>
      <c r="AP52" s="51">
        <v>64.75</v>
      </c>
      <c r="AQ52" s="51">
        <v>6.4750000000000005</v>
      </c>
      <c r="AR52" s="51"/>
    </row>
    <row r="53" spans="11:44" x14ac:dyDescent="0.25">
      <c r="K53" s="15"/>
      <c r="L53" s="15"/>
      <c r="M53" s="6"/>
      <c r="N53" s="11">
        <f>AVERAGE(N50:N52)</f>
        <v>106.14025903192474</v>
      </c>
      <c r="O53" s="11">
        <f>AVERAGE(O50:O52)</f>
        <v>163.76257662824136</v>
      </c>
      <c r="P53" s="11">
        <f>AVERAGE(P50:P52)</f>
        <v>62.492921146731192</v>
      </c>
      <c r="Q53" s="11">
        <f>AVERAGE(Q50:Q52)</f>
        <v>64.308583333720193</v>
      </c>
      <c r="R53" s="11">
        <f t="shared" ref="R53:Y53" si="21">AVERAGE(R50:R52)</f>
        <v>84.120483871301076</v>
      </c>
      <c r="S53" s="11">
        <f>AVERAGE(S50:S52)</f>
        <v>52.122888889000002</v>
      </c>
      <c r="T53" s="11">
        <f t="shared" si="21"/>
        <v>70.879817204523292</v>
      </c>
      <c r="U53" s="11">
        <f t="shared" si="21"/>
        <v>49.943881720207884</v>
      </c>
      <c r="V53" s="11">
        <f>AVERAGE(V50:V52)</f>
        <v>17.796388888888899</v>
      </c>
      <c r="W53" s="11">
        <f>AVERAGE(W50:W52)</f>
        <v>55.553003942763439</v>
      </c>
      <c r="X53" s="11">
        <f t="shared" si="21"/>
        <v>59.316666666888892</v>
      </c>
      <c r="Y53" s="11">
        <f t="shared" si="21"/>
        <v>10.96</v>
      </c>
      <c r="Z53" s="11">
        <f>AVERAGE(N53:Y53)</f>
        <v>66.44978927701591</v>
      </c>
      <c r="AA53" s="11"/>
      <c r="AB53" s="10">
        <f>AVERAGE(S53:Y53)</f>
        <v>45.224663901753203</v>
      </c>
      <c r="AF53">
        <v>3</v>
      </c>
      <c r="AG53" s="51">
        <v>246.11532258064508</v>
      </c>
      <c r="AH53" s="51">
        <v>386.82678571428579</v>
      </c>
      <c r="AI53" s="51">
        <v>206.43467741935484</v>
      </c>
      <c r="AJ53" s="51">
        <v>38.385833333333331</v>
      </c>
      <c r="AK53" s="51">
        <v>9.939516129032258</v>
      </c>
      <c r="AL53" s="51">
        <v>2.75</v>
      </c>
      <c r="AM53" s="51">
        <v>0.91935483870967749</v>
      </c>
      <c r="AN53" s="51">
        <v>1.0999999999999999</v>
      </c>
      <c r="AO53" s="51"/>
      <c r="AP53" s="51"/>
      <c r="AQ53" s="51"/>
      <c r="AR53" s="51"/>
    </row>
    <row r="54" spans="11:44" ht="17.25" x14ac:dyDescent="0.4">
      <c r="N54" s="50">
        <f>N35-N42</f>
        <v>29.4</v>
      </c>
      <c r="O54" s="476">
        <f>O35-O42</f>
        <v>93.334124999999986</v>
      </c>
      <c r="P54" s="476">
        <f>P35-P42</f>
        <v>6.3562999999999477</v>
      </c>
      <c r="Q54" s="50">
        <f>Q35-Q42</f>
        <v>53.234499999999997</v>
      </c>
      <c r="R54" s="50">
        <f>R35-R42</f>
        <v>159.2841</v>
      </c>
      <c r="S54" s="50">
        <f>S53</f>
        <v>52.122888889000002</v>
      </c>
      <c r="T54" s="10">
        <f>AVERAGE(T52:T53)*0.8</f>
        <v>52.999660215409314</v>
      </c>
      <c r="U54" s="10">
        <f>AVERAGE(U51:U53)</f>
        <v>54.230731182499404</v>
      </c>
      <c r="V54" s="10">
        <f>V53*1.2</f>
        <v>21.355666666666679</v>
      </c>
      <c r="W54" s="10">
        <f>W53</f>
        <v>55.553003942763439</v>
      </c>
      <c r="X54" s="10">
        <f>AVERAGE(X52:X53)</f>
        <v>49.605000000444448</v>
      </c>
      <c r="Y54" s="10">
        <f>Y50</f>
        <v>15.9</v>
      </c>
      <c r="AF54">
        <v>4</v>
      </c>
      <c r="AG54" s="51"/>
      <c r="AH54" s="51">
        <v>18.75</v>
      </c>
      <c r="AI54" s="51">
        <v>75.589838709677409</v>
      </c>
      <c r="AJ54" s="51">
        <v>64.99102688172043</v>
      </c>
      <c r="AK54" s="51">
        <v>3.0141935483870967</v>
      </c>
      <c r="AL54" s="51"/>
      <c r="AM54" s="51"/>
      <c r="AN54" s="51"/>
      <c r="AO54" s="51"/>
      <c r="AP54" s="51">
        <v>6.887096774193548</v>
      </c>
      <c r="AQ54" s="51">
        <v>15.25</v>
      </c>
      <c r="AR54" s="51">
        <v>2.9516129032258065</v>
      </c>
    </row>
    <row r="55" spans="11:44" x14ac:dyDescent="0.25">
      <c r="W55" s="10"/>
      <c r="X55" s="10"/>
      <c r="AF55">
        <v>5</v>
      </c>
      <c r="AG55" s="51">
        <v>25.909677419354839</v>
      </c>
      <c r="AH55" s="51">
        <v>8.3725000000000005</v>
      </c>
      <c r="AI55" s="51">
        <v>11.34</v>
      </c>
      <c r="AJ55" s="51">
        <v>118.53933333333332</v>
      </c>
      <c r="AK55" s="51">
        <v>129.53408602150537</v>
      </c>
      <c r="AL55" s="51">
        <v>117.55666666666666</v>
      </c>
      <c r="AM55" s="51">
        <v>103.05</v>
      </c>
      <c r="AN55" s="51">
        <v>103.05</v>
      </c>
      <c r="AO55" s="51">
        <v>103.05</v>
      </c>
      <c r="AP55" s="51">
        <v>103.05</v>
      </c>
      <c r="AQ55" s="51">
        <v>103.05</v>
      </c>
      <c r="AR55" s="51">
        <v>103.05</v>
      </c>
    </row>
    <row r="56" spans="11:44" x14ac:dyDescent="0.25">
      <c r="M56" s="448" t="s">
        <v>1425</v>
      </c>
      <c r="N56" s="450">
        <v>110.61186666600001</v>
      </c>
      <c r="O56" s="450">
        <v>86.794499999500005</v>
      </c>
      <c r="P56" s="450">
        <v>86.918666666500016</v>
      </c>
      <c r="Q56" s="450">
        <v>98.487499999999997</v>
      </c>
      <c r="R56" s="450">
        <v>88.493000000500004</v>
      </c>
      <c r="S56" s="450">
        <v>60</v>
      </c>
      <c r="AG56" s="51"/>
      <c r="AH56" s="51"/>
      <c r="AI56" s="51"/>
      <c r="AJ56" s="51"/>
      <c r="AK56" s="51"/>
      <c r="AL56" s="51"/>
      <c r="AM56" s="51"/>
      <c r="AN56" s="51"/>
      <c r="AO56" s="51"/>
      <c r="AP56" s="51"/>
      <c r="AQ56" s="51"/>
      <c r="AR56" s="51"/>
    </row>
    <row r="57" spans="11:44" x14ac:dyDescent="0.25">
      <c r="N57" s="457">
        <f t="shared" ref="N57:S57" si="22">N56*0.8</f>
        <v>88.489493332800009</v>
      </c>
      <c r="O57" s="457">
        <f>O56*1</f>
        <v>86.794499999500005</v>
      </c>
      <c r="P57" s="457">
        <f>P56*0.8</f>
        <v>69.534933333200016</v>
      </c>
      <c r="Q57" s="457">
        <f>Q56*0.8</f>
        <v>78.790000000000006</v>
      </c>
      <c r="R57" s="457">
        <f t="shared" si="22"/>
        <v>70.794400000400003</v>
      </c>
      <c r="S57" s="457">
        <f t="shared" si="22"/>
        <v>48</v>
      </c>
      <c r="U57" s="10"/>
      <c r="V57" s="10"/>
      <c r="W57" s="10"/>
      <c r="X57" s="10"/>
      <c r="Y57" s="10"/>
      <c r="AG57" s="53">
        <v>272.02499999999992</v>
      </c>
      <c r="AH57" s="53">
        <v>560.67071428571433</v>
      </c>
      <c r="AI57" s="53">
        <v>449.29274193548383</v>
      </c>
      <c r="AJ57" s="53">
        <v>403.18786021505372</v>
      </c>
      <c r="AK57" s="53">
        <v>165.51763440860213</v>
      </c>
      <c r="AL57" s="53">
        <v>120.30666666666666</v>
      </c>
      <c r="AM57" s="53">
        <v>103.96935483870968</v>
      </c>
      <c r="AN57" s="53">
        <v>104.14999999999999</v>
      </c>
      <c r="AO57" s="53">
        <v>113.84166666666667</v>
      </c>
      <c r="AP57" s="53">
        <v>174.68709677419355</v>
      </c>
      <c r="AQ57" s="53">
        <v>124.77500000000001</v>
      </c>
      <c r="AR57" s="53">
        <v>106.0016129032258</v>
      </c>
    </row>
    <row r="59" spans="11:44" x14ac:dyDescent="0.25">
      <c r="Q59" t="s">
        <v>1465</v>
      </c>
      <c r="S59" s="10"/>
      <c r="T59" s="10"/>
      <c r="U59" s="10"/>
      <c r="V59" s="10"/>
      <c r="W59" s="10"/>
      <c r="X59" s="10"/>
      <c r="Y59" s="10"/>
    </row>
    <row r="60" spans="11:44" x14ac:dyDescent="0.25">
      <c r="M60" s="488">
        <v>46192</v>
      </c>
      <c r="N60">
        <v>29.4</v>
      </c>
      <c r="O60">
        <v>146.39112499999999</v>
      </c>
      <c r="P60">
        <v>201.12854999999996</v>
      </c>
      <c r="Q60">
        <v>231.84350000000001</v>
      </c>
      <c r="R60">
        <v>213.58859999999999</v>
      </c>
      <c r="S60" s="10">
        <v>52.122888889000002</v>
      </c>
      <c r="T60" s="10">
        <v>52.999660215409314</v>
      </c>
      <c r="U60" s="10">
        <v>54.230731182499404</v>
      </c>
      <c r="V60" s="10">
        <v>166.90891666666667</v>
      </c>
      <c r="W60" s="10">
        <v>233.32115394276346</v>
      </c>
      <c r="X60" s="10">
        <v>132.48000000044445</v>
      </c>
      <c r="Y60" s="10">
        <v>15.9</v>
      </c>
    </row>
    <row r="61" spans="11:44" x14ac:dyDescent="0.25">
      <c r="O61" s="482">
        <f t="shared" ref="O61:T61" si="23">O60-O35</f>
        <v>0</v>
      </c>
      <c r="P61" s="482">
        <f t="shared" si="23"/>
        <v>0</v>
      </c>
      <c r="Q61" s="482">
        <f t="shared" si="23"/>
        <v>0</v>
      </c>
      <c r="R61" s="482">
        <f t="shared" si="23"/>
        <v>0</v>
      </c>
      <c r="S61" s="482">
        <f t="shared" si="23"/>
        <v>0</v>
      </c>
      <c r="T61" s="482">
        <f t="shared" si="23"/>
        <v>0</v>
      </c>
      <c r="U61" s="482">
        <f t="shared" ref="U61:Y61" si="24">U60-U35</f>
        <v>0</v>
      </c>
      <c r="V61" s="482">
        <f t="shared" si="24"/>
        <v>0</v>
      </c>
      <c r="W61" s="482">
        <f t="shared" si="24"/>
        <v>0</v>
      </c>
      <c r="X61" s="482">
        <f t="shared" si="24"/>
        <v>0</v>
      </c>
      <c r="Y61" s="482">
        <f t="shared" si="24"/>
        <v>0</v>
      </c>
    </row>
    <row r="62" spans="11:44" x14ac:dyDescent="0.25"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</row>
    <row r="87" spans="12:26" x14ac:dyDescent="0.25">
      <c r="Q87" t="s">
        <v>1421</v>
      </c>
      <c r="R87" t="s">
        <v>1422</v>
      </c>
    </row>
    <row r="88" spans="12:26" ht="15.75" thickBot="1" x14ac:dyDescent="0.3">
      <c r="N88" s="6" t="s">
        <v>43</v>
      </c>
      <c r="O88" s="7"/>
      <c r="P88" s="7"/>
      <c r="Q88" s="7"/>
      <c r="R88" s="7"/>
      <c r="S88" s="7"/>
      <c r="T88" s="7"/>
      <c r="U88" s="5">
        <v>0</v>
      </c>
      <c r="V88" s="5">
        <v>0</v>
      </c>
      <c r="W88" s="7"/>
      <c r="X88" s="7"/>
      <c r="Y88" s="7"/>
      <c r="Z88" s="7"/>
    </row>
    <row r="89" spans="12:26" ht="15" customHeight="1" x14ac:dyDescent="0.25">
      <c r="L89" s="496" t="s">
        <v>75</v>
      </c>
      <c r="M89" s="504"/>
      <c r="N89" s="16" t="s">
        <v>65</v>
      </c>
      <c r="O89" s="17"/>
      <c r="P89" s="17"/>
      <c r="Q89" s="17"/>
      <c r="R89" s="17"/>
      <c r="S89" s="17"/>
      <c r="T89" s="17">
        <v>36.5</v>
      </c>
      <c r="U89" s="17">
        <v>131.6</v>
      </c>
      <c r="V89" s="17">
        <v>97</v>
      </c>
      <c r="W89" s="17">
        <v>203</v>
      </c>
      <c r="X89" s="17">
        <v>280.8</v>
      </c>
      <c r="Y89" s="17">
        <v>132</v>
      </c>
      <c r="Z89" s="17">
        <v>2</v>
      </c>
    </row>
    <row r="90" spans="12:26" x14ac:dyDescent="0.25">
      <c r="L90" s="502"/>
      <c r="M90" s="505"/>
      <c r="N90" s="6" t="s">
        <v>66</v>
      </c>
      <c r="O90" s="11"/>
      <c r="P90" s="11"/>
      <c r="Q90" s="11"/>
      <c r="R90" s="11"/>
      <c r="S90" s="11"/>
      <c r="T90" s="11">
        <v>36.5</v>
      </c>
      <c r="U90" s="11">
        <v>131.6</v>
      </c>
      <c r="V90" s="11">
        <v>97</v>
      </c>
      <c r="W90" s="11">
        <v>203</v>
      </c>
      <c r="X90" s="11">
        <v>280.8</v>
      </c>
      <c r="Y90" s="11">
        <v>132</v>
      </c>
      <c r="Z90" s="11">
        <v>2</v>
      </c>
    </row>
    <row r="91" spans="12:26" x14ac:dyDescent="0.25">
      <c r="L91" s="502"/>
      <c r="M91" s="505"/>
      <c r="N91" s="6" t="s">
        <v>44</v>
      </c>
      <c r="O91" s="11"/>
      <c r="P91" s="11"/>
      <c r="Q91" s="11"/>
      <c r="R91" s="11"/>
      <c r="S91" s="11"/>
      <c r="T91" s="30">
        <f>(T$35-T90)/T90</f>
        <v>0.45204548535367983</v>
      </c>
      <c r="U91" s="30">
        <f t="shared" ref="U91:Z91" si="25">(U$35-U90)/U90</f>
        <v>-0.58791237703267929</v>
      </c>
      <c r="V91" s="30">
        <f>(V$35-V90)/V90</f>
        <v>0.72071048109965641</v>
      </c>
      <c r="W91" s="30">
        <f t="shared" si="25"/>
        <v>0.14936529035844068</v>
      </c>
      <c r="X91" s="30">
        <f t="shared" si="25"/>
        <v>-0.52820512820354548</v>
      </c>
      <c r="Y91" s="30">
        <f t="shared" si="25"/>
        <v>-0.87954545454545452</v>
      </c>
      <c r="Z91" s="30">
        <f t="shared" si="25"/>
        <v>40.797420833333334</v>
      </c>
    </row>
    <row r="92" spans="12:26" x14ac:dyDescent="0.25">
      <c r="L92" s="502"/>
      <c r="M92" s="505"/>
      <c r="N92" s="6" t="s">
        <v>48</v>
      </c>
      <c r="O92" s="26">
        <v>290.55306666500002</v>
      </c>
      <c r="P92" s="26">
        <v>234.396999999</v>
      </c>
      <c r="Q92" s="26">
        <v>282.96883333100004</v>
      </c>
      <c r="R92" s="26">
        <v>366</v>
      </c>
      <c r="S92" s="26">
        <v>207.17533333399999</v>
      </c>
      <c r="T92" s="26">
        <v>86.418666666999997</v>
      </c>
      <c r="U92" s="26">
        <v>74.094000000000008</v>
      </c>
      <c r="V92" s="26">
        <v>22.667666666000002</v>
      </c>
      <c r="W92" s="26">
        <v>242.75643333300002</v>
      </c>
      <c r="X92" s="26">
        <v>308.80980000099999</v>
      </c>
      <c r="Y92" s="26">
        <v>71.480000001000008</v>
      </c>
      <c r="Z92" s="26">
        <v>15</v>
      </c>
    </row>
    <row r="93" spans="12:26" x14ac:dyDescent="0.25">
      <c r="L93" s="502"/>
      <c r="M93" s="505"/>
      <c r="N93" s="6" t="s">
        <v>47</v>
      </c>
      <c r="O93" s="30">
        <f>(O89-O92)/O92</f>
        <v>-1</v>
      </c>
      <c r="P93" s="30">
        <f>(P89-P92)/P92</f>
        <v>-1</v>
      </c>
      <c r="Q93" s="30">
        <f>(Q89-Q92)/Q92</f>
        <v>-1</v>
      </c>
      <c r="R93" s="30">
        <f>(R89-R92)/R92</f>
        <v>-1</v>
      </c>
      <c r="S93" s="30">
        <f>(S89-S92)/S92</f>
        <v>-1</v>
      </c>
      <c r="T93" s="30">
        <f>(T$35-T92)/T92</f>
        <v>-0.38671050758472453</v>
      </c>
      <c r="U93" s="30">
        <f t="shared" ref="U93:Z93" si="26">(U89-U92)/U92</f>
        <v>0.77612222312197987</v>
      </c>
      <c r="V93" s="30">
        <f t="shared" si="26"/>
        <v>3.2792229755828188</v>
      </c>
      <c r="W93" s="30">
        <f t="shared" si="26"/>
        <v>-0.1637708743169097</v>
      </c>
      <c r="X93" s="30">
        <f t="shared" si="26"/>
        <v>-9.0702432373937852E-2</v>
      </c>
      <c r="Y93" s="30">
        <f t="shared" si="26"/>
        <v>0.84667039728809901</v>
      </c>
      <c r="Z93" s="30">
        <f t="shared" si="26"/>
        <v>-0.8666666666666667</v>
      </c>
    </row>
    <row r="94" spans="12:26" x14ac:dyDescent="0.25">
      <c r="L94" s="502"/>
      <c r="M94" s="505"/>
      <c r="N94" s="6" t="s">
        <v>48</v>
      </c>
      <c r="O94" s="26">
        <v>31.596333333</v>
      </c>
      <c r="P94" s="26">
        <v>40.375666666000001</v>
      </c>
      <c r="Q94" s="26">
        <v>176.017</v>
      </c>
      <c r="R94" s="26">
        <v>152.58900000099999</v>
      </c>
      <c r="S94" s="26">
        <v>127.69786666600001</v>
      </c>
      <c r="T94" s="26">
        <v>130.53199999999998</v>
      </c>
      <c r="U94" s="26">
        <v>161.19843499899997</v>
      </c>
      <c r="V94" s="26">
        <v>183.33066666600001</v>
      </c>
      <c r="W94" s="26">
        <v>142.39666666799999</v>
      </c>
      <c r="X94" s="26">
        <v>313.49920000000003</v>
      </c>
      <c r="Y94" s="26">
        <v>236.42000000100001</v>
      </c>
      <c r="Z94" s="26">
        <v>214.31059999900003</v>
      </c>
    </row>
    <row r="95" spans="12:26" ht="15.75" thickBot="1" x14ac:dyDescent="0.3">
      <c r="L95" s="506"/>
      <c r="M95" s="507"/>
      <c r="N95" s="6" t="s">
        <v>64</v>
      </c>
      <c r="O95" s="30">
        <f t="shared" ref="O95:Z95" si="27">(O89-O94)/O94</f>
        <v>-1</v>
      </c>
      <c r="P95" s="30">
        <f t="shared" si="27"/>
        <v>-1</v>
      </c>
      <c r="Q95" s="30">
        <f t="shared" si="27"/>
        <v>-1</v>
      </c>
      <c r="R95" s="30">
        <f t="shared" si="27"/>
        <v>-1</v>
      </c>
      <c r="S95" s="30">
        <f t="shared" si="27"/>
        <v>-1</v>
      </c>
      <c r="T95" s="30">
        <f t="shared" si="27"/>
        <v>-0.72037508044004528</v>
      </c>
      <c r="U95" s="30">
        <f t="shared" si="27"/>
        <v>-0.18361490295599706</v>
      </c>
      <c r="V95" s="30">
        <f t="shared" si="27"/>
        <v>-0.47090139492745681</v>
      </c>
      <c r="W95" s="30">
        <f t="shared" si="27"/>
        <v>0.4255951684128787</v>
      </c>
      <c r="X95" s="30">
        <f t="shared" si="27"/>
        <v>-0.10430393442790289</v>
      </c>
      <c r="Y95" s="30">
        <f t="shared" si="27"/>
        <v>-0.44167160138972306</v>
      </c>
      <c r="Z95" s="30">
        <f t="shared" si="27"/>
        <v>-0.99066775045187061</v>
      </c>
    </row>
    <row r="96" spans="12:26" ht="15" customHeight="1" x14ac:dyDescent="0.25">
      <c r="L96" s="496" t="s">
        <v>67</v>
      </c>
      <c r="M96" s="504"/>
      <c r="N96" s="28" t="s">
        <v>65</v>
      </c>
      <c r="O96" s="27">
        <v>0</v>
      </c>
      <c r="P96" s="27">
        <v>13.6</v>
      </c>
      <c r="Q96" s="27">
        <v>135.1494408605484</v>
      </c>
      <c r="R96" s="27">
        <v>343.64733333217271</v>
      </c>
      <c r="S96" s="27">
        <v>148.09725806451613</v>
      </c>
      <c r="T96" s="27">
        <v>0</v>
      </c>
      <c r="U96" s="27">
        <v>4.0733333333333341</v>
      </c>
      <c r="V96" s="27">
        <v>6.9193548387096779</v>
      </c>
      <c r="W96" s="27">
        <v>199.59333333333333</v>
      </c>
      <c r="X96" s="27">
        <v>280.56451612903226</v>
      </c>
      <c r="Y96" s="27">
        <v>44.496666666666663</v>
      </c>
      <c r="Z96" s="27">
        <v>0</v>
      </c>
    </row>
    <row r="97" spans="2:26" x14ac:dyDescent="0.25">
      <c r="L97" s="502"/>
      <c r="M97" s="505"/>
      <c r="N97" s="45" t="s">
        <v>66</v>
      </c>
      <c r="O97" s="46">
        <v>0</v>
      </c>
      <c r="P97" s="46">
        <v>13.6</v>
      </c>
      <c r="Q97" s="46">
        <v>135.1494408605484</v>
      </c>
      <c r="R97" s="46">
        <v>343.64733333217271</v>
      </c>
      <c r="S97" s="46">
        <v>148.09725806451613</v>
      </c>
      <c r="T97" s="46">
        <v>0</v>
      </c>
      <c r="U97" s="46">
        <v>4.0733333333333341</v>
      </c>
      <c r="V97" s="46">
        <v>6.9193548387096779</v>
      </c>
      <c r="W97" s="46">
        <v>199.59333333333333</v>
      </c>
      <c r="X97" s="46">
        <v>280.56451612903226</v>
      </c>
      <c r="Y97" s="46">
        <v>44.496666666666663</v>
      </c>
      <c r="Z97" s="46">
        <v>0</v>
      </c>
    </row>
    <row r="98" spans="2:26" x14ac:dyDescent="0.25">
      <c r="L98" s="502"/>
      <c r="M98" s="505"/>
      <c r="N98" s="45" t="s">
        <v>44</v>
      </c>
      <c r="O98" s="47" t="str">
        <f>IFERROR((O96-O97)/O97,"")</f>
        <v/>
      </c>
      <c r="P98" s="47">
        <f t="shared" ref="P98:Z98" si="28">IFERROR((P96-P97)/P97,"")</f>
        <v>0</v>
      </c>
      <c r="Q98" s="47">
        <f t="shared" si="28"/>
        <v>0</v>
      </c>
      <c r="R98" s="47">
        <f t="shared" si="28"/>
        <v>0</v>
      </c>
      <c r="S98" s="47">
        <f t="shared" si="28"/>
        <v>0</v>
      </c>
      <c r="T98" s="47" t="str">
        <f t="shared" si="28"/>
        <v/>
      </c>
      <c r="U98" s="47">
        <f t="shared" si="28"/>
        <v>0</v>
      </c>
      <c r="V98" s="47">
        <f t="shared" si="28"/>
        <v>0</v>
      </c>
      <c r="W98" s="47">
        <f t="shared" si="28"/>
        <v>0</v>
      </c>
      <c r="X98" s="47">
        <f t="shared" si="28"/>
        <v>0</v>
      </c>
      <c r="Y98" s="47">
        <f t="shared" si="28"/>
        <v>0</v>
      </c>
      <c r="Z98" s="47" t="str">
        <f t="shared" si="28"/>
        <v/>
      </c>
    </row>
    <row r="99" spans="2:26" x14ac:dyDescent="0.25">
      <c r="L99" s="502"/>
      <c r="M99" s="505"/>
      <c r="N99" s="45" t="s">
        <v>66</v>
      </c>
      <c r="O99" s="46">
        <v>100.925666666</v>
      </c>
      <c r="P99" s="46">
        <v>91.353666666000009</v>
      </c>
      <c r="Q99" s="46">
        <v>131.694499998</v>
      </c>
      <c r="R99" s="46">
        <v>199.05599999999998</v>
      </c>
      <c r="S99" s="46">
        <v>55.635333332999991</v>
      </c>
      <c r="T99" s="46">
        <v>0</v>
      </c>
      <c r="U99" s="46">
        <v>12.474666666000001</v>
      </c>
      <c r="V99" s="46">
        <v>0</v>
      </c>
      <c r="W99" s="46">
        <v>224.61643333299997</v>
      </c>
      <c r="X99" s="46">
        <v>270.88113333400003</v>
      </c>
      <c r="Y99" s="46">
        <v>31.586666666999996</v>
      </c>
      <c r="Z99" s="46">
        <v>0</v>
      </c>
    </row>
    <row r="100" spans="2:26" x14ac:dyDescent="0.25">
      <c r="L100" s="502"/>
      <c r="M100" s="505"/>
      <c r="N100" s="45" t="s">
        <v>47</v>
      </c>
      <c r="O100" s="47">
        <f t="shared" ref="O100:Y100" si="29">(O96-O99)/O99</f>
        <v>-1</v>
      </c>
      <c r="P100" s="47">
        <f t="shared" si="29"/>
        <v>-0.85112803353889199</v>
      </c>
      <c r="Q100" s="47">
        <f t="shared" si="29"/>
        <v>2.6234511407848216E-2</v>
      </c>
      <c r="R100" s="47">
        <f t="shared" si="29"/>
        <v>0.72638520482765023</v>
      </c>
      <c r="S100" s="47">
        <f t="shared" si="29"/>
        <v>1.6619281164021089</v>
      </c>
      <c r="T100" s="47"/>
      <c r="U100" s="47">
        <f t="shared" si="29"/>
        <v>-0.67347156902915084</v>
      </c>
      <c r="V100" s="47"/>
      <c r="W100" s="47">
        <f t="shared" si="29"/>
        <v>-0.11140369218920512</v>
      </c>
      <c r="X100" s="47">
        <f t="shared" si="29"/>
        <v>3.5747719584045344E-2</v>
      </c>
      <c r="Y100" s="47">
        <f t="shared" si="29"/>
        <v>0.40871675811092539</v>
      </c>
      <c r="Z100" s="47"/>
    </row>
    <row r="101" spans="2:26" x14ac:dyDescent="0.25">
      <c r="L101" s="502"/>
      <c r="M101" s="505"/>
      <c r="N101" s="45" t="s">
        <v>66</v>
      </c>
      <c r="O101" s="46">
        <v>0</v>
      </c>
      <c r="P101" s="46">
        <v>9.83</v>
      </c>
      <c r="Q101" s="46">
        <v>153.45400000000001</v>
      </c>
      <c r="R101" s="46">
        <v>122.55800000100001</v>
      </c>
      <c r="S101" s="46">
        <v>102.25186666600001</v>
      </c>
      <c r="T101" s="46">
        <v>96.649999999999991</v>
      </c>
      <c r="U101" s="46">
        <v>111.17683333299999</v>
      </c>
      <c r="V101" s="46">
        <v>97.614333332000001</v>
      </c>
      <c r="W101" s="46">
        <v>63.706666667</v>
      </c>
      <c r="X101" s="46">
        <v>154.534533334</v>
      </c>
      <c r="Y101" s="46">
        <v>69.530333334000005</v>
      </c>
      <c r="Z101" s="46">
        <v>0.66</v>
      </c>
    </row>
    <row r="102" spans="2:26" ht="15.75" thickBot="1" x14ac:dyDescent="0.3">
      <c r="L102" s="506"/>
      <c r="M102" s="507"/>
      <c r="N102" s="45" t="s">
        <v>66</v>
      </c>
      <c r="O102" s="47"/>
      <c r="P102" s="47">
        <f t="shared" ref="P102:Z102" si="30">(P96-P101)/P101</f>
        <v>0.38351983723296029</v>
      </c>
      <c r="Q102" s="47">
        <f t="shared" si="30"/>
        <v>-0.11928368852849461</v>
      </c>
      <c r="R102" s="47">
        <f t="shared" si="30"/>
        <v>1.8039567660158351</v>
      </c>
      <c r="S102" s="47">
        <f t="shared" si="30"/>
        <v>0.4483575008783704</v>
      </c>
      <c r="T102" s="47">
        <f t="shared" si="30"/>
        <v>-1</v>
      </c>
      <c r="U102" s="47">
        <f t="shared" si="30"/>
        <v>-0.96336167157115571</v>
      </c>
      <c r="V102" s="47">
        <f t="shared" si="30"/>
        <v>-0.92911538088186307</v>
      </c>
      <c r="W102" s="47">
        <f t="shared" si="30"/>
        <v>2.1330054415909743</v>
      </c>
      <c r="X102" s="47">
        <f t="shared" si="30"/>
        <v>0.8155457558644188</v>
      </c>
      <c r="Y102" s="47">
        <f t="shared" si="30"/>
        <v>-0.36003950314864946</v>
      </c>
      <c r="Z102" s="47">
        <f t="shared" si="30"/>
        <v>-1</v>
      </c>
    </row>
    <row r="103" spans="2:26" x14ac:dyDescent="0.25">
      <c r="L103" s="15"/>
      <c r="M103" s="15"/>
      <c r="N103" s="8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 spans="2:26" x14ac:dyDescent="0.25">
      <c r="L104" s="15"/>
      <c r="M104" s="15"/>
      <c r="N104" s="6" t="s">
        <v>73</v>
      </c>
      <c r="O104" s="17"/>
      <c r="P104" s="17"/>
      <c r="Q104" s="17"/>
      <c r="R104" s="17"/>
      <c r="S104" s="17"/>
      <c r="T104" s="48">
        <f>AVERAGE(T105:T107)</f>
        <v>52.266888888999993</v>
      </c>
      <c r="U104" s="48">
        <v>55</v>
      </c>
      <c r="V104" s="48">
        <f>AVERAGE(V105:V107)</f>
        <v>66.154881720430112</v>
      </c>
      <c r="W104" s="48">
        <f>AVERAGE(W105:W107)</f>
        <v>33.412222222555563</v>
      </c>
      <c r="X104" s="48">
        <f>AVERAGE(X105:X107)</f>
        <v>65.709605734655909</v>
      </c>
      <c r="Y104" s="48">
        <v>66</v>
      </c>
      <c r="Z104" s="48">
        <v>30</v>
      </c>
    </row>
    <row r="105" spans="2:26" x14ac:dyDescent="0.25">
      <c r="L105" s="15"/>
      <c r="M105" s="15"/>
      <c r="N105" s="6" t="s">
        <v>60</v>
      </c>
      <c r="O105" s="17"/>
      <c r="P105" s="17"/>
      <c r="Q105" s="17"/>
      <c r="R105" s="17"/>
      <c r="S105" s="17"/>
      <c r="T105" s="11">
        <f>T90-T97</f>
        <v>36.5</v>
      </c>
      <c r="U105" s="11">
        <f t="shared" ref="U105:Y105" si="31">U90-U97</f>
        <v>127.52666666666666</v>
      </c>
      <c r="V105" s="11">
        <f t="shared" si="31"/>
        <v>90.08064516129032</v>
      </c>
      <c r="W105" s="11">
        <f t="shared" si="31"/>
        <v>3.4066666666666663</v>
      </c>
      <c r="X105" s="11">
        <f t="shared" si="31"/>
        <v>0.23548387096775514</v>
      </c>
      <c r="Y105" s="11">
        <f t="shared" si="31"/>
        <v>87.50333333333333</v>
      </c>
      <c r="Z105" s="11">
        <f>Z90-Z97</f>
        <v>2</v>
      </c>
    </row>
    <row r="106" spans="2:26" x14ac:dyDescent="0.25">
      <c r="L106" s="15"/>
      <c r="M106" s="15"/>
      <c r="N106" s="6" t="s">
        <v>52</v>
      </c>
      <c r="O106" s="11">
        <f t="shared" ref="O106:Z106" si="32">O92-O99</f>
        <v>189.62739999900003</v>
      </c>
      <c r="P106" s="11">
        <f t="shared" si="32"/>
        <v>143.04333333299999</v>
      </c>
      <c r="Q106" s="11">
        <f t="shared" si="32"/>
        <v>151.27433333300004</v>
      </c>
      <c r="R106" s="11">
        <f t="shared" si="32"/>
        <v>166.94400000000002</v>
      </c>
      <c r="S106" s="11">
        <f t="shared" si="32"/>
        <v>151.54000000100001</v>
      </c>
      <c r="T106" s="11">
        <f t="shared" si="32"/>
        <v>86.418666666999997</v>
      </c>
      <c r="U106" s="11">
        <f t="shared" si="32"/>
        <v>61.619333334000004</v>
      </c>
      <c r="V106" s="11">
        <f t="shared" si="32"/>
        <v>22.667666666000002</v>
      </c>
      <c r="W106" s="11">
        <f t="shared" si="32"/>
        <v>18.140000000000043</v>
      </c>
      <c r="X106" s="11">
        <f t="shared" si="32"/>
        <v>37.928666666999959</v>
      </c>
      <c r="Y106" s="11">
        <f t="shared" si="32"/>
        <v>39.893333334000012</v>
      </c>
      <c r="Z106" s="11">
        <f t="shared" si="32"/>
        <v>15</v>
      </c>
    </row>
    <row r="107" spans="2:26" x14ac:dyDescent="0.25">
      <c r="L107" s="15"/>
      <c r="M107" s="15"/>
      <c r="N107" s="6" t="s">
        <v>53</v>
      </c>
      <c r="O107" s="11">
        <f t="shared" ref="O107:Z107" si="33">O94-O101</f>
        <v>31.596333333</v>
      </c>
      <c r="P107" s="11">
        <f t="shared" si="33"/>
        <v>30.545666666000002</v>
      </c>
      <c r="Q107" s="11">
        <f t="shared" si="33"/>
        <v>22.562999999999988</v>
      </c>
      <c r="R107" s="11">
        <f t="shared" si="33"/>
        <v>30.030999999999977</v>
      </c>
      <c r="S107" s="11">
        <f t="shared" si="33"/>
        <v>25.445999999999998</v>
      </c>
      <c r="T107" s="11">
        <f t="shared" si="33"/>
        <v>33.881999999999991</v>
      </c>
      <c r="U107" s="11">
        <f t="shared" si="33"/>
        <v>50.021601665999981</v>
      </c>
      <c r="V107" s="11">
        <f t="shared" si="33"/>
        <v>85.716333334000012</v>
      </c>
      <c r="W107" s="11">
        <f t="shared" si="33"/>
        <v>78.690000000999987</v>
      </c>
      <c r="X107" s="11">
        <f t="shared" si="33"/>
        <v>158.96466666600003</v>
      </c>
      <c r="Y107" s="11">
        <f t="shared" si="33"/>
        <v>166.889666667</v>
      </c>
      <c r="Z107" s="11">
        <f t="shared" si="33"/>
        <v>213.65059999900004</v>
      </c>
    </row>
    <row r="110" spans="2:26" x14ac:dyDescent="0.25">
      <c r="B110" s="456" t="s">
        <v>91</v>
      </c>
      <c r="C110" t="s">
        <v>92</v>
      </c>
    </row>
    <row r="112" spans="2:26" x14ac:dyDescent="0.25">
      <c r="B112" s="456" t="s">
        <v>78</v>
      </c>
      <c r="C112" s="456" t="s">
        <v>1</v>
      </c>
    </row>
    <row r="113" spans="2:15" x14ac:dyDescent="0.25">
      <c r="B113" s="456" t="s">
        <v>2</v>
      </c>
      <c r="C113" t="s">
        <v>3</v>
      </c>
      <c r="D113" t="s">
        <v>4</v>
      </c>
      <c r="E113" t="s">
        <v>5</v>
      </c>
      <c r="F113" t="s">
        <v>6</v>
      </c>
      <c r="G113" t="s">
        <v>7</v>
      </c>
      <c r="H113" t="s">
        <v>8</v>
      </c>
      <c r="I113" t="s">
        <v>45</v>
      </c>
      <c r="J113" t="s">
        <v>46</v>
      </c>
      <c r="K113" t="s">
        <v>9</v>
      </c>
      <c r="L113" t="s">
        <v>10</v>
      </c>
      <c r="M113" t="s">
        <v>11</v>
      </c>
      <c r="N113" t="s">
        <v>12</v>
      </c>
      <c r="O113" t="s">
        <v>13</v>
      </c>
    </row>
    <row r="114" spans="2:15" x14ac:dyDescent="0.25">
      <c r="B114" s="455">
        <v>1</v>
      </c>
      <c r="C114" s="52"/>
      <c r="D114" s="52"/>
      <c r="E114" s="52"/>
      <c r="F114" s="52">
        <v>32.299999999999997</v>
      </c>
      <c r="G114" s="52"/>
      <c r="H114" s="52"/>
      <c r="I114" s="52"/>
      <c r="J114" s="52"/>
      <c r="K114" s="52"/>
      <c r="L114" s="52"/>
      <c r="M114" s="52"/>
      <c r="N114" s="52"/>
      <c r="O114" s="52">
        <v>32.299999999999997</v>
      </c>
    </row>
    <row r="115" spans="2:15" x14ac:dyDescent="0.25">
      <c r="B115" s="455">
        <v>2</v>
      </c>
      <c r="C115" s="52"/>
      <c r="D115" s="52">
        <v>146.72142857142859</v>
      </c>
      <c r="E115" s="52">
        <v>155.92822580645162</v>
      </c>
      <c r="F115" s="52">
        <v>148.97166666666666</v>
      </c>
      <c r="G115" s="52">
        <v>23.029838709677421</v>
      </c>
      <c r="H115" s="52"/>
      <c r="I115" s="52"/>
      <c r="J115" s="52"/>
      <c r="K115" s="52">
        <v>10.791666666666666</v>
      </c>
      <c r="L115" s="52">
        <v>64.75</v>
      </c>
      <c r="M115" s="52">
        <v>6.4750000000000005</v>
      </c>
      <c r="N115" s="52"/>
      <c r="O115" s="52">
        <v>556.66782642089095</v>
      </c>
    </row>
    <row r="116" spans="2:15" x14ac:dyDescent="0.25">
      <c r="B116" s="6" t="s">
        <v>81</v>
      </c>
      <c r="C116" s="52"/>
      <c r="D116" s="52"/>
      <c r="E116" s="52">
        <v>31.014516129032259</v>
      </c>
      <c r="F116" s="52">
        <v>68.674999999999997</v>
      </c>
      <c r="G116" s="52"/>
      <c r="H116" s="52"/>
      <c r="I116" s="52"/>
      <c r="J116" s="52"/>
      <c r="K116" s="52"/>
      <c r="L116" s="52"/>
      <c r="M116" s="52"/>
      <c r="N116" s="52"/>
      <c r="O116" s="52">
        <v>99.689516129032256</v>
      </c>
    </row>
    <row r="117" spans="2:15" x14ac:dyDescent="0.25">
      <c r="B117" s="6" t="s">
        <v>80</v>
      </c>
      <c r="C117" s="52"/>
      <c r="D117" s="52"/>
      <c r="E117" s="52">
        <v>12.161290322580646</v>
      </c>
      <c r="F117" s="52">
        <v>37.700000000000003</v>
      </c>
      <c r="G117" s="52">
        <v>10.945161290322583</v>
      </c>
      <c r="H117" s="52"/>
      <c r="I117" s="52"/>
      <c r="J117" s="52"/>
      <c r="K117" s="52"/>
      <c r="L117" s="52"/>
      <c r="M117" s="52"/>
      <c r="N117" s="52"/>
      <c r="O117" s="52">
        <v>60.806451612903231</v>
      </c>
    </row>
    <row r="118" spans="2:15" x14ac:dyDescent="0.25">
      <c r="B118" s="6" t="s">
        <v>1429</v>
      </c>
      <c r="C118" s="52"/>
      <c r="D118" s="52">
        <v>98.25</v>
      </c>
      <c r="E118" s="52">
        <v>6.3387096774193541</v>
      </c>
      <c r="F118" s="52"/>
      <c r="G118" s="52"/>
      <c r="H118" s="52"/>
      <c r="I118" s="52"/>
      <c r="J118" s="52"/>
      <c r="K118" s="52"/>
      <c r="L118" s="52"/>
      <c r="M118" s="52"/>
      <c r="N118" s="52"/>
      <c r="O118" s="52">
        <v>104.58870967741936</v>
      </c>
    </row>
    <row r="119" spans="2:15" x14ac:dyDescent="0.25">
      <c r="B119" s="6" t="s">
        <v>83</v>
      </c>
      <c r="C119" s="52"/>
      <c r="D119" s="52"/>
      <c r="E119" s="52">
        <v>25.512096774193548</v>
      </c>
      <c r="F119" s="52">
        <v>41.625</v>
      </c>
      <c r="G119" s="52">
        <v>12.08467741935484</v>
      </c>
      <c r="H119" s="52"/>
      <c r="I119" s="52"/>
      <c r="J119" s="52"/>
      <c r="K119" s="52"/>
      <c r="L119" s="52"/>
      <c r="M119" s="52"/>
      <c r="N119" s="52"/>
      <c r="O119" s="52">
        <v>79.221774193548384</v>
      </c>
    </row>
    <row r="120" spans="2:15" x14ac:dyDescent="0.25">
      <c r="B120" s="6" t="s">
        <v>86</v>
      </c>
      <c r="C120" s="52"/>
      <c r="D120" s="52">
        <v>40.346428571428575</v>
      </c>
      <c r="E120" s="52">
        <v>36.441935483870971</v>
      </c>
      <c r="F120" s="52"/>
      <c r="G120" s="52"/>
      <c r="H120" s="52"/>
      <c r="I120" s="52"/>
      <c r="J120" s="52"/>
      <c r="K120" s="52"/>
      <c r="L120" s="52"/>
      <c r="M120" s="52"/>
      <c r="N120" s="52"/>
      <c r="O120" s="52">
        <v>76.788364055299553</v>
      </c>
    </row>
    <row r="121" spans="2:15" x14ac:dyDescent="0.25">
      <c r="B121" s="6" t="s">
        <v>79</v>
      </c>
      <c r="C121" s="52"/>
      <c r="D121" s="52"/>
      <c r="E121" s="52"/>
      <c r="F121" s="52"/>
      <c r="G121" s="52"/>
      <c r="H121" s="52"/>
      <c r="I121" s="52"/>
      <c r="J121" s="52"/>
      <c r="K121" s="52">
        <v>10.791666666666666</v>
      </c>
      <c r="L121" s="52">
        <v>64.75</v>
      </c>
      <c r="M121" s="52">
        <v>6.4750000000000005</v>
      </c>
      <c r="N121" s="52"/>
      <c r="O121" s="52">
        <v>82.016666666666666</v>
      </c>
    </row>
    <row r="122" spans="2:15" x14ac:dyDescent="0.25">
      <c r="B122" s="6" t="s">
        <v>1430</v>
      </c>
      <c r="C122" s="52"/>
      <c r="D122" s="52">
        <v>8.125</v>
      </c>
      <c r="E122" s="52">
        <v>16.25</v>
      </c>
      <c r="F122" s="52"/>
      <c r="G122" s="52"/>
      <c r="H122" s="52"/>
      <c r="I122" s="52"/>
      <c r="J122" s="52"/>
      <c r="K122" s="52"/>
      <c r="L122" s="52"/>
      <c r="M122" s="52"/>
      <c r="N122" s="52"/>
      <c r="O122" s="52">
        <v>24.375</v>
      </c>
    </row>
    <row r="123" spans="2:15" x14ac:dyDescent="0.25">
      <c r="B123" s="6" t="s">
        <v>77</v>
      </c>
      <c r="C123" s="52"/>
      <c r="D123" s="52"/>
      <c r="E123" s="52">
        <v>28.20967741935484</v>
      </c>
      <c r="F123" s="52">
        <v>0.97166666666666668</v>
      </c>
      <c r="G123" s="52"/>
      <c r="H123" s="52"/>
      <c r="I123" s="52"/>
      <c r="J123" s="52"/>
      <c r="K123" s="52"/>
      <c r="L123" s="52"/>
      <c r="M123" s="52"/>
      <c r="N123" s="52"/>
      <c r="O123" s="52">
        <v>29.181344086021507</v>
      </c>
    </row>
    <row r="124" spans="2:15" x14ac:dyDescent="0.25">
      <c r="B124" s="455">
        <v>3</v>
      </c>
      <c r="C124" s="52">
        <v>246.11532258064517</v>
      </c>
      <c r="D124" s="52">
        <v>386.82678571428568</v>
      </c>
      <c r="E124" s="52">
        <v>206.43467741935484</v>
      </c>
      <c r="F124" s="52">
        <v>38.385833333333331</v>
      </c>
      <c r="G124" s="52">
        <v>9.939516129032258</v>
      </c>
      <c r="H124" s="52">
        <v>2.75</v>
      </c>
      <c r="I124" s="52">
        <v>0.91935483870967749</v>
      </c>
      <c r="J124" s="52">
        <v>1.0999999999999999</v>
      </c>
      <c r="K124" s="52"/>
      <c r="L124" s="52"/>
      <c r="M124" s="52"/>
      <c r="N124" s="52"/>
      <c r="O124" s="52">
        <v>892.47149001536104</v>
      </c>
    </row>
    <row r="125" spans="2:15" x14ac:dyDescent="0.25">
      <c r="B125" s="455">
        <v>4</v>
      </c>
      <c r="C125" s="52"/>
      <c r="D125" s="52">
        <v>18.75</v>
      </c>
      <c r="E125" s="52">
        <v>75.589838709677409</v>
      </c>
      <c r="F125" s="52">
        <v>64.99102688172043</v>
      </c>
      <c r="G125" s="52">
        <v>3.0141935483870963</v>
      </c>
      <c r="H125" s="52"/>
      <c r="I125" s="52"/>
      <c r="J125" s="52"/>
      <c r="K125" s="52"/>
      <c r="L125" s="52">
        <v>6.887096774193548</v>
      </c>
      <c r="M125" s="52">
        <v>15.25</v>
      </c>
      <c r="N125" s="52">
        <v>2.9516129032258065</v>
      </c>
      <c r="O125" s="52">
        <v>187.43376881720425</v>
      </c>
    </row>
    <row r="126" spans="2:15" x14ac:dyDescent="0.25">
      <c r="B126" s="455">
        <v>5</v>
      </c>
      <c r="C126" s="52">
        <v>25.909677419354843</v>
      </c>
      <c r="D126" s="52">
        <v>8.3724999999999987</v>
      </c>
      <c r="E126" s="52">
        <v>11.34</v>
      </c>
      <c r="F126" s="52">
        <v>118.53933333333333</v>
      </c>
      <c r="G126" s="52">
        <v>129.5340860215054</v>
      </c>
      <c r="H126" s="52">
        <v>117.55666666666667</v>
      </c>
      <c r="I126" s="52">
        <v>103.05000000000001</v>
      </c>
      <c r="J126" s="52">
        <v>103.05000000000001</v>
      </c>
      <c r="K126" s="52">
        <v>103.05000000000001</v>
      </c>
      <c r="L126" s="52">
        <v>103.05000000000001</v>
      </c>
      <c r="M126" s="52">
        <v>103.05000000000001</v>
      </c>
      <c r="N126" s="52">
        <v>103.05000000000001</v>
      </c>
      <c r="O126" s="52">
        <v>1029.5522634408601</v>
      </c>
    </row>
    <row r="127" spans="2:15" x14ac:dyDescent="0.25">
      <c r="B127" s="455" t="s">
        <v>13</v>
      </c>
      <c r="C127" s="52">
        <v>272.02500000000003</v>
      </c>
      <c r="D127" s="52">
        <v>560.67071428571421</v>
      </c>
      <c r="E127" s="52">
        <v>449.29274193548383</v>
      </c>
      <c r="F127" s="52">
        <v>403.18786021505377</v>
      </c>
      <c r="G127" s="52">
        <v>165.51763440860219</v>
      </c>
      <c r="H127" s="52">
        <v>120.30666666666667</v>
      </c>
      <c r="I127" s="52">
        <v>103.96935483870969</v>
      </c>
      <c r="J127" s="52">
        <v>104.15</v>
      </c>
      <c r="K127" s="52">
        <v>113.84166666666668</v>
      </c>
      <c r="L127" s="52">
        <v>174.68709677419355</v>
      </c>
      <c r="M127" s="52">
        <v>124.77500000000001</v>
      </c>
      <c r="N127" s="52">
        <v>106.00161290322582</v>
      </c>
      <c r="O127" s="52">
        <v>2698.4253486943162</v>
      </c>
    </row>
  </sheetData>
  <mergeCells count="6">
    <mergeCell ref="M2:Z2"/>
    <mergeCell ref="K35:L41"/>
    <mergeCell ref="K42:L48"/>
    <mergeCell ref="L89:M95"/>
    <mergeCell ref="L96:M102"/>
    <mergeCell ref="M33:Z33"/>
  </mergeCells>
  <phoneticPr fontId="13" type="noConversion"/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ACFBA-0E85-4226-A53F-AC720F16927C}">
  <sheetPr codeName="Sheet14">
    <tabColor rgb="FF00B0F0"/>
  </sheetPr>
  <dimension ref="B1:AL98"/>
  <sheetViews>
    <sheetView tabSelected="1" zoomScale="70" zoomScaleNormal="70" workbookViewId="0">
      <pane ySplit="4" topLeftCell="A5" activePane="bottomLeft" state="frozen"/>
      <selection pane="bottomLeft" activeCell="C8" sqref="C8:D8"/>
    </sheetView>
  </sheetViews>
  <sheetFormatPr defaultRowHeight="15" outlineLevelCol="1" x14ac:dyDescent="0.25"/>
  <cols>
    <col min="2" max="2" width="37.28515625" customWidth="1"/>
    <col min="3" max="9" width="12" customWidth="1"/>
    <col min="10" max="10" width="9.140625" customWidth="1"/>
    <col min="13" max="13" width="20" customWidth="1"/>
    <col min="14" max="20" width="9.140625" customWidth="1"/>
    <col min="21" max="22" width="9.140625" customWidth="1" outlineLevel="1"/>
    <col min="23" max="23" width="10.7109375" customWidth="1" outlineLevel="1"/>
    <col min="24" max="24" width="11" customWidth="1" outlineLevel="1"/>
    <col min="25" max="25" width="10.7109375" customWidth="1" outlineLevel="1"/>
    <col min="26" max="27" width="14.7109375" customWidth="1" outlineLevel="1"/>
    <col min="28" max="28" width="12.28515625" customWidth="1" outlineLevel="1"/>
    <col min="30" max="30" width="9.28515625" bestFit="1" customWidth="1"/>
    <col min="32" max="32" width="12" bestFit="1" customWidth="1"/>
    <col min="34" max="37" width="12" bestFit="1" customWidth="1"/>
  </cols>
  <sheetData>
    <row r="1" spans="2:38" ht="15.75" thickBot="1" x14ac:dyDescent="0.3"/>
    <row r="2" spans="2:38" ht="15.75" thickBot="1" x14ac:dyDescent="0.3">
      <c r="K2" s="15"/>
      <c r="L2" s="15"/>
      <c r="M2" s="493" t="s">
        <v>74</v>
      </c>
      <c r="N2" s="494"/>
      <c r="O2" s="494"/>
      <c r="P2" s="494"/>
      <c r="Q2" s="494"/>
      <c r="R2" s="494"/>
      <c r="S2" s="494"/>
      <c r="T2" s="494"/>
      <c r="U2" s="494"/>
      <c r="V2" s="494"/>
      <c r="W2" s="494"/>
      <c r="X2" s="494"/>
      <c r="Y2" s="494"/>
      <c r="Z2" s="495"/>
      <c r="AA2" s="471"/>
    </row>
    <row r="3" spans="2:38" ht="21" hidden="1" customHeight="1" x14ac:dyDescent="0.25">
      <c r="B3" s="1" t="s">
        <v>0</v>
      </c>
      <c r="C3" s="1" t="s">
        <v>1</v>
      </c>
      <c r="D3" s="1"/>
      <c r="E3" s="1"/>
      <c r="F3" s="1"/>
      <c r="G3" s="1"/>
      <c r="H3" s="1"/>
      <c r="I3" s="1"/>
      <c r="K3" s="15"/>
      <c r="L3" s="15"/>
      <c r="M3" s="1"/>
      <c r="N3" s="1" t="s">
        <v>1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5"/>
      <c r="AA3" s="15"/>
    </row>
    <row r="4" spans="2:38" x14ac:dyDescent="0.25">
      <c r="B4" s="2"/>
      <c r="C4" s="32"/>
      <c r="D4" s="32"/>
      <c r="E4" s="32"/>
      <c r="F4" s="32"/>
      <c r="G4" s="32"/>
      <c r="H4" s="32"/>
      <c r="I4" s="2"/>
      <c r="K4" s="15"/>
      <c r="L4" s="15"/>
      <c r="M4" s="2" t="s">
        <v>2</v>
      </c>
      <c r="N4" s="3" t="s">
        <v>3</v>
      </c>
      <c r="O4" s="3" t="s">
        <v>4</v>
      </c>
      <c r="P4" s="3" t="s">
        <v>5</v>
      </c>
      <c r="Q4" s="3" t="s">
        <v>6</v>
      </c>
      <c r="R4" s="3" t="s">
        <v>7</v>
      </c>
      <c r="S4" s="3" t="s">
        <v>8</v>
      </c>
      <c r="T4" s="3" t="s">
        <v>45</v>
      </c>
      <c r="U4" s="3" t="s">
        <v>46</v>
      </c>
      <c r="V4" s="3" t="s">
        <v>9</v>
      </c>
      <c r="W4" s="3" t="s">
        <v>10</v>
      </c>
      <c r="X4" s="3" t="s">
        <v>11</v>
      </c>
      <c r="Y4" s="3" t="s">
        <v>12</v>
      </c>
      <c r="Z4" s="37" t="s">
        <v>68</v>
      </c>
      <c r="AA4" s="13" t="s">
        <v>1426</v>
      </c>
      <c r="AB4" s="13" t="s">
        <v>72</v>
      </c>
    </row>
    <row r="5" spans="2:38" x14ac:dyDescent="0.25">
      <c r="B5" s="4"/>
      <c r="C5" s="33"/>
      <c r="D5" s="33"/>
      <c r="E5" s="33"/>
      <c r="F5" s="33"/>
      <c r="G5" s="33"/>
      <c r="H5" s="33"/>
      <c r="I5" s="33"/>
      <c r="M5" s="4"/>
      <c r="N5" s="33"/>
      <c r="O5" s="33"/>
      <c r="P5" s="33"/>
      <c r="Q5" s="5"/>
      <c r="R5" s="5"/>
      <c r="S5" s="5"/>
      <c r="T5" s="5"/>
      <c r="U5" s="5"/>
      <c r="V5" s="5"/>
      <c r="W5" s="5"/>
      <c r="X5" s="5"/>
      <c r="Y5" s="5"/>
      <c r="Z5" s="38"/>
    </row>
    <row r="6" spans="2:38" x14ac:dyDescent="0.25">
      <c r="B6" s="6"/>
      <c r="C6" s="509">
        <v>46199</v>
      </c>
      <c r="D6" s="509">
        <f>C6+7</f>
        <v>46206</v>
      </c>
      <c r="E6" s="509">
        <f>D6+7</f>
        <v>46213</v>
      </c>
      <c r="F6" s="10"/>
      <c r="G6" s="10"/>
      <c r="H6" s="10"/>
      <c r="I6" s="10"/>
      <c r="M6" s="6"/>
      <c r="N6" s="10"/>
      <c r="O6" s="10"/>
      <c r="P6" s="10"/>
      <c r="Q6" s="5"/>
      <c r="R6" s="5"/>
      <c r="S6" s="5"/>
      <c r="T6" s="5"/>
      <c r="U6" s="5"/>
      <c r="V6" s="5"/>
      <c r="W6" s="5"/>
      <c r="X6" s="5"/>
      <c r="Y6" s="5"/>
      <c r="Z6" s="38"/>
    </row>
    <row r="7" spans="2:38" x14ac:dyDescent="0.25">
      <c r="B7" s="6"/>
      <c r="C7" s="10">
        <f>120</f>
        <v>120</v>
      </c>
      <c r="D7" s="10">
        <v>120</v>
      </c>
      <c r="E7" s="10"/>
      <c r="F7" s="10"/>
      <c r="G7" s="10"/>
      <c r="H7" s="10"/>
      <c r="I7" s="10"/>
      <c r="M7" s="6"/>
      <c r="N7" s="10"/>
      <c r="O7" s="10"/>
      <c r="P7" s="10"/>
      <c r="Q7" s="5"/>
      <c r="R7" s="5"/>
      <c r="S7" s="5"/>
      <c r="T7" s="5"/>
      <c r="U7" s="5"/>
      <c r="V7" s="5"/>
      <c r="W7" s="5"/>
      <c r="X7" s="5"/>
      <c r="Y7" s="5"/>
      <c r="Z7" s="38"/>
    </row>
    <row r="8" spans="2:38" x14ac:dyDescent="0.25">
      <c r="B8" s="4"/>
      <c r="C8" s="33">
        <f>C7*7</f>
        <v>840</v>
      </c>
      <c r="D8" s="33">
        <f>D7*7</f>
        <v>840</v>
      </c>
      <c r="E8" s="33"/>
      <c r="F8" s="33"/>
      <c r="G8" s="33"/>
      <c r="H8" s="33"/>
      <c r="I8" s="33"/>
      <c r="M8" s="4"/>
      <c r="N8" s="33"/>
      <c r="O8" s="33"/>
      <c r="P8" s="33"/>
      <c r="Q8" s="5"/>
      <c r="R8" s="5"/>
      <c r="S8" s="5"/>
      <c r="T8" s="5"/>
      <c r="U8" s="5"/>
      <c r="V8" s="5"/>
      <c r="W8" s="5"/>
      <c r="X8" s="5"/>
      <c r="Y8" s="5"/>
      <c r="Z8" s="38"/>
    </row>
    <row r="9" spans="2:38" x14ac:dyDescent="0.25">
      <c r="B9" s="6"/>
      <c r="C9" s="10"/>
      <c r="D9" s="10"/>
      <c r="E9" s="10"/>
      <c r="F9" s="10"/>
      <c r="G9" s="10"/>
      <c r="H9" s="10"/>
      <c r="I9" s="10"/>
      <c r="M9" s="6"/>
      <c r="N9" s="10"/>
      <c r="O9" s="10"/>
      <c r="P9" s="10"/>
      <c r="Q9" s="5"/>
      <c r="R9" s="5"/>
      <c r="S9" s="5"/>
      <c r="T9" s="5"/>
      <c r="U9" s="5"/>
      <c r="V9" s="5"/>
      <c r="W9" s="5"/>
      <c r="X9" s="5"/>
      <c r="Y9" s="5"/>
      <c r="Z9" s="38"/>
    </row>
    <row r="10" spans="2:38" x14ac:dyDescent="0.25">
      <c r="B10" s="4"/>
      <c r="C10" s="33"/>
      <c r="D10" s="33"/>
      <c r="E10" s="33"/>
      <c r="F10" s="33"/>
      <c r="G10" s="33"/>
      <c r="H10" s="33"/>
      <c r="I10" s="33"/>
      <c r="M10" s="4"/>
      <c r="N10" s="33"/>
      <c r="O10" s="33"/>
      <c r="P10" s="33"/>
      <c r="Q10" s="5"/>
      <c r="R10" s="5"/>
      <c r="S10" s="5"/>
      <c r="T10" s="5"/>
      <c r="U10" s="5"/>
      <c r="V10" s="5"/>
      <c r="W10" s="5"/>
      <c r="X10" s="5"/>
      <c r="Y10" s="5"/>
      <c r="Z10" s="38"/>
    </row>
    <row r="11" spans="2:38" x14ac:dyDescent="0.25">
      <c r="B11" s="6"/>
      <c r="C11" s="10"/>
      <c r="D11" s="10"/>
      <c r="E11" s="10"/>
      <c r="F11" s="10"/>
      <c r="G11" s="10"/>
      <c r="H11" s="10"/>
      <c r="I11" s="10"/>
      <c r="M11" s="6"/>
      <c r="N11" s="10"/>
      <c r="O11" s="10"/>
      <c r="P11" s="10"/>
      <c r="Q11" s="5"/>
      <c r="R11" s="5"/>
      <c r="S11" s="5"/>
      <c r="T11" s="5"/>
      <c r="U11" s="5"/>
      <c r="V11" s="5"/>
      <c r="W11" s="5"/>
      <c r="X11" s="5"/>
      <c r="Y11" s="5"/>
      <c r="Z11" s="38"/>
    </row>
    <row r="12" spans="2:38" x14ac:dyDescent="0.25">
      <c r="B12" s="4"/>
      <c r="C12" s="33"/>
      <c r="D12" s="33"/>
      <c r="E12" s="33"/>
      <c r="F12" s="33"/>
      <c r="G12" s="33"/>
      <c r="H12" s="33"/>
      <c r="I12" s="33"/>
      <c r="M12" s="4"/>
      <c r="N12" s="33"/>
      <c r="O12" s="33"/>
      <c r="P12" s="33"/>
      <c r="Q12" s="5"/>
      <c r="R12" s="5"/>
      <c r="S12" s="5"/>
      <c r="T12" s="5"/>
      <c r="U12" s="5"/>
      <c r="V12" s="5"/>
      <c r="W12" s="5"/>
      <c r="X12" s="5"/>
      <c r="Y12" s="5"/>
      <c r="Z12" s="38"/>
    </row>
    <row r="13" spans="2:38" x14ac:dyDescent="0.25">
      <c r="B13" s="6"/>
      <c r="C13" s="10"/>
      <c r="D13" s="10"/>
      <c r="E13" s="10"/>
      <c r="F13" s="10"/>
      <c r="G13" s="10"/>
      <c r="H13" s="10"/>
      <c r="I13" s="10"/>
      <c r="M13" s="6"/>
      <c r="N13" s="10"/>
      <c r="O13" s="10"/>
      <c r="P13" s="10"/>
      <c r="Q13" s="5"/>
      <c r="R13" s="5"/>
      <c r="S13" s="5"/>
      <c r="T13" s="5"/>
      <c r="U13" s="5"/>
      <c r="V13" s="5"/>
      <c r="W13" s="5"/>
      <c r="X13" s="5"/>
      <c r="Y13" s="5"/>
      <c r="Z13" s="38"/>
    </row>
    <row r="14" spans="2:38" x14ac:dyDescent="0.25">
      <c r="B14" s="4"/>
      <c r="C14" s="33"/>
      <c r="D14" s="33"/>
      <c r="E14" s="33"/>
      <c r="F14" s="33"/>
      <c r="G14" s="33"/>
      <c r="H14" s="33"/>
      <c r="I14" s="33"/>
      <c r="M14" s="4"/>
      <c r="N14" s="33"/>
      <c r="O14" s="33"/>
      <c r="P14" s="33"/>
      <c r="Q14" s="5"/>
      <c r="R14" s="5"/>
      <c r="S14" s="5"/>
      <c r="T14" s="5"/>
      <c r="U14" s="5"/>
      <c r="V14" s="5"/>
      <c r="W14" s="5"/>
      <c r="X14" s="5"/>
      <c r="Y14" s="5"/>
      <c r="Z14" s="38"/>
    </row>
    <row r="15" spans="2:38" x14ac:dyDescent="0.25">
      <c r="B15" s="6"/>
      <c r="C15" s="10"/>
      <c r="D15" s="10"/>
      <c r="E15" s="10"/>
      <c r="F15" s="10"/>
      <c r="G15" s="10"/>
      <c r="H15" s="10"/>
      <c r="I15" s="10"/>
      <c r="M15" s="6"/>
      <c r="N15" s="10"/>
      <c r="O15" s="10"/>
      <c r="P15" s="10"/>
      <c r="Q15" s="5"/>
      <c r="R15" s="5"/>
      <c r="S15" s="5"/>
      <c r="T15" s="5"/>
      <c r="U15" s="5"/>
      <c r="V15" s="5"/>
      <c r="W15" s="5"/>
      <c r="X15" s="5"/>
      <c r="Y15" s="5"/>
      <c r="Z15" s="38"/>
      <c r="AF15" t="s">
        <v>1419</v>
      </c>
      <c r="AG15" t="s">
        <v>1420</v>
      </c>
      <c r="AH15" t="s">
        <v>1421</v>
      </c>
      <c r="AI15" t="s">
        <v>1422</v>
      </c>
      <c r="AJ15" t="s">
        <v>1423</v>
      </c>
      <c r="AK15" t="s">
        <v>1424</v>
      </c>
    </row>
    <row r="16" spans="2:38" x14ac:dyDescent="0.25">
      <c r="B16" s="6"/>
      <c r="C16" s="10"/>
      <c r="D16" s="10"/>
      <c r="E16" s="10"/>
      <c r="F16" s="10"/>
      <c r="G16" s="10"/>
      <c r="H16" s="10"/>
      <c r="I16" s="10"/>
      <c r="M16" s="6"/>
      <c r="N16" s="10"/>
      <c r="O16" s="10"/>
      <c r="P16" s="10"/>
      <c r="Q16" s="5"/>
      <c r="R16" s="5"/>
      <c r="S16" s="5"/>
      <c r="T16" s="5"/>
      <c r="U16" s="5"/>
      <c r="V16" s="5"/>
      <c r="W16" s="5"/>
      <c r="X16" s="5"/>
      <c r="Y16" s="5"/>
      <c r="Z16" s="38"/>
      <c r="AE16">
        <v>20205</v>
      </c>
      <c r="AF16" s="50">
        <v>-487.36074193548382</v>
      </c>
      <c r="AG16" s="50">
        <v>-537.59399999999994</v>
      </c>
      <c r="AH16" s="50">
        <v>-386.37598106591861</v>
      </c>
      <c r="AI16" s="50">
        <v>-335.22733333333338</v>
      </c>
      <c r="AJ16" s="50">
        <v>-215.98351612903227</v>
      </c>
      <c r="AK16" s="50">
        <v>-229.89186111111113</v>
      </c>
      <c r="AL16" s="50"/>
    </row>
    <row r="17" spans="2:38" x14ac:dyDescent="0.25">
      <c r="B17" s="4"/>
      <c r="C17" s="33"/>
      <c r="D17" s="33"/>
      <c r="E17" s="33"/>
      <c r="F17" s="33"/>
      <c r="G17" s="33"/>
      <c r="H17" s="33"/>
      <c r="I17" s="33"/>
      <c r="M17" s="4"/>
      <c r="N17" s="33"/>
      <c r="O17" s="33"/>
      <c r="P17" s="33"/>
      <c r="R17" s="5"/>
      <c r="S17" s="5"/>
      <c r="T17" s="5"/>
      <c r="U17" s="5"/>
      <c r="V17" s="5"/>
      <c r="W17" s="5"/>
      <c r="X17" s="5"/>
      <c r="Y17" s="5"/>
      <c r="Z17" s="38"/>
      <c r="AF17" s="50">
        <f t="shared" ref="AF17:AK17" si="0">-1*AF16</f>
        <v>487.36074193548382</v>
      </c>
      <c r="AG17" s="50">
        <f t="shared" si="0"/>
        <v>537.59399999999994</v>
      </c>
      <c r="AH17" s="50">
        <f t="shared" si="0"/>
        <v>386.37598106591861</v>
      </c>
      <c r="AI17" s="50">
        <f t="shared" si="0"/>
        <v>335.22733333333338</v>
      </c>
      <c r="AJ17" s="50">
        <f t="shared" si="0"/>
        <v>215.98351612903227</v>
      </c>
      <c r="AK17" s="50">
        <f t="shared" si="0"/>
        <v>229.89186111111113</v>
      </c>
      <c r="AL17" s="50"/>
    </row>
    <row r="18" spans="2:38" x14ac:dyDescent="0.25">
      <c r="B18" s="6"/>
      <c r="C18" s="10"/>
      <c r="D18" s="10"/>
      <c r="E18" s="10"/>
      <c r="F18" s="10"/>
      <c r="G18" s="10"/>
      <c r="H18" s="10"/>
      <c r="I18" s="10"/>
      <c r="M18" s="6"/>
      <c r="N18" s="10"/>
      <c r="O18" s="10"/>
      <c r="P18" s="10"/>
      <c r="Q18" s="5"/>
      <c r="R18" s="5"/>
      <c r="S18" s="5"/>
      <c r="T18" s="5"/>
      <c r="U18" s="5"/>
      <c r="V18" s="5"/>
      <c r="W18" s="5"/>
      <c r="X18" s="5"/>
      <c r="Y18" s="5"/>
      <c r="Z18" s="38"/>
      <c r="AE18">
        <v>2024</v>
      </c>
      <c r="AF18" s="50">
        <v>-409.60999999999996</v>
      </c>
      <c r="AG18" s="50">
        <v>-453.78805418719219</v>
      </c>
      <c r="AH18" s="50">
        <v>-496.32799999999997</v>
      </c>
      <c r="AI18" s="50">
        <v>-262.86706666666669</v>
      </c>
      <c r="AJ18" s="50">
        <v>-189.15241935483868</v>
      </c>
      <c r="AK18" s="50"/>
      <c r="AL18" s="50"/>
    </row>
    <row r="19" spans="2:38" x14ac:dyDescent="0.25">
      <c r="B19" s="6"/>
      <c r="C19" s="10"/>
      <c r="D19" s="10"/>
      <c r="E19" s="10"/>
      <c r="F19" s="10"/>
      <c r="G19" s="10"/>
      <c r="H19" s="10"/>
      <c r="I19" s="10"/>
      <c r="M19" s="6"/>
      <c r="N19" s="10"/>
      <c r="O19" s="10"/>
      <c r="P19" s="10"/>
      <c r="Q19" s="5"/>
      <c r="R19" s="5"/>
      <c r="S19" s="5"/>
      <c r="T19" s="5"/>
      <c r="U19" s="5"/>
      <c r="V19" s="5"/>
      <c r="W19" s="5"/>
      <c r="X19" s="5"/>
      <c r="Y19" s="5"/>
      <c r="Z19" s="38"/>
      <c r="AF19" s="50">
        <f>-1*AF18</f>
        <v>409.60999999999996</v>
      </c>
      <c r="AG19" s="50">
        <f>-1*AG18</f>
        <v>453.78805418719219</v>
      </c>
      <c r="AH19" s="50">
        <f>-1*AH18</f>
        <v>496.32799999999997</v>
      </c>
      <c r="AI19" s="50">
        <f>-1*AI18</f>
        <v>262.86706666666669</v>
      </c>
      <c r="AJ19" s="50">
        <f>-1*AJ18</f>
        <v>189.15241935483868</v>
      </c>
      <c r="AK19" s="50"/>
      <c r="AL19" s="50"/>
    </row>
    <row r="20" spans="2:38" x14ac:dyDescent="0.25">
      <c r="B20" s="4"/>
      <c r="C20" s="33"/>
      <c r="D20" s="33"/>
      <c r="E20" s="33"/>
      <c r="F20" s="33"/>
      <c r="G20" s="33"/>
      <c r="H20" s="33"/>
      <c r="I20" s="33"/>
      <c r="M20" s="4"/>
      <c r="N20" s="33"/>
      <c r="O20" s="33"/>
      <c r="P20" s="33"/>
      <c r="Q20" s="5"/>
      <c r="R20" s="5"/>
      <c r="S20" s="5"/>
      <c r="T20" s="5"/>
      <c r="U20" s="5"/>
      <c r="V20" s="5"/>
      <c r="W20" s="5"/>
      <c r="X20" s="5"/>
      <c r="Y20" s="5"/>
      <c r="Z20" s="38"/>
    </row>
    <row r="21" spans="2:38" x14ac:dyDescent="0.25">
      <c r="B21" s="6"/>
      <c r="C21" s="10"/>
      <c r="D21" s="10"/>
      <c r="E21" s="10"/>
      <c r="F21" s="10"/>
      <c r="G21" s="10"/>
      <c r="H21" s="10"/>
      <c r="I21" s="10"/>
      <c r="M21" s="6"/>
      <c r="N21" s="10"/>
      <c r="O21" s="10"/>
      <c r="P21" s="10"/>
      <c r="Q21" s="5"/>
      <c r="R21" s="5"/>
      <c r="S21" s="5">
        <f>245*0.1+80*0.65+40*0.85+60*0.1</f>
        <v>116.5</v>
      </c>
      <c r="T21" s="5"/>
      <c r="U21" s="5"/>
      <c r="V21" s="5"/>
      <c r="W21" s="5"/>
      <c r="X21" s="5"/>
      <c r="Y21" s="5"/>
      <c r="Z21" s="38"/>
    </row>
    <row r="22" spans="2:38" x14ac:dyDescent="0.25">
      <c r="B22" s="4"/>
      <c r="C22" s="33"/>
      <c r="D22" s="33"/>
      <c r="E22" s="33"/>
      <c r="F22" s="33"/>
      <c r="G22" s="33"/>
      <c r="H22" s="33"/>
      <c r="I22" s="33"/>
      <c r="M22" s="4"/>
      <c r="N22" s="33"/>
      <c r="O22" s="33"/>
      <c r="P22" s="33"/>
      <c r="Q22" s="5"/>
      <c r="R22" s="5"/>
      <c r="S22" s="5">
        <f>(30-19)/30*120</f>
        <v>44</v>
      </c>
      <c r="T22" s="5">
        <f>(3)/31*120</f>
        <v>11.612903225806452</v>
      </c>
      <c r="U22" s="5"/>
      <c r="V22" s="5"/>
      <c r="W22" s="5"/>
      <c r="X22" s="5"/>
      <c r="Y22" s="5"/>
      <c r="Z22" s="38"/>
    </row>
    <row r="23" spans="2:38" x14ac:dyDescent="0.25">
      <c r="B23" s="6"/>
      <c r="C23" s="10"/>
      <c r="D23" s="10"/>
      <c r="E23" s="10"/>
      <c r="F23" s="10"/>
      <c r="G23" s="10"/>
      <c r="H23" s="10"/>
      <c r="I23" s="10"/>
      <c r="M23" s="6"/>
      <c r="N23" s="10"/>
      <c r="O23" s="10"/>
      <c r="P23" s="10" t="s">
        <v>1463</v>
      </c>
      <c r="Q23" s="5"/>
      <c r="R23" s="5"/>
      <c r="S23" s="5"/>
      <c r="T23" s="5"/>
      <c r="U23" s="5"/>
      <c r="V23" s="5"/>
      <c r="W23" s="5"/>
      <c r="X23" s="5"/>
      <c r="Y23" s="5"/>
      <c r="Z23" s="38"/>
    </row>
    <row r="24" spans="2:38" x14ac:dyDescent="0.25">
      <c r="B24" s="6"/>
      <c r="C24" s="10"/>
      <c r="D24" s="10"/>
      <c r="E24" s="10"/>
      <c r="F24" s="10"/>
      <c r="G24" s="10"/>
      <c r="H24" s="10"/>
      <c r="I24" s="10"/>
      <c r="M24" s="6" t="s">
        <v>1472</v>
      </c>
      <c r="N24" s="10"/>
      <c r="O24" s="10"/>
      <c r="Q24" s="5"/>
      <c r="R24" s="5"/>
      <c r="S24" s="5"/>
      <c r="T24" s="5"/>
      <c r="U24" s="5"/>
      <c r="V24" s="5"/>
      <c r="W24" s="5"/>
      <c r="X24" s="5"/>
      <c r="Y24" s="5"/>
      <c r="Z24" s="38"/>
    </row>
    <row r="25" spans="2:38" x14ac:dyDescent="0.25">
      <c r="B25" s="4"/>
      <c r="C25" s="33"/>
      <c r="D25" s="33"/>
      <c r="E25" s="33"/>
      <c r="F25" s="33"/>
      <c r="G25" s="33"/>
      <c r="H25" s="33"/>
      <c r="I25" s="33"/>
      <c r="M25" s="4" t="s">
        <v>1471</v>
      </c>
      <c r="N25" s="33">
        <f>N27+128</f>
        <v>346.56787500000007</v>
      </c>
      <c r="O25" s="33">
        <f>O27+128</f>
        <v>467.34662500000002</v>
      </c>
      <c r="P25" s="33">
        <f t="shared" ref="O25:Y25" si="1">P27+128</f>
        <v>529.54000000000008</v>
      </c>
      <c r="Q25" s="33">
        <f t="shared" si="1"/>
        <v>284.27375000000001</v>
      </c>
      <c r="R25" s="33">
        <f t="shared" si="1"/>
        <v>139.28</v>
      </c>
      <c r="S25" s="33">
        <f t="shared" si="1"/>
        <v>189.84</v>
      </c>
      <c r="T25" s="33">
        <f t="shared" si="1"/>
        <v>189</v>
      </c>
      <c r="U25" s="33">
        <f t="shared" si="1"/>
        <v>145.69</v>
      </c>
      <c r="V25" s="33">
        <f t="shared" si="1"/>
        <v>330.32324999999997</v>
      </c>
      <c r="W25" s="33">
        <f t="shared" si="1"/>
        <v>390.27825000000001</v>
      </c>
      <c r="X25" s="33">
        <f t="shared" si="1"/>
        <v>214.05175</v>
      </c>
      <c r="Y25" s="33">
        <f t="shared" si="1"/>
        <v>128</v>
      </c>
      <c r="Z25" s="38"/>
    </row>
    <row r="26" spans="2:38" x14ac:dyDescent="0.25">
      <c r="B26" s="6"/>
      <c r="C26" s="10"/>
      <c r="D26" s="10"/>
      <c r="E26" s="10"/>
      <c r="F26" s="10"/>
      <c r="G26" s="10"/>
      <c r="H26" s="10"/>
      <c r="I26" s="10"/>
      <c r="M26" s="6"/>
      <c r="N26" s="481">
        <v>46388</v>
      </c>
      <c r="O26" s="481">
        <v>46419</v>
      </c>
      <c r="P26" s="481">
        <v>46447</v>
      </c>
      <c r="Q26" s="481">
        <v>46478</v>
      </c>
      <c r="R26" s="481">
        <v>46508</v>
      </c>
      <c r="S26" s="481">
        <v>46539</v>
      </c>
      <c r="T26" s="481">
        <v>46569</v>
      </c>
      <c r="U26" s="481">
        <v>46600</v>
      </c>
      <c r="V26" s="481">
        <v>46631</v>
      </c>
      <c r="W26" s="481">
        <v>46661</v>
      </c>
      <c r="X26" s="481">
        <v>46692</v>
      </c>
      <c r="Y26" s="481">
        <v>46722</v>
      </c>
      <c r="Z26" s="38"/>
    </row>
    <row r="27" spans="2:38" x14ac:dyDescent="0.25">
      <c r="B27" s="4"/>
      <c r="C27" s="33"/>
      <c r="D27" s="33"/>
      <c r="E27" s="33"/>
      <c r="F27" s="33"/>
      <c r="G27" s="33"/>
      <c r="H27" s="33"/>
      <c r="I27" s="33"/>
      <c r="M27" s="4" t="s">
        <v>1470</v>
      </c>
      <c r="N27" s="492">
        <f>IFERROR(VLOOKUP(N26,'[1]PADD 3 Planned'!$G:$M,7,FALSE),0)</f>
        <v>218.56787500000004</v>
      </c>
      <c r="O27" s="492">
        <f>IFERROR(VLOOKUP(O26,'[1]PADD 3 Planned'!$G:$M,7,FALSE),0)</f>
        <v>339.34662500000002</v>
      </c>
      <c r="P27" s="492">
        <f>IFERROR(VLOOKUP(P26,'[1]PADD 3 Planned'!$G:$M,7,FALSE),0)</f>
        <v>401.54000000000008</v>
      </c>
      <c r="Q27" s="492">
        <f>IFERROR(VLOOKUP(Q26,'[1]PADD 3 Planned'!$G:$M,7,FALSE),0)</f>
        <v>156.27375000000001</v>
      </c>
      <c r="R27" s="492">
        <f>IFERROR(VLOOKUP(R26,'[1]PADD 3 Planned'!$G:$M,7,FALSE),0)</f>
        <v>11.280000000000001</v>
      </c>
      <c r="S27" s="492">
        <f>IFERROR(VLOOKUP(S26,'[1]PADD 3 Planned'!$G:$M,7,FALSE),0)</f>
        <v>61.84</v>
      </c>
      <c r="T27" s="492">
        <f>IFERROR(VLOOKUP(T26,'[1]PADD 3 Planned'!$G:$M,7,FALSE),0)</f>
        <v>61</v>
      </c>
      <c r="U27" s="492">
        <f>IFERROR(VLOOKUP(U26,'[1]PADD 3 Planned'!$G:$M,7,FALSE),0)</f>
        <v>17.689999999999998</v>
      </c>
      <c r="V27" s="492">
        <f>IFERROR(VLOOKUP(V26,'[1]PADD 3 Planned'!$G:$M,7,FALSE),0)</f>
        <v>202.32324999999997</v>
      </c>
      <c r="W27" s="492">
        <f>IFERROR(VLOOKUP(W26,'[1]PADD 3 Planned'!$G:$M,7,FALSE),0)</f>
        <v>262.27825000000001</v>
      </c>
      <c r="X27" s="492">
        <f>IFERROR(VLOOKUP(X26,'[1]PADD 3 Planned'!$G:$M,7,FALSE),0)</f>
        <v>86.051749999999998</v>
      </c>
      <c r="Y27" s="492">
        <f>IFERROR(VLOOKUP(Y26,'[1]PADD 3 Planned'!$G:$M,7,FALSE),0)</f>
        <v>0</v>
      </c>
      <c r="Z27" s="38"/>
    </row>
    <row r="28" spans="2:38" x14ac:dyDescent="0.25">
      <c r="B28" s="6"/>
      <c r="C28" s="10"/>
      <c r="D28" s="10"/>
      <c r="E28" s="10"/>
      <c r="F28" s="10"/>
      <c r="G28" s="10"/>
      <c r="H28" s="10"/>
      <c r="I28" s="10"/>
      <c r="M28" s="6"/>
      <c r="N28" s="481">
        <v>46023</v>
      </c>
      <c r="O28" s="481">
        <v>46054</v>
      </c>
      <c r="P28" s="481">
        <v>46082</v>
      </c>
      <c r="Q28" s="481">
        <v>46113</v>
      </c>
      <c r="R28" s="481">
        <v>46143</v>
      </c>
      <c r="S28" s="481">
        <v>46174</v>
      </c>
      <c r="T28" s="481">
        <v>46204</v>
      </c>
      <c r="U28" s="481">
        <v>46235</v>
      </c>
      <c r="V28" s="481">
        <v>46266</v>
      </c>
      <c r="W28" s="481">
        <v>46296</v>
      </c>
      <c r="X28" s="481">
        <v>46327</v>
      </c>
      <c r="Y28" s="481">
        <v>46357</v>
      </c>
      <c r="Z28" s="38"/>
    </row>
    <row r="29" spans="2:38" x14ac:dyDescent="0.25">
      <c r="B29" s="6"/>
      <c r="C29" s="10"/>
      <c r="D29" s="10"/>
      <c r="E29" s="10"/>
      <c r="F29" s="10"/>
      <c r="G29" s="10"/>
      <c r="H29" s="10"/>
      <c r="I29" s="10"/>
      <c r="M29" s="479" t="s">
        <v>1458</v>
      </c>
      <c r="N29" s="482">
        <f>IFERROR(VLOOKUP(N28,'[1]PADD 3 Query'!$G:$M,7,FALSE),0)</f>
        <v>249.79399999999998</v>
      </c>
      <c r="O29" s="482">
        <f>IFERROR(VLOOKUP(O28,'[1]PADD 3 Query'!$G:$M,7,FALSE),0)</f>
        <v>502.16497499999997</v>
      </c>
      <c r="P29" s="482">
        <f>IFERROR(VLOOKUP(P28,'[1]PADD 3 Query'!$G:$M,7,FALSE),0)</f>
        <v>241.85297499999999</v>
      </c>
      <c r="Q29" s="482">
        <f>IFERROR(VLOOKUP(Q28,'[1]PADD 3 Query'!$G:$M,7,FALSE),0)</f>
        <v>299.61255000000006</v>
      </c>
      <c r="R29" s="482">
        <f>IFERROR(VLOOKUP(R28,'[1]PADD 3 Query'!$G:$M,7,FALSE),0)</f>
        <v>192.98687500000003</v>
      </c>
      <c r="S29" s="482">
        <f>IFERROR(VLOOKUP(S28,'[1]PADD 3 Query'!$G:$M,7,FALSE),0)</f>
        <v>106.75225000000002</v>
      </c>
      <c r="T29" s="482">
        <f>IFERROR(VLOOKUP(T28,'[1]PADD 3 Query'!$G:$M,7,FALSE),0)</f>
        <v>25.3611</v>
      </c>
      <c r="U29" s="482">
        <f>IFERROR(VLOOKUP(U28,'[1]PADD 3 Query'!$G:$M,7,FALSE),0)</f>
        <v>13.1595</v>
      </c>
      <c r="V29" s="482">
        <f>IFERROR(VLOOKUP(V28,'[1]PADD 3 Query'!$G:$M,7,FALSE),0)</f>
        <v>92.53125</v>
      </c>
      <c r="W29" s="482">
        <f>IFERROR(VLOOKUP(W28,'[1]PADD 3 Query'!$G:$M,7,FALSE),0)</f>
        <v>148.41290000000001</v>
      </c>
      <c r="X29" s="482">
        <f>IFERROR(VLOOKUP(X28,'[1]PADD 3 Query'!$G:$M,7,FALSE),0)</f>
        <v>36.741249999999994</v>
      </c>
      <c r="Y29" s="482">
        <f>IFERROR(VLOOKUP(Y28,'[1]PADD 3 Query'!$G:$M,7,FALSE),0)</f>
        <v>0</v>
      </c>
      <c r="Z29" s="38"/>
      <c r="AG29" t="s">
        <v>78</v>
      </c>
      <c r="AH29" t="s">
        <v>1</v>
      </c>
    </row>
    <row r="30" spans="2:38" x14ac:dyDescent="0.25">
      <c r="B30" s="4"/>
      <c r="C30" s="33"/>
      <c r="D30" s="33"/>
      <c r="E30" s="33"/>
      <c r="F30" s="33"/>
      <c r="G30" s="33"/>
      <c r="H30" s="33"/>
      <c r="I30" s="33"/>
      <c r="M30" s="479" t="s">
        <v>1459</v>
      </c>
      <c r="N30" s="52">
        <f>N29+N63</f>
        <v>377.79399999999998</v>
      </c>
      <c r="O30" s="52">
        <f t="shared" ref="O30:S30" si="2">O29+O63</f>
        <v>630.16497499999991</v>
      </c>
      <c r="P30" s="52">
        <f t="shared" si="2"/>
        <v>369.85297500000001</v>
      </c>
      <c r="Q30" s="52">
        <f>Q29+Q63</f>
        <v>427.61255000000006</v>
      </c>
      <c r="R30" s="52">
        <f t="shared" si="2"/>
        <v>320.98687500000005</v>
      </c>
      <c r="S30" s="52">
        <f t="shared" si="2"/>
        <v>234.75225</v>
      </c>
      <c r="T30" s="52">
        <f t="shared" ref="T30:Y30" si="3">T29+T63</f>
        <v>153.36109999999999</v>
      </c>
      <c r="U30" s="52">
        <f t="shared" si="3"/>
        <v>141.15950000000001</v>
      </c>
      <c r="V30" s="52">
        <f t="shared" si="3"/>
        <v>220.53125</v>
      </c>
      <c r="W30" s="52">
        <f t="shared" si="3"/>
        <v>276.41290000000004</v>
      </c>
      <c r="X30" s="52">
        <f t="shared" si="3"/>
        <v>164.74124999999998</v>
      </c>
      <c r="Y30" s="52">
        <f t="shared" si="3"/>
        <v>128</v>
      </c>
      <c r="Z30" s="38"/>
      <c r="AG30" t="s">
        <v>2</v>
      </c>
      <c r="AH30" t="s">
        <v>100</v>
      </c>
      <c r="AI30" t="s">
        <v>101</v>
      </c>
      <c r="AJ30" t="s">
        <v>92</v>
      </c>
      <c r="AK30" t="s">
        <v>13</v>
      </c>
    </row>
    <row r="31" spans="2:38" x14ac:dyDescent="0.25">
      <c r="B31" s="484"/>
      <c r="C31" s="485"/>
      <c r="D31" s="485"/>
      <c r="E31" s="485"/>
      <c r="F31" s="485"/>
      <c r="G31" s="485"/>
      <c r="H31" s="485"/>
      <c r="I31" s="485"/>
      <c r="M31" s="479"/>
      <c r="N31" s="52">
        <f>N36-N30</f>
        <v>19.159500000000037</v>
      </c>
      <c r="O31" s="52">
        <f t="shared" ref="O31:Q31" si="4">O36-O30</f>
        <v>3.8350250000000869</v>
      </c>
      <c r="P31" s="487">
        <f t="shared" si="4"/>
        <v>-9.4005000000000791</v>
      </c>
      <c r="Q31" s="487">
        <f t="shared" si="4"/>
        <v>-20.000000000000057</v>
      </c>
      <c r="R31" s="52">
        <f>R36-R30</f>
        <v>-15.995750000000044</v>
      </c>
      <c r="S31" s="52">
        <f>S36-S30</f>
        <v>-11.90313888899999</v>
      </c>
      <c r="T31" s="52">
        <f>T43-T30</f>
        <v>-24.296583870967737</v>
      </c>
      <c r="U31" s="52">
        <f t="shared" ref="U31:Y31" si="5">U43-U30</f>
        <v>-11.46595161290324</v>
      </c>
      <c r="V31" s="486">
        <f>V43-V30</f>
        <v>-20.53125</v>
      </c>
      <c r="W31" s="52">
        <f>W43-W30</f>
        <v>-23.412900000000036</v>
      </c>
      <c r="X31" s="52">
        <f t="shared" si="5"/>
        <v>-9.27049999999997</v>
      </c>
      <c r="Y31" s="52">
        <f t="shared" si="5"/>
        <v>0</v>
      </c>
      <c r="Z31" s="38"/>
    </row>
    <row r="32" spans="2:38" x14ac:dyDescent="0.25">
      <c r="B32" s="6"/>
      <c r="C32" s="10"/>
      <c r="D32" s="10"/>
      <c r="E32" s="10"/>
      <c r="F32" s="10"/>
      <c r="G32" s="10"/>
      <c r="H32" s="10"/>
      <c r="I32" s="10"/>
      <c r="M32" s="479" t="s">
        <v>1467</v>
      </c>
      <c r="N32" s="10">
        <f>IFERROR(VLOOKUP(N28,'[1]PADD 3 Planned'!$G:$M,7,FALSE),0)</f>
        <v>185.61449999999999</v>
      </c>
      <c r="O32" s="10">
        <f>IFERROR(VLOOKUP(O28,'[1]PADD 3 Planned'!$G:$M,7,FALSE),0)</f>
        <v>329.68285000000003</v>
      </c>
      <c r="P32" s="10">
        <f>IFERROR(VLOOKUP(P28,'[1]PADD 3 Planned'!$G:$M,7,FALSE),0)</f>
        <v>117.21297499999999</v>
      </c>
      <c r="Q32" s="10">
        <f>IFERROR(VLOOKUP(Q28,'[1]PADD 3 Planned'!$G:$M,7,FALSE),0)</f>
        <v>44.498749999999994</v>
      </c>
      <c r="R32" s="10">
        <f>IFERROR(VLOOKUP(R28,'[1]PADD 3 Planned'!$G:$M,7,FALSE),0)</f>
        <v>40.3005</v>
      </c>
      <c r="S32" s="10">
        <f>IFERROR(VLOOKUP(S28,'[1]PADD 3 Planned'!$G:$M,7,FALSE),0)</f>
        <v>7.621249999999999</v>
      </c>
      <c r="T32" s="10">
        <f>IFERROR(VLOOKUP(T28,'[1]PADD 3 Planned'!$G:$M,7,FALSE),0)</f>
        <v>17.7211</v>
      </c>
      <c r="U32" s="10">
        <f>IFERROR(VLOOKUP(U28,'[1]PADD 3 Planned'!$G:$M,7,FALSE),0)</f>
        <v>13.1595</v>
      </c>
      <c r="V32" s="10">
        <f>IFERROR(VLOOKUP(V28,'[1]PADD 3 Planned'!$G:$M,7,FALSE),0)</f>
        <v>92.53125</v>
      </c>
      <c r="W32" s="10">
        <f>IFERROR(VLOOKUP(W28,'[1]PADD 3 Planned'!$G:$M,7,FALSE),0)</f>
        <v>148.41290000000001</v>
      </c>
      <c r="X32" s="10">
        <f>IFERROR(VLOOKUP(X28,'[1]PADD 3 Planned'!$G:$M,7,FALSE),0)</f>
        <v>36.741249999999994</v>
      </c>
      <c r="Y32" s="10">
        <f>IFERROR(VLOOKUP(Y28,'[1]PADD 3 Planned'!$G:$M,7,FALSE),0)</f>
        <v>0</v>
      </c>
      <c r="Z32" s="38"/>
      <c r="AG32" t="s">
        <v>3</v>
      </c>
      <c r="AH32">
        <v>343.11774193548388</v>
      </c>
      <c r="AI32">
        <v>288.69032258064516</v>
      </c>
      <c r="AJ32">
        <v>246.11532258064517</v>
      </c>
      <c r="AK32">
        <v>877.92338709677415</v>
      </c>
    </row>
    <row r="33" spans="2:37" x14ac:dyDescent="0.25">
      <c r="B33" s="8"/>
      <c r="C33" s="34"/>
      <c r="D33" s="34"/>
      <c r="E33" s="34"/>
      <c r="F33" s="34"/>
      <c r="G33" s="34"/>
      <c r="H33" s="34"/>
      <c r="I33" s="34"/>
      <c r="M33" s="6"/>
      <c r="N33" s="5">
        <f>N36-N37</f>
        <v>-95.407241935483796</v>
      </c>
      <c r="O33" s="5">
        <f>O36-O37</f>
        <v>31.906000000000063</v>
      </c>
      <c r="P33" s="5">
        <f>P36-P37</f>
        <v>-153.92350606591867</v>
      </c>
      <c r="Q33" s="5">
        <f>Q36-Q37</f>
        <v>-55.614783333333378</v>
      </c>
      <c r="R33" s="5">
        <f t="shared" ref="R33:Y33" si="6">R36-R37</f>
        <v>-38.992391129032285</v>
      </c>
      <c r="S33" s="5">
        <f>S36-S37</f>
        <v>0.84911111100001335</v>
      </c>
      <c r="T33" s="5">
        <f t="shared" si="6"/>
        <v>-21.394881720696787</v>
      </c>
      <c r="U33" s="5">
        <f t="shared" si="6"/>
        <v>-79.634386379572788</v>
      </c>
      <c r="V33" s="5">
        <f t="shared" si="6"/>
        <v>-89.751155555555556</v>
      </c>
      <c r="W33" s="5">
        <f t="shared" si="6"/>
        <v>-381.43944623622582</v>
      </c>
      <c r="X33" s="5">
        <f t="shared" si="6"/>
        <v>-165.90424999999999</v>
      </c>
      <c r="Y33" s="5">
        <f t="shared" si="6"/>
        <v>48.26888888933334</v>
      </c>
      <c r="Z33" s="38"/>
      <c r="AG33" t="s">
        <v>4</v>
      </c>
      <c r="AH33">
        <v>604.06280232003814</v>
      </c>
      <c r="AI33">
        <v>293.5410714285714</v>
      </c>
      <c r="AJ33">
        <v>386.82678571428568</v>
      </c>
      <c r="AK33">
        <v>1284.4306594628952</v>
      </c>
    </row>
    <row r="34" spans="2:37" x14ac:dyDescent="0.25">
      <c r="M34" s="4"/>
      <c r="N34" s="5">
        <f>Y37-N36</f>
        <v>-258.95350000000002</v>
      </c>
      <c r="O34" s="5">
        <f>N36-O36</f>
        <v>-237.04649999999998</v>
      </c>
      <c r="P34" s="5">
        <f>O36-P36</f>
        <v>273.54752500000006</v>
      </c>
      <c r="Q34" s="5">
        <f>P36-Q36</f>
        <v>-47.160075000000063</v>
      </c>
      <c r="R34" s="5">
        <f t="shared" ref="R34:Y34" si="7">Q36-R36</f>
        <v>102.62142499999999</v>
      </c>
      <c r="S34" s="5">
        <f>R36-S36</f>
        <v>82.142013888999998</v>
      </c>
      <c r="T34" s="5">
        <f t="shared" si="7"/>
        <v>-8.7560071683031993</v>
      </c>
      <c r="U34" s="5">
        <f t="shared" si="7"/>
        <v>3.1205046588759728</v>
      </c>
      <c r="V34" s="5">
        <f t="shared" si="7"/>
        <v>-82.950230824017183</v>
      </c>
      <c r="W34" s="5">
        <f t="shared" si="7"/>
        <v>-70.625709319329758</v>
      </c>
      <c r="X34" s="5">
        <f t="shared" si="7"/>
        <v>127.03480376377416</v>
      </c>
      <c r="Y34" s="5">
        <f t="shared" si="7"/>
        <v>68.756861110666676</v>
      </c>
      <c r="Z34" s="38"/>
      <c r="AG34" t="s">
        <v>5</v>
      </c>
      <c r="AH34">
        <v>235.24526140155726</v>
      </c>
      <c r="AI34">
        <v>222.98024193548386</v>
      </c>
      <c r="AJ34">
        <v>206.43467741935484</v>
      </c>
      <c r="AK34">
        <v>664.6601807563959</v>
      </c>
    </row>
    <row r="35" spans="2:37" ht="15.75" thickBot="1" x14ac:dyDescent="0.3">
      <c r="M35" s="6"/>
      <c r="N35" s="7" t="s">
        <v>3</v>
      </c>
      <c r="O35" s="7" t="s">
        <v>4</v>
      </c>
      <c r="P35" s="7" t="s">
        <v>5</v>
      </c>
      <c r="Q35" s="7" t="s">
        <v>6</v>
      </c>
      <c r="R35" s="7" t="s">
        <v>7</v>
      </c>
      <c r="S35" s="7" t="s">
        <v>8</v>
      </c>
      <c r="T35" s="5" t="s">
        <v>45</v>
      </c>
      <c r="U35" s="5" t="s">
        <v>46</v>
      </c>
      <c r="V35" s="7" t="s">
        <v>9</v>
      </c>
      <c r="W35" s="7" t="s">
        <v>10</v>
      </c>
      <c r="X35" s="7" t="s">
        <v>11</v>
      </c>
      <c r="Y35" s="7" t="s">
        <v>12</v>
      </c>
      <c r="Z35" s="38"/>
      <c r="AG35" t="s">
        <v>6</v>
      </c>
      <c r="AH35">
        <v>78.808333333333337</v>
      </c>
      <c r="AI35">
        <v>147.2266666663333</v>
      </c>
      <c r="AJ35">
        <v>38.385833333333331</v>
      </c>
      <c r="AK35">
        <v>264.42083333299996</v>
      </c>
    </row>
    <row r="36" spans="2:37" ht="15" customHeight="1" x14ac:dyDescent="0.25">
      <c r="K36" s="503" t="s">
        <v>1394</v>
      </c>
      <c r="L36" s="497"/>
      <c r="M36" s="16" t="s">
        <v>90</v>
      </c>
      <c r="N36" s="17">
        <v>396.95350000000002</v>
      </c>
      <c r="O36" s="17">
        <v>634</v>
      </c>
      <c r="P36" s="17">
        <v>360.45247499999994</v>
      </c>
      <c r="Q36" s="17">
        <v>407.61255</v>
      </c>
      <c r="R36" s="17">
        <v>304.99112500000001</v>
      </c>
      <c r="S36" s="17">
        <f t="shared" ref="S36:W36" si="8">S43+S55</f>
        <v>222.84911111100001</v>
      </c>
      <c r="T36" s="17">
        <f>T43+T55</f>
        <v>231.60511827930321</v>
      </c>
      <c r="U36" s="17">
        <f t="shared" si="8"/>
        <v>228.48461362042724</v>
      </c>
      <c r="V36" s="17">
        <f t="shared" si="8"/>
        <v>311.43484444444442</v>
      </c>
      <c r="W36" s="17">
        <f t="shared" si="8"/>
        <v>382.06055376377418</v>
      </c>
      <c r="X36" s="17">
        <f>X43+X55</f>
        <v>255.02575000000002</v>
      </c>
      <c r="Y36" s="17">
        <f>Y43+Y55</f>
        <v>186.26888888933334</v>
      </c>
      <c r="Z36" s="17">
        <f t="shared" ref="Z36" si="9">Z43+Z51</f>
        <v>381.29677777777778</v>
      </c>
      <c r="AA36" s="17">
        <f>AVERAGE(N36:S36)</f>
        <v>387.80979351850004</v>
      </c>
      <c r="AB36" s="9">
        <f>AVERAGE(S36:Y36)</f>
        <v>259.67555430118318</v>
      </c>
      <c r="AC36" s="10">
        <f>AVERAGE(N36:R36)</f>
        <v>420.80192999999997</v>
      </c>
      <c r="AD36" s="10">
        <f>AC36-AC37</f>
        <v>-62.406384492753602</v>
      </c>
      <c r="AG36" t="s">
        <v>7</v>
      </c>
      <c r="AH36">
        <v>22.754999999999999</v>
      </c>
      <c r="AI36">
        <v>34.555903225806446</v>
      </c>
      <c r="AJ36">
        <v>9.939516129032258</v>
      </c>
      <c r="AK36">
        <v>67.250419354838698</v>
      </c>
    </row>
    <row r="37" spans="2:37" x14ac:dyDescent="0.25">
      <c r="K37" s="498"/>
      <c r="L37" s="499"/>
      <c r="M37" s="45" t="s">
        <v>88</v>
      </c>
      <c r="N37" s="11">
        <f>N44+N69</f>
        <v>492.36074193548382</v>
      </c>
      <c r="O37" s="11">
        <f>O44+O69</f>
        <v>602.09399999999994</v>
      </c>
      <c r="P37" s="11">
        <f t="shared" ref="P37:R37" si="10">P44+P69</f>
        <v>514.37598106591861</v>
      </c>
      <c r="Q37" s="11">
        <f t="shared" si="10"/>
        <v>463.22733333333338</v>
      </c>
      <c r="R37" s="11">
        <f t="shared" si="10"/>
        <v>343.9835161290323</v>
      </c>
      <c r="S37" s="26">
        <v>222</v>
      </c>
      <c r="T37" s="26">
        <v>253</v>
      </c>
      <c r="U37" s="26">
        <v>308.11900000000003</v>
      </c>
      <c r="V37" s="26">
        <v>401.18599999999998</v>
      </c>
      <c r="W37" s="26">
        <v>763.5</v>
      </c>
      <c r="X37" s="26">
        <v>420.93</v>
      </c>
      <c r="Y37" s="11">
        <v>138</v>
      </c>
      <c r="Z37" s="39"/>
      <c r="AA37" s="11">
        <f t="shared" ref="AA37:AA53" si="11">AVERAGE(N37:S37)</f>
        <v>439.67359541062797</v>
      </c>
      <c r="AB37" s="10">
        <f>AVERAGE(S37:Y37)</f>
        <v>358.10500000000002</v>
      </c>
      <c r="AC37" s="10">
        <f>AVERAGE(N37:R37)</f>
        <v>483.20831449275357</v>
      </c>
      <c r="AD37" s="10"/>
      <c r="AG37" t="s">
        <v>8</v>
      </c>
      <c r="AH37">
        <v>59.156666666666666</v>
      </c>
      <c r="AI37">
        <v>17.93333333333333</v>
      </c>
      <c r="AJ37">
        <v>2.75</v>
      </c>
      <c r="AK37">
        <v>79.84</v>
      </c>
    </row>
    <row r="38" spans="2:37" x14ac:dyDescent="0.25">
      <c r="K38" s="498"/>
      <c r="L38" s="499"/>
      <c r="M38" s="45" t="s">
        <v>89</v>
      </c>
      <c r="N38" s="14">
        <f t="shared" ref="N38:Y38" si="12">(N$36-N37)/N37</f>
        <v>-0.19377507954926557</v>
      </c>
      <c r="O38" s="14">
        <f t="shared" si="12"/>
        <v>5.2991725544516415E-2</v>
      </c>
      <c r="P38" s="14">
        <f t="shared" si="12"/>
        <v>-0.29924318345298667</v>
      </c>
      <c r="Q38" s="14">
        <f t="shared" si="12"/>
        <v>-0.12005937329547343</v>
      </c>
      <c r="R38" s="14">
        <f>(R$36-R37)/R37</f>
        <v>-0.11335540600266955</v>
      </c>
      <c r="S38" s="14">
        <f t="shared" si="12"/>
        <v>3.8248248243243845E-3</v>
      </c>
      <c r="T38" s="14">
        <f t="shared" si="12"/>
        <v>-8.4564749884177032E-2</v>
      </c>
      <c r="U38" s="14">
        <f t="shared" si="12"/>
        <v>-0.25845334555666083</v>
      </c>
      <c r="V38" s="14">
        <f t="shared" si="12"/>
        <v>-0.22371457517349946</v>
      </c>
      <c r="W38" s="14">
        <f t="shared" si="12"/>
        <v>-0.49959324981823944</v>
      </c>
      <c r="X38" s="14">
        <f t="shared" si="12"/>
        <v>-0.39413738626374928</v>
      </c>
      <c r="Y38" s="14">
        <f t="shared" si="12"/>
        <v>0.34977455716908218</v>
      </c>
      <c r="Z38" s="39"/>
      <c r="AA38" s="14">
        <f t="shared" si="11"/>
        <v>-0.11160274865525908</v>
      </c>
      <c r="AB38" s="14">
        <f>(AB36-AB37)/AB37</f>
        <v>-0.27486196981001892</v>
      </c>
      <c r="AG38" t="s">
        <v>45</v>
      </c>
      <c r="AH38">
        <v>56.45967741935484</v>
      </c>
      <c r="AI38">
        <v>1.8580645161290321</v>
      </c>
      <c r="AJ38">
        <v>0.91935483870967749</v>
      </c>
      <c r="AK38">
        <v>59.237096774193553</v>
      </c>
    </row>
    <row r="39" spans="2:37" x14ac:dyDescent="0.25">
      <c r="K39" s="498"/>
      <c r="L39" s="499"/>
      <c r="M39" s="45" t="s">
        <v>65</v>
      </c>
      <c r="N39" s="469">
        <v>409.60999999999996</v>
      </c>
      <c r="O39" s="469">
        <v>453.78805418719219</v>
      </c>
      <c r="P39" s="469">
        <v>496.32799999999997</v>
      </c>
      <c r="Q39" s="469">
        <v>262.86706666666669</v>
      </c>
      <c r="R39" s="469">
        <v>189.15241935483868</v>
      </c>
      <c r="S39" s="11">
        <v>157</v>
      </c>
      <c r="T39" s="11">
        <v>229</v>
      </c>
      <c r="U39" s="11">
        <v>200</v>
      </c>
      <c r="V39" s="11">
        <v>319</v>
      </c>
      <c r="W39" s="11">
        <v>349</v>
      </c>
      <c r="X39" s="11">
        <v>267.39999999999998</v>
      </c>
      <c r="Y39" s="11">
        <v>12</v>
      </c>
      <c r="Z39" s="39">
        <f>AVERAGE(N39:Y39)</f>
        <v>278.76212835072482</v>
      </c>
      <c r="AA39" s="11">
        <f t="shared" si="11"/>
        <v>328.12425670144961</v>
      </c>
      <c r="AB39" s="10">
        <f>AVERAGE(S39:Y39)</f>
        <v>219.05714285714288</v>
      </c>
      <c r="AG39" t="s">
        <v>46</v>
      </c>
      <c r="AH39">
        <v>107.75790322580644</v>
      </c>
      <c r="AJ39">
        <v>1.0999999999999999</v>
      </c>
      <c r="AK39">
        <v>108.85790322580644</v>
      </c>
    </row>
    <row r="40" spans="2:37" x14ac:dyDescent="0.25">
      <c r="K40" s="498"/>
      <c r="L40" s="499"/>
      <c r="M40" s="45" t="s">
        <v>89</v>
      </c>
      <c r="N40" s="14">
        <f>(N36-N39)/N39</f>
        <v>-3.0898903835355433E-2</v>
      </c>
      <c r="O40" s="14">
        <f>(O36-O39)/O39</f>
        <v>0.39712800755761751</v>
      </c>
      <c r="P40" s="14">
        <f>(P36-P39)/P39</f>
        <v>-0.27376155485888376</v>
      </c>
      <c r="Q40" s="14">
        <f>(Q36-Q39)/Q39</f>
        <v>0.55064137614804531</v>
      </c>
      <c r="R40" s="14">
        <f>(R36-R39)/R39</f>
        <v>0.61240932598305708</v>
      </c>
      <c r="S40" s="14">
        <f>(S$36-S39)/S39</f>
        <v>0.41942108987898097</v>
      </c>
      <c r="T40" s="14">
        <f t="shared" ref="T40:Y40" si="13">(T36-T39)/T39</f>
        <v>1.1376062355035863E-2</v>
      </c>
      <c r="U40" s="14">
        <f t="shared" si="13"/>
        <v>0.1424230681021362</v>
      </c>
      <c r="V40" s="14">
        <f t="shared" si="13"/>
        <v>-2.3715221177290212E-2</v>
      </c>
      <c r="W40" s="14">
        <f t="shared" si="13"/>
        <v>9.4729380411960398E-2</v>
      </c>
      <c r="X40" s="14">
        <f t="shared" si="13"/>
        <v>-4.6276178010471063E-2</v>
      </c>
      <c r="Y40" s="14">
        <f t="shared" si="13"/>
        <v>14.522407407444446</v>
      </c>
      <c r="Z40" s="40" t="e">
        <f>(#REF!-Z39)/Z39</f>
        <v>#REF!</v>
      </c>
      <c r="AA40" s="14">
        <f t="shared" si="11"/>
        <v>0.27915655681224361</v>
      </c>
      <c r="AB40" s="14">
        <f>(AB36-AB39)/AB39</f>
        <v>0.1854238164264263</v>
      </c>
      <c r="AG40" t="s">
        <v>9</v>
      </c>
      <c r="AH40">
        <v>178.73000000066662</v>
      </c>
      <c r="AI40">
        <v>195.60533333333331</v>
      </c>
      <c r="AK40">
        <v>374.33533333399993</v>
      </c>
    </row>
    <row r="41" spans="2:37" x14ac:dyDescent="0.25">
      <c r="K41" s="498"/>
      <c r="L41" s="499"/>
      <c r="M41" s="45" t="s">
        <v>44</v>
      </c>
      <c r="N41" s="11">
        <v>453.4397999979999</v>
      </c>
      <c r="O41" s="11">
        <v>503.92160000099989</v>
      </c>
      <c r="P41" s="11">
        <v>462.31529999999998</v>
      </c>
      <c r="Q41" s="11">
        <v>311.64499999999992</v>
      </c>
      <c r="R41" s="11">
        <v>238.36466666599998</v>
      </c>
      <c r="S41" s="11">
        <v>246.24299999999997</v>
      </c>
      <c r="T41" s="11">
        <v>142.38566666600002</v>
      </c>
      <c r="U41" s="11">
        <v>272.159666668</v>
      </c>
      <c r="V41" s="11">
        <v>347.09166666699997</v>
      </c>
      <c r="W41" s="11">
        <v>570.43266666799991</v>
      </c>
      <c r="X41" s="11">
        <v>254.68700000000001</v>
      </c>
      <c r="Y41" s="11">
        <v>57.101666667000003</v>
      </c>
      <c r="Z41" s="39">
        <f>AVERAGE(N41:Y41)</f>
        <v>321.64897500008323</v>
      </c>
      <c r="AA41" s="11">
        <f t="shared" si="11"/>
        <v>369.32156111083327</v>
      </c>
      <c r="AB41" s="10">
        <f>AVERAGE(S41:Y41)</f>
        <v>270.01447619085712</v>
      </c>
      <c r="AG41" t="s">
        <v>10</v>
      </c>
      <c r="AH41">
        <v>290.52790322580643</v>
      </c>
      <c r="AI41">
        <v>321.95806451612901</v>
      </c>
      <c r="AK41">
        <v>612.48596774193538</v>
      </c>
    </row>
    <row r="42" spans="2:37" ht="15.75" thickBot="1" x14ac:dyDescent="0.3">
      <c r="K42" s="500"/>
      <c r="L42" s="501"/>
      <c r="M42" s="45" t="s">
        <v>89</v>
      </c>
      <c r="N42" s="14">
        <f t="shared" ref="N42:Y42" si="14">(N36-N41)/N41</f>
        <v>-0.1245728760427493</v>
      </c>
      <c r="O42" s="14">
        <f t="shared" si="14"/>
        <v>0.25813221739005038</v>
      </c>
      <c r="P42" s="14">
        <f t="shared" si="14"/>
        <v>-0.22033193580225455</v>
      </c>
      <c r="Q42" s="14">
        <f t="shared" si="14"/>
        <v>0.30793868022910714</v>
      </c>
      <c r="R42" s="14">
        <f t="shared" si="14"/>
        <v>0.27951482602645128</v>
      </c>
      <c r="S42" s="14">
        <f t="shared" si="14"/>
        <v>-9.5003264616658978E-2</v>
      </c>
      <c r="T42" s="14">
        <f t="shared" si="14"/>
        <v>0.62660416390498752</v>
      </c>
      <c r="U42" s="14">
        <f t="shared" si="14"/>
        <v>-0.16047584707270657</v>
      </c>
      <c r="V42" s="14">
        <f t="shared" si="14"/>
        <v>-0.10273027458410498</v>
      </c>
      <c r="W42" s="14">
        <f t="shared" si="14"/>
        <v>-0.33022672773027045</v>
      </c>
      <c r="X42" s="14">
        <f t="shared" si="14"/>
        <v>1.3300639608617815E-3</v>
      </c>
      <c r="Y42" s="14">
        <f t="shared" si="14"/>
        <v>2.2620569549326519</v>
      </c>
      <c r="Z42" s="40" t="e">
        <f>(#REF!-Z41)/Z41</f>
        <v>#REF!</v>
      </c>
      <c r="AA42" s="14">
        <f t="shared" si="11"/>
        <v>6.7612941197324319E-2</v>
      </c>
      <c r="AB42" s="14">
        <f>(AB36-AB41)/AB41</f>
        <v>-3.8290250343340757E-2</v>
      </c>
      <c r="AG42" t="s">
        <v>11</v>
      </c>
      <c r="AH42">
        <v>76.954499999999996</v>
      </c>
      <c r="AI42">
        <v>40.338333333333338</v>
      </c>
      <c r="AK42">
        <v>117.29283333333333</v>
      </c>
    </row>
    <row r="43" spans="2:37" ht="15" customHeight="1" x14ac:dyDescent="0.25">
      <c r="K43" s="503" t="s">
        <v>1395</v>
      </c>
      <c r="L43" s="497"/>
      <c r="M43" s="28" t="s">
        <v>87</v>
      </c>
      <c r="N43" s="9">
        <f>N64</f>
        <v>328.24145161290323</v>
      </c>
      <c r="O43" s="9">
        <f>O64</f>
        <v>558.51607142857142</v>
      </c>
      <c r="P43" s="9">
        <f>P64</f>
        <v>274.283064516129</v>
      </c>
      <c r="Q43" s="9">
        <f>Q64</f>
        <v>207</v>
      </c>
      <c r="R43" s="9">
        <f>R64</f>
        <v>193</v>
      </c>
      <c r="S43" s="9">
        <f t="shared" ref="S43:Y43" si="15">S64</f>
        <v>133</v>
      </c>
      <c r="T43" s="9">
        <f t="shared" si="15"/>
        <v>129.06451612903226</v>
      </c>
      <c r="U43" s="9">
        <f t="shared" si="15"/>
        <v>129.69354838709677</v>
      </c>
      <c r="V43" s="9">
        <v>200</v>
      </c>
      <c r="W43" s="9">
        <v>253</v>
      </c>
      <c r="X43" s="9">
        <f t="shared" si="15"/>
        <v>155.47075000000001</v>
      </c>
      <c r="Y43" s="9">
        <f t="shared" si="15"/>
        <v>128</v>
      </c>
      <c r="Z43" s="41">
        <f>(N43*(31/90))+(O43*(28/90))+(P43*(31/90))</f>
        <v>381.29677777777778</v>
      </c>
      <c r="AA43" s="9">
        <f t="shared" si="11"/>
        <v>282.34009792626728</v>
      </c>
      <c r="AB43" s="9">
        <f>AVERAGE(S43:Y43)</f>
        <v>161.17554493087556</v>
      </c>
      <c r="AD43" s="10">
        <f>AB43-AB44</f>
        <v>-67.660455069124453</v>
      </c>
      <c r="AG43" t="s">
        <v>13</v>
      </c>
      <c r="AH43">
        <v>2053.5757895287138</v>
      </c>
      <c r="AI43">
        <v>1564.6873348690981</v>
      </c>
      <c r="AJ43">
        <v>892.47149001536104</v>
      </c>
      <c r="AK43">
        <v>4510.7346144131725</v>
      </c>
    </row>
    <row r="44" spans="2:37" x14ac:dyDescent="0.25">
      <c r="K44" s="502"/>
      <c r="L44" s="499"/>
      <c r="M44" s="45" t="s">
        <v>88</v>
      </c>
      <c r="N44" s="35">
        <f>246.335483870968+5</f>
        <v>251.33548387096801</v>
      </c>
      <c r="O44" s="35">
        <f>268.776785714286+64.5</f>
        <v>333.27678571428601</v>
      </c>
      <c r="P44" s="35">
        <f>126.851612903226+128</f>
        <v>254.851612903226</v>
      </c>
      <c r="Q44" s="11">
        <f>173.528333333+128</f>
        <v>301.52833333299998</v>
      </c>
      <c r="R44" s="11">
        <f>56.6138064516129+128</f>
        <v>184.6138064516129</v>
      </c>
      <c r="S44" s="11">
        <v>145.93333333333334</v>
      </c>
      <c r="T44" s="11">
        <v>129.85806451612902</v>
      </c>
      <c r="U44" s="11">
        <v>187.66236559139787</v>
      </c>
      <c r="V44" s="11">
        <v>324.90199999999999</v>
      </c>
      <c r="W44" s="11">
        <v>437.56290322580645</v>
      </c>
      <c r="X44" s="11">
        <v>247.93333333333334</v>
      </c>
      <c r="Y44" s="11">
        <v>128</v>
      </c>
      <c r="Z44" s="42">
        <f>(N44*(31/90))+(O44*(28/90))+(P44*(31/90))</f>
        <v>278.03944444444471</v>
      </c>
      <c r="AA44" s="11">
        <f t="shared" si="11"/>
        <v>245.25655926773769</v>
      </c>
      <c r="AB44" s="10">
        <f>AVERAGE(S44:Y44)</f>
        <v>228.83600000000001</v>
      </c>
      <c r="AD44" s="10"/>
    </row>
    <row r="45" spans="2:37" x14ac:dyDescent="0.25">
      <c r="K45" s="502"/>
      <c r="L45" s="499"/>
      <c r="M45" s="45" t="s">
        <v>89</v>
      </c>
      <c r="N45" s="36">
        <f>(N43-N44)/N44</f>
        <v>0.3059892958903393</v>
      </c>
      <c r="O45" s="36">
        <f>(O43-O44)/O44</f>
        <v>0.67583250730034405</v>
      </c>
      <c r="P45" s="36">
        <f>(P43-P44)/P44</f>
        <v>7.6246139435976995E-2</v>
      </c>
      <c r="Q45" s="36">
        <f>(Q43-Q44)/Q44</f>
        <v>-0.31349734961259967</v>
      </c>
      <c r="R45" s="36">
        <f>(R43-R44)/R44</f>
        <v>4.5425603369405154E-2</v>
      </c>
      <c r="S45" s="14">
        <f t="shared" ref="S45:Y45" si="16">(S$43-S44)/S44</f>
        <v>-8.8624942896299699E-2</v>
      </c>
      <c r="T45" s="14">
        <f t="shared" si="16"/>
        <v>-6.1108903020666875E-3</v>
      </c>
      <c r="U45" s="14">
        <f t="shared" si="16"/>
        <v>-0.30889953359384859</v>
      </c>
      <c r="V45" s="14">
        <f t="shared" si="16"/>
        <v>-0.3844297665142104</v>
      </c>
      <c r="W45" s="14">
        <f t="shared" si="16"/>
        <v>-0.42179741898860623</v>
      </c>
      <c r="X45" s="14">
        <f t="shared" si="16"/>
        <v>-0.37293324818499596</v>
      </c>
      <c r="Y45" s="14">
        <f t="shared" si="16"/>
        <v>0</v>
      </c>
      <c r="Z45" s="43">
        <f>(Z43-Z44)/Z44</f>
        <v>0.37137656327739138</v>
      </c>
      <c r="AA45" s="14">
        <f t="shared" si="11"/>
        <v>0.11689520891452769</v>
      </c>
      <c r="AB45" s="14">
        <f>(AB43-AB44)/AB44</f>
        <v>-0.29567225029769989</v>
      </c>
      <c r="AD45" s="10"/>
    </row>
    <row r="46" spans="2:37" x14ac:dyDescent="0.25">
      <c r="K46" s="498"/>
      <c r="L46" s="499"/>
      <c r="M46" s="45" t="s">
        <v>65</v>
      </c>
      <c r="N46" s="35">
        <v>347.97645161290325</v>
      </c>
      <c r="O46" s="35">
        <v>495</v>
      </c>
      <c r="P46" s="35">
        <v>237.86139043381533</v>
      </c>
      <c r="Q46" s="11">
        <v>80.508333333333326</v>
      </c>
      <c r="R46" s="11">
        <v>22.800161290322581</v>
      </c>
      <c r="S46" s="11">
        <v>59.756666666666675</v>
      </c>
      <c r="T46" s="11">
        <v>52.009677419354837</v>
      </c>
      <c r="U46" s="11">
        <v>102.1708064516129</v>
      </c>
      <c r="V46" s="11">
        <v>158.99666666733336</v>
      </c>
      <c r="W46" s="11">
        <v>284.10854838709679</v>
      </c>
      <c r="X46" s="11">
        <v>76.554500000000004</v>
      </c>
      <c r="Y46" s="11">
        <v>0</v>
      </c>
      <c r="Z46" s="42">
        <f>(N46*(31/90))+(O46*(28/90))+(P46*(31/90))</f>
        <v>355.78859003831417</v>
      </c>
      <c r="AA46" s="11">
        <f t="shared" si="11"/>
        <v>207.31716722284023</v>
      </c>
      <c r="AB46" s="10">
        <f>AVERAGE(S46:Y46)</f>
        <v>104.79955222743779</v>
      </c>
      <c r="AG46" t="s">
        <v>1431</v>
      </c>
    </row>
    <row r="47" spans="2:37" x14ac:dyDescent="0.25">
      <c r="K47" s="498"/>
      <c r="L47" s="499"/>
      <c r="M47" s="45" t="s">
        <v>89</v>
      </c>
      <c r="N47" s="36">
        <f t="shared" ref="N47:Z47" si="17">(N43-N46)/N46</f>
        <v>-5.6713607798822167E-2</v>
      </c>
      <c r="O47" s="36">
        <f t="shared" si="17"/>
        <v>0.1283152958152958</v>
      </c>
      <c r="P47" s="36">
        <f t="shared" si="17"/>
        <v>0.15312142090772804</v>
      </c>
      <c r="Q47" s="14">
        <f t="shared" si="17"/>
        <v>1.5711624055480802</v>
      </c>
      <c r="R47" s="14">
        <f t="shared" si="17"/>
        <v>7.4648523991765758</v>
      </c>
      <c r="S47" s="14">
        <f>(S$43-S46)/S46</f>
        <v>1.2256930886372508</v>
      </c>
      <c r="T47" s="14">
        <f t="shared" si="17"/>
        <v>1.4815480989890222</v>
      </c>
      <c r="U47" s="14">
        <f t="shared" si="17"/>
        <v>0.26937970728965877</v>
      </c>
      <c r="V47" s="14">
        <f t="shared" si="17"/>
        <v>0.25788800603258794</v>
      </c>
      <c r="W47" s="14">
        <f t="shared" si="17"/>
        <v>-0.10949529172459645</v>
      </c>
      <c r="X47" s="14">
        <f t="shared" si="17"/>
        <v>1.030850570508592</v>
      </c>
      <c r="Y47" s="14" t="e">
        <f t="shared" si="17"/>
        <v>#DIV/0!</v>
      </c>
      <c r="Z47" s="43">
        <f t="shared" si="17"/>
        <v>7.1694788572946311E-2</v>
      </c>
      <c r="AA47" s="14">
        <f t="shared" si="11"/>
        <v>1.7477385003810177</v>
      </c>
      <c r="AB47" s="14">
        <f>(AB43-AB46)/AB46</f>
        <v>0.53794116010237936</v>
      </c>
      <c r="AG47" t="s">
        <v>98</v>
      </c>
      <c r="AH47" t="s">
        <v>1</v>
      </c>
    </row>
    <row r="48" spans="2:37" x14ac:dyDescent="0.25">
      <c r="K48" s="498"/>
      <c r="L48" s="499"/>
      <c r="M48" s="45" t="s">
        <v>44</v>
      </c>
      <c r="N48" s="35">
        <v>238.07846666699999</v>
      </c>
      <c r="O48" s="35">
        <v>467.77760000000001</v>
      </c>
      <c r="P48" s="35">
        <v>370.22563333300002</v>
      </c>
      <c r="Q48" s="11">
        <v>218.854333333</v>
      </c>
      <c r="R48" s="11">
        <v>116.557833333</v>
      </c>
      <c r="S48" s="11">
        <v>63.005666667</v>
      </c>
      <c r="T48" s="11">
        <v>1.7406666669999999</v>
      </c>
      <c r="U48" s="11">
        <v>63.728999999999999</v>
      </c>
      <c r="V48" s="11">
        <v>165.49833333300001</v>
      </c>
      <c r="W48" s="11">
        <v>445.01900000000001</v>
      </c>
      <c r="X48" s="11">
        <v>196.64500000000001</v>
      </c>
      <c r="Y48" s="11">
        <v>29.198333333000001</v>
      </c>
      <c r="Z48" s="42">
        <f>(N48*(31/90))+(O48*(28/90))+(P48*(31/90))</f>
        <v>355.05777666666665</v>
      </c>
      <c r="AA48" s="11">
        <f t="shared" si="11"/>
        <v>245.74992222216667</v>
      </c>
      <c r="AB48" s="10">
        <f>AVERAGE(S48:Y48)</f>
        <v>137.83371428571428</v>
      </c>
      <c r="AH48" t="s">
        <v>99</v>
      </c>
      <c r="AI48" t="s">
        <v>100</v>
      </c>
      <c r="AJ48" t="s">
        <v>101</v>
      </c>
      <c r="AK48" t="s">
        <v>92</v>
      </c>
    </row>
    <row r="49" spans="11:37" ht="15.75" thickBot="1" x14ac:dyDescent="0.3">
      <c r="K49" s="500"/>
      <c r="L49" s="501"/>
      <c r="M49" s="45" t="s">
        <v>89</v>
      </c>
      <c r="N49" s="36">
        <f t="shared" ref="N49:Z49" si="18">(N43-N48)/N48</f>
        <v>0.37871121319012058</v>
      </c>
      <c r="O49" s="36">
        <f t="shared" si="18"/>
        <v>0.19397780361558872</v>
      </c>
      <c r="P49" s="36">
        <f t="shared" si="18"/>
        <v>-0.25914620755223428</v>
      </c>
      <c r="Q49" s="14">
        <f t="shared" si="18"/>
        <v>-5.4165403775500852E-2</v>
      </c>
      <c r="R49" s="14">
        <f t="shared" si="18"/>
        <v>0.65583036747610501</v>
      </c>
      <c r="S49" s="14">
        <f t="shared" si="18"/>
        <v>1.1109212398773078</v>
      </c>
      <c r="T49" s="14">
        <f t="shared" si="18"/>
        <v>73.146600596122212</v>
      </c>
      <c r="U49" s="14">
        <f t="shared" si="18"/>
        <v>1.0350789811090206</v>
      </c>
      <c r="V49" s="14">
        <f t="shared" si="18"/>
        <v>0.20847138440711074</v>
      </c>
      <c r="W49" s="14">
        <f t="shared" si="18"/>
        <v>-0.43148494783368802</v>
      </c>
      <c r="X49" s="14">
        <f t="shared" si="18"/>
        <v>-0.20938366091179536</v>
      </c>
      <c r="Y49" s="14">
        <f t="shared" si="18"/>
        <v>3.3838118614576609</v>
      </c>
      <c r="Z49" s="44">
        <f t="shared" si="18"/>
        <v>7.3900651768415357E-2</v>
      </c>
      <c r="AA49" s="14">
        <f t="shared" si="11"/>
        <v>0.33768816880523117</v>
      </c>
      <c r="AB49" s="14">
        <f>(AB43-AB48)/AB48</f>
        <v>0.16934775911774538</v>
      </c>
      <c r="AG49" t="s">
        <v>2</v>
      </c>
    </row>
    <row r="50" spans="11:37" x14ac:dyDescent="0.25">
      <c r="K50" s="15"/>
      <c r="L50" s="15"/>
      <c r="M50" s="8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17"/>
      <c r="AA50" s="9"/>
      <c r="AB50" s="9"/>
      <c r="AG50" t="s">
        <v>3</v>
      </c>
      <c r="AH50">
        <v>420.20238709677392</v>
      </c>
      <c r="AI50">
        <v>818.4145806451611</v>
      </c>
      <c r="AJ50">
        <v>288.47903225806448</v>
      </c>
      <c r="AK50">
        <v>182.74677419354836</v>
      </c>
    </row>
    <row r="51" spans="11:37" x14ac:dyDescent="0.25">
      <c r="K51" s="15"/>
      <c r="L51" s="15"/>
      <c r="M51" s="6" t="s">
        <v>1418</v>
      </c>
      <c r="N51" s="11">
        <f>N69</f>
        <v>241.02525806451581</v>
      </c>
      <c r="O51" s="11">
        <f t="shared" ref="O51:Q51" si="19">O69</f>
        <v>268.81721428571393</v>
      </c>
      <c r="P51" s="11">
        <f t="shared" si="19"/>
        <v>259.52436816269261</v>
      </c>
      <c r="Q51" s="11">
        <f t="shared" si="19"/>
        <v>161.69900000033337</v>
      </c>
      <c r="R51" s="11">
        <f>R69</f>
        <v>159.36970967741937</v>
      </c>
      <c r="S51" s="11">
        <f>S37-S44</f>
        <v>76.066666666666663</v>
      </c>
      <c r="T51" s="11">
        <f t="shared" ref="T51:Y51" si="20">T37-T44</f>
        <v>123.14193548387098</v>
      </c>
      <c r="U51" s="11">
        <f t="shared" si="20"/>
        <v>120.45663440860216</v>
      </c>
      <c r="V51" s="11">
        <f t="shared" si="20"/>
        <v>76.283999999999992</v>
      </c>
      <c r="W51" s="11">
        <f t="shared" si="20"/>
        <v>325.93709677419355</v>
      </c>
      <c r="X51" s="11">
        <f t="shared" si="20"/>
        <v>172.99666666666667</v>
      </c>
      <c r="Y51" s="11">
        <f t="shared" si="20"/>
        <v>10</v>
      </c>
      <c r="Z51" s="17"/>
      <c r="AA51" s="17">
        <f t="shared" si="11"/>
        <v>194.41703614289031</v>
      </c>
      <c r="AB51" s="10">
        <f>AVERAGE(S51:Y51)</f>
        <v>129.26900000000001</v>
      </c>
      <c r="AG51" t="s">
        <v>4</v>
      </c>
      <c r="AH51">
        <v>682.32992857142847</v>
      </c>
      <c r="AI51">
        <v>1135.9813793103447</v>
      </c>
      <c r="AJ51">
        <v>713.39214285714297</v>
      </c>
      <c r="AK51">
        <v>301.8155357142856</v>
      </c>
    </row>
    <row r="52" spans="11:37" x14ac:dyDescent="0.25">
      <c r="K52" s="15"/>
      <c r="L52" s="15"/>
      <c r="M52" s="6" t="s">
        <v>60</v>
      </c>
      <c r="N52" s="11">
        <f>N39-N46</f>
        <v>61.63354838709671</v>
      </c>
      <c r="O52" s="11">
        <f>O39-O46</f>
        <v>-41.211945812807812</v>
      </c>
      <c r="P52" s="11">
        <f t="shared" ref="P52:Y52" si="21">P39-P46</f>
        <v>258.46660956618462</v>
      </c>
      <c r="Q52" s="11">
        <f t="shared" si="21"/>
        <v>182.35873333333336</v>
      </c>
      <c r="R52" s="11">
        <f t="shared" si="21"/>
        <v>166.35225806451609</v>
      </c>
      <c r="S52" s="11">
        <f t="shared" si="21"/>
        <v>97.243333333333325</v>
      </c>
      <c r="T52" s="11">
        <f t="shared" si="21"/>
        <v>176.99032258064517</v>
      </c>
      <c r="U52" s="11">
        <f t="shared" si="21"/>
        <v>97.829193548387096</v>
      </c>
      <c r="V52" s="11">
        <f t="shared" si="21"/>
        <v>160.00333333266664</v>
      </c>
      <c r="W52" s="11">
        <f t="shared" si="21"/>
        <v>64.891451612903211</v>
      </c>
      <c r="X52" s="11">
        <f t="shared" si="21"/>
        <v>190.84549999999996</v>
      </c>
      <c r="Y52" s="11">
        <f t="shared" si="21"/>
        <v>12</v>
      </c>
      <c r="Z52" s="11">
        <f>Z37-Z44</f>
        <v>-278.03944444444471</v>
      </c>
      <c r="AA52" s="17">
        <f t="shared" si="11"/>
        <v>120.80708947860938</v>
      </c>
      <c r="AB52" s="10">
        <f>AVERAGE(N52:Y52)</f>
        <v>118.95019482885486</v>
      </c>
      <c r="AG52" t="s">
        <v>5</v>
      </c>
      <c r="AH52">
        <v>610.41609677419331</v>
      </c>
      <c r="AI52">
        <v>587.10490322580631</v>
      </c>
      <c r="AJ52">
        <v>588.23580645161314</v>
      </c>
      <c r="AK52">
        <v>156.04267741935487</v>
      </c>
    </row>
    <row r="53" spans="11:37" x14ac:dyDescent="0.25">
      <c r="K53" s="15"/>
      <c r="L53" s="15"/>
      <c r="M53" s="6" t="s">
        <v>52</v>
      </c>
      <c r="N53" s="11">
        <f>N41-N48</f>
        <v>215.36133333099991</v>
      </c>
      <c r="O53" s="11">
        <f t="shared" ref="O53:Y53" si="22">O41-O48</f>
        <v>36.144000000999881</v>
      </c>
      <c r="P53" s="11">
        <f t="shared" si="22"/>
        <v>92.08966666699996</v>
      </c>
      <c r="Q53" s="11">
        <f t="shared" si="22"/>
        <v>92.790666666999925</v>
      </c>
      <c r="R53" s="11">
        <f t="shared" si="22"/>
        <v>121.80683333299997</v>
      </c>
      <c r="S53" s="11">
        <f t="shared" si="22"/>
        <v>183.23733333299998</v>
      </c>
      <c r="T53" s="11">
        <f t="shared" si="22"/>
        <v>140.64499999900002</v>
      </c>
      <c r="U53" s="11">
        <f t="shared" si="22"/>
        <v>208.43066666800001</v>
      </c>
      <c r="V53" s="11">
        <f t="shared" si="22"/>
        <v>181.59333333399996</v>
      </c>
      <c r="W53" s="11">
        <f t="shared" si="22"/>
        <v>125.41366666799991</v>
      </c>
      <c r="X53" s="11">
        <f t="shared" si="22"/>
        <v>58.042000000000002</v>
      </c>
      <c r="Y53" s="11">
        <f t="shared" si="22"/>
        <v>27.903333334000003</v>
      </c>
      <c r="Z53" s="11">
        <f>AVERAGE(N53:Y53)</f>
        <v>123.62148611124995</v>
      </c>
      <c r="AA53" s="17">
        <f t="shared" si="11"/>
        <v>123.5716388886666</v>
      </c>
      <c r="AB53" s="10">
        <f>AVERAGE(S53:Y53)</f>
        <v>132.18076190514284</v>
      </c>
      <c r="AG53" t="s">
        <v>6</v>
      </c>
      <c r="AH53">
        <v>446.31633333333389</v>
      </c>
      <c r="AI53">
        <v>411.00816666666702</v>
      </c>
      <c r="AJ53">
        <v>78.730833333333337</v>
      </c>
      <c r="AK53">
        <v>31.188399999999994</v>
      </c>
    </row>
    <row r="54" spans="11:37" x14ac:dyDescent="0.25">
      <c r="K54" s="15"/>
      <c r="L54" s="15"/>
      <c r="M54" s="6"/>
      <c r="N54" s="11">
        <f>AVERAGE(N51:N53)</f>
        <v>172.67337992753747</v>
      </c>
      <c r="O54" s="11">
        <f>O53+0.3*O51</f>
        <v>116.78916428671405</v>
      </c>
      <c r="P54" s="11">
        <f t="shared" ref="P54:W54" si="23">AVERAGE(P51:P53)</f>
        <v>203.36021479862572</v>
      </c>
      <c r="Q54" s="11">
        <f t="shared" si="23"/>
        <v>145.61613333355555</v>
      </c>
      <c r="R54" s="11">
        <f>AVERAGE(R51:R53)</f>
        <v>149.1762670249785</v>
      </c>
      <c r="S54" s="11">
        <f t="shared" si="23"/>
        <v>118.849111111</v>
      </c>
      <c r="T54" s="11">
        <f t="shared" si="23"/>
        <v>146.9257526878387</v>
      </c>
      <c r="U54" s="11">
        <f t="shared" si="23"/>
        <v>142.23883154166307</v>
      </c>
      <c r="V54" s="11">
        <f t="shared" si="23"/>
        <v>139.29355555555551</v>
      </c>
      <c r="W54" s="11">
        <f t="shared" si="23"/>
        <v>172.0807383516989</v>
      </c>
      <c r="X54" s="11">
        <f>AVERAGE(X52:X53)</f>
        <v>124.44374999999998</v>
      </c>
      <c r="Y54" s="11">
        <f>AVERAGE(Y51:Y53)</f>
        <v>16.634444444666666</v>
      </c>
      <c r="Z54" s="11">
        <f>AVERAGE(N54:Y54)</f>
        <v>137.34011192198619</v>
      </c>
      <c r="AA54" s="11"/>
      <c r="AB54" s="10">
        <f>AVERAGE(S54:Y54)</f>
        <v>122.92374052748896</v>
      </c>
      <c r="AG54" t="s">
        <v>7</v>
      </c>
      <c r="AH54">
        <v>301.50048387096757</v>
      </c>
      <c r="AI54">
        <v>244.82677419354837</v>
      </c>
      <c r="AJ54">
        <v>6.4919354838709671</v>
      </c>
      <c r="AK54">
        <v>14.5616129032258</v>
      </c>
    </row>
    <row r="55" spans="11:37" x14ac:dyDescent="0.25">
      <c r="N55" s="50">
        <f>N36-N43</f>
        <v>68.712048387096786</v>
      </c>
      <c r="O55" s="50">
        <f>O36-O43</f>
        <v>75.483928571428578</v>
      </c>
      <c r="P55" s="50">
        <f>P36-P43</f>
        <v>86.169410483870934</v>
      </c>
      <c r="Q55" s="50">
        <f>Q36-Q43</f>
        <v>200.61255</v>
      </c>
      <c r="R55" s="50">
        <f>R36-R43</f>
        <v>111.99112500000001</v>
      </c>
      <c r="S55" s="50">
        <f>S54*1-29</f>
        <v>89.849111110999999</v>
      </c>
      <c r="T55" s="50">
        <f>T54*0.8-15</f>
        <v>102.54060215027096</v>
      </c>
      <c r="U55" s="50">
        <f>U54*0.8-15</f>
        <v>98.791065233330471</v>
      </c>
      <c r="V55" s="50">
        <f t="shared" ref="V55" si="24">V54*0.8</f>
        <v>111.43484444444442</v>
      </c>
      <c r="W55" s="50">
        <f>W54*0.75</f>
        <v>129.06055376377418</v>
      </c>
      <c r="X55" s="50">
        <f>X54*0.8</f>
        <v>99.554999999999993</v>
      </c>
      <c r="Y55" s="50">
        <f>Y54*2+25</f>
        <v>58.268888889333333</v>
      </c>
      <c r="AG55" t="s">
        <v>8</v>
      </c>
      <c r="AH55">
        <v>302.91233333333389</v>
      </c>
      <c r="AI55">
        <v>184.11949999999999</v>
      </c>
      <c r="AJ55">
        <v>1.6333333333333335</v>
      </c>
      <c r="AK55">
        <v>8.2500000000000036</v>
      </c>
    </row>
    <row r="56" spans="11:37" x14ac:dyDescent="0.25">
      <c r="W56" s="10"/>
      <c r="X56" s="10"/>
      <c r="Y56">
        <v>93</v>
      </c>
      <c r="AG56" t="s">
        <v>45</v>
      </c>
      <c r="AH56">
        <v>259.14387096774175</v>
      </c>
      <c r="AI56">
        <v>30.447580645161288</v>
      </c>
      <c r="AJ56">
        <v>8.9806451612903242</v>
      </c>
    </row>
    <row r="57" spans="11:37" x14ac:dyDescent="0.25">
      <c r="M57" s="448" t="s">
        <v>1425</v>
      </c>
      <c r="N57" s="450">
        <v>169.18600266559997</v>
      </c>
      <c r="O57" s="450">
        <v>114.81156799999999</v>
      </c>
      <c r="P57" s="450">
        <v>60.986536000399987</v>
      </c>
      <c r="Q57" s="450">
        <v>71.811299999999974</v>
      </c>
      <c r="R57" s="450">
        <v>104.608296</v>
      </c>
      <c r="S57" s="450">
        <v>122</v>
      </c>
      <c r="T57" s="450"/>
      <c r="Y57" s="52">
        <f>Y55-Y56</f>
        <v>-34.731111110666667</v>
      </c>
      <c r="AG57" t="s">
        <v>46</v>
      </c>
      <c r="AH57">
        <v>278.36096774193533</v>
      </c>
      <c r="AI57">
        <v>69.406451612903197</v>
      </c>
      <c r="AJ57">
        <v>9.6000000000000032</v>
      </c>
    </row>
    <row r="58" spans="11:37" x14ac:dyDescent="0.25">
      <c r="N58">
        <v>169.18600266559997</v>
      </c>
      <c r="O58">
        <v>114.81156799999999</v>
      </c>
      <c r="P58">
        <v>60.986536000399987</v>
      </c>
      <c r="Q58">
        <v>71.811299999999974</v>
      </c>
      <c r="R58">
        <v>104.608296</v>
      </c>
      <c r="S58" s="457">
        <f>S57*0.8</f>
        <v>97.600000000000009</v>
      </c>
      <c r="T58" s="457"/>
      <c r="U58" s="10"/>
      <c r="V58" s="10"/>
      <c r="W58" s="10"/>
      <c r="X58" s="10"/>
      <c r="Y58" s="10"/>
      <c r="AG58" t="s">
        <v>9</v>
      </c>
      <c r="AH58">
        <v>528.28500000000054</v>
      </c>
      <c r="AI58">
        <v>113.37066666666666</v>
      </c>
      <c r="AJ58">
        <v>122.00700000000005</v>
      </c>
    </row>
    <row r="59" spans="11:37" x14ac:dyDescent="0.25">
      <c r="AG59" t="s">
        <v>10</v>
      </c>
      <c r="AH59">
        <v>1096.9483870967749</v>
      </c>
      <c r="AI59">
        <v>329.23003225806445</v>
      </c>
      <c r="AJ59">
        <v>322.8029032258064</v>
      </c>
    </row>
    <row r="60" spans="11:37" x14ac:dyDescent="0.25">
      <c r="N60" s="10">
        <f t="shared" ref="N60:S60" si="25">N36+128</f>
        <v>524.95350000000008</v>
      </c>
      <c r="O60" s="10">
        <f t="shared" si="25"/>
        <v>762</v>
      </c>
      <c r="P60" s="10">
        <f t="shared" si="25"/>
        <v>488.45247499999994</v>
      </c>
      <c r="Q60" s="10">
        <f t="shared" si="25"/>
        <v>535.61255000000006</v>
      </c>
      <c r="R60" s="10">
        <f t="shared" si="25"/>
        <v>432.99112500000001</v>
      </c>
      <c r="S60" s="10">
        <f t="shared" si="25"/>
        <v>350.84911111100001</v>
      </c>
      <c r="T60" s="10"/>
      <c r="U60" s="10"/>
      <c r="V60" s="10"/>
      <c r="W60" s="10"/>
      <c r="X60" s="10"/>
      <c r="Y60" s="10"/>
      <c r="AG60" t="s">
        <v>11</v>
      </c>
      <c r="AH60">
        <v>620.05000000000041</v>
      </c>
      <c r="AI60">
        <v>166.44230000000005</v>
      </c>
      <c r="AJ60">
        <v>57.464666666666659</v>
      </c>
    </row>
    <row r="61" spans="11:37" x14ac:dyDescent="0.25">
      <c r="S61" s="10"/>
      <c r="T61" s="10"/>
      <c r="U61" s="10"/>
      <c r="V61" s="10"/>
      <c r="W61" s="10"/>
      <c r="X61" s="10"/>
      <c r="Y61" s="10"/>
      <c r="AG61" t="s">
        <v>12</v>
      </c>
      <c r="AH61">
        <v>230.55961290322563</v>
      </c>
      <c r="AI61">
        <v>14.500967741935487</v>
      </c>
      <c r="AJ61">
        <v>4.6451612903225801</v>
      </c>
    </row>
    <row r="62" spans="11:37" x14ac:dyDescent="0.25">
      <c r="N62">
        <v>200.24145161290323</v>
      </c>
      <c r="O62">
        <v>430.51607142857137</v>
      </c>
      <c r="P62">
        <v>146.283064516129</v>
      </c>
      <c r="Q62">
        <v>79</v>
      </c>
      <c r="R62">
        <v>65</v>
      </c>
      <c r="S62">
        <v>5</v>
      </c>
      <c r="T62">
        <v>1.064516129032258</v>
      </c>
      <c r="U62">
        <v>1.6935483870967742</v>
      </c>
      <c r="V62">
        <v>132.03875000000002</v>
      </c>
      <c r="W62">
        <v>94.651899999999998</v>
      </c>
      <c r="X62">
        <v>27.470750000000002</v>
      </c>
      <c r="Y62">
        <v>0</v>
      </c>
      <c r="Z62">
        <v>34.6</v>
      </c>
      <c r="AA62">
        <v>5.7666666666666666</v>
      </c>
      <c r="AG62" t="s">
        <v>13</v>
      </c>
      <c r="AH62">
        <v>5777.0254016897088</v>
      </c>
      <c r="AI62">
        <v>4104.8533029662585</v>
      </c>
      <c r="AJ62">
        <v>2202.463460061444</v>
      </c>
      <c r="AK62">
        <v>694.60500023041459</v>
      </c>
    </row>
    <row r="63" spans="11:37" x14ac:dyDescent="0.25">
      <c r="N63" s="50">
        <v>128</v>
      </c>
      <c r="O63" s="50">
        <v>128</v>
      </c>
      <c r="P63" s="50">
        <v>128</v>
      </c>
      <c r="Q63" s="50">
        <v>128</v>
      </c>
      <c r="R63" s="50">
        <v>128</v>
      </c>
      <c r="S63" s="50">
        <v>128</v>
      </c>
      <c r="T63" s="50">
        <v>128</v>
      </c>
      <c r="U63" s="50">
        <v>128</v>
      </c>
      <c r="V63" s="50">
        <v>128</v>
      </c>
      <c r="W63" s="50">
        <v>128</v>
      </c>
      <c r="X63" s="50">
        <v>128</v>
      </c>
      <c r="Y63" s="50">
        <v>128</v>
      </c>
    </row>
    <row r="64" spans="11:37" x14ac:dyDescent="0.25">
      <c r="N64">
        <f>SUM(N62:N63)</f>
        <v>328.24145161290323</v>
      </c>
      <c r="O64">
        <f>SUM(O62:O63)</f>
        <v>558.51607142857142</v>
      </c>
      <c r="P64">
        <f t="shared" ref="P64:W64" si="26">SUM(P62:P63)</f>
        <v>274.283064516129</v>
      </c>
      <c r="Q64">
        <f>SUM(Q62:Q63)</f>
        <v>207</v>
      </c>
      <c r="R64">
        <f t="shared" si="26"/>
        <v>193</v>
      </c>
      <c r="S64">
        <f t="shared" si="26"/>
        <v>133</v>
      </c>
      <c r="T64">
        <f t="shared" ref="T64:X64" si="27">SUM(T62:T63)</f>
        <v>129.06451612903226</v>
      </c>
      <c r="U64">
        <f t="shared" si="26"/>
        <v>129.69354838709677</v>
      </c>
      <c r="V64">
        <f t="shared" si="27"/>
        <v>260.03875000000005</v>
      </c>
      <c r="W64">
        <f t="shared" si="26"/>
        <v>222.65190000000001</v>
      </c>
      <c r="X64">
        <f t="shared" si="27"/>
        <v>155.47075000000001</v>
      </c>
      <c r="Y64">
        <f t="shared" ref="Y64" si="28">SUM(Y62:Y63)</f>
        <v>128</v>
      </c>
    </row>
    <row r="65" spans="13:28" x14ac:dyDescent="0.25">
      <c r="N65" s="52"/>
    </row>
    <row r="67" spans="13:28" x14ac:dyDescent="0.25">
      <c r="N67">
        <f>'June Monthly updated 725'!P822*-1</f>
        <v>487.36074193548382</v>
      </c>
      <c r="O67">
        <f>'June Monthly updated 725'!Q822*-1</f>
        <v>537.59399999999994</v>
      </c>
      <c r="P67">
        <f>'June Monthly updated 725'!R822*-1</f>
        <v>386.37598106591861</v>
      </c>
      <c r="Q67">
        <f>'June Monthly updated 725'!S822*-1</f>
        <v>335.22733333333338</v>
      </c>
      <c r="R67">
        <f>'June Monthly updated 725'!T822*-1</f>
        <v>215.98351612903227</v>
      </c>
      <c r="S67">
        <f>'June Monthly updated 725'!U822*-1</f>
        <v>94.06</v>
      </c>
      <c r="T67">
        <f>'June Monthly updated 725'!V822*-1</f>
        <v>125.69499999999999</v>
      </c>
      <c r="U67">
        <f>'June Monthly updated 725'!W822*-1</f>
        <v>0</v>
      </c>
      <c r="V67">
        <f>'June Monthly updated 725'!X822*-1</f>
        <v>0</v>
      </c>
      <c r="W67">
        <f>'June Monthly updated 725'!Y822*-1</f>
        <v>0</v>
      </c>
      <c r="X67">
        <f>'June Monthly updated 725'!Z822*-1</f>
        <v>-13</v>
      </c>
      <c r="Y67">
        <f>'June Monthly updated 725'!AA822*-1</f>
        <v>0</v>
      </c>
      <c r="Z67">
        <f>'June Monthly updated 725'!AB822*-1</f>
        <v>4.8571428571428568</v>
      </c>
      <c r="AA67">
        <f>'June Monthly updated 725'!AC822*-1</f>
        <v>0</v>
      </c>
      <c r="AB67">
        <f>'June Monthly updated 725'!AD822*-1</f>
        <v>25.748571428571427</v>
      </c>
    </row>
    <row r="68" spans="13:28" x14ac:dyDescent="0.25">
      <c r="N68" s="35">
        <f>246.335483870968</f>
        <v>246.33548387096801</v>
      </c>
      <c r="O68" s="35">
        <f>268.776785714286</f>
        <v>268.77678571428601</v>
      </c>
      <c r="P68" s="35">
        <f>126.851612903226</f>
        <v>126.851612903226</v>
      </c>
      <c r="Q68" s="11">
        <f>173.528333333</f>
        <v>173.52833333300001</v>
      </c>
      <c r="R68" s="11">
        <f>56.6138064516129</f>
        <v>56.613806451612902</v>
      </c>
      <c r="S68" s="11">
        <f>17.9333333333333</f>
        <v>17.933333333333302</v>
      </c>
      <c r="T68" s="11">
        <f>1.85806451612903</f>
        <v>1.8580645161290299</v>
      </c>
    </row>
    <row r="69" spans="13:28" x14ac:dyDescent="0.25">
      <c r="N69" s="10">
        <f>N67-N68</f>
        <v>241.02525806451581</v>
      </c>
      <c r="O69" s="10">
        <f t="shared" ref="O69:S69" si="29">O67-O68</f>
        <v>268.81721428571393</v>
      </c>
      <c r="P69" s="10">
        <f t="shared" si="29"/>
        <v>259.52436816269261</v>
      </c>
      <c r="Q69" s="10">
        <f t="shared" si="29"/>
        <v>161.69900000033337</v>
      </c>
      <c r="R69" s="10">
        <f t="shared" si="29"/>
        <v>159.36970967741937</v>
      </c>
      <c r="S69" s="10">
        <f t="shared" si="29"/>
        <v>76.126666666666694</v>
      </c>
      <c r="T69" s="10">
        <f>T67-T68</f>
        <v>123.83693548387096</v>
      </c>
    </row>
    <row r="71" spans="13:28" x14ac:dyDescent="0.25">
      <c r="M71" s="488">
        <v>46192</v>
      </c>
      <c r="N71">
        <v>396.95350000000002</v>
      </c>
      <c r="O71">
        <v>634</v>
      </c>
      <c r="P71">
        <v>360.45247499999994</v>
      </c>
      <c r="Q71">
        <v>407.61255</v>
      </c>
      <c r="R71">
        <v>304.99112500000001</v>
      </c>
      <c r="S71">
        <v>222.84911111100001</v>
      </c>
      <c r="T71">
        <v>231.60511827930321</v>
      </c>
      <c r="U71">
        <v>228.48461362042724</v>
      </c>
      <c r="V71">
        <v>311.43484444444442</v>
      </c>
      <c r="W71">
        <v>382.06055376377418</v>
      </c>
      <c r="X71">
        <v>255.02575000000002</v>
      </c>
      <c r="Y71">
        <v>186.26888888933334</v>
      </c>
    </row>
    <row r="72" spans="13:28" x14ac:dyDescent="0.25">
      <c r="N72" s="10">
        <f>N71-N36</f>
        <v>0</v>
      </c>
      <c r="O72" s="10">
        <f>O71-O36</f>
        <v>0</v>
      </c>
      <c r="P72" s="10">
        <f>P71-P36</f>
        <v>0</v>
      </c>
      <c r="Q72" s="490">
        <f>Q71-Q36</f>
        <v>0</v>
      </c>
      <c r="R72" s="10">
        <f>R71-R36</f>
        <v>0</v>
      </c>
      <c r="S72" s="10">
        <f t="shared" ref="S72:Y72" si="30">S71-S36</f>
        <v>0</v>
      </c>
      <c r="T72" s="10">
        <f t="shared" si="30"/>
        <v>0</v>
      </c>
      <c r="U72" s="10">
        <f t="shared" si="30"/>
        <v>0</v>
      </c>
      <c r="V72" s="490">
        <f t="shared" si="30"/>
        <v>0</v>
      </c>
      <c r="W72" s="490">
        <f t="shared" si="30"/>
        <v>0</v>
      </c>
      <c r="X72" s="10">
        <f>X71-X36</f>
        <v>0</v>
      </c>
      <c r="Y72" s="10">
        <f t="shared" si="30"/>
        <v>0</v>
      </c>
    </row>
    <row r="74" spans="13:28" x14ac:dyDescent="0.25">
      <c r="P74">
        <v>4240</v>
      </c>
      <c r="Q74" s="10">
        <f>P74+Q34</f>
        <v>4192.8399250000002</v>
      </c>
    </row>
    <row r="75" spans="13:28" x14ac:dyDescent="0.25">
      <c r="Q75" s="10">
        <v>4250</v>
      </c>
      <c r="R75" s="10">
        <f>Q75+R34</f>
        <v>4352.6214250000003</v>
      </c>
    </row>
    <row r="76" spans="13:28" x14ac:dyDescent="0.25">
      <c r="R76">
        <f>R75*0.9725</f>
        <v>4232.9243358125004</v>
      </c>
      <c r="S76" s="10">
        <f>R76+S34</f>
        <v>4315.0663497015003</v>
      </c>
      <c r="T76" s="10">
        <f>S76+T34</f>
        <v>4306.3103425331974</v>
      </c>
      <c r="U76" s="10">
        <f>T76+U34</f>
        <v>4309.4308471920731</v>
      </c>
      <c r="V76" s="10">
        <f>U76+V34</f>
        <v>4226.480616368056</v>
      </c>
    </row>
    <row r="77" spans="13:28" x14ac:dyDescent="0.25">
      <c r="V77">
        <f>V76*1.02+7</f>
        <v>4318.010228695417</v>
      </c>
      <c r="W77" s="10">
        <f>V77+W34</f>
        <v>4247.3845193760872</v>
      </c>
    </row>
    <row r="78" spans="13:28" x14ac:dyDescent="0.25">
      <c r="W78">
        <f>W77*1.025+3</f>
        <v>4356.5691323604888</v>
      </c>
      <c r="X78" s="10">
        <f>W78+X34</f>
        <v>4483.6039361242629</v>
      </c>
    </row>
    <row r="79" spans="13:28" x14ac:dyDescent="0.25">
      <c r="X79">
        <f>X78*1.012</f>
        <v>4537.4071833577536</v>
      </c>
      <c r="Y79" s="491">
        <f>X79+Y34</f>
        <v>4606.1640444684199</v>
      </c>
    </row>
    <row r="90" spans="11:28" ht="15.75" thickBot="1" x14ac:dyDescent="0.3">
      <c r="N90" s="3" t="s">
        <v>3</v>
      </c>
      <c r="O90" s="3" t="s">
        <v>4</v>
      </c>
      <c r="P90" s="3" t="s">
        <v>5</v>
      </c>
      <c r="Q90" s="3" t="s">
        <v>6</v>
      </c>
      <c r="R90" s="3" t="s">
        <v>7</v>
      </c>
      <c r="S90" s="3" t="s">
        <v>8</v>
      </c>
      <c r="T90" s="3" t="s">
        <v>45</v>
      </c>
      <c r="U90" s="3" t="s">
        <v>46</v>
      </c>
      <c r="V90" s="3" t="s">
        <v>9</v>
      </c>
      <c r="W90" s="3" t="s">
        <v>10</v>
      </c>
      <c r="X90" s="3" t="s">
        <v>11</v>
      </c>
      <c r="Y90" s="3" t="s">
        <v>12</v>
      </c>
    </row>
    <row r="91" spans="11:28" x14ac:dyDescent="0.25">
      <c r="K91" s="503" t="s">
        <v>1395</v>
      </c>
      <c r="L91" s="497"/>
      <c r="M91" s="28" t="s">
        <v>87</v>
      </c>
      <c r="N91" s="9">
        <f>N62</f>
        <v>200.24145161290323</v>
      </c>
      <c r="O91" s="9">
        <f>O62</f>
        <v>430.51607142857137</v>
      </c>
      <c r="P91" s="9">
        <f t="shared" ref="P91:Y91" si="31">P62</f>
        <v>146.283064516129</v>
      </c>
      <c r="Q91" s="9">
        <f t="shared" si="31"/>
        <v>79</v>
      </c>
      <c r="R91" s="9">
        <f t="shared" si="31"/>
        <v>65</v>
      </c>
      <c r="S91" s="9">
        <f t="shared" si="31"/>
        <v>5</v>
      </c>
      <c r="T91" s="9">
        <f t="shared" si="31"/>
        <v>1.064516129032258</v>
      </c>
      <c r="U91" s="9">
        <f t="shared" si="31"/>
        <v>1.6935483870967742</v>
      </c>
      <c r="V91" s="9">
        <f t="shared" si="31"/>
        <v>132.03875000000002</v>
      </c>
      <c r="W91" s="9">
        <f t="shared" si="31"/>
        <v>94.651899999999998</v>
      </c>
      <c r="X91" s="9">
        <f t="shared" si="31"/>
        <v>27.470750000000002</v>
      </c>
      <c r="Y91" s="9">
        <f t="shared" si="31"/>
        <v>0</v>
      </c>
    </row>
    <row r="92" spans="11:28" x14ac:dyDescent="0.25">
      <c r="K92" s="502"/>
      <c r="L92" s="499"/>
      <c r="M92" s="45" t="s">
        <v>88</v>
      </c>
      <c r="N92" s="35">
        <v>246.33548387096778</v>
      </c>
      <c r="O92" s="35">
        <v>268.77678571428572</v>
      </c>
      <c r="P92" s="35">
        <v>126.8516129032258</v>
      </c>
      <c r="Q92" s="11">
        <v>173.52833333300001</v>
      </c>
      <c r="R92" s="11">
        <v>56.613806451612902</v>
      </c>
      <c r="S92" s="11">
        <v>17.93333333333333</v>
      </c>
      <c r="T92" s="11">
        <v>1.8580645161290321</v>
      </c>
      <c r="U92" s="11">
        <v>59.662365591397858</v>
      </c>
      <c r="V92" s="11">
        <v>196.90199999999999</v>
      </c>
      <c r="W92" s="11">
        <v>309.56290322580645</v>
      </c>
      <c r="X92" s="11">
        <v>119.93333333333334</v>
      </c>
      <c r="Y92" s="11">
        <v>0</v>
      </c>
    </row>
    <row r="93" spans="11:28" x14ac:dyDescent="0.25">
      <c r="K93" s="502"/>
      <c r="L93" s="499"/>
      <c r="M93" s="45" t="s">
        <v>89</v>
      </c>
      <c r="N93" s="36">
        <f>(N91-N92)/N92</f>
        <v>-0.18711893038604588</v>
      </c>
      <c r="O93" s="36">
        <f t="shared" ref="O93:AB93" si="32">(O91-O92)/O92</f>
        <v>0.60176062186493007</v>
      </c>
      <c r="P93" s="36">
        <f t="shared" si="32"/>
        <v>0.15318253483877514</v>
      </c>
      <c r="Q93" s="36">
        <f t="shared" si="32"/>
        <v>-0.54474293342978519</v>
      </c>
      <c r="R93" s="36">
        <f>(R91-R92)/R92</f>
        <v>0.14812983040726418</v>
      </c>
      <c r="S93" s="36">
        <f>(S91-S92)/S92</f>
        <v>-0.72118959107806691</v>
      </c>
      <c r="T93" s="36">
        <f t="shared" si="32"/>
        <v>-0.42708333333333331</v>
      </c>
      <c r="U93" s="36">
        <f t="shared" si="32"/>
        <v>-0.97161446130555451</v>
      </c>
      <c r="V93" s="36">
        <f t="shared" si="32"/>
        <v>-0.32941894952819151</v>
      </c>
      <c r="W93" s="36">
        <f t="shared" si="32"/>
        <v>-0.69424017214699185</v>
      </c>
      <c r="X93" s="36">
        <f t="shared" si="32"/>
        <v>-0.77094983324068922</v>
      </c>
      <c r="Y93" s="36" t="e">
        <f t="shared" si="32"/>
        <v>#DIV/0!</v>
      </c>
      <c r="Z93" s="36" t="e">
        <f t="shared" si="32"/>
        <v>#DIV/0!</v>
      </c>
      <c r="AA93" s="36" t="e">
        <f t="shared" si="32"/>
        <v>#DIV/0!</v>
      </c>
      <c r="AB93" s="36" t="e">
        <f t="shared" si="32"/>
        <v>#DIV/0!</v>
      </c>
    </row>
    <row r="94" spans="11:28" x14ac:dyDescent="0.25">
      <c r="K94" s="498"/>
      <c r="L94" s="499"/>
      <c r="M94" s="45" t="s">
        <v>65</v>
      </c>
      <c r="N94" s="35">
        <f>N46</f>
        <v>347.97645161290325</v>
      </c>
      <c r="O94" s="35">
        <f t="shared" ref="O94:Y94" si="33">O46</f>
        <v>495</v>
      </c>
      <c r="P94" s="35">
        <f t="shared" si="33"/>
        <v>237.86139043381533</v>
      </c>
      <c r="Q94" s="35">
        <f t="shared" si="33"/>
        <v>80.508333333333326</v>
      </c>
      <c r="R94" s="35">
        <f t="shared" si="33"/>
        <v>22.800161290322581</v>
      </c>
      <c r="S94" s="35">
        <f t="shared" si="33"/>
        <v>59.756666666666675</v>
      </c>
      <c r="T94" s="35">
        <f t="shared" si="33"/>
        <v>52.009677419354837</v>
      </c>
      <c r="U94" s="35">
        <f>U46</f>
        <v>102.1708064516129</v>
      </c>
      <c r="V94" s="35">
        <f t="shared" si="33"/>
        <v>158.99666666733336</v>
      </c>
      <c r="W94" s="35">
        <f t="shared" si="33"/>
        <v>284.10854838709679</v>
      </c>
      <c r="X94" s="35">
        <f t="shared" si="33"/>
        <v>76.554500000000004</v>
      </c>
      <c r="Y94" s="35">
        <f t="shared" si="33"/>
        <v>0</v>
      </c>
    </row>
    <row r="95" spans="11:28" x14ac:dyDescent="0.25">
      <c r="K95" s="498"/>
      <c r="L95" s="499"/>
      <c r="M95" s="45" t="s">
        <v>89</v>
      </c>
      <c r="N95" s="14">
        <f t="shared" ref="N95" si="34">(N$91-N94)/N94</f>
        <v>-0.42455459073519064</v>
      </c>
      <c r="O95" s="14">
        <f t="shared" ref="O95" si="35">(O$91-O94)/O94</f>
        <v>-0.1302705627705629</v>
      </c>
      <c r="P95" s="14">
        <f t="shared" ref="P95" si="36">(P$91-P94)/P94</f>
        <v>-0.38500710750351008</v>
      </c>
      <c r="Q95" s="14">
        <f t="shared" ref="Q95" si="37">(Q$91-Q94)/Q94</f>
        <v>-1.8735120587930764E-2</v>
      </c>
      <c r="R95" s="14">
        <f t="shared" ref="R95" si="38">(R$91-R94)/R94</f>
        <v>1.850857025629417</v>
      </c>
      <c r="S95" s="14">
        <f t="shared" ref="S95" si="39">(S$91-S94)/S94</f>
        <v>-0.91632732749484025</v>
      </c>
      <c r="T95" s="14">
        <f t="shared" ref="T95" si="40">(T$91-T94)/T94</f>
        <v>-0.97953234509706633</v>
      </c>
    </row>
    <row r="96" spans="11:28" x14ac:dyDescent="0.25">
      <c r="K96" s="498"/>
      <c r="L96" s="499"/>
      <c r="M96" s="45" t="s">
        <v>44</v>
      </c>
      <c r="N96" s="35">
        <f>N48</f>
        <v>238.07846666699999</v>
      </c>
      <c r="O96" s="35">
        <f t="shared" ref="O96:Y96" si="41">O48</f>
        <v>467.77760000000001</v>
      </c>
      <c r="P96" s="35">
        <f t="shared" si="41"/>
        <v>370.22563333300002</v>
      </c>
      <c r="Q96" s="35">
        <f t="shared" si="41"/>
        <v>218.854333333</v>
      </c>
      <c r="R96" s="35">
        <f t="shared" si="41"/>
        <v>116.557833333</v>
      </c>
      <c r="S96" s="35">
        <f t="shared" si="41"/>
        <v>63.005666667</v>
      </c>
      <c r="T96" s="35">
        <f t="shared" si="41"/>
        <v>1.7406666669999999</v>
      </c>
      <c r="U96" s="35">
        <f t="shared" si="41"/>
        <v>63.728999999999999</v>
      </c>
      <c r="V96" s="35">
        <f t="shared" si="41"/>
        <v>165.49833333300001</v>
      </c>
      <c r="W96" s="35">
        <f t="shared" si="41"/>
        <v>445.01900000000001</v>
      </c>
      <c r="X96" s="35">
        <f t="shared" si="41"/>
        <v>196.64500000000001</v>
      </c>
      <c r="Y96" s="35">
        <f t="shared" si="41"/>
        <v>29.198333333000001</v>
      </c>
    </row>
    <row r="97" spans="11:28" ht="15.75" thickBot="1" x14ac:dyDescent="0.3">
      <c r="K97" s="500"/>
      <c r="L97" s="501"/>
      <c r="M97" s="45" t="s">
        <v>89</v>
      </c>
      <c r="N97" s="36">
        <f>(N91-N96)/N96</f>
        <v>-0.15892665802077485</v>
      </c>
      <c r="O97" s="36">
        <f t="shared" ref="O97:AB97" si="42">(O91-O96)/O96</f>
        <v>-7.9656504653982232E-2</v>
      </c>
      <c r="P97" s="36">
        <f t="shared" si="42"/>
        <v>-0.6048813173761135</v>
      </c>
      <c r="Q97" s="36">
        <f t="shared" si="42"/>
        <v>-0.63902930868726848</v>
      </c>
      <c r="R97" s="36">
        <f t="shared" si="42"/>
        <v>-0.44233692287074183</v>
      </c>
      <c r="S97" s="36">
        <f t="shared" si="42"/>
        <v>-0.92064205865122906</v>
      </c>
      <c r="T97" s="36">
        <f t="shared" si="42"/>
        <v>-0.38844343422343591</v>
      </c>
      <c r="U97" s="36">
        <f t="shared" si="42"/>
        <v>-0.9734257812440682</v>
      </c>
      <c r="V97" s="36">
        <f t="shared" si="42"/>
        <v>-0.20217474496057788</v>
      </c>
      <c r="W97" s="36">
        <f t="shared" si="42"/>
        <v>-0.78730818234727051</v>
      </c>
      <c r="X97" s="36">
        <f t="shared" si="42"/>
        <v>-0.86030282997279361</v>
      </c>
      <c r="Y97" s="36">
        <f t="shared" si="42"/>
        <v>-1</v>
      </c>
      <c r="Z97" s="36" t="e">
        <f t="shared" si="42"/>
        <v>#DIV/0!</v>
      </c>
      <c r="AA97" s="36" t="e">
        <f t="shared" si="42"/>
        <v>#DIV/0!</v>
      </c>
      <c r="AB97" s="36" t="e">
        <f t="shared" si="42"/>
        <v>#DIV/0!</v>
      </c>
    </row>
    <row r="98" spans="11:28" x14ac:dyDescent="0.25">
      <c r="K98" s="15"/>
      <c r="L98" s="15"/>
      <c r="M98" s="8"/>
      <c r="N98" s="9"/>
      <c r="O98" s="9"/>
      <c r="P98" s="9"/>
      <c r="Q98" s="9"/>
      <c r="R98" s="9"/>
      <c r="S98" s="9"/>
      <c r="T98" s="9"/>
    </row>
  </sheetData>
  <mergeCells count="4">
    <mergeCell ref="M2:Z2"/>
    <mergeCell ref="K36:L42"/>
    <mergeCell ref="K43:L49"/>
    <mergeCell ref="K91:L97"/>
  </mergeCells>
  <phoneticPr fontId="13" type="noConversion"/>
  <pageMargins left="0.7" right="0.7" top="0.75" bottom="0.75" header="0.3" footer="0.3"/>
  <pageSetup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838E0-502E-4838-9437-C2DE01618F53}">
  <sheetPr codeName="Sheet2">
    <tabColor rgb="FF00B0F0"/>
  </sheetPr>
  <dimension ref="A2:M8"/>
  <sheetViews>
    <sheetView workbookViewId="0">
      <selection activeCell="C4" sqref="C4:K4"/>
    </sheetView>
  </sheetViews>
  <sheetFormatPr defaultRowHeight="15" x14ac:dyDescent="0.25"/>
  <cols>
    <col min="1" max="1" width="26.28515625" bestFit="1" customWidth="1"/>
    <col min="11" max="11" width="10.85546875" customWidth="1"/>
    <col min="12" max="12" width="11.28515625" customWidth="1"/>
    <col min="13" max="13" width="9.140625" bestFit="1" customWidth="1"/>
  </cols>
  <sheetData>
    <row r="2" spans="1:13" x14ac:dyDescent="0.25">
      <c r="B2" s="481">
        <v>46023</v>
      </c>
      <c r="C2" s="481">
        <v>46054</v>
      </c>
      <c r="D2" s="481">
        <v>46082</v>
      </c>
      <c r="E2" s="481">
        <v>46113</v>
      </c>
      <c r="F2" s="481">
        <v>46143</v>
      </c>
      <c r="G2" s="481">
        <v>46174</v>
      </c>
      <c r="H2" s="481">
        <v>46204</v>
      </c>
      <c r="I2" s="481">
        <v>46235</v>
      </c>
      <c r="J2" s="481">
        <v>46266</v>
      </c>
      <c r="K2" s="481">
        <v>46296</v>
      </c>
      <c r="L2" s="481">
        <v>46327</v>
      </c>
      <c r="M2" s="481">
        <v>46357</v>
      </c>
    </row>
    <row r="3" spans="1:13" x14ac:dyDescent="0.25">
      <c r="A3" s="6" t="s">
        <v>1458</v>
      </c>
      <c r="B3" t="str">
        <f>IFERROR(VLOOKUP(B2,'[1]PADD 4 Query'!$G:$M,7,FALSE),"")</f>
        <v/>
      </c>
      <c r="C3">
        <f>IFERROR(VLOOKUP(C2,'[1]PADD 4 Query'!$G:$M,7,FALSE),"")</f>
        <v>7.358625</v>
      </c>
      <c r="D3">
        <f>IFERROR(VLOOKUP(D2,'[1]PADD 4 Query'!$G:$M,7,FALSE),"")</f>
        <v>26.815150000000003</v>
      </c>
      <c r="E3">
        <f>IFERROR(VLOOKUP(E2,'[1]PADD 4 Query'!$G:$M,7,FALSE),"")</f>
        <v>65.675200000000004</v>
      </c>
      <c r="F3">
        <f>IFERROR(VLOOKUP(F2,'[1]PADD 4 Query'!$G:$M,7,FALSE),"")</f>
        <v>31.887599999999999</v>
      </c>
      <c r="G3">
        <f>IFERROR(VLOOKUP(G2,'[1]PADD 4 Query'!$G:$M,7,FALSE),"")</f>
        <v>2.9250000000000003</v>
      </c>
      <c r="H3" t="str">
        <f>IFERROR(VLOOKUP(H2,'[1]PADD 4 Query'!$G:$M,7,FALSE),"")</f>
        <v/>
      </c>
      <c r="I3" t="str">
        <f>IFERROR(VLOOKUP(I2,'[1]PADD 4 Query'!$G:$M,7,FALSE),"")</f>
        <v/>
      </c>
      <c r="J3" t="str">
        <f>IFERROR(VLOOKUP(J2,'[1]PADD 4 Query'!$G:$M,7,FALSE),"")</f>
        <v/>
      </c>
      <c r="K3">
        <f>IFERROR(VLOOKUP(K2,'[1]PADD 4 Query'!$G:$M,7,FALSE),"")</f>
        <v>3.3536249999999996</v>
      </c>
      <c r="L3" t="str">
        <f>IFERROR(VLOOKUP(L2,'[1]PADD 4 Query'!$G:$M,7,FALSE),"")</f>
        <v/>
      </c>
      <c r="M3" t="str">
        <f>IFERROR(VLOOKUP(M2,'[1]PADD 4 Query'!$G:$M,7,FALSE),"")</f>
        <v/>
      </c>
    </row>
    <row r="4" spans="1:13" x14ac:dyDescent="0.25">
      <c r="A4" s="489">
        <v>46192</v>
      </c>
      <c r="B4" t="s">
        <v>1368</v>
      </c>
      <c r="C4">
        <v>7.358625</v>
      </c>
      <c r="D4">
        <v>26.815150000000003</v>
      </c>
      <c r="E4">
        <v>65.675200000000004</v>
      </c>
      <c r="F4">
        <v>31.887599999999999</v>
      </c>
      <c r="G4">
        <v>2.9250000000000003</v>
      </c>
      <c r="H4" t="s">
        <v>1368</v>
      </c>
      <c r="I4" t="s">
        <v>1368</v>
      </c>
      <c r="J4" t="s">
        <v>1368</v>
      </c>
      <c r="K4">
        <v>3.3536249999999996</v>
      </c>
      <c r="L4" t="s">
        <v>1368</v>
      </c>
    </row>
    <row r="5" spans="1:13" hidden="1" x14ac:dyDescent="0.25">
      <c r="A5" s="480" t="s">
        <v>1460</v>
      </c>
      <c r="C5">
        <v>18.75</v>
      </c>
      <c r="D5">
        <v>54.928548387096768</v>
      </c>
      <c r="E5">
        <v>50.530833333333334</v>
      </c>
      <c r="F5">
        <v>3.0141935483870967</v>
      </c>
      <c r="K5">
        <v>8.1025612903225799</v>
      </c>
      <c r="L5">
        <v>2.6101000000000001</v>
      </c>
    </row>
    <row r="6" spans="1:13" ht="45" hidden="1" x14ac:dyDescent="0.25">
      <c r="A6" s="483" t="s">
        <v>1462</v>
      </c>
      <c r="C6">
        <f>C5-C3</f>
        <v>11.391375</v>
      </c>
      <c r="D6">
        <f t="shared" ref="D6:L6" si="0">D5-D3</f>
        <v>28.113398387096765</v>
      </c>
      <c r="E6">
        <f t="shared" si="0"/>
        <v>-15.14436666666667</v>
      </c>
      <c r="F6">
        <f>F5-F3</f>
        <v>-28.873406451612901</v>
      </c>
      <c r="K6">
        <f t="shared" si="0"/>
        <v>4.7489362903225807</v>
      </c>
      <c r="L6" t="e">
        <f t="shared" si="0"/>
        <v>#VALUE!</v>
      </c>
    </row>
    <row r="7" spans="1:13" ht="45" x14ac:dyDescent="0.25">
      <c r="A7" s="483" t="s">
        <v>1466</v>
      </c>
      <c r="C7">
        <f>C4-C3</f>
        <v>0</v>
      </c>
      <c r="D7">
        <f t="shared" ref="D7:M7" si="1">D4-D3</f>
        <v>0</v>
      </c>
      <c r="E7">
        <f>E4-E3</f>
        <v>0</v>
      </c>
      <c r="F7">
        <f t="shared" si="1"/>
        <v>0</v>
      </c>
      <c r="G7">
        <f t="shared" si="1"/>
        <v>0</v>
      </c>
      <c r="H7" t="e">
        <f t="shared" si="1"/>
        <v>#VALUE!</v>
      </c>
      <c r="I7" t="e">
        <f t="shared" si="1"/>
        <v>#VALUE!</v>
      </c>
      <c r="J7" t="e">
        <f t="shared" si="1"/>
        <v>#VALUE!</v>
      </c>
      <c r="K7">
        <f>K4-K3</f>
        <v>0</v>
      </c>
      <c r="L7" t="e">
        <f>L4-L3</f>
        <v>#VALUE!</v>
      </c>
      <c r="M7" t="e">
        <f t="shared" si="1"/>
        <v>#VALUE!</v>
      </c>
    </row>
    <row r="8" spans="1:13" x14ac:dyDescent="0.25">
      <c r="D8">
        <f>C3-D3</f>
        <v>-19.456525000000003</v>
      </c>
      <c r="E8">
        <f t="shared" ref="E8" si="2">D3-E3</f>
        <v>-38.860050000000001</v>
      </c>
      <c r="F8">
        <f>E3-F3</f>
        <v>33.787600000000005</v>
      </c>
    </row>
  </sheetData>
  <hyperlinks>
    <hyperlink ref="A5" r:id="rId1" xr:uid="{AAA76E14-EB64-4787-B596-D4E82478E40B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45AE5-BEAC-40DF-8F7F-5747CCD410E6}">
  <sheetPr codeName="Sheet8">
    <tabColor rgb="FF00B0F0"/>
  </sheetPr>
  <dimension ref="B1:AS75"/>
  <sheetViews>
    <sheetView topLeftCell="I1" zoomScale="70" zoomScaleNormal="70" workbookViewId="0">
      <pane ySplit="2" topLeftCell="A3" activePane="bottomLeft" state="frozen"/>
      <selection pane="bottomLeft" activeCell="X13" sqref="X13"/>
    </sheetView>
  </sheetViews>
  <sheetFormatPr defaultRowHeight="15" outlineLevelCol="1" x14ac:dyDescent="0.25"/>
  <cols>
    <col min="2" max="2" width="37.28515625" customWidth="1"/>
    <col min="3" max="14" width="9.140625" customWidth="1"/>
    <col min="17" max="17" width="32.7109375" customWidth="1"/>
    <col min="18" max="22" width="9.140625" customWidth="1"/>
    <col min="23" max="23" width="14.140625" customWidth="1"/>
    <col min="24" max="24" width="13.42578125" customWidth="1" outlineLevel="1"/>
    <col min="25" max="26" width="14.140625" customWidth="1" outlineLevel="1"/>
    <col min="27" max="29" width="13.42578125" customWidth="1" outlineLevel="1"/>
    <col min="30" max="30" width="14.140625" customWidth="1" outlineLevel="1"/>
    <col min="34" max="34" width="12" bestFit="1" customWidth="1"/>
  </cols>
  <sheetData>
    <row r="1" spans="2:39" ht="15.75" thickBot="1" x14ac:dyDescent="0.3"/>
    <row r="2" spans="2:39" ht="15.75" thickBot="1" x14ac:dyDescent="0.3">
      <c r="O2" s="15"/>
      <c r="P2" s="15"/>
      <c r="Q2" s="493" t="s">
        <v>76</v>
      </c>
      <c r="R2" s="494"/>
      <c r="S2" s="494"/>
      <c r="T2" s="494"/>
      <c r="U2" s="494"/>
      <c r="V2" s="494"/>
      <c r="W2" s="494"/>
      <c r="X2" s="494"/>
      <c r="Y2" s="494"/>
      <c r="Z2" s="494"/>
      <c r="AA2" s="494"/>
      <c r="AB2" s="494"/>
      <c r="AC2" s="494"/>
      <c r="AD2" s="495"/>
    </row>
    <row r="3" spans="2:39" x14ac:dyDescent="0.25"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Q3" s="6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 spans="2:39" x14ac:dyDescent="0.25">
      <c r="B4" s="6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Q4" s="6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</row>
    <row r="5" spans="2:39" x14ac:dyDescent="0.25">
      <c r="B5" s="6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Q5" s="6"/>
      <c r="R5" s="481">
        <v>46388</v>
      </c>
      <c r="S5" s="481">
        <v>46419</v>
      </c>
      <c r="T5" s="481">
        <v>46447</v>
      </c>
      <c r="U5" s="481">
        <v>46478</v>
      </c>
      <c r="V5" s="481">
        <v>46508</v>
      </c>
      <c r="W5" s="481">
        <v>46539</v>
      </c>
      <c r="X5" s="481">
        <v>46569</v>
      </c>
      <c r="Y5" s="481">
        <v>46600</v>
      </c>
      <c r="Z5" s="481">
        <v>46631</v>
      </c>
      <c r="AA5" s="481">
        <v>46661</v>
      </c>
      <c r="AB5" s="481">
        <v>46692</v>
      </c>
      <c r="AC5" s="481">
        <v>46722</v>
      </c>
    </row>
    <row r="6" spans="2:39" x14ac:dyDescent="0.25">
      <c r="B6" s="6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Q6" s="6" t="s">
        <v>1474</v>
      </c>
      <c r="R6" s="7">
        <f>IFERROR(VLOOKUP(R5,'[1]PADD 5 Planned'!$G:$M,7,FALSE),0)</f>
        <v>62.325000000000003</v>
      </c>
      <c r="S6" s="7">
        <f>IFERROR(VLOOKUP(S5,'[1]PADD 5 Planned'!$G:$M,7,FALSE),0)</f>
        <v>74.545899999999989</v>
      </c>
      <c r="T6" s="7">
        <f>IFERROR(VLOOKUP(T5,'[1]PADD 5 Planned'!$G:$M,7,FALSE),0)</f>
        <v>32.111199999999997</v>
      </c>
      <c r="U6" s="7">
        <f>IFERROR(VLOOKUP(U5,'[1]PADD 5 Planned'!$G:$M,7,FALSE),0)</f>
        <v>0.80587500000000001</v>
      </c>
      <c r="V6" s="7">
        <f>IFERROR(VLOOKUP(V5,'[1]PADD 5 Planned'!$G:$M,7,FALSE),0)</f>
        <v>8.3719999999999981</v>
      </c>
      <c r="W6" s="7">
        <f>IFERROR(VLOOKUP(W5,'[1]PADD 5 Planned'!$G:$M,7,FALSE),0)</f>
        <v>0</v>
      </c>
      <c r="X6" s="7">
        <f>IFERROR(VLOOKUP(X5,'[1]PADD 5 Planned'!$G:$M,7,FALSE),0)</f>
        <v>0</v>
      </c>
      <c r="Y6" s="7">
        <f>IFERROR(VLOOKUP(Y5,'[1]PADD 5 Planned'!$G:$M,7,FALSE),0)</f>
        <v>0</v>
      </c>
      <c r="Z6" s="7">
        <f>IFERROR(VLOOKUP(Z5,'[1]PADD 5 Planned'!$G:$M,7,FALSE),0)</f>
        <v>42.3095</v>
      </c>
      <c r="AA6" s="7">
        <f>IFERROR(VLOOKUP(AA5,'[1]PADD 5 Planned'!$G:$M,7,FALSE),0)</f>
        <v>95.1</v>
      </c>
      <c r="AB6" s="7">
        <f>IFERROR(VLOOKUP(AB5,'[1]PADD 5 Planned'!$G:$M,7,FALSE),0)</f>
        <v>17.770499999999998</v>
      </c>
      <c r="AC6" s="7">
        <f>IFERROR(VLOOKUP(AC5,'[1]PADD 5 Planned'!$G:$M,7,FALSE),0)</f>
        <v>0</v>
      </c>
    </row>
    <row r="7" spans="2:39" x14ac:dyDescent="0.25">
      <c r="B7" s="6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Q7" s="6" t="s">
        <v>1476</v>
      </c>
      <c r="R7" s="7">
        <f>R6+103+65+19</f>
        <v>249.32499999999999</v>
      </c>
      <c r="S7" s="7">
        <f t="shared" ref="S7:AC7" si="0">S6+103+65+19</f>
        <v>261.54589999999996</v>
      </c>
      <c r="T7" s="7">
        <f t="shared" si="0"/>
        <v>219.1112</v>
      </c>
      <c r="U7" s="7">
        <f t="shared" si="0"/>
        <v>187.80587500000001</v>
      </c>
      <c r="V7" s="7">
        <f t="shared" si="0"/>
        <v>195.37200000000001</v>
      </c>
      <c r="W7" s="7">
        <f t="shared" si="0"/>
        <v>187</v>
      </c>
      <c r="X7" s="7">
        <f t="shared" si="0"/>
        <v>187</v>
      </c>
      <c r="Y7" s="7">
        <f t="shared" si="0"/>
        <v>187</v>
      </c>
      <c r="Z7" s="7">
        <f t="shared" si="0"/>
        <v>229.30950000000001</v>
      </c>
      <c r="AA7" s="7">
        <f t="shared" si="0"/>
        <v>282.10000000000002</v>
      </c>
      <c r="AB7" s="7">
        <f t="shared" si="0"/>
        <v>204.7705</v>
      </c>
      <c r="AC7" s="7">
        <f t="shared" si="0"/>
        <v>187</v>
      </c>
    </row>
    <row r="8" spans="2:39" x14ac:dyDescent="0.25">
      <c r="B8" s="6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Q8" s="6" t="s">
        <v>1475</v>
      </c>
      <c r="R8" s="7">
        <f>IFERROR(VLOOKUP(R9,'[1]PADD 5 Planned'!$G:$M,7,FALSE),0)</f>
        <v>18.623999999999999</v>
      </c>
      <c r="S8" s="7">
        <f>IFERROR(VLOOKUP(S9,'[1]PADD 5 Planned'!$G:$M,7,FALSE),0)</f>
        <v>32.351499999999994</v>
      </c>
      <c r="T8" s="7">
        <f>IFERROR(VLOOKUP(T9,'[1]PADD 5 Planned'!$G:$M,7,FALSE),0)</f>
        <v>24.8035</v>
      </c>
      <c r="U8" s="7">
        <f>IFERROR(VLOOKUP(U9,'[1]PADD 5 Planned'!$G:$M,7,FALSE),0)</f>
        <v>45.917249999999996</v>
      </c>
      <c r="V8" s="7">
        <f>IFERROR(VLOOKUP(V9,'[1]PADD 5 Planned'!$G:$M,7,FALSE),0)</f>
        <v>41.4345</v>
      </c>
      <c r="W8" s="7">
        <f>IFERROR(VLOOKUP(W9,'[1]PADD 5 Planned'!$G:$M,7,FALSE),0)</f>
        <v>15.34525</v>
      </c>
      <c r="X8" s="7">
        <f>IFERROR(VLOOKUP(X9,'[1]PADD 5 Planned'!$G:$M,7,FALSE),0)</f>
        <v>24.785749999999997</v>
      </c>
      <c r="Y8" s="7">
        <f>IFERROR(VLOOKUP(Y9,'[1]PADD 5 Planned'!$G:$M,7,FALSE),0)</f>
        <v>3.5327500000000001</v>
      </c>
      <c r="Z8" s="7">
        <f>IFERROR(VLOOKUP(Z9,'[1]PADD 5 Planned'!$G:$M,7,FALSE),0)</f>
        <v>27.175000000000001</v>
      </c>
      <c r="AA8" s="7">
        <f>IFERROR(VLOOKUP(AA9,'[1]PADD 5 Planned'!$G:$M,7,FALSE),0)</f>
        <v>67.819250000000011</v>
      </c>
      <c r="AB8" s="7">
        <f>IFERROR(VLOOKUP(AB9,'[1]PADD 5 Planned'!$G:$M,7,FALSE),0)</f>
        <v>59.775300000000001</v>
      </c>
      <c r="AC8" s="7">
        <f>IFERROR(VLOOKUP(AC9,'[1]PADD 5 Planned'!$G:$M,7,FALSE),0)</f>
        <v>3.12</v>
      </c>
    </row>
    <row r="9" spans="2:39" x14ac:dyDescent="0.25">
      <c r="B9" s="6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Q9" s="6"/>
      <c r="R9" s="481">
        <v>46023</v>
      </c>
      <c r="S9" s="481">
        <v>46054</v>
      </c>
      <c r="T9" s="481">
        <v>46082</v>
      </c>
      <c r="U9" s="481">
        <v>46113</v>
      </c>
      <c r="V9" s="481">
        <v>46143</v>
      </c>
      <c r="W9" s="481">
        <v>46174</v>
      </c>
      <c r="X9" s="481">
        <v>46204</v>
      </c>
      <c r="Y9" s="481">
        <v>46235</v>
      </c>
      <c r="Z9" s="481">
        <v>46266</v>
      </c>
      <c r="AA9" s="481">
        <v>46296</v>
      </c>
      <c r="AB9" s="481">
        <v>46327</v>
      </c>
      <c r="AC9" s="481">
        <v>46357</v>
      </c>
    </row>
    <row r="10" spans="2:39" x14ac:dyDescent="0.25">
      <c r="B10" s="6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Q10" s="479" t="s">
        <v>1458</v>
      </c>
      <c r="R10" s="482">
        <f>IFERROR(VLOOKUP(R9,'[1]PADD 5 Query'!$G:$M,7,FALSE),0)</f>
        <v>90.652000000000001</v>
      </c>
      <c r="S10" s="482">
        <f>IFERROR(VLOOKUP(S9,'[1]PADD 5 Query'!$G:$M,7,FALSE),0)</f>
        <v>130.5155</v>
      </c>
      <c r="T10" s="482">
        <f>IFERROR(VLOOKUP(T9,'[1]PADD 5 Query'!$G:$M,7,FALSE),0)</f>
        <v>90.939750000000004</v>
      </c>
      <c r="U10" s="482">
        <f>IFERROR(VLOOKUP(U9,'[1]PADD 5 Query'!$G:$M,7,FALSE),0)</f>
        <v>200.10332500000001</v>
      </c>
      <c r="V10" s="482">
        <f>IFERROR(VLOOKUP(V9,'[1]PADD 5 Query'!$G:$M,7,FALSE),0)</f>
        <v>94.513500000000008</v>
      </c>
      <c r="W10" s="482">
        <f>IFERROR(VLOOKUP(W9,'[1]PADD 5 Query'!$G:$M,7,FALSE),0)</f>
        <v>20.392499999999998</v>
      </c>
      <c r="X10" s="482">
        <f>IFERROR(VLOOKUP(X9,'[1]PADD 5 Query'!$G:$M,7,FALSE),0)</f>
        <v>19.738499999999998</v>
      </c>
      <c r="Y10" s="482">
        <f>IFERROR(VLOOKUP(Y9,'[1]PADD 5 Query'!$G:$M,7,FALSE),0)</f>
        <v>3.5327500000000001</v>
      </c>
      <c r="Z10" s="482">
        <f>IFERROR(VLOOKUP(Z9,'[1]PADD 5 Query'!$G:$M,7,FALSE),0)</f>
        <v>27.175000000000001</v>
      </c>
      <c r="AA10" s="482">
        <f>IFERROR(VLOOKUP(AA9,'[1]PADD 5 Query'!$G:$M,7,FALSE),0)</f>
        <v>67.819250000000011</v>
      </c>
      <c r="AB10" s="482">
        <f>IFERROR(VLOOKUP(AB9,'[1]PADD 5 Query'!$G:$M,7,FALSE),0)</f>
        <v>59.775300000000001</v>
      </c>
      <c r="AC10" s="482">
        <f>IFERROR(VLOOKUP(AC9,'[1]PADD 5 Query'!$G:$M,7,FALSE),0)</f>
        <v>3.12</v>
      </c>
      <c r="AH10" t="s">
        <v>1419</v>
      </c>
      <c r="AI10" t="s">
        <v>1420</v>
      </c>
      <c r="AJ10" t="s">
        <v>1421</v>
      </c>
      <c r="AK10" t="s">
        <v>1422</v>
      </c>
      <c r="AL10" t="s">
        <v>1423</v>
      </c>
      <c r="AM10" t="s">
        <v>1424</v>
      </c>
    </row>
    <row r="11" spans="2:39" x14ac:dyDescent="0.25">
      <c r="B11" s="6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Q11" s="479"/>
      <c r="R11" s="482">
        <f>R10+R42+R43</f>
        <v>174.65199999999999</v>
      </c>
      <c r="S11" s="482">
        <f>S10+S42+S43+S45</f>
        <v>281.71550000000002</v>
      </c>
      <c r="T11" s="482">
        <f>T10+T42+T43+T45</f>
        <v>277.93975</v>
      </c>
      <c r="U11" s="482">
        <f>U10+U42+U43+U45</f>
        <v>387.10332500000004</v>
      </c>
      <c r="V11" s="482">
        <f>V10+V42+V43+V45</f>
        <v>281.51350000000002</v>
      </c>
      <c r="W11" s="482">
        <f>W10+W42+W43+W45</f>
        <v>207.39249999999998</v>
      </c>
      <c r="X11" s="482">
        <f t="shared" ref="X11:AC11" si="1">X10+X42+X43+X45</f>
        <v>206.73849999999999</v>
      </c>
      <c r="Y11" s="482">
        <f>Y10+Y42+Y43+Y45</f>
        <v>190.53274999999999</v>
      </c>
      <c r="Z11" s="482">
        <f t="shared" si="1"/>
        <v>214.17500000000001</v>
      </c>
      <c r="AA11" s="482">
        <f>AA10+AA42+AA43+AA45</f>
        <v>254.81925000000001</v>
      </c>
      <c r="AB11" s="482">
        <f t="shared" si="1"/>
        <v>246.77530000000002</v>
      </c>
      <c r="AC11" s="482">
        <f t="shared" si="1"/>
        <v>190.12</v>
      </c>
    </row>
    <row r="12" spans="2:39" x14ac:dyDescent="0.25">
      <c r="B12" s="6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Q12" s="479"/>
      <c r="R12" s="482">
        <f>R15-R11</f>
        <v>7.343487500000009</v>
      </c>
      <c r="S12" s="482">
        <f>(S15)-S11</f>
        <v>4.0963474999999789</v>
      </c>
      <c r="T12" s="482">
        <f>(T15+14)-T11</f>
        <v>16.161249999999995</v>
      </c>
      <c r="U12" s="482">
        <f>U15-U11</f>
        <v>0</v>
      </c>
      <c r="V12" s="482">
        <f>V15-V11</f>
        <v>-1.9605000000000246</v>
      </c>
      <c r="W12" s="482">
        <f>W15-W11</f>
        <v>21.631250000000023</v>
      </c>
      <c r="X12" s="482">
        <f>X22-X11</f>
        <v>13.844000000000023</v>
      </c>
      <c r="Y12" s="482">
        <f>Y22-Y11</f>
        <v>-3.532749999999993</v>
      </c>
      <c r="Z12" s="482">
        <f t="shared" ref="Z12:AC12" si="2">Z22-Z11</f>
        <v>-12.175000000000011</v>
      </c>
      <c r="AA12" s="482">
        <f>AA22-AA11</f>
        <v>15.180749999999989</v>
      </c>
      <c r="AB12" s="482">
        <f t="shared" si="2"/>
        <v>12.224699999999984</v>
      </c>
      <c r="AC12" s="482">
        <f t="shared" si="2"/>
        <v>0</v>
      </c>
    </row>
    <row r="13" spans="2:39" x14ac:dyDescent="0.25">
      <c r="B13" s="4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Q13" s="28"/>
      <c r="R13" s="5"/>
      <c r="S13" s="5">
        <f>R15-S15</f>
        <v>-103.81636</v>
      </c>
      <c r="T13" s="5">
        <f t="shared" ref="T13:AC13" si="3">S15-T15</f>
        <v>5.7108474999999999</v>
      </c>
      <c r="U13" s="5">
        <f t="shared" si="3"/>
        <v>-107.00232500000004</v>
      </c>
      <c r="V13" s="5">
        <f t="shared" si="3"/>
        <v>107.55032500000004</v>
      </c>
      <c r="W13" s="5">
        <f t="shared" si="3"/>
        <v>50.52924999999999</v>
      </c>
      <c r="X13" s="5">
        <f t="shared" si="3"/>
        <v>-23.757339919354848</v>
      </c>
      <c r="Y13" s="5">
        <f t="shared" si="3"/>
        <v>34.138267338709682</v>
      </c>
      <c r="Z13" s="5">
        <f t="shared" si="3"/>
        <v>-42.115510752688152</v>
      </c>
      <c r="AA13" s="5">
        <f t="shared" si="3"/>
        <v>-63.12767531899641</v>
      </c>
      <c r="AB13" s="5">
        <f t="shared" si="3"/>
        <v>10.762793096774203</v>
      </c>
      <c r="AC13" s="5">
        <f t="shared" si="3"/>
        <v>69.895473620071641</v>
      </c>
      <c r="AH13">
        <v>-107.51145161290322</v>
      </c>
      <c r="AI13">
        <v>-160.53303571428572</v>
      </c>
      <c r="AJ13">
        <v>-206.75564516129035</v>
      </c>
      <c r="AK13">
        <v>-256.96166666666664</v>
      </c>
      <c r="AL13">
        <v>-181.41016129032255</v>
      </c>
      <c r="AM13">
        <v>-102.61366666666666</v>
      </c>
    </row>
    <row r="14" spans="2:39" ht="15.75" thickBot="1" x14ac:dyDescent="0.3">
      <c r="B14" s="6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Q14" s="6"/>
      <c r="R14" s="5" t="s">
        <v>3</v>
      </c>
      <c r="S14" s="5" t="s">
        <v>4</v>
      </c>
      <c r="T14" s="5" t="s">
        <v>5</v>
      </c>
      <c r="U14" s="5" t="s">
        <v>6</v>
      </c>
      <c r="V14" s="5" t="s">
        <v>7</v>
      </c>
      <c r="W14" s="5" t="s">
        <v>8</v>
      </c>
      <c r="X14" s="5" t="s">
        <v>45</v>
      </c>
      <c r="Y14" s="5" t="s">
        <v>46</v>
      </c>
      <c r="Z14" s="5" t="s">
        <v>9</v>
      </c>
      <c r="AA14" s="5" t="s">
        <v>10</v>
      </c>
      <c r="AB14" s="5" t="s">
        <v>11</v>
      </c>
      <c r="AC14" s="5" t="s">
        <v>12</v>
      </c>
      <c r="AD14" s="5" t="s">
        <v>3</v>
      </c>
      <c r="AG14">
        <v>2025</v>
      </c>
      <c r="AH14">
        <f t="shared" ref="AH14:AM14" si="4">AH13*-1</f>
        <v>107.51145161290322</v>
      </c>
      <c r="AI14">
        <f t="shared" si="4"/>
        <v>160.53303571428572</v>
      </c>
      <c r="AJ14">
        <f t="shared" si="4"/>
        <v>206.75564516129035</v>
      </c>
      <c r="AK14">
        <f t="shared" si="4"/>
        <v>256.96166666666664</v>
      </c>
      <c r="AL14">
        <f t="shared" si="4"/>
        <v>181.41016129032255</v>
      </c>
      <c r="AM14">
        <f t="shared" si="4"/>
        <v>102.61366666666666</v>
      </c>
    </row>
    <row r="15" spans="2:39" ht="14.45" customHeight="1" x14ac:dyDescent="0.25">
      <c r="B15" s="16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O15" s="503" t="s">
        <v>1394</v>
      </c>
      <c r="P15" s="497"/>
      <c r="Q15" s="16" t="s">
        <v>90</v>
      </c>
      <c r="R15" s="17">
        <f>138.9954875+43</f>
        <v>181.9954875</v>
      </c>
      <c r="S15" s="17">
        <v>285.8118475</v>
      </c>
      <c r="T15" s="17">
        <v>280.101</v>
      </c>
      <c r="U15" s="17">
        <v>387.10332500000004</v>
      </c>
      <c r="V15" s="17">
        <v>279.553</v>
      </c>
      <c r="W15" s="17">
        <f>W22+W30</f>
        <v>229.02375000000001</v>
      </c>
      <c r="X15" s="17">
        <f>X22+X30</f>
        <v>252.78108991935486</v>
      </c>
      <c r="Y15" s="17">
        <f t="shared" ref="Y15:AD15" si="5">Y22+Y30</f>
        <v>218.64282258064517</v>
      </c>
      <c r="Z15" s="17">
        <f t="shared" si="5"/>
        <v>260.75833333333333</v>
      </c>
      <c r="AA15" s="17">
        <f>AA22+AA30</f>
        <v>323.88600865232974</v>
      </c>
      <c r="AB15" s="17">
        <f t="shared" si="5"/>
        <v>313.12321555555553</v>
      </c>
      <c r="AC15" s="17">
        <f t="shared" si="5"/>
        <v>243.22774193548389</v>
      </c>
      <c r="AD15" s="17">
        <f t="shared" si="5"/>
        <v>374.4062691670934</v>
      </c>
    </row>
    <row r="16" spans="2:39" x14ac:dyDescent="0.25"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O16" s="498"/>
      <c r="P16" s="499"/>
      <c r="Q16" s="45" t="s">
        <v>88</v>
      </c>
      <c r="R16" s="469">
        <f>R38</f>
        <v>107.51145161290322</v>
      </c>
      <c r="S16" s="469">
        <f t="shared" ref="S16:AD16" si="6">S38</f>
        <v>160.53303571428572</v>
      </c>
      <c r="T16" s="469">
        <f t="shared" si="6"/>
        <v>206.75564516129035</v>
      </c>
      <c r="U16" s="469">
        <f t="shared" si="6"/>
        <v>256.96166666666664</v>
      </c>
      <c r="V16" s="469">
        <f t="shared" si="6"/>
        <v>181.41016129032255</v>
      </c>
      <c r="W16" s="469">
        <v>102.614</v>
      </c>
      <c r="X16" s="469">
        <v>66.137100000000004</v>
      </c>
      <c r="Y16" s="469">
        <v>74.257499999999993</v>
      </c>
      <c r="Z16" s="469">
        <v>103.175</v>
      </c>
      <c r="AA16" s="469">
        <v>322.57310000000001</v>
      </c>
      <c r="AB16" s="469">
        <v>355.53</v>
      </c>
      <c r="AC16" s="469">
        <v>159.79</v>
      </c>
      <c r="AD16" s="469">
        <f t="shared" si="6"/>
        <v>0</v>
      </c>
    </row>
    <row r="17" spans="15:45" x14ac:dyDescent="0.25">
      <c r="O17" s="498"/>
      <c r="P17" s="499"/>
      <c r="Q17" s="45" t="s">
        <v>89</v>
      </c>
      <c r="R17" s="30">
        <f t="shared" ref="R17:W17" si="7">(R$15-R16)/R16</f>
        <v>0.69280095068642367</v>
      </c>
      <c r="S17" s="30">
        <f t="shared" si="7"/>
        <v>0.78039271622997042</v>
      </c>
      <c r="T17" s="30">
        <f t="shared" si="7"/>
        <v>0.354744146315777</v>
      </c>
      <c r="U17" s="30">
        <f t="shared" si="7"/>
        <v>0.50646331813435241</v>
      </c>
      <c r="V17" s="30">
        <f t="shared" si="7"/>
        <v>0.54099967725960529</v>
      </c>
      <c r="W17" s="30">
        <f t="shared" si="7"/>
        <v>1.2318957452199504</v>
      </c>
      <c r="X17" s="30">
        <f t="shared" ref="X17:AD17" si="8">(X$15-X16)/X16</f>
        <v>2.8220770175794652</v>
      </c>
      <c r="Y17" s="30">
        <f t="shared" si="8"/>
        <v>1.9443870663656222</v>
      </c>
      <c r="Z17" s="30">
        <f t="shared" si="8"/>
        <v>1.5273402794604636</v>
      </c>
      <c r="AA17" s="30">
        <f t="shared" si="8"/>
        <v>4.0701120221423442E-3</v>
      </c>
      <c r="AB17" s="30">
        <f t="shared" si="8"/>
        <v>-0.11927765433140507</v>
      </c>
      <c r="AC17" s="30">
        <f t="shared" si="8"/>
        <v>0.52217123684513367</v>
      </c>
      <c r="AD17" s="30" t="e">
        <f t="shared" si="8"/>
        <v>#DIV/0!</v>
      </c>
      <c r="AH17">
        <v>-76.529032258064518</v>
      </c>
      <c r="AI17">
        <v>-123.27586206896552</v>
      </c>
      <c r="AJ17">
        <v>-98.316129032258061</v>
      </c>
      <c r="AK17">
        <v>-103.94833333333334</v>
      </c>
      <c r="AL17">
        <v>-100.9483870967742</v>
      </c>
    </row>
    <row r="18" spans="15:45" x14ac:dyDescent="0.25">
      <c r="O18" s="498"/>
      <c r="P18" s="499"/>
      <c r="Q18" s="45" t="s">
        <v>65</v>
      </c>
      <c r="R18" s="470">
        <v>76.529032258064518</v>
      </c>
      <c r="S18" s="470">
        <v>123.27586206896552</v>
      </c>
      <c r="T18" s="470">
        <v>98.316129032258061</v>
      </c>
      <c r="U18" s="470">
        <v>103.94833333333334</v>
      </c>
      <c r="V18" s="470">
        <v>100.9483870967742</v>
      </c>
      <c r="W18" s="26">
        <v>185.8</v>
      </c>
      <c r="X18" s="26">
        <v>4.2</v>
      </c>
      <c r="Y18" s="26">
        <v>20.7</v>
      </c>
      <c r="Z18" s="26">
        <v>108.1</v>
      </c>
      <c r="AA18" s="26">
        <v>135.19999999999999</v>
      </c>
      <c r="AB18" s="26">
        <v>75.900000000000006</v>
      </c>
      <c r="AC18" s="26">
        <v>40.5</v>
      </c>
      <c r="AD18" s="26">
        <v>37.6</v>
      </c>
      <c r="AG18">
        <v>2024</v>
      </c>
      <c r="AH18">
        <f>-1*AH17</f>
        <v>76.529032258064518</v>
      </c>
      <c r="AI18">
        <f>-1*AI17</f>
        <v>123.27586206896552</v>
      </c>
      <c r="AJ18">
        <f>-1*AJ17</f>
        <v>98.316129032258061</v>
      </c>
      <c r="AK18">
        <f>-1*AK17</f>
        <v>103.94833333333334</v>
      </c>
      <c r="AL18">
        <f>-1*AL17</f>
        <v>100.9483870967742</v>
      </c>
    </row>
    <row r="19" spans="15:45" x14ac:dyDescent="0.25">
      <c r="O19" s="498"/>
      <c r="P19" s="499"/>
      <c r="Q19" s="45" t="s">
        <v>89</v>
      </c>
      <c r="R19" s="30">
        <f>(R15-R18)/R18</f>
        <v>1.378123466742539</v>
      </c>
      <c r="S19" s="30">
        <f>(S15-S18)/S18</f>
        <v>1.3184737279720278</v>
      </c>
      <c r="T19" s="30">
        <f>(T15-T18)/T18</f>
        <v>1.848983200997441</v>
      </c>
      <c r="U19" s="30">
        <f>(U15-U18)/U18</f>
        <v>2.7239974185893638</v>
      </c>
      <c r="V19" s="30">
        <f>(V15-V18)/V18</f>
        <v>1.7692666325813255</v>
      </c>
      <c r="W19" s="30">
        <f>(W$15-W18)/W18</f>
        <v>0.23263589881593108</v>
      </c>
      <c r="X19" s="30">
        <f t="shared" ref="X19:AD19" si="9">(X$15-X18)/X18</f>
        <v>59.185973790322585</v>
      </c>
      <c r="Y19" s="30">
        <f t="shared" si="9"/>
        <v>9.5624551971326177</v>
      </c>
      <c r="Z19" s="30">
        <f t="shared" si="9"/>
        <v>1.412195497995683</v>
      </c>
      <c r="AA19" s="30">
        <f t="shared" si="9"/>
        <v>1.3956065728722615</v>
      </c>
      <c r="AB19" s="30">
        <f t="shared" si="9"/>
        <v>3.1254705606792559</v>
      </c>
      <c r="AC19" s="30">
        <f t="shared" si="9"/>
        <v>5.0056232576662687</v>
      </c>
      <c r="AD19" s="30">
        <f t="shared" si="9"/>
        <v>8.9576135416780147</v>
      </c>
    </row>
    <row r="20" spans="15:45" x14ac:dyDescent="0.25">
      <c r="O20" s="498"/>
      <c r="P20" s="499"/>
      <c r="Q20" s="45" t="s">
        <v>44</v>
      </c>
      <c r="R20" s="26">
        <v>125.1</v>
      </c>
      <c r="S20" s="26">
        <v>118.5</v>
      </c>
      <c r="T20" s="26">
        <v>126.3</v>
      </c>
      <c r="U20" s="26">
        <v>17.7</v>
      </c>
      <c r="V20" s="26">
        <v>93.3</v>
      </c>
      <c r="W20" s="26">
        <v>30.6</v>
      </c>
      <c r="X20" s="26">
        <v>20.5</v>
      </c>
      <c r="Y20" s="26">
        <v>30.5</v>
      </c>
      <c r="Z20" s="26">
        <v>37.299999999999997</v>
      </c>
      <c r="AA20" s="26">
        <v>156</v>
      </c>
      <c r="AB20" s="26">
        <v>151.69999999999999</v>
      </c>
      <c r="AC20" s="26">
        <v>42.5</v>
      </c>
      <c r="AD20" s="26">
        <v>136.6</v>
      </c>
    </row>
    <row r="21" spans="15:45" ht="15.75" thickBot="1" x14ac:dyDescent="0.3">
      <c r="O21" s="500"/>
      <c r="P21" s="501"/>
      <c r="Q21" s="45" t="s">
        <v>89</v>
      </c>
      <c r="R21" s="30">
        <f t="shared" ref="R21:W21" si="10">(R15-R20)/R20</f>
        <v>0.45480005995203843</v>
      </c>
      <c r="S21" s="30">
        <f t="shared" si="10"/>
        <v>1.4119143248945147</v>
      </c>
      <c r="T21" s="30">
        <f t="shared" si="10"/>
        <v>1.2177434679334915</v>
      </c>
      <c r="U21" s="30">
        <f t="shared" si="10"/>
        <v>20.870244350282491</v>
      </c>
      <c r="V21" s="30">
        <f t="shared" si="10"/>
        <v>1.9962808145766344</v>
      </c>
      <c r="W21" s="30">
        <f t="shared" si="10"/>
        <v>6.4844362745098039</v>
      </c>
      <c r="X21" s="30">
        <f t="shared" ref="X21:AD21" si="11">(X15-X20)/X20</f>
        <v>11.330784874114871</v>
      </c>
      <c r="Y21" s="30">
        <f t="shared" si="11"/>
        <v>6.1686171337916447</v>
      </c>
      <c r="Z21" s="30">
        <f t="shared" si="11"/>
        <v>5.9908400357462019</v>
      </c>
      <c r="AA21" s="30">
        <f t="shared" si="11"/>
        <v>1.0761923631559598</v>
      </c>
      <c r="AB21" s="30">
        <f t="shared" si="11"/>
        <v>1.0640950267340512</v>
      </c>
      <c r="AC21" s="30">
        <f t="shared" si="11"/>
        <v>4.7230056925996209</v>
      </c>
      <c r="AD21" s="30">
        <f t="shared" si="11"/>
        <v>1.740895089070962</v>
      </c>
    </row>
    <row r="22" spans="15:45" ht="14.45" customHeight="1" x14ac:dyDescent="0.25">
      <c r="O22" s="503" t="s">
        <v>1395</v>
      </c>
      <c r="P22" s="497"/>
      <c r="Q22" s="28" t="s">
        <v>87</v>
      </c>
      <c r="R22" s="27">
        <f>R44+R45</f>
        <v>110.08425</v>
      </c>
      <c r="S22" s="27">
        <f>S44+S45</f>
        <v>186.07999999999998</v>
      </c>
      <c r="T22" s="27">
        <f t="shared" ref="T22:W22" si="12">T44+T45</f>
        <v>216.86349999999999</v>
      </c>
      <c r="U22" s="27">
        <f>U44+U45</f>
        <v>212.59224999999998</v>
      </c>
      <c r="V22" s="27">
        <f>V44+V45</f>
        <v>210.96825000000001</v>
      </c>
      <c r="W22" s="27">
        <f t="shared" si="12"/>
        <v>206.92025000000001</v>
      </c>
      <c r="X22" s="27">
        <f>X44+X45</f>
        <v>220.58250000000001</v>
      </c>
      <c r="Y22" s="27">
        <f>Y44+Y45</f>
        <v>187</v>
      </c>
      <c r="Z22" s="27">
        <f>Z44+Z45</f>
        <v>202</v>
      </c>
      <c r="AA22" s="27">
        <f>AA44+AA45</f>
        <v>270</v>
      </c>
      <c r="AB22" s="27">
        <f t="shared" ref="AB22:AC22" si="13">AB44+AB45</f>
        <v>259</v>
      </c>
      <c r="AC22" s="27">
        <f t="shared" si="13"/>
        <v>190.12</v>
      </c>
      <c r="AD22" s="27">
        <f t="shared" ref="AD22" si="14">AD44</f>
        <v>404.677211264721</v>
      </c>
      <c r="AF22" t="e">
        <f>(#REF!-#REF!)*30*4</f>
        <v>#REF!</v>
      </c>
      <c r="AG22" s="31" t="e">
        <f>#REF!-148</f>
        <v>#REF!</v>
      </c>
    </row>
    <row r="23" spans="15:45" x14ac:dyDescent="0.25">
      <c r="O23" s="502"/>
      <c r="P23" s="499"/>
      <c r="Q23" s="45" t="s">
        <v>88</v>
      </c>
      <c r="R23" s="478">
        <v>67.519354838709674</v>
      </c>
      <c r="S23" s="478">
        <v>70.993087557603687</v>
      </c>
      <c r="T23" s="478">
        <v>89.196774193548379</v>
      </c>
      <c r="U23" s="478">
        <v>102.4</v>
      </c>
      <c r="V23" s="478">
        <v>41.532258064516135</v>
      </c>
      <c r="W23" s="478">
        <v>19.7</v>
      </c>
      <c r="X23" s="478">
        <v>0.77419354838709686</v>
      </c>
      <c r="Y23" s="478">
        <v>0.92903225806451628</v>
      </c>
      <c r="Z23" s="478">
        <v>38</v>
      </c>
      <c r="AA23" s="478">
        <v>177.15236559139788</v>
      </c>
      <c r="AB23" s="478">
        <v>192.38233333333335</v>
      </c>
      <c r="AC23" s="478">
        <v>93.574516129032247</v>
      </c>
      <c r="AD23" s="7">
        <f t="shared" ref="AD23" si="15">AVERAGE(R23:AC23)</f>
        <v>74.512826292882735</v>
      </c>
      <c r="AG23" s="31"/>
    </row>
    <row r="24" spans="15:45" x14ac:dyDescent="0.25">
      <c r="O24" s="502"/>
      <c r="P24" s="499"/>
      <c r="Q24" s="45" t="s">
        <v>89</v>
      </c>
      <c r="R24" s="47">
        <f>IFERROR((R22-R23)/R23,"")</f>
        <v>0.63041027662319049</v>
      </c>
      <c r="S24" s="47">
        <f t="shared" ref="S24:V24" si="16">IFERROR((S22-S23)/S23,"")</f>
        <v>1.6211002564019341</v>
      </c>
      <c r="T24" s="47">
        <f t="shared" si="16"/>
        <v>1.4312930816245344</v>
      </c>
      <c r="U24" s="47">
        <f t="shared" si="16"/>
        <v>1.0760961914062497</v>
      </c>
      <c r="V24" s="47">
        <f t="shared" si="16"/>
        <v>4.0796238834951453</v>
      </c>
      <c r="W24" s="47">
        <f>IFERROR((W22-W23)/W23,"")</f>
        <v>9.5035659898477167</v>
      </c>
      <c r="X24" s="47">
        <f t="shared" ref="X24:AD24" si="17">IFERROR((X22-X23)/X23,"")</f>
        <v>283.9190625</v>
      </c>
      <c r="Y24" s="47">
        <f t="shared" si="17"/>
        <v>200.28472222222217</v>
      </c>
      <c r="Z24" s="47">
        <f t="shared" si="17"/>
        <v>4.3157894736842106</v>
      </c>
      <c r="AA24" s="47">
        <f t="shared" si="17"/>
        <v>0.52411173905944497</v>
      </c>
      <c r="AB24" s="47">
        <f t="shared" si="17"/>
        <v>0.34627746483998001</v>
      </c>
      <c r="AC24" s="47">
        <f t="shared" si="17"/>
        <v>1.0317497526552932</v>
      </c>
      <c r="AD24" s="47">
        <f t="shared" si="17"/>
        <v>4.4309738523953248</v>
      </c>
      <c r="AG24" s="31"/>
      <c r="AH24">
        <v>25.909677419354839</v>
      </c>
      <c r="AI24">
        <v>8.3725000000000005</v>
      </c>
      <c r="AJ24">
        <v>11.34</v>
      </c>
      <c r="AK24">
        <v>118.53933333333333</v>
      </c>
      <c r="AL24">
        <v>129.53408602150535</v>
      </c>
      <c r="AM24">
        <v>117.55666666666666</v>
      </c>
      <c r="AN24">
        <v>103.05</v>
      </c>
      <c r="AO24">
        <v>103.05</v>
      </c>
      <c r="AP24">
        <v>103.05</v>
      </c>
      <c r="AQ24">
        <v>103.05</v>
      </c>
      <c r="AR24">
        <v>103.05</v>
      </c>
      <c r="AS24">
        <v>103.05</v>
      </c>
    </row>
    <row r="25" spans="15:45" x14ac:dyDescent="0.25">
      <c r="O25" s="498"/>
      <c r="P25" s="499"/>
      <c r="Q25" s="45" t="s">
        <v>65</v>
      </c>
      <c r="R25" s="46">
        <v>33.188709677419354</v>
      </c>
      <c r="S25" s="46">
        <v>51.103448275862064</v>
      </c>
      <c r="T25" s="46">
        <v>71.543333332999993</v>
      </c>
      <c r="U25" s="46">
        <v>107.34333333366666</v>
      </c>
      <c r="V25" s="46">
        <v>163.27451612903224</v>
      </c>
      <c r="W25" s="46">
        <v>151.4</v>
      </c>
      <c r="X25" s="46">
        <v>3.6</v>
      </c>
      <c r="Y25" s="46">
        <v>1.7</v>
      </c>
      <c r="Z25" s="46">
        <v>6.6</v>
      </c>
      <c r="AA25" s="46">
        <v>8.6</v>
      </c>
      <c r="AB25" s="46">
        <v>2.5</v>
      </c>
      <c r="AC25" s="46">
        <v>0.5</v>
      </c>
      <c r="AD25" s="46">
        <v>158.4</v>
      </c>
      <c r="AH25">
        <f>65+19</f>
        <v>84</v>
      </c>
      <c r="AI25">
        <f t="shared" ref="AI25:AL25" si="18">65+19</f>
        <v>84</v>
      </c>
      <c r="AJ25">
        <f t="shared" si="18"/>
        <v>84</v>
      </c>
      <c r="AK25">
        <f t="shared" si="18"/>
        <v>84</v>
      </c>
      <c r="AL25">
        <f t="shared" si="18"/>
        <v>84</v>
      </c>
      <c r="AM25">
        <f>65+19</f>
        <v>84</v>
      </c>
      <c r="AN25">
        <f t="shared" ref="AN25:AS25" si="19">65+19</f>
        <v>84</v>
      </c>
      <c r="AO25">
        <f t="shared" si="19"/>
        <v>84</v>
      </c>
      <c r="AP25">
        <f t="shared" si="19"/>
        <v>84</v>
      </c>
      <c r="AQ25">
        <f t="shared" si="19"/>
        <v>84</v>
      </c>
      <c r="AR25">
        <f t="shared" si="19"/>
        <v>84</v>
      </c>
      <c r="AS25">
        <f t="shared" si="19"/>
        <v>84</v>
      </c>
    </row>
    <row r="26" spans="15:45" x14ac:dyDescent="0.25">
      <c r="O26" s="498"/>
      <c r="P26" s="499"/>
      <c r="Q26" s="45" t="s">
        <v>89</v>
      </c>
      <c r="R26" s="47">
        <f t="shared" ref="R26:W26" si="20">(R22-R25)/R25</f>
        <v>2.3169186470330954</v>
      </c>
      <c r="S26" s="47">
        <f t="shared" si="20"/>
        <v>2.6412415654520918</v>
      </c>
      <c r="T26" s="47">
        <f t="shared" si="20"/>
        <v>2.0312188417417474</v>
      </c>
      <c r="U26" s="47">
        <f t="shared" si="20"/>
        <v>0.980488619066607</v>
      </c>
      <c r="V26" s="47">
        <f t="shared" si="20"/>
        <v>0.29210764179069115</v>
      </c>
      <c r="W26" s="47">
        <f t="shared" si="20"/>
        <v>0.36671235138705416</v>
      </c>
      <c r="X26" s="47">
        <f t="shared" ref="X26:AD26" si="21">(X22-X25)/X25</f>
        <v>60.272916666666667</v>
      </c>
      <c r="Y26" s="47">
        <f t="shared" si="21"/>
        <v>109.00000000000001</v>
      </c>
      <c r="Z26" s="47">
        <f t="shared" si="21"/>
        <v>29.606060606060609</v>
      </c>
      <c r="AA26" s="47">
        <f t="shared" si="21"/>
        <v>30.395348837209301</v>
      </c>
      <c r="AB26" s="47">
        <f t="shared" si="21"/>
        <v>102.6</v>
      </c>
      <c r="AC26" s="47">
        <f t="shared" si="21"/>
        <v>379.24</v>
      </c>
      <c r="AD26" s="47">
        <f t="shared" si="21"/>
        <v>1.5547803741459658</v>
      </c>
      <c r="AH26">
        <f>SUM(AH24:AH25)</f>
        <v>109.90967741935484</v>
      </c>
      <c r="AI26">
        <f t="shared" ref="AI26:AM26" si="22">SUM(AI24:AI25)</f>
        <v>92.372500000000002</v>
      </c>
      <c r="AJ26">
        <f t="shared" si="22"/>
        <v>95.34</v>
      </c>
      <c r="AK26">
        <f t="shared" si="22"/>
        <v>202.53933333333333</v>
      </c>
      <c r="AL26">
        <f t="shared" si="22"/>
        <v>213.53408602150535</v>
      </c>
      <c r="AM26">
        <f t="shared" si="22"/>
        <v>201.55666666666667</v>
      </c>
      <c r="AN26">
        <f t="shared" ref="AN26" si="23">SUM(AN24:AN25)</f>
        <v>187.05</v>
      </c>
      <c r="AO26">
        <f t="shared" ref="AO26" si="24">SUM(AO24:AO25)</f>
        <v>187.05</v>
      </c>
      <c r="AP26">
        <f t="shared" ref="AP26" si="25">SUM(AP24:AP25)</f>
        <v>187.05</v>
      </c>
      <c r="AQ26">
        <f t="shared" ref="AQ26" si="26">SUM(AQ24:AQ25)</f>
        <v>187.05</v>
      </c>
      <c r="AR26">
        <f t="shared" ref="AR26" si="27">SUM(AR24:AR25)</f>
        <v>187.05</v>
      </c>
      <c r="AS26">
        <f t="shared" ref="AS26" si="28">SUM(AS24:AS25)</f>
        <v>187.05</v>
      </c>
    </row>
    <row r="27" spans="15:45" x14ac:dyDescent="0.25">
      <c r="O27" s="498"/>
      <c r="P27" s="499"/>
      <c r="Q27" s="45" t="s">
        <v>44</v>
      </c>
      <c r="R27" s="46">
        <v>80.900000000000006</v>
      </c>
      <c r="S27" s="46">
        <v>150.80000000000001</v>
      </c>
      <c r="T27" s="46">
        <v>65</v>
      </c>
      <c r="U27" s="46">
        <v>132.5</v>
      </c>
      <c r="V27" s="46">
        <v>93</v>
      </c>
      <c r="W27" s="46">
        <v>25.1</v>
      </c>
      <c r="X27" s="46">
        <v>0</v>
      </c>
      <c r="Y27" s="46">
        <v>27.9</v>
      </c>
      <c r="Z27" s="46">
        <v>27.7</v>
      </c>
      <c r="AA27" s="46">
        <v>149.30000000000001</v>
      </c>
      <c r="AB27" s="46">
        <v>108.3</v>
      </c>
      <c r="AC27" s="46">
        <v>27</v>
      </c>
      <c r="AD27" s="46">
        <v>32.1</v>
      </c>
    </row>
    <row r="28" spans="15:45" ht="15.75" thickBot="1" x14ac:dyDescent="0.3">
      <c r="O28" s="500"/>
      <c r="P28" s="501"/>
      <c r="Q28" s="45" t="s">
        <v>89</v>
      </c>
      <c r="R28" s="47">
        <f t="shared" ref="R28:W28" si="29">(R22-R27)/R27</f>
        <v>0.36074474660074152</v>
      </c>
      <c r="S28" s="47">
        <f t="shared" si="29"/>
        <v>0.23395225464190961</v>
      </c>
      <c r="T28" s="47">
        <f t="shared" si="29"/>
        <v>2.3363615384615382</v>
      </c>
      <c r="U28" s="47">
        <f t="shared" si="29"/>
        <v>0.6044698113207545</v>
      </c>
      <c r="V28" s="47">
        <f t="shared" si="29"/>
        <v>1.2684758064516131</v>
      </c>
      <c r="W28" s="47">
        <f t="shared" si="29"/>
        <v>7.2438346613545823</v>
      </c>
      <c r="X28" s="47" t="e">
        <f t="shared" ref="X28:AD28" si="30">(X22-X27)/X27</f>
        <v>#DIV/0!</v>
      </c>
      <c r="Y28" s="47">
        <f t="shared" si="30"/>
        <v>5.7025089605734767</v>
      </c>
      <c r="Z28" s="47">
        <f t="shared" si="30"/>
        <v>6.2924187725631775</v>
      </c>
      <c r="AA28" s="47">
        <f t="shared" si="30"/>
        <v>0.80843938379102465</v>
      </c>
      <c r="AB28" s="47">
        <f t="shared" si="30"/>
        <v>1.3915050784856879</v>
      </c>
      <c r="AC28" s="47">
        <f t="shared" si="30"/>
        <v>6.0414814814814815</v>
      </c>
      <c r="AD28" s="47">
        <f t="shared" si="30"/>
        <v>11.606766706066074</v>
      </c>
    </row>
    <row r="29" spans="15:45" x14ac:dyDescent="0.25">
      <c r="O29" s="15"/>
      <c r="P29" s="15"/>
      <c r="Q29" s="8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</row>
    <row r="30" spans="15:45" x14ac:dyDescent="0.25">
      <c r="O30" s="15"/>
      <c r="P30" s="15"/>
      <c r="Q30" s="6" t="s">
        <v>1417</v>
      </c>
      <c r="R30" s="11">
        <f>R15-R22</f>
        <v>71.911237499999999</v>
      </c>
      <c r="S30" s="11">
        <f>S15-S22</f>
        <v>99.731847500000015</v>
      </c>
      <c r="T30" s="11">
        <f>T15-T22</f>
        <v>63.237500000000011</v>
      </c>
      <c r="U30" s="11">
        <f>U15-U22</f>
        <v>174.51107500000006</v>
      </c>
      <c r="V30" s="11">
        <f>V15-V22</f>
        <v>68.584749999999985</v>
      </c>
      <c r="W30" s="11">
        <f>W35</f>
        <v>22.1035</v>
      </c>
      <c r="X30" s="11">
        <f>X35</f>
        <v>32.198589919354838</v>
      </c>
      <c r="Y30" s="11">
        <f t="shared" ref="Y30:AD30" si="31">Y35</f>
        <v>31.642822580645163</v>
      </c>
      <c r="Z30" s="11">
        <f t="shared" si="31"/>
        <v>58.758333333333333</v>
      </c>
      <c r="AA30" s="11">
        <f>AA35</f>
        <v>53.88600865232975</v>
      </c>
      <c r="AB30" s="11">
        <f>AB35</f>
        <v>54.123215555555547</v>
      </c>
      <c r="AC30" s="11">
        <f>AC35</f>
        <v>53.107741935483872</v>
      </c>
      <c r="AD30" s="11">
        <f t="shared" si="31"/>
        <v>-30.270942097627579</v>
      </c>
    </row>
    <row r="31" spans="15:45" x14ac:dyDescent="0.25">
      <c r="O31" s="15"/>
      <c r="P31" s="15"/>
      <c r="Q31" s="6" t="s">
        <v>1418</v>
      </c>
      <c r="R31" s="11">
        <f>R16-R23</f>
        <v>39.992096774193541</v>
      </c>
      <c r="S31" s="11">
        <f>S16-S23</f>
        <v>89.53994815668203</v>
      </c>
      <c r="T31" s="11">
        <f t="shared" ref="T31:Z31" si="32">T16-T23</f>
        <v>117.55887096774197</v>
      </c>
      <c r="U31" s="11">
        <f t="shared" si="32"/>
        <v>154.56166666666664</v>
      </c>
      <c r="V31" s="11">
        <f t="shared" si="32"/>
        <v>139.87790322580642</v>
      </c>
      <c r="W31" s="11">
        <f t="shared" si="32"/>
        <v>82.914000000000001</v>
      </c>
      <c r="X31" s="11">
        <f t="shared" si="32"/>
        <v>65.362906451612901</v>
      </c>
      <c r="Y31" s="11">
        <f t="shared" si="32"/>
        <v>73.328467741935484</v>
      </c>
      <c r="Z31" s="11">
        <f t="shared" si="32"/>
        <v>65.174999999999997</v>
      </c>
      <c r="AA31" s="11">
        <f>AA16-AA23</f>
        <v>145.42073440860213</v>
      </c>
      <c r="AB31" s="11">
        <f>AB16-AB23</f>
        <v>163.14766666666662</v>
      </c>
      <c r="AC31" s="11">
        <f>AC16-AC23</f>
        <v>66.215483870967745</v>
      </c>
      <c r="AD31" s="11">
        <f t="shared" ref="AD31" si="33">AD16-AD23</f>
        <v>-74.512826292882735</v>
      </c>
    </row>
    <row r="32" spans="15:45" x14ac:dyDescent="0.25">
      <c r="O32" s="15"/>
      <c r="P32" s="15"/>
      <c r="Q32" s="6" t="s">
        <v>60</v>
      </c>
      <c r="R32" s="11">
        <f>R18-R25</f>
        <v>43.340322580645164</v>
      </c>
      <c r="S32" s="11">
        <f t="shared" ref="S32:U32" si="34">S18-S25</f>
        <v>72.172413793103459</v>
      </c>
      <c r="T32" s="11">
        <f t="shared" si="34"/>
        <v>26.772795699258069</v>
      </c>
      <c r="U32" s="11">
        <f t="shared" si="34"/>
        <v>-3.3950000003333258</v>
      </c>
      <c r="V32" s="11">
        <f>V18-V25</f>
        <v>-62.326129032258038</v>
      </c>
      <c r="W32" s="11">
        <f>W18-W25</f>
        <v>34.400000000000006</v>
      </c>
      <c r="X32" s="11">
        <f t="shared" ref="X32:AD32" si="35">X18-X25</f>
        <v>0.60000000000000009</v>
      </c>
      <c r="Y32" s="11">
        <f t="shared" si="35"/>
        <v>19</v>
      </c>
      <c r="Z32" s="11">
        <f t="shared" si="35"/>
        <v>101.5</v>
      </c>
      <c r="AA32" s="11">
        <f t="shared" si="35"/>
        <v>126.6</v>
      </c>
      <c r="AB32" s="11">
        <f t="shared" si="35"/>
        <v>73.400000000000006</v>
      </c>
      <c r="AC32" s="11">
        <f t="shared" si="35"/>
        <v>40</v>
      </c>
      <c r="AD32" s="11">
        <f t="shared" si="35"/>
        <v>-120.80000000000001</v>
      </c>
    </row>
    <row r="33" spans="15:30" x14ac:dyDescent="0.25">
      <c r="O33" s="15"/>
      <c r="P33" s="15"/>
      <c r="Q33" s="6" t="s">
        <v>52</v>
      </c>
      <c r="R33" s="11">
        <f t="shared" ref="R33:V33" si="36">R20-R27</f>
        <v>44.199999999999989</v>
      </c>
      <c r="S33" s="11">
        <f t="shared" si="36"/>
        <v>-32.300000000000011</v>
      </c>
      <c r="T33" s="11">
        <f t="shared" si="36"/>
        <v>61.3</v>
      </c>
      <c r="U33" s="11">
        <f t="shared" si="36"/>
        <v>-114.8</v>
      </c>
      <c r="V33" s="11">
        <f t="shared" si="36"/>
        <v>0.29999999999999716</v>
      </c>
      <c r="W33" s="11">
        <f>W20-W27</f>
        <v>5.5</v>
      </c>
      <c r="X33" s="11">
        <f>X20-X27</f>
        <v>20.5</v>
      </c>
      <c r="Y33" s="11">
        <f t="shared" ref="Y33:AD33" si="37">Y20-Y27</f>
        <v>2.6000000000000014</v>
      </c>
      <c r="Z33" s="11">
        <f t="shared" si="37"/>
        <v>9.5999999999999979</v>
      </c>
      <c r="AA33" s="11">
        <f t="shared" si="37"/>
        <v>6.6999999999999886</v>
      </c>
      <c r="AB33" s="11">
        <f t="shared" si="37"/>
        <v>43.399999999999991</v>
      </c>
      <c r="AC33" s="11">
        <f t="shared" si="37"/>
        <v>15.5</v>
      </c>
      <c r="AD33" s="11">
        <f t="shared" si="37"/>
        <v>104.5</v>
      </c>
    </row>
    <row r="34" spans="15:30" x14ac:dyDescent="0.25">
      <c r="Q34" s="6" t="s">
        <v>1416</v>
      </c>
      <c r="R34" s="10">
        <f>AVERAGE(R31:R33)</f>
        <v>42.510806451612901</v>
      </c>
      <c r="S34" s="10">
        <f>AVERAGE(S31:S33)</f>
        <v>43.137453983261821</v>
      </c>
      <c r="T34" s="10">
        <f>AVERAGE(T32:T33)</f>
        <v>44.036397849629033</v>
      </c>
      <c r="U34" s="10">
        <f>AVERAGE(U31:U32)</f>
        <v>75.583333333166649</v>
      </c>
      <c r="V34" s="10">
        <f>AVERAGE(V31)</f>
        <v>139.87790322580642</v>
      </c>
      <c r="W34" s="10">
        <f>AVERAGE(W31,W33)</f>
        <v>44.207000000000001</v>
      </c>
      <c r="X34" s="10">
        <f>AVERAGE(X31,X33)</f>
        <v>42.93145322580645</v>
      </c>
      <c r="Y34" s="10">
        <f t="shared" ref="Y34:AD34" si="38">AVERAGE(Y31:Y33)</f>
        <v>31.642822580645163</v>
      </c>
      <c r="Z34" s="10">
        <f t="shared" si="38"/>
        <v>58.758333333333333</v>
      </c>
      <c r="AA34" s="10">
        <f>AVERAGE(AA31:AA33)</f>
        <v>92.906911469534052</v>
      </c>
      <c r="AB34" s="10">
        <f t="shared" si="38"/>
        <v>93.315888888888878</v>
      </c>
      <c r="AC34" s="10">
        <f>AVERAGE(AC31:AC32)</f>
        <v>53.107741935483872</v>
      </c>
      <c r="AD34" s="10">
        <f t="shared" si="38"/>
        <v>-30.270942097627579</v>
      </c>
    </row>
    <row r="35" spans="15:30" x14ac:dyDescent="0.25">
      <c r="R35" s="50">
        <f>R34*0.8</f>
        <v>34.008645161290325</v>
      </c>
      <c r="S35" s="50">
        <f>S34*0.3</f>
        <v>12.941236194978545</v>
      </c>
      <c r="T35" s="50">
        <f t="shared" ref="T35:AD35" si="39">T34</f>
        <v>44.036397849629033</v>
      </c>
      <c r="U35" s="50">
        <f>U34*0.8</f>
        <v>60.466666666533321</v>
      </c>
      <c r="V35" s="50">
        <f>V34*0.4</f>
        <v>55.951161290322574</v>
      </c>
      <c r="W35" s="50">
        <f>W34*0.5</f>
        <v>22.1035</v>
      </c>
      <c r="X35" s="50">
        <f>X34*0.75</f>
        <v>32.198589919354838</v>
      </c>
      <c r="Y35" s="50">
        <f t="shared" si="39"/>
        <v>31.642822580645163</v>
      </c>
      <c r="Z35" s="50">
        <f t="shared" si="39"/>
        <v>58.758333333333333</v>
      </c>
      <c r="AA35" s="50">
        <f>AA34*0.58</f>
        <v>53.88600865232975</v>
      </c>
      <c r="AB35" s="50">
        <f>AB34*0.58</f>
        <v>54.123215555555547</v>
      </c>
      <c r="AC35" s="50">
        <f>AC34*1</f>
        <v>53.107741935483872</v>
      </c>
      <c r="AD35" s="50">
        <f t="shared" si="39"/>
        <v>-30.270942097627579</v>
      </c>
    </row>
    <row r="36" spans="15:30" x14ac:dyDescent="0.25">
      <c r="S36" s="457"/>
      <c r="T36" s="457"/>
      <c r="U36" s="457"/>
    </row>
    <row r="37" spans="15:30" x14ac:dyDescent="0.25">
      <c r="W37" s="23"/>
    </row>
    <row r="38" spans="15:30" x14ac:dyDescent="0.25">
      <c r="R38">
        <f>R39*-1</f>
        <v>107.51145161290322</v>
      </c>
      <c r="S38">
        <f t="shared" ref="S38:AD38" si="40">S39*-1</f>
        <v>160.53303571428572</v>
      </c>
      <c r="T38">
        <f t="shared" si="40"/>
        <v>206.75564516129035</v>
      </c>
      <c r="U38">
        <f>U39*-1</f>
        <v>256.96166666666664</v>
      </c>
      <c r="V38">
        <f t="shared" si="40"/>
        <v>181.41016129032255</v>
      </c>
      <c r="W38">
        <f t="shared" si="40"/>
        <v>102.61366666666666</v>
      </c>
      <c r="X38">
        <f>X39*-1</f>
        <v>66.137</v>
      </c>
      <c r="Y38">
        <f t="shared" si="40"/>
        <v>0</v>
      </c>
      <c r="Z38">
        <f t="shared" si="40"/>
        <v>0</v>
      </c>
      <c r="AA38">
        <f t="shared" si="40"/>
        <v>0</v>
      </c>
      <c r="AB38">
        <f t="shared" si="40"/>
        <v>0</v>
      </c>
      <c r="AC38">
        <f t="shared" si="40"/>
        <v>0</v>
      </c>
      <c r="AD38">
        <f t="shared" si="40"/>
        <v>0</v>
      </c>
    </row>
    <row r="39" spans="15:30" x14ac:dyDescent="0.25">
      <c r="R39">
        <v>-107.51145161290322</v>
      </c>
      <c r="S39">
        <v>-160.53303571428572</v>
      </c>
      <c r="T39">
        <v>-206.75564516129035</v>
      </c>
      <c r="U39">
        <v>-256.96166666666664</v>
      </c>
      <c r="V39">
        <v>-181.41016129032255</v>
      </c>
      <c r="W39">
        <v>-102.61366666666666</v>
      </c>
      <c r="X39">
        <v>-66.137</v>
      </c>
    </row>
    <row r="40" spans="15:30" x14ac:dyDescent="0.25">
      <c r="R40">
        <v>25.909677419354839</v>
      </c>
      <c r="S40">
        <v>8.3725000000000005</v>
      </c>
      <c r="T40">
        <v>11.34</v>
      </c>
      <c r="U40">
        <f>118.539333333333</f>
        <v>118.539333333333</v>
      </c>
      <c r="V40">
        <v>129.53408602150537</v>
      </c>
      <c r="W40">
        <v>117.55666666666666</v>
      </c>
      <c r="X40">
        <v>103.05</v>
      </c>
      <c r="Y40">
        <v>-6.6471236559140001</v>
      </c>
      <c r="Z40">
        <v>-13.931962365591399</v>
      </c>
      <c r="AA40">
        <f t="shared" ref="AA40" si="41">118.539333333333</f>
        <v>118.539333333333</v>
      </c>
      <c r="AB40">
        <v>105.579247311828</v>
      </c>
      <c r="AC40">
        <v>93.601827956989297</v>
      </c>
      <c r="AD40">
        <v>-21.216801075268801</v>
      </c>
    </row>
    <row r="41" spans="15:30" x14ac:dyDescent="0.25">
      <c r="R41">
        <v>26.084250000000001</v>
      </c>
      <c r="S41">
        <v>34.880000000000003</v>
      </c>
      <c r="T41">
        <v>29.863499999999998</v>
      </c>
      <c r="U41">
        <v>25.592249999999996</v>
      </c>
      <c r="V41">
        <v>23.968249999999998</v>
      </c>
      <c r="W41">
        <v>19.920249999999999</v>
      </c>
      <c r="X41">
        <v>33.582500000000003</v>
      </c>
      <c r="Z41">
        <v>15</v>
      </c>
      <c r="AA41">
        <v>83</v>
      </c>
      <c r="AB41">
        <v>72</v>
      </c>
      <c r="AC41">
        <v>3.12</v>
      </c>
      <c r="AD41">
        <v>320.677211264721</v>
      </c>
    </row>
    <row r="42" spans="15:30" x14ac:dyDescent="0.25">
      <c r="Q42" t="s">
        <v>1432</v>
      </c>
      <c r="R42">
        <v>65</v>
      </c>
      <c r="S42">
        <v>65</v>
      </c>
      <c r="T42">
        <v>65</v>
      </c>
      <c r="U42">
        <v>65</v>
      </c>
      <c r="V42">
        <v>65</v>
      </c>
      <c r="W42">
        <v>65</v>
      </c>
      <c r="X42">
        <v>65</v>
      </c>
      <c r="Y42">
        <v>65</v>
      </c>
      <c r="Z42">
        <v>65</v>
      </c>
      <c r="AA42">
        <v>65</v>
      </c>
      <c r="AB42">
        <v>65</v>
      </c>
      <c r="AC42">
        <v>65</v>
      </c>
      <c r="AD42">
        <v>65</v>
      </c>
    </row>
    <row r="43" spans="15:30" x14ac:dyDescent="0.25">
      <c r="Q43" t="s">
        <v>1455</v>
      </c>
      <c r="R43">
        <v>19</v>
      </c>
      <c r="S43">
        <v>19</v>
      </c>
      <c r="T43">
        <v>19</v>
      </c>
      <c r="U43">
        <v>19</v>
      </c>
      <c r="V43">
        <v>19</v>
      </c>
      <c r="W43">
        <v>19</v>
      </c>
      <c r="X43">
        <v>19</v>
      </c>
      <c r="Y43">
        <v>19</v>
      </c>
      <c r="Z43">
        <v>19</v>
      </c>
      <c r="AA43">
        <v>19</v>
      </c>
      <c r="AB43">
        <v>19</v>
      </c>
      <c r="AC43">
        <v>19</v>
      </c>
      <c r="AD43">
        <v>19</v>
      </c>
    </row>
    <row r="44" spans="15:30" x14ac:dyDescent="0.25">
      <c r="R44">
        <f>R42+R41+R43</f>
        <v>110.08425</v>
      </c>
      <c r="S44">
        <f>S42+S41+S43</f>
        <v>118.88</v>
      </c>
      <c r="T44">
        <f>T42+T41+T43</f>
        <v>113.8635</v>
      </c>
      <c r="U44">
        <f>U42+U41+U43</f>
        <v>109.59224999999999</v>
      </c>
      <c r="V44">
        <f t="shared" ref="V44" si="42">V42+V41+V43</f>
        <v>107.96825</v>
      </c>
      <c r="W44">
        <f>W42+W41+W43</f>
        <v>103.92025</v>
      </c>
      <c r="X44">
        <f>X42+X41+X43</f>
        <v>117.58250000000001</v>
      </c>
      <c r="Y44">
        <f>Y42+Y41+Y43</f>
        <v>84</v>
      </c>
      <c r="Z44">
        <f>Z42+Z41+Z43</f>
        <v>99</v>
      </c>
      <c r="AA44">
        <f>AA42+AA41+AA43</f>
        <v>167</v>
      </c>
      <c r="AB44">
        <f t="shared" ref="AB44:AD44" si="43">AB42+AB41+AB43</f>
        <v>156</v>
      </c>
      <c r="AC44">
        <f t="shared" si="43"/>
        <v>87.12</v>
      </c>
      <c r="AD44">
        <f t="shared" si="43"/>
        <v>404.677211264721</v>
      </c>
    </row>
    <row r="45" spans="15:30" x14ac:dyDescent="0.25">
      <c r="Q45" t="s">
        <v>177</v>
      </c>
      <c r="R45">
        <v>0</v>
      </c>
      <c r="S45">
        <v>67.2</v>
      </c>
      <c r="T45">
        <v>103</v>
      </c>
      <c r="U45">
        <v>103</v>
      </c>
      <c r="V45">
        <v>103</v>
      </c>
      <c r="W45">
        <v>103</v>
      </c>
      <c r="X45">
        <v>103</v>
      </c>
      <c r="Y45">
        <v>103</v>
      </c>
      <c r="Z45">
        <v>103</v>
      </c>
      <c r="AA45">
        <v>103</v>
      </c>
      <c r="AB45">
        <v>103</v>
      </c>
      <c r="AC45">
        <v>103</v>
      </c>
      <c r="AD45">
        <v>103</v>
      </c>
    </row>
    <row r="47" spans="15:30" x14ac:dyDescent="0.25">
      <c r="Q47" s="488">
        <v>46192</v>
      </c>
      <c r="R47">
        <v>181.9954875</v>
      </c>
      <c r="S47">
        <v>285.8118475</v>
      </c>
      <c r="T47">
        <v>280.101</v>
      </c>
      <c r="U47">
        <v>387.10332500000004</v>
      </c>
      <c r="V47">
        <v>279.553</v>
      </c>
      <c r="W47">
        <v>229.02375000000001</v>
      </c>
      <c r="X47">
        <v>252.78108991935486</v>
      </c>
      <c r="Y47">
        <v>218.64282258064517</v>
      </c>
      <c r="Z47">
        <v>260.75833333333333</v>
      </c>
      <c r="AA47">
        <v>323.88600865232974</v>
      </c>
      <c r="AB47">
        <v>313.12321555555553</v>
      </c>
      <c r="AC47">
        <v>243.22774193548389</v>
      </c>
    </row>
    <row r="48" spans="15:30" x14ac:dyDescent="0.25">
      <c r="R48" s="10">
        <f t="shared" ref="R48:X48" si="44">R47-R15</f>
        <v>0</v>
      </c>
      <c r="S48" s="10">
        <f t="shared" si="44"/>
        <v>0</v>
      </c>
      <c r="T48" s="10">
        <f t="shared" si="44"/>
        <v>0</v>
      </c>
      <c r="U48" s="10">
        <f t="shared" si="44"/>
        <v>0</v>
      </c>
      <c r="V48" s="10">
        <f t="shared" si="44"/>
        <v>0</v>
      </c>
      <c r="W48" s="10">
        <f t="shared" si="44"/>
        <v>0</v>
      </c>
      <c r="X48" s="10">
        <f t="shared" si="44"/>
        <v>0</v>
      </c>
      <c r="Y48" s="10">
        <f>Y47-Y15</f>
        <v>0</v>
      </c>
      <c r="Z48" s="10">
        <f t="shared" ref="Z48:AC48" si="45">Z47-Z15</f>
        <v>0</v>
      </c>
      <c r="AA48" s="10">
        <f t="shared" si="45"/>
        <v>0</v>
      </c>
      <c r="AB48" s="10">
        <f t="shared" si="45"/>
        <v>0</v>
      </c>
      <c r="AC48" s="10">
        <f t="shared" si="45"/>
        <v>0</v>
      </c>
    </row>
    <row r="51" spans="20:29" x14ac:dyDescent="0.25">
      <c r="T51">
        <f>952+6</f>
        <v>958</v>
      </c>
      <c r="U51">
        <f>(280-317)</f>
        <v>-37</v>
      </c>
      <c r="W51">
        <f>267-229</f>
        <v>38</v>
      </c>
    </row>
    <row r="52" spans="20:29" x14ac:dyDescent="0.25">
      <c r="T52">
        <f>T51*0.98</f>
        <v>938.84</v>
      </c>
      <c r="U52">
        <f>T52+U51</f>
        <v>901.84</v>
      </c>
      <c r="W52">
        <f>986+38</f>
        <v>1024</v>
      </c>
    </row>
    <row r="53" spans="20:29" x14ac:dyDescent="0.25">
      <c r="U53">
        <f>957-13</f>
        <v>944</v>
      </c>
      <c r="V53">
        <f>(293-267)+U53</f>
        <v>970</v>
      </c>
      <c r="W53">
        <f>55+V53</f>
        <v>1025</v>
      </c>
    </row>
    <row r="54" spans="20:29" x14ac:dyDescent="0.25">
      <c r="U54">
        <f>U53*0.99</f>
        <v>934.56</v>
      </c>
      <c r="V54">
        <f>V53*0.99</f>
        <v>960.3</v>
      </c>
      <c r="W54">
        <f>(267-212)+V55</f>
        <v>1035</v>
      </c>
      <c r="X54" s="10">
        <f>(W15-241)+W55</f>
        <v>998.04375000000005</v>
      </c>
      <c r="Y54">
        <f>(241-254)+X55</f>
        <v>996</v>
      </c>
      <c r="Z54">
        <f>(246-254)+Y54</f>
        <v>988</v>
      </c>
      <c r="AA54">
        <f>(246-324)+Z54</f>
        <v>910</v>
      </c>
      <c r="AB54">
        <f>AA55-1</f>
        <v>936.30000000000007</v>
      </c>
      <c r="AC54">
        <f>(325-243)+AB54</f>
        <v>1018.3000000000001</v>
      </c>
    </row>
    <row r="55" spans="20:29" x14ac:dyDescent="0.25">
      <c r="V55">
        <v>980</v>
      </c>
      <c r="W55">
        <f>W52*0.98+6.5</f>
        <v>1010.02</v>
      </c>
      <c r="X55">
        <v>1009</v>
      </c>
      <c r="Z55">
        <v>980</v>
      </c>
      <c r="AA55">
        <f>AA54*1.03</f>
        <v>937.30000000000007</v>
      </c>
    </row>
    <row r="56" spans="20:29" x14ac:dyDescent="0.25">
      <c r="AC56">
        <f>1100-83</f>
        <v>1017</v>
      </c>
    </row>
    <row r="68" spans="15:30" ht="15.75" thickBot="1" x14ac:dyDescent="0.3">
      <c r="R68" s="5" t="s">
        <v>3</v>
      </c>
      <c r="S68" s="5" t="s">
        <v>4</v>
      </c>
      <c r="T68" s="5" t="s">
        <v>5</v>
      </c>
      <c r="U68" s="5" t="s">
        <v>6</v>
      </c>
      <c r="V68" s="5" t="s">
        <v>7</v>
      </c>
      <c r="W68" s="5" t="s">
        <v>8</v>
      </c>
      <c r="X68" s="5" t="s">
        <v>45</v>
      </c>
      <c r="Y68" s="5" t="s">
        <v>46</v>
      </c>
      <c r="Z68" s="5" t="s">
        <v>9</v>
      </c>
      <c r="AA68" s="5" t="s">
        <v>10</v>
      </c>
      <c r="AB68" s="5" t="s">
        <v>11</v>
      </c>
      <c r="AC68" s="5" t="s">
        <v>12</v>
      </c>
    </row>
    <row r="69" spans="15:30" x14ac:dyDescent="0.25">
      <c r="O69" s="503" t="s">
        <v>1395</v>
      </c>
      <c r="P69" s="497"/>
      <c r="Q69" s="28" t="s">
        <v>87</v>
      </c>
      <c r="R69" s="474">
        <f>R41</f>
        <v>26.084250000000001</v>
      </c>
      <c r="S69" s="474">
        <f>S41</f>
        <v>34.880000000000003</v>
      </c>
      <c r="T69" s="474">
        <f>T41</f>
        <v>29.863499999999998</v>
      </c>
      <c r="U69" s="474">
        <f t="shared" ref="U69:AC69" si="46">U41</f>
        <v>25.592249999999996</v>
      </c>
      <c r="V69" s="474">
        <f t="shared" si="46"/>
        <v>23.968249999999998</v>
      </c>
      <c r="W69" s="474">
        <f t="shared" si="46"/>
        <v>19.920249999999999</v>
      </c>
      <c r="X69" s="474">
        <f t="shared" si="46"/>
        <v>33.582500000000003</v>
      </c>
      <c r="Y69" s="474">
        <f t="shared" si="46"/>
        <v>0</v>
      </c>
      <c r="Z69" s="474">
        <f t="shared" si="46"/>
        <v>15</v>
      </c>
      <c r="AA69" s="474">
        <f t="shared" si="46"/>
        <v>83</v>
      </c>
      <c r="AB69" s="474">
        <f t="shared" si="46"/>
        <v>72</v>
      </c>
      <c r="AC69" s="474">
        <f t="shared" si="46"/>
        <v>3.12</v>
      </c>
    </row>
    <row r="70" spans="15:30" x14ac:dyDescent="0.25">
      <c r="O70" s="502"/>
      <c r="P70" s="499"/>
      <c r="Q70" s="45" t="s">
        <v>88</v>
      </c>
      <c r="R70" s="46">
        <v>67.519354838709674</v>
      </c>
      <c r="S70" s="46">
        <v>70.993087557603687</v>
      </c>
      <c r="T70" s="46">
        <v>89.196774193548379</v>
      </c>
      <c r="U70" s="46">
        <v>102.4</v>
      </c>
      <c r="V70" s="46">
        <v>41.532258064516135</v>
      </c>
      <c r="W70" s="46">
        <v>0.77419354838709686</v>
      </c>
      <c r="X70" s="46" t="s">
        <v>1457</v>
      </c>
    </row>
    <row r="71" spans="15:30" x14ac:dyDescent="0.25">
      <c r="O71" s="502"/>
      <c r="P71" s="499"/>
      <c r="Q71" s="45" t="s">
        <v>89</v>
      </c>
      <c r="R71" s="47">
        <f>IFERROR((R69-R70)/R70,"")</f>
        <v>-0.6136774401605275</v>
      </c>
      <c r="S71" s="47">
        <f t="shared" ref="S71:W71" si="47">IFERROR((S69-S70)/S70,"")</f>
        <v>-0.50868456070883772</v>
      </c>
      <c r="T71" s="47">
        <f t="shared" si="47"/>
        <v>-0.6651952913095367</v>
      </c>
      <c r="U71" s="47">
        <f t="shared" si="47"/>
        <v>-0.7500756835937501</v>
      </c>
      <c r="V71" s="47">
        <f t="shared" si="47"/>
        <v>-0.42290038834951471</v>
      </c>
      <c r="W71" s="47">
        <f t="shared" si="47"/>
        <v>24.730322916666665</v>
      </c>
      <c r="X71" s="47" t="str">
        <f>IFERROR((X69-X70)/X70,"")</f>
        <v/>
      </c>
    </row>
    <row r="72" spans="15:30" x14ac:dyDescent="0.25">
      <c r="O72" s="498"/>
      <c r="P72" s="499"/>
      <c r="Q72" s="45" t="s">
        <v>65</v>
      </c>
      <c r="R72" s="46">
        <v>61.5</v>
      </c>
      <c r="S72" s="46">
        <v>72.099999999999994</v>
      </c>
      <c r="T72" s="46">
        <v>72</v>
      </c>
      <c r="U72" s="46">
        <v>59</v>
      </c>
      <c r="V72" s="46">
        <v>119.9</v>
      </c>
      <c r="W72" s="46">
        <v>151.4</v>
      </c>
      <c r="X72" s="46">
        <f>X25</f>
        <v>3.6</v>
      </c>
    </row>
    <row r="73" spans="15:30" x14ac:dyDescent="0.25">
      <c r="O73" s="498"/>
      <c r="P73" s="499"/>
      <c r="Q73" s="45" t="s">
        <v>89</v>
      </c>
      <c r="R73" s="47">
        <f>(R69-R72)/R72</f>
        <v>-0.5758658536585366</v>
      </c>
      <c r="S73" s="47">
        <f t="shared" ref="S73:AD73" si="48">(S69-S72)/S72</f>
        <v>-0.51622746185852975</v>
      </c>
      <c r="T73" s="47">
        <f t="shared" si="48"/>
        <v>-0.58522916666666669</v>
      </c>
      <c r="U73" s="47">
        <f t="shared" si="48"/>
        <v>-0.56623305084745779</v>
      </c>
      <c r="V73" s="47">
        <f t="shared" si="48"/>
        <v>-0.80009799833194328</v>
      </c>
      <c r="W73" s="47">
        <f t="shared" si="48"/>
        <v>-0.86842635402906199</v>
      </c>
      <c r="X73" s="47">
        <f t="shared" ref="X73" si="49">(X69-X72)/X72</f>
        <v>8.3284722222222225</v>
      </c>
      <c r="Y73" s="47" t="e">
        <f t="shared" si="48"/>
        <v>#DIV/0!</v>
      </c>
      <c r="Z73" s="47" t="e">
        <f t="shared" si="48"/>
        <v>#DIV/0!</v>
      </c>
      <c r="AA73" s="47" t="e">
        <f t="shared" si="48"/>
        <v>#DIV/0!</v>
      </c>
      <c r="AB73" s="47" t="e">
        <f t="shared" si="48"/>
        <v>#DIV/0!</v>
      </c>
      <c r="AC73" s="47" t="e">
        <f t="shared" si="48"/>
        <v>#DIV/0!</v>
      </c>
      <c r="AD73" s="47" t="e">
        <f t="shared" si="48"/>
        <v>#DIV/0!</v>
      </c>
    </row>
    <row r="74" spans="15:30" x14ac:dyDescent="0.25">
      <c r="O74" s="498"/>
      <c r="P74" s="499"/>
      <c r="Q74" s="45" t="s">
        <v>44</v>
      </c>
      <c r="R74" s="46">
        <v>80.900000000000006</v>
      </c>
      <c r="S74" s="46">
        <v>150.80000000000001</v>
      </c>
      <c r="T74" s="46">
        <v>65</v>
      </c>
      <c r="U74" s="46">
        <v>132.5</v>
      </c>
      <c r="V74" s="46">
        <v>93</v>
      </c>
      <c r="W74" s="46">
        <v>25.1</v>
      </c>
      <c r="X74" s="46">
        <f>X27</f>
        <v>0</v>
      </c>
    </row>
    <row r="75" spans="15:30" ht="15.75" thickBot="1" x14ac:dyDescent="0.3">
      <c r="O75" s="500"/>
      <c r="P75" s="501"/>
      <c r="Q75" s="45" t="s">
        <v>89</v>
      </c>
      <c r="R75" s="47">
        <f t="shared" ref="R75:W75" si="50">(R69-R74)/R74</f>
        <v>-0.67757416563658845</v>
      </c>
      <c r="S75" s="47">
        <f t="shared" si="50"/>
        <v>-0.76870026525198942</v>
      </c>
      <c r="T75" s="47">
        <f t="shared" si="50"/>
        <v>-0.54056153846153843</v>
      </c>
      <c r="U75" s="47">
        <f t="shared" si="50"/>
        <v>-0.80685094339622643</v>
      </c>
      <c r="V75" s="47">
        <f t="shared" si="50"/>
        <v>-0.74227688172043016</v>
      </c>
      <c r="W75" s="47">
        <f t="shared" si="50"/>
        <v>-0.20636454183266939</v>
      </c>
      <c r="X75" s="47" t="e">
        <f t="shared" ref="X75" si="51">(X69-X74)/X74</f>
        <v>#DIV/0!</v>
      </c>
    </row>
  </sheetData>
  <mergeCells count="4">
    <mergeCell ref="Q2:AD2"/>
    <mergeCell ref="O15:P21"/>
    <mergeCell ref="O22:P28"/>
    <mergeCell ref="O69:P75"/>
  </mergeCells>
  <phoneticPr fontId="13" type="noConversion"/>
  <pageMargins left="0.7" right="0.7" top="0.75" bottom="0.75" header="0.3" footer="0.3"/>
  <pageSetup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9"/>
  <dimension ref="B1:AD135"/>
  <sheetViews>
    <sheetView topLeftCell="B1" zoomScaleNormal="100" workbookViewId="0">
      <pane ySplit="4" topLeftCell="A25" activePane="bottomLeft" state="frozen"/>
      <selection pane="bottomLeft" activeCell="Q70" sqref="Q70"/>
    </sheetView>
  </sheetViews>
  <sheetFormatPr defaultRowHeight="15" x14ac:dyDescent="0.25"/>
  <cols>
    <col min="2" max="2" width="37.28515625" customWidth="1"/>
    <col min="3" max="14" width="9.140625" customWidth="1"/>
    <col min="15" max="15" width="11.42578125" bestFit="1" customWidth="1"/>
    <col min="17" max="17" width="32.7109375" customWidth="1"/>
    <col min="18" max="22" width="9.140625" customWidth="1"/>
  </cols>
  <sheetData>
    <row r="1" spans="2:30" ht="15.75" thickBot="1" x14ac:dyDescent="0.3"/>
    <row r="2" spans="2:30" ht="15.75" thickBot="1" x14ac:dyDescent="0.3">
      <c r="Q2" s="493" t="s">
        <v>49</v>
      </c>
      <c r="R2" s="494"/>
      <c r="S2" s="494"/>
      <c r="T2" s="494"/>
      <c r="U2" s="494"/>
      <c r="V2" s="494"/>
      <c r="W2" s="494"/>
      <c r="X2" s="494"/>
      <c r="Y2" s="494"/>
      <c r="Z2" s="494"/>
      <c r="AA2" s="494"/>
      <c r="AB2" s="494"/>
      <c r="AC2" s="495"/>
    </row>
    <row r="3" spans="2:30" ht="21" customHeight="1" x14ac:dyDescent="0.25"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Q3" s="1" t="s">
        <v>0</v>
      </c>
      <c r="R3" s="1" t="s">
        <v>1</v>
      </c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2:30" x14ac:dyDescent="0.25">
      <c r="B4" s="2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  <c r="Q4" s="2" t="s">
        <v>2</v>
      </c>
      <c r="R4" s="3" t="s">
        <v>3</v>
      </c>
      <c r="S4" s="3" t="s">
        <v>4</v>
      </c>
      <c r="T4" s="3" t="s">
        <v>5</v>
      </c>
      <c r="U4" s="3" t="s">
        <v>6</v>
      </c>
      <c r="V4" s="3" t="s">
        <v>7</v>
      </c>
      <c r="W4" s="3" t="s">
        <v>8</v>
      </c>
      <c r="X4" s="3" t="s">
        <v>45</v>
      </c>
      <c r="Y4" s="3" t="s">
        <v>46</v>
      </c>
      <c r="Z4" s="3" t="s">
        <v>9</v>
      </c>
      <c r="AA4" s="3" t="s">
        <v>10</v>
      </c>
      <c r="AB4" s="3" t="s">
        <v>11</v>
      </c>
      <c r="AC4" s="3" t="s">
        <v>12</v>
      </c>
      <c r="AD4" s="13" t="s">
        <v>50</v>
      </c>
    </row>
    <row r="5" spans="2:30" x14ac:dyDescent="0.25">
      <c r="B5" s="4" t="s">
        <v>14</v>
      </c>
      <c r="C5" s="5">
        <v>220.76</v>
      </c>
      <c r="D5" s="5">
        <v>77.745714285999995</v>
      </c>
      <c r="E5" s="5"/>
      <c r="F5" s="5"/>
      <c r="G5" s="5"/>
      <c r="H5" s="5"/>
      <c r="I5" s="5"/>
      <c r="J5" s="5"/>
      <c r="K5" s="5"/>
      <c r="L5" s="5">
        <v>24.768571428999998</v>
      </c>
      <c r="M5" s="5">
        <v>323.27428571500002</v>
      </c>
      <c r="Q5" s="4" t="s">
        <v>14</v>
      </c>
      <c r="R5" s="5">
        <f>C5/4</f>
        <v>55.19</v>
      </c>
      <c r="S5" s="5">
        <f t="shared" ref="S5:W20" si="0">D5/4</f>
        <v>19.436428571499999</v>
      </c>
      <c r="T5" s="5">
        <f t="shared" si="0"/>
        <v>0</v>
      </c>
      <c r="U5" s="5">
        <f t="shared" si="0"/>
        <v>0</v>
      </c>
      <c r="V5" s="5">
        <f t="shared" si="0"/>
        <v>0</v>
      </c>
      <c r="W5" s="5">
        <f t="shared" si="0"/>
        <v>0</v>
      </c>
      <c r="X5" s="5">
        <v>0</v>
      </c>
      <c r="Y5" s="5">
        <v>0</v>
      </c>
      <c r="Z5" s="5">
        <f t="shared" ref="Z5:AC20" si="1">I5/4</f>
        <v>0</v>
      </c>
      <c r="AA5" s="5">
        <f t="shared" si="1"/>
        <v>0</v>
      </c>
      <c r="AB5" s="5">
        <f t="shared" si="1"/>
        <v>0</v>
      </c>
      <c r="AC5" s="5">
        <f t="shared" si="1"/>
        <v>6.1921428572499995</v>
      </c>
    </row>
    <row r="6" spans="2:30" x14ac:dyDescent="0.25">
      <c r="B6" s="6" t="s">
        <v>15</v>
      </c>
      <c r="C6" s="7">
        <v>220.76</v>
      </c>
      <c r="D6" s="7">
        <v>77.745714285999995</v>
      </c>
      <c r="E6" s="7"/>
      <c r="F6" s="7"/>
      <c r="G6" s="7"/>
      <c r="H6" s="7"/>
      <c r="I6" s="7"/>
      <c r="J6" s="7"/>
      <c r="K6" s="7"/>
      <c r="L6" s="7">
        <v>24.768571428999998</v>
      </c>
      <c r="M6" s="7">
        <v>323.27428571500002</v>
      </c>
      <c r="Q6" s="6" t="s">
        <v>15</v>
      </c>
      <c r="R6" s="5">
        <f t="shared" ref="R6:W33" si="2">C6/4</f>
        <v>55.19</v>
      </c>
      <c r="S6" s="5">
        <f t="shared" si="0"/>
        <v>19.436428571499999</v>
      </c>
      <c r="T6" s="5">
        <f t="shared" si="0"/>
        <v>0</v>
      </c>
      <c r="U6" s="5">
        <f t="shared" si="0"/>
        <v>0</v>
      </c>
      <c r="V6" s="5">
        <f t="shared" si="0"/>
        <v>0</v>
      </c>
      <c r="W6" s="5">
        <f t="shared" si="0"/>
        <v>0</v>
      </c>
      <c r="X6" s="5">
        <v>0</v>
      </c>
      <c r="Y6" s="5">
        <v>0</v>
      </c>
      <c r="Z6" s="5">
        <f t="shared" si="1"/>
        <v>0</v>
      </c>
      <c r="AA6" s="5">
        <f t="shared" si="1"/>
        <v>0</v>
      </c>
      <c r="AB6" s="5">
        <f t="shared" si="1"/>
        <v>0</v>
      </c>
      <c r="AC6" s="5">
        <f t="shared" si="1"/>
        <v>6.1921428572499995</v>
      </c>
    </row>
    <row r="7" spans="2:30" x14ac:dyDescent="0.25">
      <c r="B7" s="4" t="s">
        <v>16</v>
      </c>
      <c r="C7" s="5"/>
      <c r="D7" s="5"/>
      <c r="E7" s="5"/>
      <c r="F7" s="5">
        <v>43.2</v>
      </c>
      <c r="G7" s="5">
        <v>86.4</v>
      </c>
      <c r="H7" s="5">
        <v>43.2</v>
      </c>
      <c r="I7" s="5"/>
      <c r="J7" s="5"/>
      <c r="K7" s="5"/>
      <c r="L7" s="5"/>
      <c r="M7" s="5">
        <v>172.8</v>
      </c>
      <c r="Q7" s="4" t="s">
        <v>16</v>
      </c>
      <c r="R7" s="5">
        <f t="shared" si="2"/>
        <v>0</v>
      </c>
      <c r="S7" s="5">
        <f t="shared" si="0"/>
        <v>0</v>
      </c>
      <c r="T7" s="5">
        <f t="shared" si="0"/>
        <v>0</v>
      </c>
      <c r="U7" s="5">
        <f t="shared" si="0"/>
        <v>10.8</v>
      </c>
      <c r="V7" s="5">
        <f t="shared" si="0"/>
        <v>21.6</v>
      </c>
      <c r="W7" s="5">
        <f t="shared" si="0"/>
        <v>10.8</v>
      </c>
      <c r="X7" s="5">
        <v>0</v>
      </c>
      <c r="Y7" s="5">
        <v>0</v>
      </c>
      <c r="Z7" s="5">
        <f t="shared" si="1"/>
        <v>0</v>
      </c>
      <c r="AA7" s="5">
        <f t="shared" si="1"/>
        <v>0</v>
      </c>
      <c r="AB7" s="5">
        <f t="shared" si="1"/>
        <v>0</v>
      </c>
      <c r="AC7" s="5">
        <f t="shared" si="1"/>
        <v>0</v>
      </c>
    </row>
    <row r="8" spans="2:30" x14ac:dyDescent="0.25">
      <c r="B8" s="6" t="s">
        <v>17</v>
      </c>
      <c r="C8" s="7"/>
      <c r="D8" s="7"/>
      <c r="E8" s="7"/>
      <c r="F8" s="7">
        <v>43.2</v>
      </c>
      <c r="G8" s="7">
        <v>86.4</v>
      </c>
      <c r="H8" s="7">
        <v>43.2</v>
      </c>
      <c r="I8" s="7"/>
      <c r="J8" s="7"/>
      <c r="K8" s="7"/>
      <c r="L8" s="7"/>
      <c r="M8" s="7">
        <v>172.8</v>
      </c>
      <c r="Q8" s="6" t="s">
        <v>17</v>
      </c>
      <c r="R8" s="5">
        <f t="shared" si="2"/>
        <v>0</v>
      </c>
      <c r="S8" s="5">
        <f t="shared" si="0"/>
        <v>0</v>
      </c>
      <c r="T8" s="5">
        <f t="shared" si="0"/>
        <v>0</v>
      </c>
      <c r="U8" s="5">
        <f t="shared" si="0"/>
        <v>10.8</v>
      </c>
      <c r="V8" s="5">
        <f t="shared" si="0"/>
        <v>21.6</v>
      </c>
      <c r="W8" s="5">
        <f t="shared" si="0"/>
        <v>10.8</v>
      </c>
      <c r="X8" s="5">
        <v>0</v>
      </c>
      <c r="Y8" s="5">
        <v>0</v>
      </c>
      <c r="Z8" s="5">
        <f t="shared" si="1"/>
        <v>0</v>
      </c>
      <c r="AA8" s="5">
        <f t="shared" si="1"/>
        <v>0</v>
      </c>
      <c r="AB8" s="5">
        <f t="shared" si="1"/>
        <v>0</v>
      </c>
      <c r="AC8" s="5">
        <f t="shared" si="1"/>
        <v>0</v>
      </c>
    </row>
    <row r="9" spans="2:30" x14ac:dyDescent="0.25">
      <c r="B9" s="4" t="s">
        <v>18</v>
      </c>
      <c r="C9" s="5">
        <v>19.942857142999998</v>
      </c>
      <c r="D9" s="5">
        <v>267.2</v>
      </c>
      <c r="E9" s="5">
        <v>392.14000000100009</v>
      </c>
      <c r="F9" s="5">
        <v>97.8</v>
      </c>
      <c r="G9" s="5"/>
      <c r="H9" s="5"/>
      <c r="I9" s="5">
        <v>180.51428571399998</v>
      </c>
      <c r="J9" s="5">
        <v>187.2</v>
      </c>
      <c r="K9" s="5">
        <v>33.428571429000002</v>
      </c>
      <c r="L9" s="5"/>
      <c r="M9" s="5">
        <v>1178.2257142870001</v>
      </c>
      <c r="Q9" s="4" t="s">
        <v>18</v>
      </c>
      <c r="R9" s="5">
        <f t="shared" si="2"/>
        <v>4.9857142857499994</v>
      </c>
      <c r="S9" s="5">
        <f t="shared" si="0"/>
        <v>66.8</v>
      </c>
      <c r="T9" s="5">
        <f t="shared" si="0"/>
        <v>98.035000000250022</v>
      </c>
      <c r="U9" s="5">
        <f t="shared" si="0"/>
        <v>24.45</v>
      </c>
      <c r="V9" s="5">
        <f t="shared" si="0"/>
        <v>0</v>
      </c>
      <c r="W9" s="5">
        <f t="shared" si="0"/>
        <v>0</v>
      </c>
      <c r="X9" s="5">
        <v>0</v>
      </c>
      <c r="Y9" s="5">
        <v>0</v>
      </c>
      <c r="Z9" s="5">
        <f t="shared" si="1"/>
        <v>45.128571428499995</v>
      </c>
      <c r="AA9" s="5">
        <f t="shared" si="1"/>
        <v>46.8</v>
      </c>
      <c r="AB9" s="5">
        <f t="shared" si="1"/>
        <v>8.3571428572500004</v>
      </c>
      <c r="AC9" s="5">
        <f t="shared" si="1"/>
        <v>0</v>
      </c>
    </row>
    <row r="10" spans="2:30" x14ac:dyDescent="0.25">
      <c r="B10" s="6" t="s">
        <v>19</v>
      </c>
      <c r="C10" s="7"/>
      <c r="D10" s="7"/>
      <c r="E10" s="7">
        <v>83.785714286000001</v>
      </c>
      <c r="F10" s="7">
        <v>69.214285713999999</v>
      </c>
      <c r="G10" s="7"/>
      <c r="H10" s="7"/>
      <c r="I10" s="7"/>
      <c r="J10" s="7"/>
      <c r="K10" s="7"/>
      <c r="L10" s="7"/>
      <c r="M10" s="7">
        <v>153</v>
      </c>
      <c r="Q10" s="6" t="s">
        <v>19</v>
      </c>
      <c r="R10" s="5">
        <f t="shared" si="2"/>
        <v>0</v>
      </c>
      <c r="S10" s="5">
        <f t="shared" si="0"/>
        <v>0</v>
      </c>
      <c r="T10" s="5">
        <f t="shared" si="0"/>
        <v>20.9464285715</v>
      </c>
      <c r="U10" s="5">
        <f t="shared" si="0"/>
        <v>17.3035714285</v>
      </c>
      <c r="V10" s="5">
        <f t="shared" si="0"/>
        <v>0</v>
      </c>
      <c r="W10" s="5">
        <f t="shared" si="0"/>
        <v>0</v>
      </c>
      <c r="X10" s="5">
        <v>0</v>
      </c>
      <c r="Y10" s="5">
        <v>0</v>
      </c>
      <c r="Z10" s="5">
        <f t="shared" si="1"/>
        <v>0</v>
      </c>
      <c r="AA10" s="5">
        <f t="shared" si="1"/>
        <v>0</v>
      </c>
      <c r="AB10" s="5">
        <f t="shared" si="1"/>
        <v>0</v>
      </c>
      <c r="AC10" s="5">
        <f t="shared" si="1"/>
        <v>0</v>
      </c>
    </row>
    <row r="11" spans="2:30" x14ac:dyDescent="0.25">
      <c r="B11" s="6" t="s">
        <v>20</v>
      </c>
      <c r="C11" s="7"/>
      <c r="D11" s="7"/>
      <c r="E11" s="7">
        <v>194.38285714300002</v>
      </c>
      <c r="F11" s="7">
        <v>28.585714286000002</v>
      </c>
      <c r="G11" s="7"/>
      <c r="H11" s="7"/>
      <c r="I11" s="7"/>
      <c r="J11" s="7"/>
      <c r="K11" s="7"/>
      <c r="L11" s="7"/>
      <c r="M11" s="7">
        <v>222.96857142900004</v>
      </c>
      <c r="Q11" s="6" t="s">
        <v>20</v>
      </c>
      <c r="R11" s="5">
        <f t="shared" si="2"/>
        <v>0</v>
      </c>
      <c r="S11" s="5">
        <f t="shared" si="0"/>
        <v>0</v>
      </c>
      <c r="T11" s="5">
        <f t="shared" si="0"/>
        <v>48.595714285750006</v>
      </c>
      <c r="U11" s="5">
        <f t="shared" si="0"/>
        <v>7.1464285715000004</v>
      </c>
      <c r="V11" s="5">
        <f t="shared" si="0"/>
        <v>0</v>
      </c>
      <c r="W11" s="5">
        <f t="shared" si="0"/>
        <v>0</v>
      </c>
      <c r="X11" s="5">
        <v>0</v>
      </c>
      <c r="Y11" s="5">
        <v>0</v>
      </c>
      <c r="Z11" s="5">
        <f t="shared" si="1"/>
        <v>0</v>
      </c>
      <c r="AA11" s="5">
        <f t="shared" si="1"/>
        <v>0</v>
      </c>
      <c r="AB11" s="5">
        <f t="shared" si="1"/>
        <v>0</v>
      </c>
      <c r="AC11" s="5">
        <f t="shared" si="1"/>
        <v>0</v>
      </c>
    </row>
    <row r="12" spans="2:30" x14ac:dyDescent="0.25">
      <c r="B12" s="6" t="s">
        <v>21</v>
      </c>
      <c r="C12" s="7">
        <v>19.942857142999998</v>
      </c>
      <c r="D12" s="7">
        <v>267.2</v>
      </c>
      <c r="E12" s="7">
        <v>113.97142857200001</v>
      </c>
      <c r="F12" s="7"/>
      <c r="G12" s="7"/>
      <c r="H12" s="7"/>
      <c r="I12" s="7">
        <v>180.51428571399998</v>
      </c>
      <c r="J12" s="7">
        <v>187.2</v>
      </c>
      <c r="K12" s="7">
        <v>33.428571429000002</v>
      </c>
      <c r="L12" s="7"/>
      <c r="M12" s="7">
        <v>802.25714285800007</v>
      </c>
      <c r="Q12" s="6" t="s">
        <v>21</v>
      </c>
      <c r="R12" s="5">
        <f t="shared" si="2"/>
        <v>4.9857142857499994</v>
      </c>
      <c r="S12" s="5">
        <f t="shared" si="0"/>
        <v>66.8</v>
      </c>
      <c r="T12" s="5">
        <f t="shared" si="0"/>
        <v>28.492857143000002</v>
      </c>
      <c r="U12" s="5">
        <f t="shared" si="0"/>
        <v>0</v>
      </c>
      <c r="V12" s="5">
        <f t="shared" si="0"/>
        <v>0</v>
      </c>
      <c r="W12" s="5">
        <f t="shared" si="0"/>
        <v>0</v>
      </c>
      <c r="X12" s="5">
        <v>0</v>
      </c>
      <c r="Y12" s="5">
        <v>0</v>
      </c>
      <c r="Z12" s="5">
        <f t="shared" si="1"/>
        <v>45.128571428499995</v>
      </c>
      <c r="AA12" s="5">
        <f t="shared" si="1"/>
        <v>46.8</v>
      </c>
      <c r="AB12" s="5">
        <f t="shared" si="1"/>
        <v>8.3571428572500004</v>
      </c>
      <c r="AC12" s="5">
        <f t="shared" si="1"/>
        <v>0</v>
      </c>
    </row>
    <row r="13" spans="2:30" x14ac:dyDescent="0.25">
      <c r="B13" s="4" t="s">
        <v>22</v>
      </c>
      <c r="C13" s="5"/>
      <c r="D13" s="5"/>
      <c r="E13" s="5"/>
      <c r="F13" s="5"/>
      <c r="G13" s="5"/>
      <c r="H13" s="5"/>
      <c r="I13" s="5">
        <v>27.867857142999998</v>
      </c>
      <c r="J13" s="5">
        <v>156.06</v>
      </c>
      <c r="K13" s="5">
        <v>11.147142857</v>
      </c>
      <c r="L13" s="5"/>
      <c r="M13" s="5">
        <v>195.07500000000002</v>
      </c>
      <c r="Q13" s="4" t="s">
        <v>22</v>
      </c>
      <c r="R13" s="5">
        <f t="shared" si="2"/>
        <v>0</v>
      </c>
      <c r="S13" s="5">
        <f t="shared" si="0"/>
        <v>0</v>
      </c>
      <c r="T13" s="5">
        <f t="shared" si="0"/>
        <v>0</v>
      </c>
      <c r="U13" s="5">
        <f t="shared" si="0"/>
        <v>0</v>
      </c>
      <c r="V13" s="5">
        <f t="shared" si="0"/>
        <v>0</v>
      </c>
      <c r="W13" s="5">
        <f t="shared" si="0"/>
        <v>0</v>
      </c>
      <c r="X13" s="5">
        <v>0</v>
      </c>
      <c r="Y13" s="5">
        <v>0</v>
      </c>
      <c r="Z13" s="5">
        <f t="shared" si="1"/>
        <v>6.9669642857499996</v>
      </c>
      <c r="AA13" s="5">
        <f t="shared" si="1"/>
        <v>39.015000000000001</v>
      </c>
      <c r="AB13" s="5">
        <f t="shared" si="1"/>
        <v>2.7867857142500001</v>
      </c>
      <c r="AC13" s="5">
        <f t="shared" si="1"/>
        <v>0</v>
      </c>
    </row>
    <row r="14" spans="2:30" x14ac:dyDescent="0.25">
      <c r="B14" s="6" t="s">
        <v>23</v>
      </c>
      <c r="C14" s="7"/>
      <c r="D14" s="7"/>
      <c r="E14" s="7"/>
      <c r="F14" s="7"/>
      <c r="G14" s="7"/>
      <c r="H14" s="7"/>
      <c r="I14" s="7">
        <v>27.867857142999998</v>
      </c>
      <c r="J14" s="7">
        <v>156.06</v>
      </c>
      <c r="K14" s="7">
        <v>11.147142857</v>
      </c>
      <c r="L14" s="7"/>
      <c r="M14" s="7">
        <v>195.07500000000002</v>
      </c>
      <c r="Q14" s="6" t="s">
        <v>23</v>
      </c>
      <c r="R14" s="5">
        <f t="shared" si="2"/>
        <v>0</v>
      </c>
      <c r="S14" s="5">
        <f t="shared" si="0"/>
        <v>0</v>
      </c>
      <c r="T14" s="5">
        <f t="shared" si="0"/>
        <v>0</v>
      </c>
      <c r="U14" s="5">
        <f t="shared" si="0"/>
        <v>0</v>
      </c>
      <c r="V14" s="5">
        <f t="shared" si="0"/>
        <v>0</v>
      </c>
      <c r="W14" s="5">
        <f t="shared" si="0"/>
        <v>0</v>
      </c>
      <c r="X14" s="5">
        <v>0</v>
      </c>
      <c r="Y14" s="5">
        <v>0</v>
      </c>
      <c r="Z14" s="5">
        <f t="shared" si="1"/>
        <v>6.9669642857499996</v>
      </c>
      <c r="AA14" s="5">
        <f t="shared" si="1"/>
        <v>39.015000000000001</v>
      </c>
      <c r="AB14" s="5">
        <f t="shared" si="1"/>
        <v>2.7867857142500001</v>
      </c>
      <c r="AC14" s="5">
        <f t="shared" si="1"/>
        <v>0</v>
      </c>
    </row>
    <row r="15" spans="2:30" x14ac:dyDescent="0.25">
      <c r="B15" s="4" t="s">
        <v>24</v>
      </c>
      <c r="C15" s="5"/>
      <c r="D15" s="5"/>
      <c r="E15" s="5"/>
      <c r="F15" s="5"/>
      <c r="G15" s="5"/>
      <c r="H15" s="5"/>
      <c r="I15" s="5"/>
      <c r="J15" s="5">
        <v>115.328571428</v>
      </c>
      <c r="K15" s="5">
        <v>76.885714284999992</v>
      </c>
      <c r="L15" s="5"/>
      <c r="M15" s="5">
        <v>192.21428571299998</v>
      </c>
      <c r="Q15" s="4" t="s">
        <v>24</v>
      </c>
      <c r="R15" s="5">
        <f t="shared" si="2"/>
        <v>0</v>
      </c>
      <c r="S15" s="5">
        <f t="shared" si="0"/>
        <v>0</v>
      </c>
      <c r="T15" s="5">
        <f t="shared" si="0"/>
        <v>0</v>
      </c>
      <c r="U15" s="5">
        <f t="shared" si="0"/>
        <v>0</v>
      </c>
      <c r="V15" s="5">
        <f t="shared" si="0"/>
        <v>0</v>
      </c>
      <c r="W15" s="5">
        <f t="shared" si="0"/>
        <v>0</v>
      </c>
      <c r="X15" s="5">
        <v>0</v>
      </c>
      <c r="Y15" s="5">
        <v>0</v>
      </c>
      <c r="Z15" s="5">
        <f t="shared" si="1"/>
        <v>0</v>
      </c>
      <c r="AA15" s="5">
        <f t="shared" si="1"/>
        <v>28.832142857000001</v>
      </c>
      <c r="AB15" s="5">
        <f t="shared" si="1"/>
        <v>19.221428571249998</v>
      </c>
      <c r="AC15" s="5">
        <f t="shared" si="1"/>
        <v>0</v>
      </c>
    </row>
    <row r="16" spans="2:30" x14ac:dyDescent="0.25">
      <c r="B16" s="6" t="s">
        <v>25</v>
      </c>
      <c r="C16" s="7"/>
      <c r="D16" s="7"/>
      <c r="E16" s="7"/>
      <c r="F16" s="7"/>
      <c r="G16" s="7"/>
      <c r="H16" s="7"/>
      <c r="I16" s="7"/>
      <c r="J16" s="7">
        <v>115.328571428</v>
      </c>
      <c r="K16" s="7">
        <v>76.885714284999992</v>
      </c>
      <c r="L16" s="7"/>
      <c r="M16" s="7">
        <v>192.21428571299998</v>
      </c>
      <c r="Q16" s="6" t="s">
        <v>25</v>
      </c>
      <c r="R16" s="5">
        <f t="shared" si="2"/>
        <v>0</v>
      </c>
      <c r="S16" s="5">
        <f t="shared" si="0"/>
        <v>0</v>
      </c>
      <c r="T16" s="5">
        <f t="shared" si="0"/>
        <v>0</v>
      </c>
      <c r="U16" s="5">
        <f t="shared" si="0"/>
        <v>0</v>
      </c>
      <c r="V16" s="5">
        <f t="shared" si="0"/>
        <v>0</v>
      </c>
      <c r="W16" s="5">
        <f t="shared" si="0"/>
        <v>0</v>
      </c>
      <c r="X16" s="5">
        <v>0</v>
      </c>
      <c r="Y16" s="5">
        <v>0</v>
      </c>
      <c r="Z16" s="5">
        <f t="shared" si="1"/>
        <v>0</v>
      </c>
      <c r="AA16" s="5">
        <f t="shared" si="1"/>
        <v>28.832142857000001</v>
      </c>
      <c r="AB16" s="5">
        <f t="shared" si="1"/>
        <v>19.221428571249998</v>
      </c>
      <c r="AC16" s="5">
        <f t="shared" si="1"/>
        <v>0</v>
      </c>
    </row>
    <row r="17" spans="2:29" x14ac:dyDescent="0.25">
      <c r="B17" s="4" t="s">
        <v>26</v>
      </c>
      <c r="C17" s="5">
        <v>433.67857142900004</v>
      </c>
      <c r="D17" s="5">
        <v>413.73571428499997</v>
      </c>
      <c r="E17" s="5"/>
      <c r="F17" s="5"/>
      <c r="G17" s="5"/>
      <c r="H17" s="5"/>
      <c r="I17" s="5"/>
      <c r="J17" s="5"/>
      <c r="K17" s="5"/>
      <c r="L17" s="5">
        <v>18.228571428999999</v>
      </c>
      <c r="M17" s="5">
        <v>865.64285714300013</v>
      </c>
      <c r="Q17" s="4" t="s">
        <v>26</v>
      </c>
      <c r="R17" s="5">
        <f t="shared" si="2"/>
        <v>108.41964285725001</v>
      </c>
      <c r="S17" s="5">
        <f t="shared" si="0"/>
        <v>103.43392857124999</v>
      </c>
      <c r="T17" s="5">
        <f t="shared" si="0"/>
        <v>0</v>
      </c>
      <c r="U17" s="5">
        <f t="shared" si="0"/>
        <v>0</v>
      </c>
      <c r="V17" s="5">
        <f t="shared" si="0"/>
        <v>0</v>
      </c>
      <c r="W17" s="5">
        <f t="shared" si="0"/>
        <v>0</v>
      </c>
      <c r="X17" s="5">
        <v>0</v>
      </c>
      <c r="Y17" s="5">
        <v>0</v>
      </c>
      <c r="Z17" s="5">
        <f t="shared" si="1"/>
        <v>0</v>
      </c>
      <c r="AA17" s="5">
        <f t="shared" si="1"/>
        <v>0</v>
      </c>
      <c r="AB17" s="5">
        <f t="shared" si="1"/>
        <v>0</v>
      </c>
      <c r="AC17" s="5">
        <f t="shared" si="1"/>
        <v>4.5571428572499997</v>
      </c>
    </row>
    <row r="18" spans="2:29" x14ac:dyDescent="0.25">
      <c r="B18" s="6" t="s">
        <v>27</v>
      </c>
      <c r="C18" s="7">
        <v>255.2</v>
      </c>
      <c r="D18" s="7">
        <v>45.571428570999998</v>
      </c>
      <c r="E18" s="7"/>
      <c r="F18" s="7"/>
      <c r="G18" s="7"/>
      <c r="H18" s="7"/>
      <c r="I18" s="7"/>
      <c r="J18" s="7"/>
      <c r="K18" s="7"/>
      <c r="L18" s="7">
        <v>18.228571428999999</v>
      </c>
      <c r="M18" s="7">
        <v>319</v>
      </c>
      <c r="Q18" s="6" t="s">
        <v>27</v>
      </c>
      <c r="R18" s="5">
        <f t="shared" si="2"/>
        <v>63.8</v>
      </c>
      <c r="S18" s="5">
        <f t="shared" si="0"/>
        <v>11.39285714275</v>
      </c>
      <c r="T18" s="5">
        <f t="shared" si="0"/>
        <v>0</v>
      </c>
      <c r="U18" s="5">
        <f t="shared" si="0"/>
        <v>0</v>
      </c>
      <c r="V18" s="5">
        <f t="shared" si="0"/>
        <v>0</v>
      </c>
      <c r="W18" s="5">
        <f t="shared" si="0"/>
        <v>0</v>
      </c>
      <c r="X18" s="5">
        <v>0</v>
      </c>
      <c r="Y18" s="5">
        <v>0</v>
      </c>
      <c r="Z18" s="5">
        <f t="shared" si="1"/>
        <v>0</v>
      </c>
      <c r="AA18" s="5">
        <f t="shared" si="1"/>
        <v>0</v>
      </c>
      <c r="AB18" s="5">
        <f t="shared" si="1"/>
        <v>0</v>
      </c>
      <c r="AC18" s="5">
        <f t="shared" si="1"/>
        <v>4.5571428572499997</v>
      </c>
    </row>
    <row r="19" spans="2:29" x14ac:dyDescent="0.25">
      <c r="B19" s="6" t="s">
        <v>28</v>
      </c>
      <c r="C19" s="7">
        <v>159.19285714300003</v>
      </c>
      <c r="D19" s="7">
        <v>117.664285714</v>
      </c>
      <c r="E19" s="7"/>
      <c r="F19" s="7"/>
      <c r="G19" s="7"/>
      <c r="H19" s="7"/>
      <c r="I19" s="7"/>
      <c r="J19" s="7"/>
      <c r="K19" s="7"/>
      <c r="L19" s="7"/>
      <c r="M19" s="7">
        <v>276.85714285700004</v>
      </c>
      <c r="Q19" s="6" t="s">
        <v>28</v>
      </c>
      <c r="R19" s="5">
        <f t="shared" si="2"/>
        <v>39.798214285750007</v>
      </c>
      <c r="S19" s="5">
        <f t="shared" si="0"/>
        <v>29.4160714285</v>
      </c>
      <c r="T19" s="5">
        <f t="shared" si="0"/>
        <v>0</v>
      </c>
      <c r="U19" s="5">
        <f t="shared" si="0"/>
        <v>0</v>
      </c>
      <c r="V19" s="5">
        <f t="shared" si="0"/>
        <v>0</v>
      </c>
      <c r="W19" s="5">
        <f t="shared" si="0"/>
        <v>0</v>
      </c>
      <c r="X19" s="5">
        <v>0</v>
      </c>
      <c r="Y19" s="5">
        <v>0</v>
      </c>
      <c r="Z19" s="5">
        <f t="shared" si="1"/>
        <v>0</v>
      </c>
      <c r="AA19" s="5">
        <f t="shared" si="1"/>
        <v>0</v>
      </c>
      <c r="AB19" s="5">
        <f t="shared" si="1"/>
        <v>0</v>
      </c>
      <c r="AC19" s="5">
        <f t="shared" si="1"/>
        <v>0</v>
      </c>
    </row>
    <row r="20" spans="2:29" x14ac:dyDescent="0.25">
      <c r="B20" s="6" t="s">
        <v>29</v>
      </c>
      <c r="C20" s="7">
        <v>19.285714286000001</v>
      </c>
      <c r="D20" s="7">
        <v>250.5</v>
      </c>
      <c r="E20" s="7"/>
      <c r="F20" s="7"/>
      <c r="G20" s="7"/>
      <c r="H20" s="7"/>
      <c r="I20" s="7"/>
      <c r="J20" s="7"/>
      <c r="K20" s="7"/>
      <c r="L20" s="7"/>
      <c r="M20" s="7">
        <v>269.78571428600003</v>
      </c>
      <c r="Q20" s="6" t="s">
        <v>29</v>
      </c>
      <c r="R20" s="5">
        <f t="shared" si="2"/>
        <v>4.8214285715000003</v>
      </c>
      <c r="S20" s="5">
        <f t="shared" si="0"/>
        <v>62.625</v>
      </c>
      <c r="T20" s="5">
        <f t="shared" si="0"/>
        <v>0</v>
      </c>
      <c r="U20" s="5">
        <f t="shared" si="0"/>
        <v>0</v>
      </c>
      <c r="V20" s="5">
        <f t="shared" si="0"/>
        <v>0</v>
      </c>
      <c r="W20" s="5">
        <f t="shared" si="0"/>
        <v>0</v>
      </c>
      <c r="X20" s="5">
        <v>0</v>
      </c>
      <c r="Y20" s="5">
        <v>0</v>
      </c>
      <c r="Z20" s="5">
        <f t="shared" si="1"/>
        <v>0</v>
      </c>
      <c r="AA20" s="5">
        <f t="shared" si="1"/>
        <v>0</v>
      </c>
      <c r="AB20" s="5">
        <f t="shared" si="1"/>
        <v>0</v>
      </c>
      <c r="AC20" s="5">
        <f t="shared" si="1"/>
        <v>0</v>
      </c>
    </row>
    <row r="21" spans="2:29" x14ac:dyDescent="0.25">
      <c r="B21" s="4" t="s">
        <v>30</v>
      </c>
      <c r="C21" s="5">
        <v>155.81428571399999</v>
      </c>
      <c r="D21" s="5">
        <v>155.81428571399999</v>
      </c>
      <c r="E21" s="5"/>
      <c r="F21" s="5"/>
      <c r="G21" s="5"/>
      <c r="H21" s="5"/>
      <c r="I21" s="5">
        <v>91.142857143000001</v>
      </c>
      <c r="J21" s="5">
        <v>68.357142856999999</v>
      </c>
      <c r="K21" s="5"/>
      <c r="L21" s="5"/>
      <c r="M21" s="5">
        <v>471.12857142799999</v>
      </c>
      <c r="Q21" s="4" t="s">
        <v>30</v>
      </c>
      <c r="R21" s="5">
        <f t="shared" si="2"/>
        <v>38.953571428499998</v>
      </c>
      <c r="S21" s="5">
        <f t="shared" si="2"/>
        <v>38.953571428499998</v>
      </c>
      <c r="T21" s="5">
        <f t="shared" si="2"/>
        <v>0</v>
      </c>
      <c r="U21" s="5">
        <f t="shared" si="2"/>
        <v>0</v>
      </c>
      <c r="V21" s="5">
        <f t="shared" si="2"/>
        <v>0</v>
      </c>
      <c r="W21" s="5">
        <f t="shared" si="2"/>
        <v>0</v>
      </c>
      <c r="X21" s="5">
        <v>0</v>
      </c>
      <c r="Y21" s="5">
        <v>0</v>
      </c>
      <c r="Z21" s="5">
        <f t="shared" ref="Z21:AC33" si="3">I21/4</f>
        <v>22.78571428575</v>
      </c>
      <c r="AA21" s="5">
        <f t="shared" si="3"/>
        <v>17.08928571425</v>
      </c>
      <c r="AB21" s="5">
        <f t="shared" si="3"/>
        <v>0</v>
      </c>
      <c r="AC21" s="5">
        <f t="shared" si="3"/>
        <v>0</v>
      </c>
    </row>
    <row r="22" spans="2:29" x14ac:dyDescent="0.25">
      <c r="B22" s="6" t="s">
        <v>31</v>
      </c>
      <c r="C22" s="7"/>
      <c r="D22" s="7"/>
      <c r="E22" s="7"/>
      <c r="F22" s="7"/>
      <c r="G22" s="7"/>
      <c r="H22" s="7"/>
      <c r="I22" s="7">
        <v>91.142857143000001</v>
      </c>
      <c r="J22" s="7">
        <v>68.357142856999999</v>
      </c>
      <c r="K22" s="7"/>
      <c r="L22" s="7"/>
      <c r="M22" s="7">
        <v>159.5</v>
      </c>
      <c r="Q22" s="6" t="s">
        <v>31</v>
      </c>
      <c r="R22" s="5">
        <f t="shared" si="2"/>
        <v>0</v>
      </c>
      <c r="S22" s="5">
        <f t="shared" si="2"/>
        <v>0</v>
      </c>
      <c r="T22" s="5">
        <f t="shared" si="2"/>
        <v>0</v>
      </c>
      <c r="U22" s="5">
        <f t="shared" si="2"/>
        <v>0</v>
      </c>
      <c r="V22" s="5">
        <f t="shared" si="2"/>
        <v>0</v>
      </c>
      <c r="W22" s="5">
        <f t="shared" si="2"/>
        <v>0</v>
      </c>
      <c r="X22" s="5">
        <v>0</v>
      </c>
      <c r="Y22" s="5">
        <v>0</v>
      </c>
      <c r="Z22" s="5">
        <f t="shared" si="3"/>
        <v>22.78571428575</v>
      </c>
      <c r="AA22" s="5">
        <f t="shared" si="3"/>
        <v>17.08928571425</v>
      </c>
      <c r="AB22" s="5">
        <f t="shared" si="3"/>
        <v>0</v>
      </c>
      <c r="AC22" s="5">
        <f t="shared" si="3"/>
        <v>0</v>
      </c>
    </row>
    <row r="23" spans="2:29" x14ac:dyDescent="0.25">
      <c r="B23" s="6" t="s">
        <v>32</v>
      </c>
      <c r="C23" s="7">
        <v>155.81428571399999</v>
      </c>
      <c r="D23" s="7">
        <v>155.81428571399999</v>
      </c>
      <c r="E23" s="7"/>
      <c r="F23" s="7"/>
      <c r="G23" s="7"/>
      <c r="H23" s="7"/>
      <c r="I23" s="7"/>
      <c r="J23" s="7"/>
      <c r="K23" s="7"/>
      <c r="L23" s="7"/>
      <c r="M23" s="7">
        <v>311.62857142799999</v>
      </c>
      <c r="Q23" s="6" t="s">
        <v>32</v>
      </c>
      <c r="R23" s="5">
        <f t="shared" si="2"/>
        <v>38.953571428499998</v>
      </c>
      <c r="S23" s="5">
        <f t="shared" si="2"/>
        <v>38.953571428499998</v>
      </c>
      <c r="T23" s="5">
        <f t="shared" si="2"/>
        <v>0</v>
      </c>
      <c r="U23" s="5">
        <f t="shared" si="2"/>
        <v>0</v>
      </c>
      <c r="V23" s="5">
        <f t="shared" si="2"/>
        <v>0</v>
      </c>
      <c r="W23" s="5">
        <f t="shared" si="2"/>
        <v>0</v>
      </c>
      <c r="X23" s="5">
        <v>0</v>
      </c>
      <c r="Y23" s="5">
        <v>0</v>
      </c>
      <c r="Z23" s="5">
        <f t="shared" si="3"/>
        <v>0</v>
      </c>
      <c r="AA23" s="5">
        <f t="shared" si="3"/>
        <v>0</v>
      </c>
      <c r="AB23" s="5">
        <f t="shared" si="3"/>
        <v>0</v>
      </c>
      <c r="AC23" s="5">
        <f t="shared" si="3"/>
        <v>0</v>
      </c>
    </row>
    <row r="24" spans="2:29" x14ac:dyDescent="0.25">
      <c r="B24" s="4" t="s">
        <v>33</v>
      </c>
      <c r="C24" s="5">
        <v>160.82857142799998</v>
      </c>
      <c r="D24" s="5">
        <v>49.485714285</v>
      </c>
      <c r="E24" s="5"/>
      <c r="F24" s="5"/>
      <c r="G24" s="5"/>
      <c r="H24" s="5"/>
      <c r="I24" s="5"/>
      <c r="J24" s="5"/>
      <c r="K24" s="5"/>
      <c r="L24" s="5"/>
      <c r="M24" s="5">
        <v>210.31428571299998</v>
      </c>
      <c r="Q24" s="4" t="s">
        <v>33</v>
      </c>
      <c r="R24" s="5">
        <f t="shared" si="2"/>
        <v>40.207142856999994</v>
      </c>
      <c r="S24" s="5">
        <f t="shared" si="2"/>
        <v>12.37142857125</v>
      </c>
      <c r="T24" s="5">
        <f t="shared" si="2"/>
        <v>0</v>
      </c>
      <c r="U24" s="5">
        <f t="shared" si="2"/>
        <v>0</v>
      </c>
      <c r="V24" s="5">
        <f t="shared" si="2"/>
        <v>0</v>
      </c>
      <c r="W24" s="5">
        <f t="shared" si="2"/>
        <v>0</v>
      </c>
      <c r="X24" s="5">
        <v>0</v>
      </c>
      <c r="Y24" s="5">
        <v>0</v>
      </c>
      <c r="Z24" s="5">
        <f t="shared" si="3"/>
        <v>0</v>
      </c>
      <c r="AA24" s="5">
        <f t="shared" si="3"/>
        <v>0</v>
      </c>
      <c r="AB24" s="5">
        <f t="shared" si="3"/>
        <v>0</v>
      </c>
      <c r="AC24" s="5">
        <f t="shared" si="3"/>
        <v>0</v>
      </c>
    </row>
    <row r="25" spans="2:29" x14ac:dyDescent="0.25">
      <c r="B25" s="6" t="s">
        <v>34</v>
      </c>
      <c r="C25" s="7">
        <v>160.82857142799998</v>
      </c>
      <c r="D25" s="7">
        <v>49.485714285</v>
      </c>
      <c r="E25" s="7"/>
      <c r="F25" s="7"/>
      <c r="G25" s="7"/>
      <c r="H25" s="7"/>
      <c r="I25" s="7"/>
      <c r="J25" s="7"/>
      <c r="K25" s="7"/>
      <c r="L25" s="7"/>
      <c r="M25" s="7">
        <v>210.31428571299998</v>
      </c>
      <c r="Q25" s="6" t="s">
        <v>34</v>
      </c>
      <c r="R25" s="5">
        <f t="shared" si="2"/>
        <v>40.207142856999994</v>
      </c>
      <c r="S25" s="5">
        <f>D25/4</f>
        <v>12.37142857125</v>
      </c>
      <c r="T25" s="5">
        <f t="shared" si="2"/>
        <v>0</v>
      </c>
      <c r="U25" s="5">
        <f t="shared" si="2"/>
        <v>0</v>
      </c>
      <c r="V25" s="5">
        <f t="shared" si="2"/>
        <v>0</v>
      </c>
      <c r="W25" s="5">
        <f t="shared" si="2"/>
        <v>0</v>
      </c>
      <c r="X25" s="5">
        <v>0</v>
      </c>
      <c r="Y25" s="5">
        <v>0</v>
      </c>
      <c r="Z25" s="5">
        <f t="shared" si="3"/>
        <v>0</v>
      </c>
      <c r="AA25" s="5">
        <f t="shared" si="3"/>
        <v>0</v>
      </c>
      <c r="AB25" s="5">
        <f t="shared" si="3"/>
        <v>0</v>
      </c>
      <c r="AC25" s="5">
        <f t="shared" si="3"/>
        <v>0</v>
      </c>
    </row>
    <row r="26" spans="2:29" x14ac:dyDescent="0.25">
      <c r="B26" s="4" t="s">
        <v>35</v>
      </c>
      <c r="C26" s="5"/>
      <c r="D26" s="5">
        <v>9</v>
      </c>
      <c r="E26" s="5">
        <v>157.5</v>
      </c>
      <c r="F26" s="5">
        <v>22.5</v>
      </c>
      <c r="G26" s="5"/>
      <c r="H26" s="5"/>
      <c r="I26" s="5">
        <v>76.56</v>
      </c>
      <c r="J26" s="5">
        <v>107.184</v>
      </c>
      <c r="K26" s="5">
        <v>45.936</v>
      </c>
      <c r="L26" s="5"/>
      <c r="M26" s="5">
        <v>418.68</v>
      </c>
      <c r="Q26" s="4" t="s">
        <v>35</v>
      </c>
      <c r="R26" s="5">
        <f t="shared" si="2"/>
        <v>0</v>
      </c>
      <c r="S26" s="5">
        <f t="shared" si="2"/>
        <v>2.25</v>
      </c>
      <c r="T26" s="5">
        <f t="shared" si="2"/>
        <v>39.375</v>
      </c>
      <c r="U26" s="5">
        <f t="shared" si="2"/>
        <v>5.625</v>
      </c>
      <c r="V26" s="5">
        <f t="shared" si="2"/>
        <v>0</v>
      </c>
      <c r="W26" s="5">
        <f t="shared" si="2"/>
        <v>0</v>
      </c>
      <c r="X26" s="5">
        <v>0</v>
      </c>
      <c r="Y26" s="5">
        <v>0</v>
      </c>
      <c r="Z26" s="5">
        <f t="shared" si="3"/>
        <v>19.14</v>
      </c>
      <c r="AA26" s="5">
        <f t="shared" si="3"/>
        <v>26.795999999999999</v>
      </c>
      <c r="AB26" s="5">
        <f t="shared" si="3"/>
        <v>11.484</v>
      </c>
      <c r="AC26" s="5">
        <f t="shared" si="3"/>
        <v>0</v>
      </c>
    </row>
    <row r="27" spans="2:29" x14ac:dyDescent="0.25">
      <c r="B27" s="6" t="s">
        <v>36</v>
      </c>
      <c r="C27" s="7"/>
      <c r="D27" s="7"/>
      <c r="E27" s="7"/>
      <c r="F27" s="7"/>
      <c r="G27" s="7"/>
      <c r="H27" s="7"/>
      <c r="I27" s="7">
        <v>76.56</v>
      </c>
      <c r="J27" s="7">
        <v>107.184</v>
      </c>
      <c r="K27" s="7">
        <v>45.936</v>
      </c>
      <c r="L27" s="7"/>
      <c r="M27" s="7">
        <v>229.68</v>
      </c>
      <c r="Q27" s="6" t="s">
        <v>36</v>
      </c>
      <c r="R27" s="5">
        <f t="shared" si="2"/>
        <v>0</v>
      </c>
      <c r="S27" s="5">
        <f t="shared" si="2"/>
        <v>0</v>
      </c>
      <c r="T27" s="5">
        <f t="shared" si="2"/>
        <v>0</v>
      </c>
      <c r="U27" s="5">
        <f t="shared" si="2"/>
        <v>0</v>
      </c>
      <c r="V27" s="5">
        <f t="shared" si="2"/>
        <v>0</v>
      </c>
      <c r="W27" s="5">
        <f t="shared" si="2"/>
        <v>0</v>
      </c>
      <c r="X27" s="5">
        <v>0</v>
      </c>
      <c r="Y27" s="5">
        <v>0</v>
      </c>
      <c r="Z27" s="5">
        <f t="shared" si="3"/>
        <v>19.14</v>
      </c>
      <c r="AA27" s="5">
        <f t="shared" si="3"/>
        <v>26.795999999999999</v>
      </c>
      <c r="AB27" s="5">
        <f t="shared" si="3"/>
        <v>11.484</v>
      </c>
      <c r="AC27" s="5">
        <f t="shared" si="3"/>
        <v>0</v>
      </c>
    </row>
    <row r="28" spans="2:29" x14ac:dyDescent="0.25">
      <c r="B28" s="6" t="s">
        <v>37</v>
      </c>
      <c r="C28" s="7"/>
      <c r="D28" s="7">
        <v>9</v>
      </c>
      <c r="E28" s="7">
        <v>157.5</v>
      </c>
      <c r="F28" s="7">
        <v>22.5</v>
      </c>
      <c r="G28" s="7"/>
      <c r="H28" s="7"/>
      <c r="I28" s="7"/>
      <c r="J28" s="7"/>
      <c r="K28" s="7"/>
      <c r="L28" s="7"/>
      <c r="M28" s="7">
        <v>189</v>
      </c>
      <c r="Q28" s="6" t="s">
        <v>37</v>
      </c>
      <c r="R28" s="5">
        <f t="shared" si="2"/>
        <v>0</v>
      </c>
      <c r="S28" s="5">
        <f t="shared" si="2"/>
        <v>2.25</v>
      </c>
      <c r="T28" s="5">
        <f t="shared" si="2"/>
        <v>39.375</v>
      </c>
      <c r="U28" s="5">
        <f t="shared" si="2"/>
        <v>5.625</v>
      </c>
      <c r="V28" s="5">
        <f t="shared" si="2"/>
        <v>0</v>
      </c>
      <c r="W28" s="5">
        <f t="shared" si="2"/>
        <v>0</v>
      </c>
      <c r="X28" s="5">
        <v>0</v>
      </c>
      <c r="Y28" s="5">
        <v>0</v>
      </c>
      <c r="Z28" s="5">
        <f t="shared" si="3"/>
        <v>0</v>
      </c>
      <c r="AA28" s="5">
        <f t="shared" si="3"/>
        <v>0</v>
      </c>
      <c r="AB28" s="5">
        <f t="shared" si="3"/>
        <v>0</v>
      </c>
      <c r="AC28" s="5">
        <f t="shared" si="3"/>
        <v>0</v>
      </c>
    </row>
    <row r="29" spans="2:29" x14ac:dyDescent="0.25">
      <c r="B29" s="4" t="s">
        <v>38</v>
      </c>
      <c r="C29" s="5">
        <v>374.15999999999997</v>
      </c>
      <c r="D29" s="5">
        <v>319.51714285700001</v>
      </c>
      <c r="E29" s="5">
        <v>51.04</v>
      </c>
      <c r="F29" s="5"/>
      <c r="G29" s="5"/>
      <c r="H29" s="5"/>
      <c r="I29" s="5">
        <v>19.794285714000001</v>
      </c>
      <c r="J29" s="5">
        <v>277.11999999999995</v>
      </c>
      <c r="K29" s="5">
        <v>98.971428571000004</v>
      </c>
      <c r="L29" s="5">
        <v>26.725714285999999</v>
      </c>
      <c r="M29" s="5">
        <v>1167.328571428</v>
      </c>
      <c r="Q29" s="4" t="s">
        <v>38</v>
      </c>
      <c r="R29" s="5">
        <f t="shared" si="2"/>
        <v>93.539999999999992</v>
      </c>
      <c r="S29" s="5">
        <f t="shared" si="2"/>
        <v>79.879285714250003</v>
      </c>
      <c r="T29" s="5">
        <f t="shared" si="2"/>
        <v>12.76</v>
      </c>
      <c r="U29" s="5">
        <f t="shared" si="2"/>
        <v>0</v>
      </c>
      <c r="V29" s="5">
        <f t="shared" si="2"/>
        <v>0</v>
      </c>
      <c r="W29" s="5">
        <f t="shared" si="2"/>
        <v>0</v>
      </c>
      <c r="X29" s="5">
        <v>0</v>
      </c>
      <c r="Y29" s="5">
        <v>0</v>
      </c>
      <c r="Z29" s="5">
        <f t="shared" si="3"/>
        <v>4.9485714285000002</v>
      </c>
      <c r="AA29" s="5">
        <f t="shared" si="3"/>
        <v>69.279999999999987</v>
      </c>
      <c r="AB29" s="5">
        <f t="shared" si="3"/>
        <v>24.742857142750001</v>
      </c>
      <c r="AC29" s="5">
        <f t="shared" si="3"/>
        <v>6.6814285714999997</v>
      </c>
    </row>
    <row r="30" spans="2:29" x14ac:dyDescent="0.25">
      <c r="B30" s="6" t="s">
        <v>39</v>
      </c>
      <c r="C30" s="7"/>
      <c r="D30" s="7"/>
      <c r="E30" s="7"/>
      <c r="F30" s="7"/>
      <c r="G30" s="7"/>
      <c r="H30" s="7"/>
      <c r="I30" s="7">
        <v>19.794285714000001</v>
      </c>
      <c r="J30" s="7">
        <v>277.11999999999995</v>
      </c>
      <c r="K30" s="7">
        <v>98.971428571000004</v>
      </c>
      <c r="L30" s="7"/>
      <c r="M30" s="7">
        <v>395.88571428499995</v>
      </c>
      <c r="Q30" s="6" t="s">
        <v>39</v>
      </c>
      <c r="R30" s="5">
        <f t="shared" si="2"/>
        <v>0</v>
      </c>
      <c r="S30" s="5">
        <f t="shared" si="2"/>
        <v>0</v>
      </c>
      <c r="T30" s="5">
        <f t="shared" si="2"/>
        <v>0</v>
      </c>
      <c r="U30" s="5">
        <f t="shared" si="2"/>
        <v>0</v>
      </c>
      <c r="V30" s="5">
        <f t="shared" si="2"/>
        <v>0</v>
      </c>
      <c r="W30" s="5">
        <f t="shared" si="2"/>
        <v>0</v>
      </c>
      <c r="X30" s="5">
        <v>0</v>
      </c>
      <c r="Y30" s="5">
        <v>0</v>
      </c>
      <c r="Z30" s="5">
        <f t="shared" si="3"/>
        <v>4.9485714285000002</v>
      </c>
      <c r="AA30" s="5">
        <f t="shared" si="3"/>
        <v>69.279999999999987</v>
      </c>
      <c r="AB30" s="5">
        <f t="shared" si="3"/>
        <v>24.742857142750001</v>
      </c>
      <c r="AC30" s="5">
        <f t="shared" si="3"/>
        <v>0</v>
      </c>
    </row>
    <row r="31" spans="2:29" x14ac:dyDescent="0.25">
      <c r="B31" s="6" t="s">
        <v>40</v>
      </c>
      <c r="C31" s="7">
        <v>170</v>
      </c>
      <c r="D31" s="7">
        <v>115.357142857</v>
      </c>
      <c r="E31" s="7"/>
      <c r="F31" s="7"/>
      <c r="G31" s="7"/>
      <c r="H31" s="7"/>
      <c r="I31" s="7"/>
      <c r="J31" s="7"/>
      <c r="K31" s="7"/>
      <c r="L31" s="7">
        <v>12.142857143000001</v>
      </c>
      <c r="M31" s="7">
        <v>297.5</v>
      </c>
      <c r="Q31" s="6" t="s">
        <v>40</v>
      </c>
      <c r="R31" s="5">
        <f t="shared" si="2"/>
        <v>42.5</v>
      </c>
      <c r="S31" s="5">
        <f t="shared" si="2"/>
        <v>28.83928571425</v>
      </c>
      <c r="T31" s="5">
        <f t="shared" si="2"/>
        <v>0</v>
      </c>
      <c r="U31" s="5">
        <f t="shared" si="2"/>
        <v>0</v>
      </c>
      <c r="V31" s="5">
        <f t="shared" si="2"/>
        <v>0</v>
      </c>
      <c r="W31" s="5">
        <f t="shared" si="2"/>
        <v>0</v>
      </c>
      <c r="X31" s="5">
        <v>0</v>
      </c>
      <c r="Y31" s="5">
        <v>0</v>
      </c>
      <c r="Z31" s="5">
        <f t="shared" si="3"/>
        <v>0</v>
      </c>
      <c r="AA31" s="5">
        <f t="shared" si="3"/>
        <v>0</v>
      </c>
      <c r="AB31" s="5">
        <f t="shared" si="3"/>
        <v>0</v>
      </c>
      <c r="AC31" s="5">
        <f t="shared" si="3"/>
        <v>3.0357142857500001</v>
      </c>
    </row>
    <row r="32" spans="2:29" x14ac:dyDescent="0.25">
      <c r="B32" s="6" t="s">
        <v>41</v>
      </c>
      <c r="C32" s="7">
        <v>204.16</v>
      </c>
      <c r="D32" s="7">
        <v>204.16</v>
      </c>
      <c r="E32" s="7">
        <v>51.04</v>
      </c>
      <c r="F32" s="7"/>
      <c r="G32" s="7"/>
      <c r="H32" s="7"/>
      <c r="I32" s="7"/>
      <c r="J32" s="7"/>
      <c r="K32" s="7"/>
      <c r="L32" s="7">
        <v>14.582857143</v>
      </c>
      <c r="M32" s="7">
        <v>473.94285714300003</v>
      </c>
      <c r="Q32" s="6" t="s">
        <v>41</v>
      </c>
      <c r="R32" s="5">
        <f t="shared" si="2"/>
        <v>51.04</v>
      </c>
      <c r="S32" s="5">
        <f t="shared" si="2"/>
        <v>51.04</v>
      </c>
      <c r="T32" s="5">
        <f t="shared" si="2"/>
        <v>12.76</v>
      </c>
      <c r="U32" s="5">
        <f t="shared" si="2"/>
        <v>0</v>
      </c>
      <c r="V32" s="5">
        <f t="shared" si="2"/>
        <v>0</v>
      </c>
      <c r="W32" s="5">
        <f t="shared" si="2"/>
        <v>0</v>
      </c>
      <c r="X32" s="5">
        <v>0</v>
      </c>
      <c r="Y32" s="5">
        <v>0</v>
      </c>
      <c r="Z32" s="5">
        <f t="shared" si="3"/>
        <v>0</v>
      </c>
      <c r="AA32" s="5">
        <f t="shared" si="3"/>
        <v>0</v>
      </c>
      <c r="AB32" s="5">
        <f t="shared" si="3"/>
        <v>0</v>
      </c>
      <c r="AC32" s="5">
        <f t="shared" si="3"/>
        <v>3.64571428575</v>
      </c>
    </row>
    <row r="33" spans="2:30" x14ac:dyDescent="0.25">
      <c r="B33" s="4" t="s">
        <v>42</v>
      </c>
      <c r="C33" s="5"/>
      <c r="D33" s="5"/>
      <c r="E33" s="5"/>
      <c r="F33" s="5"/>
      <c r="G33" s="5"/>
      <c r="H33" s="5"/>
      <c r="I33" s="5">
        <v>3.2785714289999999</v>
      </c>
      <c r="J33" s="5">
        <v>45.9</v>
      </c>
      <c r="K33" s="5">
        <v>8.1964285710000002</v>
      </c>
      <c r="L33" s="5"/>
      <c r="M33" s="5">
        <v>57.375</v>
      </c>
      <c r="Q33" s="4" t="s">
        <v>42</v>
      </c>
      <c r="R33" s="5">
        <f t="shared" si="2"/>
        <v>0</v>
      </c>
      <c r="S33" s="5">
        <f t="shared" si="2"/>
        <v>0</v>
      </c>
      <c r="T33" s="5">
        <f t="shared" si="2"/>
        <v>0</v>
      </c>
      <c r="U33" s="5">
        <f t="shared" si="2"/>
        <v>0</v>
      </c>
      <c r="V33" s="5">
        <f t="shared" si="2"/>
        <v>0</v>
      </c>
      <c r="W33" s="5">
        <f t="shared" si="2"/>
        <v>0</v>
      </c>
      <c r="X33" s="5">
        <v>0</v>
      </c>
      <c r="Y33" s="5">
        <v>0</v>
      </c>
      <c r="Z33" s="5">
        <f t="shared" si="3"/>
        <v>0.81964285724999997</v>
      </c>
      <c r="AA33" s="5">
        <f t="shared" si="3"/>
        <v>11.475</v>
      </c>
      <c r="AB33" s="5">
        <f t="shared" si="3"/>
        <v>2.0491071427500001</v>
      </c>
      <c r="AC33" s="5">
        <f t="shared" si="3"/>
        <v>0</v>
      </c>
    </row>
    <row r="34" spans="2:30" ht="15.75" thickBot="1" x14ac:dyDescent="0.3">
      <c r="B34" s="6" t="s">
        <v>43</v>
      </c>
      <c r="C34" s="7"/>
      <c r="D34" s="7"/>
      <c r="E34" s="7"/>
      <c r="F34" s="7"/>
      <c r="G34" s="7"/>
      <c r="H34" s="7"/>
      <c r="I34" s="7">
        <v>3.2785714289999999</v>
      </c>
      <c r="J34" s="7">
        <v>45.9</v>
      </c>
      <c r="K34" s="7">
        <v>8.1964285710000002</v>
      </c>
      <c r="L34" s="7"/>
      <c r="M34" s="7">
        <v>57.375</v>
      </c>
      <c r="Q34" s="6" t="s">
        <v>43</v>
      </c>
      <c r="R34" s="7"/>
      <c r="S34" s="7"/>
      <c r="T34" s="7"/>
      <c r="U34" s="7"/>
      <c r="V34" s="7"/>
      <c r="W34" s="7"/>
      <c r="X34" s="5">
        <v>0</v>
      </c>
      <c r="Y34" s="5">
        <v>0</v>
      </c>
      <c r="Z34" s="7"/>
      <c r="AA34" s="7"/>
      <c r="AB34" s="7"/>
      <c r="AC34" s="7"/>
    </row>
    <row r="35" spans="2:30" x14ac:dyDescent="0.25">
      <c r="B35" s="8" t="s">
        <v>13</v>
      </c>
      <c r="C35" s="9">
        <v>1365.184285714</v>
      </c>
      <c r="D35" s="9">
        <v>1292.4985714270001</v>
      </c>
      <c r="E35" s="9">
        <v>600.68000000100005</v>
      </c>
      <c r="F35" s="9">
        <v>163.5</v>
      </c>
      <c r="G35" s="9">
        <v>86.4</v>
      </c>
      <c r="H35" s="9">
        <v>43.2</v>
      </c>
      <c r="I35" s="9">
        <v>399.157857143</v>
      </c>
      <c r="J35" s="9">
        <v>957.14971428499996</v>
      </c>
      <c r="K35" s="9">
        <v>274.56528571300004</v>
      </c>
      <c r="L35" s="9">
        <v>69.722857144000002</v>
      </c>
      <c r="M35" s="9">
        <v>5252.0585714270001</v>
      </c>
      <c r="O35" s="508" t="s">
        <v>51</v>
      </c>
      <c r="P35" s="497"/>
      <c r="Q35" s="8" t="s">
        <v>70</v>
      </c>
      <c r="R35" s="9">
        <v>347.18258064516135</v>
      </c>
      <c r="S35" s="9">
        <v>442.09321428571428</v>
      </c>
      <c r="T35" s="9">
        <v>732.17882258064503</v>
      </c>
      <c r="U35" s="9">
        <v>711.29816666633337</v>
      </c>
      <c r="V35" s="9">
        <v>257.03590322580641</v>
      </c>
      <c r="W35" s="9">
        <v>67.17583333333333</v>
      </c>
      <c r="X35" s="9">
        <v>46.325806451612905</v>
      </c>
      <c r="Y35" s="9">
        <v>89.735483870967741</v>
      </c>
      <c r="Z35" s="9">
        <v>381.66866666666664</v>
      </c>
      <c r="AA35" s="9">
        <v>515.25596774193548</v>
      </c>
      <c r="AB35" s="9">
        <v>124.00166666666667</v>
      </c>
      <c r="AC35" s="9">
        <v>96.526129032258069</v>
      </c>
      <c r="AD35" s="9">
        <f>AVERAGE(W35:AC35)</f>
        <v>188.66993625192009</v>
      </c>
    </row>
    <row r="36" spans="2:30" x14ac:dyDescent="0.25">
      <c r="O36" s="498"/>
      <c r="P36" s="499"/>
      <c r="Q36" s="6" t="s">
        <v>71</v>
      </c>
      <c r="R36" s="10"/>
      <c r="S36" s="10"/>
      <c r="T36" s="10"/>
      <c r="U36" s="10"/>
      <c r="V36" s="10"/>
      <c r="W36" s="10">
        <v>379</v>
      </c>
      <c r="X36" s="10">
        <v>417</v>
      </c>
      <c r="Y36" s="10">
        <v>327.39999999999998</v>
      </c>
      <c r="Z36" s="10">
        <v>654</v>
      </c>
      <c r="AA36" s="10">
        <v>824</v>
      </c>
      <c r="AB36" s="10">
        <v>518</v>
      </c>
      <c r="AC36" s="10">
        <v>77</v>
      </c>
      <c r="AD36" s="10">
        <f>AVERAGE(W36:AC36)</f>
        <v>456.62857142857143</v>
      </c>
    </row>
    <row r="37" spans="2:30" x14ac:dyDescent="0.25">
      <c r="O37" s="498"/>
      <c r="P37" s="499"/>
      <c r="Q37" s="6" t="s">
        <v>66</v>
      </c>
      <c r="R37" s="12" t="e">
        <f t="shared" ref="R37:W37" si="4">(R35-R36)/R36</f>
        <v>#DIV/0!</v>
      </c>
      <c r="S37" s="12" t="e">
        <f t="shared" si="4"/>
        <v>#DIV/0!</v>
      </c>
      <c r="T37" s="12" t="e">
        <f t="shared" si="4"/>
        <v>#DIV/0!</v>
      </c>
      <c r="U37" s="12" t="e">
        <f t="shared" si="4"/>
        <v>#DIV/0!</v>
      </c>
      <c r="V37" s="12" t="e">
        <f t="shared" si="4"/>
        <v>#DIV/0!</v>
      </c>
      <c r="W37" s="12">
        <f t="shared" si="4"/>
        <v>-0.82275505716798591</v>
      </c>
      <c r="X37" s="12">
        <f t="shared" ref="X37:AC37" si="5">(X35-X36)/X36</f>
        <v>-0.88890693896495709</v>
      </c>
      <c r="Y37" s="12">
        <f t="shared" si="5"/>
        <v>-0.72591483240388588</v>
      </c>
      <c r="Z37" s="12">
        <f t="shared" si="5"/>
        <v>-0.41640876656472992</v>
      </c>
      <c r="AA37" s="12">
        <f t="shared" si="5"/>
        <v>-0.37468935953648608</v>
      </c>
      <c r="AB37" s="12">
        <f t="shared" si="5"/>
        <v>-0.76061454311454313</v>
      </c>
      <c r="AC37" s="12">
        <f t="shared" si="5"/>
        <v>0.2535860913280269</v>
      </c>
      <c r="AD37" s="12">
        <f>(AD35-AD36)/AD36</f>
        <v>-0.58681968659634565</v>
      </c>
    </row>
    <row r="38" spans="2:30" x14ac:dyDescent="0.25">
      <c r="O38" s="498"/>
      <c r="P38" s="499"/>
      <c r="Q38" s="6" t="s">
        <v>44</v>
      </c>
      <c r="R38" s="10">
        <v>948.15033333300005</v>
      </c>
      <c r="S38" s="10">
        <v>1121.312133333</v>
      </c>
      <c r="T38" s="10">
        <v>1072.6636000000001</v>
      </c>
      <c r="U38" s="10">
        <v>895.09436666700003</v>
      </c>
      <c r="V38" s="10">
        <v>581.02816666700005</v>
      </c>
      <c r="W38" s="10">
        <v>434.438333333</v>
      </c>
      <c r="X38" s="10">
        <v>321.70083333299999</v>
      </c>
      <c r="Y38" s="10">
        <v>341.993833333</v>
      </c>
      <c r="Z38" s="10">
        <v>690.85276666699997</v>
      </c>
      <c r="AA38" s="10">
        <v>1141.7179666669999</v>
      </c>
      <c r="AB38" s="10">
        <v>496.24033333300002</v>
      </c>
      <c r="AC38" s="10">
        <v>82.506666667000005</v>
      </c>
      <c r="AD38" s="10">
        <f>AVERAGE(W38:AC38)</f>
        <v>501.3501047618571</v>
      </c>
    </row>
    <row r="39" spans="2:30" ht="15.75" thickBot="1" x14ac:dyDescent="0.3">
      <c r="O39" s="500"/>
      <c r="P39" s="501"/>
      <c r="Q39" s="6" t="s">
        <v>66</v>
      </c>
      <c r="R39" s="12">
        <f>(R35-R38)/R38</f>
        <v>-0.633831715879145</v>
      </c>
      <c r="S39" s="12">
        <f t="shared" ref="S39:AD39" si="6">(S35-S38)/S38</f>
        <v>-0.60573581508332408</v>
      </c>
      <c r="T39" s="12">
        <f t="shared" si="6"/>
        <v>-0.31741990445033746</v>
      </c>
      <c r="U39" s="12">
        <f t="shared" si="6"/>
        <v>-0.20533723241389135</v>
      </c>
      <c r="V39" s="12">
        <f t="shared" si="6"/>
        <v>-0.55761885916777021</v>
      </c>
      <c r="W39" s="12">
        <f t="shared" si="6"/>
        <v>-0.8453731446349082</v>
      </c>
      <c r="X39" s="12">
        <f t="shared" si="6"/>
        <v>-0.85599724448441206</v>
      </c>
      <c r="Y39" s="12">
        <f t="shared" si="6"/>
        <v>-0.7376108130476372</v>
      </c>
      <c r="Z39" s="12">
        <f t="shared" si="6"/>
        <v>-0.44753978693895002</v>
      </c>
      <c r="AA39" s="12">
        <f t="shared" si="6"/>
        <v>-0.5487011829671784</v>
      </c>
      <c r="AB39" s="12">
        <f t="shared" si="6"/>
        <v>-0.75011771849779119</v>
      </c>
      <c r="AC39" s="12">
        <f t="shared" si="6"/>
        <v>0.16991914631385049</v>
      </c>
      <c r="AD39" s="12">
        <f t="shared" si="6"/>
        <v>-0.62367628038785605</v>
      </c>
    </row>
    <row r="40" spans="2:30" x14ac:dyDescent="0.25">
      <c r="Q40" s="6" t="s">
        <v>47</v>
      </c>
      <c r="R40" s="10">
        <v>537.71717333300001</v>
      </c>
      <c r="S40" s="10">
        <v>707.75298666699996</v>
      </c>
      <c r="T40" s="10">
        <v>660.13367333300005</v>
      </c>
      <c r="U40" s="10">
        <v>645.67525000000001</v>
      </c>
      <c r="V40" s="10">
        <v>497.81152333300003</v>
      </c>
      <c r="W40" s="10">
        <v>342.58150000000001</v>
      </c>
      <c r="X40" s="10">
        <v>348.07770166699999</v>
      </c>
      <c r="Y40" s="10">
        <v>258.9008</v>
      </c>
      <c r="Z40" s="10">
        <v>337.78199999999998</v>
      </c>
      <c r="AA40" s="10">
        <v>870.255266667</v>
      </c>
      <c r="AB40" s="10">
        <v>488.59033333299999</v>
      </c>
      <c r="AC40" s="10">
        <v>623.91846666699996</v>
      </c>
      <c r="AD40" s="10">
        <f>AVERAGE(W40:AC40)</f>
        <v>467.15800976200001</v>
      </c>
    </row>
    <row r="41" spans="2:30" x14ac:dyDescent="0.25">
      <c r="Q41" s="6" t="s">
        <v>66</v>
      </c>
      <c r="R41" s="12">
        <f t="shared" ref="R41:AD41" si="7">(R35-R40)/R40</f>
        <v>-0.35433979448122166</v>
      </c>
      <c r="S41" s="12">
        <f t="shared" si="7"/>
        <v>-0.37535662496084871</v>
      </c>
      <c r="T41" s="12">
        <f t="shared" si="7"/>
        <v>0.1091372128979433</v>
      </c>
      <c r="U41" s="12">
        <f t="shared" si="7"/>
        <v>0.10163455493505964</v>
      </c>
      <c r="V41" s="12">
        <f t="shared" si="7"/>
        <v>-0.48366823350156174</v>
      </c>
      <c r="W41" s="12">
        <f t="shared" si="7"/>
        <v>-0.80391284020493414</v>
      </c>
      <c r="X41" s="12">
        <f t="shared" si="7"/>
        <v>-0.86690958303346877</v>
      </c>
      <c r="Y41" s="12">
        <f t="shared" si="7"/>
        <v>-0.65339819780020858</v>
      </c>
      <c r="Z41" s="12">
        <f t="shared" si="7"/>
        <v>0.12992600750385355</v>
      </c>
      <c r="AA41" s="12">
        <f t="shared" si="7"/>
        <v>-0.40792548177809962</v>
      </c>
      <c r="AB41" s="12">
        <f t="shared" si="7"/>
        <v>-0.74620523942672234</v>
      </c>
      <c r="AC41" s="12">
        <f t="shared" si="7"/>
        <v>-0.84529047593685613</v>
      </c>
      <c r="AD41" s="12">
        <f t="shared" si="7"/>
        <v>-0.59613250268781526</v>
      </c>
    </row>
    <row r="42" spans="2:30" x14ac:dyDescent="0.25">
      <c r="B42" s="8" t="s">
        <v>13</v>
      </c>
      <c r="C42" s="53">
        <v>169.66951612903227</v>
      </c>
      <c r="D42" s="53">
        <v>421.06446428571428</v>
      </c>
      <c r="E42" s="53">
        <v>381.88338709677419</v>
      </c>
      <c r="F42" s="53">
        <v>352.32352688172045</v>
      </c>
      <c r="G42" s="53">
        <v>53.719677419354831</v>
      </c>
      <c r="H42" s="53">
        <v>16.669999999999998</v>
      </c>
      <c r="I42" s="53"/>
      <c r="J42" s="53"/>
      <c r="K42" s="53">
        <v>53.958333333333336</v>
      </c>
      <c r="L42" s="53">
        <v>71.637096774193552</v>
      </c>
      <c r="M42" s="53">
        <v>15.25</v>
      </c>
      <c r="N42" s="53"/>
      <c r="O42" s="53">
        <v>1536.1760019201226</v>
      </c>
    </row>
    <row r="43" spans="2:30" x14ac:dyDescent="0.25">
      <c r="B43" s="4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</row>
    <row r="44" spans="2:30" x14ac:dyDescent="0.25">
      <c r="B44" s="6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</row>
    <row r="45" spans="2:30" x14ac:dyDescent="0.25">
      <c r="B45" s="4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W45" t="s">
        <v>8</v>
      </c>
    </row>
    <row r="46" spans="2:30" x14ac:dyDescent="0.25">
      <c r="B46" s="6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Q46" t="s">
        <v>105</v>
      </c>
      <c r="W46">
        <v>153</v>
      </c>
    </row>
    <row r="47" spans="2:30" x14ac:dyDescent="0.25">
      <c r="B47" s="6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</row>
    <row r="48" spans="2:30" x14ac:dyDescent="0.25">
      <c r="B48" s="4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</row>
    <row r="49" spans="2:15" x14ac:dyDescent="0.25">
      <c r="B49" s="6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</row>
    <row r="50" spans="2:15" x14ac:dyDescent="0.25">
      <c r="B50" s="4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</row>
    <row r="51" spans="2:15" x14ac:dyDescent="0.25">
      <c r="B51" s="6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</row>
    <row r="52" spans="2:15" x14ac:dyDescent="0.25">
      <c r="B52" s="4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</row>
    <row r="53" spans="2:15" x14ac:dyDescent="0.25">
      <c r="B53" s="6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</row>
    <row r="54" spans="2:15" x14ac:dyDescent="0.25">
      <c r="B54" s="6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</row>
    <row r="55" spans="2:15" x14ac:dyDescent="0.25">
      <c r="B55" s="4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</row>
    <row r="56" spans="2:15" x14ac:dyDescent="0.25">
      <c r="B56" s="6"/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</row>
    <row r="57" spans="2:15" x14ac:dyDescent="0.25">
      <c r="B57" s="4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</row>
    <row r="58" spans="2:15" x14ac:dyDescent="0.25">
      <c r="B58" s="6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</row>
    <row r="59" spans="2:15" x14ac:dyDescent="0.25">
      <c r="B59" s="6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</row>
    <row r="60" spans="2:15" x14ac:dyDescent="0.25">
      <c r="B60" s="4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</row>
    <row r="61" spans="2:15" x14ac:dyDescent="0.25">
      <c r="B61" s="6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</row>
    <row r="62" spans="2:15" x14ac:dyDescent="0.25">
      <c r="B62" s="4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</row>
    <row r="63" spans="2:15" x14ac:dyDescent="0.25">
      <c r="B63" s="6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</row>
    <row r="64" spans="2:15" x14ac:dyDescent="0.25">
      <c r="B64" s="4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</row>
    <row r="65" spans="2:15" x14ac:dyDescent="0.25">
      <c r="B65" s="6"/>
      <c r="C65" s="50"/>
      <c r="D65" s="50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</row>
    <row r="66" spans="2:15" x14ac:dyDescent="0.25">
      <c r="B66" s="4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</row>
    <row r="67" spans="2:15" x14ac:dyDescent="0.25">
      <c r="B67" s="6"/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</row>
    <row r="68" spans="2:15" x14ac:dyDescent="0.25">
      <c r="B68" s="6"/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</row>
    <row r="69" spans="2:15" x14ac:dyDescent="0.25">
      <c r="B69" s="4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</row>
    <row r="70" spans="2:15" x14ac:dyDescent="0.25">
      <c r="B70" s="6"/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</row>
    <row r="71" spans="2:15" x14ac:dyDescent="0.25">
      <c r="B71" s="6"/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</row>
    <row r="72" spans="2:15" x14ac:dyDescent="0.25">
      <c r="B72" s="6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</row>
    <row r="73" spans="2:15" x14ac:dyDescent="0.25">
      <c r="B73" s="4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</row>
    <row r="74" spans="2:15" x14ac:dyDescent="0.25">
      <c r="B74" s="6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</row>
    <row r="75" spans="2:15" x14ac:dyDescent="0.25">
      <c r="B75" s="4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</row>
    <row r="76" spans="2:15" x14ac:dyDescent="0.25">
      <c r="B76" s="6"/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</row>
    <row r="77" spans="2:15" x14ac:dyDescent="0.25">
      <c r="B77" s="6"/>
      <c r="C77" s="50"/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</row>
    <row r="78" spans="2:15" x14ac:dyDescent="0.25">
      <c r="B78" s="6"/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</row>
    <row r="79" spans="2:15" x14ac:dyDescent="0.25">
      <c r="B79" s="4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</row>
    <row r="80" spans="2:15" x14ac:dyDescent="0.25">
      <c r="B80" s="6"/>
      <c r="C80" s="50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</row>
    <row r="81" spans="2:15" x14ac:dyDescent="0.25">
      <c r="B81" s="4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</row>
    <row r="82" spans="2:15" x14ac:dyDescent="0.25">
      <c r="B82" s="6"/>
      <c r="C82" s="50"/>
      <c r="D82" s="50"/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</row>
    <row r="83" spans="2:15" x14ac:dyDescent="0.25">
      <c r="B83" s="6"/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</row>
    <row r="84" spans="2:15" x14ac:dyDescent="0.25">
      <c r="B84" s="6"/>
      <c r="C84" s="50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</row>
    <row r="85" spans="2:15" x14ac:dyDescent="0.25">
      <c r="B85" s="6"/>
      <c r="C85" s="50"/>
      <c r="D85" s="50"/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50"/>
    </row>
    <row r="86" spans="2:15" x14ac:dyDescent="0.25">
      <c r="B86" s="6"/>
      <c r="C86" s="50"/>
      <c r="D86" s="50"/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</row>
    <row r="87" spans="2:15" x14ac:dyDescent="0.25">
      <c r="B87" s="6"/>
      <c r="C87" s="50"/>
      <c r="D87" s="50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</row>
    <row r="88" spans="2:15" x14ac:dyDescent="0.25">
      <c r="B88" s="6"/>
      <c r="C88" s="50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</row>
    <row r="89" spans="2:15" x14ac:dyDescent="0.25">
      <c r="B89" s="4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</row>
    <row r="90" spans="2:15" x14ac:dyDescent="0.25">
      <c r="B90" s="6"/>
      <c r="C90" s="50"/>
      <c r="D90" s="50"/>
      <c r="E90" s="50"/>
      <c r="F90" s="50"/>
      <c r="G90" s="50"/>
      <c r="H90" s="50"/>
      <c r="I90" s="50"/>
      <c r="J90" s="50"/>
      <c r="K90" s="50"/>
      <c r="L90" s="50"/>
      <c r="M90" s="50"/>
      <c r="N90" s="50"/>
      <c r="O90" s="50"/>
    </row>
    <row r="91" spans="2:15" x14ac:dyDescent="0.25">
      <c r="B91" s="4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</row>
    <row r="92" spans="2:15" x14ac:dyDescent="0.25">
      <c r="B92" s="6"/>
      <c r="C92" s="50"/>
      <c r="D92" s="50"/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</row>
    <row r="93" spans="2:15" x14ac:dyDescent="0.25">
      <c r="B93" s="6"/>
      <c r="C93" s="50"/>
      <c r="D93" s="50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</row>
    <row r="94" spans="2:15" x14ac:dyDescent="0.25">
      <c r="B94" s="4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</row>
    <row r="95" spans="2:15" x14ac:dyDescent="0.25">
      <c r="B95" s="6"/>
      <c r="C95" s="50"/>
      <c r="D95" s="50"/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</row>
    <row r="96" spans="2:15" x14ac:dyDescent="0.25">
      <c r="B96" s="4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</row>
    <row r="97" spans="2:15" x14ac:dyDescent="0.25">
      <c r="B97" s="6"/>
      <c r="C97" s="50"/>
      <c r="D97" s="50"/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50"/>
    </row>
    <row r="98" spans="2:15" x14ac:dyDescent="0.25">
      <c r="B98" s="6"/>
      <c r="C98" s="50"/>
      <c r="D98" s="50"/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0"/>
    </row>
    <row r="99" spans="2:15" x14ac:dyDescent="0.25">
      <c r="B99" s="4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</row>
    <row r="100" spans="2:15" x14ac:dyDescent="0.25">
      <c r="B100" s="6"/>
      <c r="C100" s="50"/>
      <c r="D100" s="50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</row>
    <row r="101" spans="2:15" x14ac:dyDescent="0.25">
      <c r="B101" s="4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</row>
    <row r="102" spans="2:15" x14ac:dyDescent="0.25">
      <c r="B102" s="6"/>
      <c r="C102" s="50"/>
      <c r="D102" s="50"/>
      <c r="E102" s="50"/>
      <c r="F102" s="50"/>
      <c r="G102" s="50"/>
      <c r="H102" s="50"/>
      <c r="I102" s="50"/>
      <c r="J102" s="50"/>
      <c r="K102" s="50"/>
      <c r="L102" s="50"/>
      <c r="M102" s="50"/>
      <c r="N102" s="50"/>
      <c r="O102" s="50"/>
    </row>
    <row r="103" spans="2:15" x14ac:dyDescent="0.25">
      <c r="B103" s="6"/>
      <c r="C103" s="50"/>
      <c r="D103" s="50"/>
      <c r="E103" s="50"/>
      <c r="F103" s="50"/>
      <c r="G103" s="50"/>
      <c r="H103" s="50"/>
      <c r="I103" s="50"/>
      <c r="J103" s="50"/>
      <c r="K103" s="50"/>
      <c r="L103" s="50"/>
      <c r="M103" s="50"/>
      <c r="N103" s="50"/>
      <c r="O103" s="50"/>
    </row>
    <row r="104" spans="2:15" x14ac:dyDescent="0.25">
      <c r="B104" s="4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</row>
    <row r="105" spans="2:15" x14ac:dyDescent="0.25">
      <c r="B105" s="6"/>
      <c r="C105" s="50"/>
      <c r="D105" s="50"/>
      <c r="E105" s="50"/>
      <c r="F105" s="50"/>
      <c r="G105" s="50"/>
      <c r="H105" s="50"/>
      <c r="I105" s="50"/>
      <c r="J105" s="50"/>
      <c r="K105" s="50"/>
      <c r="L105" s="50"/>
      <c r="M105" s="50"/>
      <c r="N105" s="50"/>
      <c r="O105" s="50"/>
    </row>
    <row r="106" spans="2:15" x14ac:dyDescent="0.25">
      <c r="B106" s="6"/>
      <c r="C106" s="50"/>
      <c r="D106" s="50"/>
      <c r="E106" s="50"/>
      <c r="F106" s="50"/>
      <c r="G106" s="50"/>
      <c r="H106" s="50"/>
      <c r="I106" s="50"/>
      <c r="J106" s="50"/>
      <c r="K106" s="50"/>
      <c r="L106" s="50"/>
      <c r="M106" s="50"/>
      <c r="N106" s="50"/>
      <c r="O106" s="50"/>
    </row>
    <row r="107" spans="2:15" x14ac:dyDescent="0.25">
      <c r="B107" s="4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</row>
    <row r="108" spans="2:15" x14ac:dyDescent="0.25">
      <c r="B108" s="6"/>
      <c r="C108" s="50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</row>
    <row r="109" spans="2:15" x14ac:dyDescent="0.25">
      <c r="B109" s="4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</row>
    <row r="110" spans="2:15" x14ac:dyDescent="0.25">
      <c r="B110" s="6"/>
      <c r="C110" s="50"/>
      <c r="D110" s="50"/>
      <c r="E110" s="50"/>
      <c r="F110" s="50"/>
      <c r="G110" s="50"/>
      <c r="H110" s="50"/>
      <c r="I110" s="50"/>
      <c r="J110" s="50"/>
      <c r="K110" s="50"/>
      <c r="L110" s="50"/>
      <c r="M110" s="50"/>
      <c r="N110" s="50"/>
      <c r="O110" s="50"/>
    </row>
    <row r="111" spans="2:15" x14ac:dyDescent="0.25">
      <c r="B111" s="4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</row>
    <row r="112" spans="2:15" x14ac:dyDescent="0.25">
      <c r="B112" s="6"/>
      <c r="C112" s="50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</row>
    <row r="113" spans="2:15" x14ac:dyDescent="0.25">
      <c r="B113" s="4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</row>
    <row r="114" spans="2:15" x14ac:dyDescent="0.25">
      <c r="B114" s="6"/>
      <c r="C114" s="50"/>
      <c r="D114" s="50"/>
      <c r="E114" s="50"/>
      <c r="F114" s="50"/>
      <c r="G114" s="50"/>
      <c r="H114" s="50"/>
      <c r="I114" s="50"/>
      <c r="J114" s="50"/>
      <c r="K114" s="50"/>
      <c r="L114" s="50"/>
      <c r="M114" s="50"/>
      <c r="N114" s="50"/>
      <c r="O114" s="50"/>
    </row>
    <row r="115" spans="2:15" x14ac:dyDescent="0.25">
      <c r="B115" s="6"/>
      <c r="C115" s="50"/>
      <c r="D115" s="50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</row>
    <row r="116" spans="2:15" x14ac:dyDescent="0.25">
      <c r="B116" s="4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</row>
    <row r="117" spans="2:15" x14ac:dyDescent="0.25">
      <c r="B117" s="6"/>
      <c r="C117" s="50"/>
      <c r="D117" s="50"/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0"/>
    </row>
    <row r="118" spans="2:15" x14ac:dyDescent="0.25">
      <c r="B118" s="6"/>
      <c r="C118" s="50"/>
      <c r="D118" s="50"/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</row>
    <row r="119" spans="2:15" x14ac:dyDescent="0.25">
      <c r="B119" s="4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</row>
    <row r="120" spans="2:15" x14ac:dyDescent="0.25">
      <c r="B120" s="6"/>
      <c r="C120" s="50"/>
      <c r="D120" s="50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</row>
    <row r="121" spans="2:15" x14ac:dyDescent="0.25">
      <c r="B121" s="4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</row>
    <row r="122" spans="2:15" x14ac:dyDescent="0.25">
      <c r="B122" s="6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0"/>
      <c r="O122" s="50"/>
    </row>
    <row r="123" spans="2:15" x14ac:dyDescent="0.25">
      <c r="B123" s="6"/>
      <c r="C123" s="50"/>
      <c r="D123" s="50"/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</row>
    <row r="124" spans="2:15" x14ac:dyDescent="0.25">
      <c r="B124" s="6"/>
      <c r="C124" s="50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</row>
    <row r="125" spans="2:15" x14ac:dyDescent="0.25">
      <c r="B125" s="6"/>
      <c r="C125" s="50"/>
      <c r="D125" s="50"/>
      <c r="E125" s="50"/>
      <c r="F125" s="50"/>
      <c r="G125" s="50"/>
      <c r="H125" s="50"/>
      <c r="I125" s="50"/>
      <c r="J125" s="50"/>
      <c r="K125" s="50"/>
      <c r="L125" s="50"/>
      <c r="M125" s="50"/>
      <c r="N125" s="50"/>
      <c r="O125" s="50"/>
    </row>
    <row r="126" spans="2:15" x14ac:dyDescent="0.25">
      <c r="B126" s="6"/>
      <c r="C126" s="50"/>
      <c r="D126" s="50"/>
      <c r="E126" s="50"/>
      <c r="F126" s="50"/>
      <c r="G126" s="50"/>
      <c r="H126" s="50"/>
      <c r="I126" s="50"/>
      <c r="J126" s="50"/>
      <c r="K126" s="50"/>
      <c r="L126" s="50"/>
      <c r="M126" s="50"/>
      <c r="N126" s="50"/>
      <c r="O126" s="50"/>
    </row>
    <row r="127" spans="2:15" x14ac:dyDescent="0.25">
      <c r="B127" s="6"/>
      <c r="C127" s="50"/>
      <c r="D127" s="50"/>
      <c r="E127" s="50"/>
      <c r="F127" s="50"/>
      <c r="G127" s="50"/>
      <c r="H127" s="50"/>
      <c r="I127" s="50"/>
      <c r="J127" s="50"/>
      <c r="K127" s="50"/>
      <c r="L127" s="50"/>
      <c r="M127" s="50"/>
      <c r="N127" s="50"/>
      <c r="O127" s="50"/>
    </row>
    <row r="128" spans="2:15" x14ac:dyDescent="0.25">
      <c r="B128" s="6"/>
      <c r="C128" s="50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</row>
    <row r="129" spans="2:15" x14ac:dyDescent="0.25">
      <c r="B129" s="6"/>
      <c r="C129" s="50"/>
      <c r="D129" s="50"/>
      <c r="E129" s="50"/>
      <c r="F129" s="50"/>
      <c r="G129" s="50"/>
      <c r="H129" s="50"/>
      <c r="I129" s="50"/>
      <c r="J129" s="50"/>
      <c r="K129" s="50"/>
      <c r="L129" s="50"/>
      <c r="M129" s="50"/>
      <c r="N129" s="50"/>
      <c r="O129" s="50"/>
    </row>
    <row r="130" spans="2:15" x14ac:dyDescent="0.25">
      <c r="B130" s="6"/>
      <c r="C130" s="50"/>
      <c r="D130" s="50"/>
      <c r="E130" s="50"/>
      <c r="F130" s="50"/>
      <c r="G130" s="50"/>
      <c r="H130" s="50"/>
      <c r="I130" s="50"/>
      <c r="J130" s="50"/>
      <c r="K130" s="50"/>
      <c r="L130" s="50"/>
      <c r="M130" s="50"/>
      <c r="N130" s="50"/>
      <c r="O130" s="50"/>
    </row>
    <row r="131" spans="2:15" x14ac:dyDescent="0.25">
      <c r="B131" s="6"/>
      <c r="C131" s="50"/>
      <c r="D131" s="50"/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50"/>
    </row>
    <row r="132" spans="2:15" x14ac:dyDescent="0.25">
      <c r="B132" s="4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</row>
    <row r="133" spans="2:15" x14ac:dyDescent="0.25">
      <c r="B133" s="6"/>
      <c r="C133" s="50"/>
      <c r="D133" s="50"/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</row>
    <row r="134" spans="2:15" x14ac:dyDescent="0.25">
      <c r="B134" s="4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</row>
    <row r="135" spans="2:15" x14ac:dyDescent="0.25">
      <c r="B135" s="6"/>
      <c r="C135" s="50"/>
      <c r="D135" s="50"/>
      <c r="E135" s="50"/>
      <c r="F135" s="50"/>
      <c r="G135" s="50"/>
      <c r="H135" s="50"/>
      <c r="I135" s="50"/>
      <c r="J135" s="50"/>
      <c r="K135" s="50"/>
      <c r="L135" s="50"/>
      <c r="M135" s="50"/>
      <c r="N135" s="50"/>
      <c r="O135" s="50"/>
    </row>
  </sheetData>
  <mergeCells count="2">
    <mergeCell ref="Q2:AC2"/>
    <mergeCell ref="O35:P3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A1D11-A3EB-4B06-990F-98E29EC98528}">
  <sheetPr codeName="Sheet15">
    <tabColor rgb="FFFFFF00"/>
  </sheetPr>
  <dimension ref="A1:AQ135"/>
  <sheetViews>
    <sheetView zoomScale="79" zoomScaleNormal="100" workbookViewId="0">
      <pane ySplit="4" topLeftCell="A64" activePane="bottomLeft" state="frozen"/>
      <selection pane="bottomLeft" activeCell="X92" sqref="X92"/>
    </sheetView>
  </sheetViews>
  <sheetFormatPr defaultRowHeight="15" outlineLevelCol="2" x14ac:dyDescent="0.25"/>
  <cols>
    <col min="2" max="2" width="16.28515625" customWidth="1"/>
    <col min="3" max="3" width="30.140625" customWidth="1"/>
    <col min="4" max="9" width="9.140625" customWidth="1"/>
    <col min="10" max="10" width="9.140625" hidden="1" customWidth="1" outlineLevel="1"/>
    <col min="11" max="14" width="9.140625" hidden="1" customWidth="1" outlineLevel="2"/>
    <col min="15" max="15" width="11.42578125" hidden="1" customWidth="1" outlineLevel="2"/>
    <col min="16" max="16" width="9.140625" collapsed="1"/>
    <col min="17" max="17" width="32.7109375" customWidth="1"/>
    <col min="18" max="22" width="9.140625" customWidth="1"/>
    <col min="23" max="23" width="12.7109375" bestFit="1" customWidth="1"/>
    <col min="24" max="29" width="12" bestFit="1" customWidth="1"/>
    <col min="30" max="30" width="9.28515625" bestFit="1" customWidth="1"/>
    <col min="31" max="31" width="23.140625" customWidth="1"/>
  </cols>
  <sheetData>
    <row r="1" spans="2:30" ht="15.75" thickBot="1" x14ac:dyDescent="0.3"/>
    <row r="2" spans="2:30" ht="15.75" thickBot="1" x14ac:dyDescent="0.3">
      <c r="Q2" s="493" t="s">
        <v>49</v>
      </c>
      <c r="R2" s="494"/>
      <c r="S2" s="494"/>
      <c r="T2" s="494"/>
      <c r="U2" s="494"/>
      <c r="V2" s="494"/>
      <c r="W2" s="494"/>
      <c r="X2" s="494"/>
      <c r="Y2" s="494"/>
      <c r="Z2" s="494"/>
      <c r="AA2" s="494"/>
      <c r="AB2" s="494"/>
      <c r="AC2" s="495"/>
    </row>
    <row r="3" spans="2:30" ht="21" customHeight="1" x14ac:dyDescent="0.25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Q3" s="1" t="s">
        <v>0</v>
      </c>
      <c r="R3" s="1" t="s">
        <v>1</v>
      </c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2:30" x14ac:dyDescent="0.25">
      <c r="B4" s="2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Q4" s="2" t="s">
        <v>2</v>
      </c>
      <c r="R4" s="3" t="s">
        <v>3</v>
      </c>
      <c r="S4" s="3" t="s">
        <v>4</v>
      </c>
      <c r="T4" s="3" t="s">
        <v>5</v>
      </c>
      <c r="U4" s="3" t="s">
        <v>6</v>
      </c>
      <c r="V4" s="3" t="s">
        <v>7</v>
      </c>
      <c r="W4" s="3" t="s">
        <v>8</v>
      </c>
      <c r="X4" s="3" t="s">
        <v>45</v>
      </c>
      <c r="Y4" s="3" t="s">
        <v>46</v>
      </c>
      <c r="Z4" s="3" t="s">
        <v>9</v>
      </c>
      <c r="AA4" s="3" t="s">
        <v>10</v>
      </c>
      <c r="AB4" s="3" t="s">
        <v>11</v>
      </c>
      <c r="AC4" s="3" t="s">
        <v>12</v>
      </c>
      <c r="AD4" s="13" t="s">
        <v>50</v>
      </c>
    </row>
    <row r="5" spans="2:30" x14ac:dyDescent="0.25">
      <c r="B5" s="4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Q5" s="4" t="s">
        <v>14</v>
      </c>
      <c r="R5" s="5">
        <f>C5/4</f>
        <v>0</v>
      </c>
      <c r="S5" s="5">
        <f t="shared" ref="S5:W20" si="0">D5/4</f>
        <v>0</v>
      </c>
      <c r="T5" s="5">
        <f t="shared" si="0"/>
        <v>0</v>
      </c>
      <c r="U5" s="5">
        <f t="shared" si="0"/>
        <v>0</v>
      </c>
      <c r="V5" s="5">
        <f t="shared" si="0"/>
        <v>0</v>
      </c>
      <c r="W5" s="5">
        <f t="shared" si="0"/>
        <v>0</v>
      </c>
      <c r="X5" s="5">
        <v>0</v>
      </c>
      <c r="Y5" s="5">
        <v>0</v>
      </c>
      <c r="Z5" s="5">
        <f t="shared" ref="Z5:AC20" si="1">I5/4</f>
        <v>0</v>
      </c>
      <c r="AA5" s="5">
        <f t="shared" si="1"/>
        <v>0</v>
      </c>
      <c r="AB5" s="5">
        <f t="shared" si="1"/>
        <v>0</v>
      </c>
      <c r="AC5" s="5">
        <f t="shared" si="1"/>
        <v>0</v>
      </c>
    </row>
    <row r="6" spans="2:30" x14ac:dyDescent="0.25">
      <c r="B6" s="6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Q6" s="6" t="s">
        <v>15</v>
      </c>
      <c r="R6" s="5">
        <f t="shared" ref="R6:W33" si="2">C6/4</f>
        <v>0</v>
      </c>
      <c r="S6" s="5">
        <f t="shared" si="0"/>
        <v>0</v>
      </c>
      <c r="T6" s="5">
        <f t="shared" si="0"/>
        <v>0</v>
      </c>
      <c r="U6" s="5">
        <f t="shared" si="0"/>
        <v>0</v>
      </c>
      <c r="V6" s="5">
        <f t="shared" si="0"/>
        <v>0</v>
      </c>
      <c r="W6" s="5">
        <f t="shared" si="0"/>
        <v>0</v>
      </c>
      <c r="X6" s="5">
        <v>0</v>
      </c>
      <c r="Y6" s="5">
        <v>0</v>
      </c>
      <c r="Z6" s="5">
        <f t="shared" si="1"/>
        <v>0</v>
      </c>
      <c r="AA6" s="5">
        <f t="shared" si="1"/>
        <v>0</v>
      </c>
      <c r="AB6" s="5">
        <f t="shared" si="1"/>
        <v>0</v>
      </c>
      <c r="AC6" s="5">
        <f t="shared" si="1"/>
        <v>0</v>
      </c>
    </row>
    <row r="7" spans="2:30" x14ac:dyDescent="0.25">
      <c r="B7" s="4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Q7" s="4" t="s">
        <v>16</v>
      </c>
      <c r="R7" s="5">
        <f t="shared" si="2"/>
        <v>0</v>
      </c>
      <c r="S7" s="5">
        <f t="shared" si="0"/>
        <v>0</v>
      </c>
      <c r="T7" s="5">
        <f t="shared" si="0"/>
        <v>0</v>
      </c>
      <c r="U7" s="5">
        <f t="shared" si="0"/>
        <v>0</v>
      </c>
      <c r="V7" s="5">
        <f t="shared" si="0"/>
        <v>0</v>
      </c>
      <c r="W7" s="5">
        <f t="shared" si="0"/>
        <v>0</v>
      </c>
      <c r="X7" s="5">
        <v>0</v>
      </c>
      <c r="Y7" s="5">
        <v>0</v>
      </c>
      <c r="Z7" s="5">
        <f t="shared" si="1"/>
        <v>0</v>
      </c>
      <c r="AA7" s="5">
        <f t="shared" si="1"/>
        <v>0</v>
      </c>
      <c r="AB7" s="5">
        <f t="shared" si="1"/>
        <v>0</v>
      </c>
      <c r="AC7" s="5">
        <f t="shared" si="1"/>
        <v>0</v>
      </c>
    </row>
    <row r="8" spans="2:30" x14ac:dyDescent="0.25">
      <c r="B8" s="6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Q8" s="6" t="s">
        <v>17</v>
      </c>
      <c r="R8" s="5">
        <f t="shared" si="2"/>
        <v>0</v>
      </c>
      <c r="S8" s="5">
        <f t="shared" si="0"/>
        <v>0</v>
      </c>
      <c r="T8" s="5">
        <f t="shared" si="0"/>
        <v>0</v>
      </c>
      <c r="U8" s="5">
        <f t="shared" si="0"/>
        <v>0</v>
      </c>
      <c r="V8" s="5">
        <f t="shared" si="0"/>
        <v>0</v>
      </c>
      <c r="W8" s="5">
        <f t="shared" si="0"/>
        <v>0</v>
      </c>
      <c r="X8" s="5">
        <v>0</v>
      </c>
      <c r="Y8" s="5">
        <v>0</v>
      </c>
      <c r="Z8" s="5">
        <f t="shared" si="1"/>
        <v>0</v>
      </c>
      <c r="AA8" s="5">
        <f t="shared" si="1"/>
        <v>0</v>
      </c>
      <c r="AB8" s="5">
        <f t="shared" si="1"/>
        <v>0</v>
      </c>
      <c r="AC8" s="5">
        <f t="shared" si="1"/>
        <v>0</v>
      </c>
    </row>
    <row r="9" spans="2:30" x14ac:dyDescent="0.25">
      <c r="B9" s="4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Q9" s="4" t="s">
        <v>18</v>
      </c>
      <c r="R9" s="5">
        <f t="shared" si="2"/>
        <v>0</v>
      </c>
      <c r="S9" s="5">
        <f t="shared" si="0"/>
        <v>0</v>
      </c>
      <c r="T9" s="5">
        <f t="shared" si="0"/>
        <v>0</v>
      </c>
      <c r="U9" s="5">
        <f t="shared" si="0"/>
        <v>0</v>
      </c>
      <c r="V9" s="5">
        <f t="shared" si="0"/>
        <v>0</v>
      </c>
      <c r="W9" s="5">
        <f t="shared" si="0"/>
        <v>0</v>
      </c>
      <c r="X9" s="5">
        <v>0</v>
      </c>
      <c r="Y9" s="5">
        <v>0</v>
      </c>
      <c r="Z9" s="5">
        <f t="shared" si="1"/>
        <v>0</v>
      </c>
      <c r="AA9" s="5">
        <f t="shared" si="1"/>
        <v>0</v>
      </c>
      <c r="AB9" s="5">
        <f t="shared" si="1"/>
        <v>0</v>
      </c>
      <c r="AC9" s="5">
        <f t="shared" si="1"/>
        <v>0</v>
      </c>
    </row>
    <row r="10" spans="2:30" x14ac:dyDescent="0.25">
      <c r="B10" s="6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Q10" s="6" t="s">
        <v>19</v>
      </c>
      <c r="R10" s="5">
        <f t="shared" si="2"/>
        <v>0</v>
      </c>
      <c r="S10" s="5">
        <f t="shared" si="0"/>
        <v>0</v>
      </c>
      <c r="T10" s="5">
        <f t="shared" si="0"/>
        <v>0</v>
      </c>
      <c r="U10" s="5">
        <f t="shared" si="0"/>
        <v>0</v>
      </c>
      <c r="V10" s="5">
        <f t="shared" si="0"/>
        <v>0</v>
      </c>
      <c r="W10" s="5">
        <f t="shared" si="0"/>
        <v>0</v>
      </c>
      <c r="X10" s="5">
        <v>0</v>
      </c>
      <c r="Y10" s="5">
        <v>0</v>
      </c>
      <c r="Z10" s="5">
        <f t="shared" si="1"/>
        <v>0</v>
      </c>
      <c r="AA10" s="5">
        <f t="shared" si="1"/>
        <v>0</v>
      </c>
      <c r="AB10" s="5">
        <f t="shared" si="1"/>
        <v>0</v>
      </c>
      <c r="AC10" s="5">
        <f t="shared" si="1"/>
        <v>0</v>
      </c>
    </row>
    <row r="11" spans="2:30" x14ac:dyDescent="0.25">
      <c r="B11" s="6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Q11" s="6" t="s">
        <v>20</v>
      </c>
      <c r="R11" s="5">
        <f t="shared" si="2"/>
        <v>0</v>
      </c>
      <c r="S11" s="5">
        <f t="shared" si="0"/>
        <v>0</v>
      </c>
      <c r="T11" s="5">
        <f t="shared" si="0"/>
        <v>0</v>
      </c>
      <c r="U11" s="5">
        <f t="shared" si="0"/>
        <v>0</v>
      </c>
      <c r="V11" s="5">
        <f t="shared" si="0"/>
        <v>0</v>
      </c>
      <c r="W11" s="5">
        <f t="shared" si="0"/>
        <v>0</v>
      </c>
      <c r="X11" s="5">
        <v>0</v>
      </c>
      <c r="Y11" s="5">
        <v>0</v>
      </c>
      <c r="Z11" s="5">
        <f t="shared" si="1"/>
        <v>0</v>
      </c>
      <c r="AA11" s="5">
        <f t="shared" si="1"/>
        <v>0</v>
      </c>
      <c r="AB11" s="5">
        <f t="shared" si="1"/>
        <v>0</v>
      </c>
      <c r="AC11" s="5">
        <f t="shared" si="1"/>
        <v>0</v>
      </c>
    </row>
    <row r="12" spans="2:30" x14ac:dyDescent="0.25">
      <c r="B12" s="6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Q12" s="6" t="s">
        <v>21</v>
      </c>
      <c r="R12" s="5">
        <f t="shared" si="2"/>
        <v>0</v>
      </c>
      <c r="S12" s="5">
        <f t="shared" si="0"/>
        <v>0</v>
      </c>
      <c r="T12" s="5">
        <f t="shared" si="0"/>
        <v>0</v>
      </c>
      <c r="U12" s="5">
        <f t="shared" si="0"/>
        <v>0</v>
      </c>
      <c r="V12" s="5">
        <f t="shared" si="0"/>
        <v>0</v>
      </c>
      <c r="W12" s="5">
        <f t="shared" si="0"/>
        <v>0</v>
      </c>
      <c r="X12" s="5">
        <v>0</v>
      </c>
      <c r="Y12" s="5">
        <v>0</v>
      </c>
      <c r="Z12" s="5">
        <f t="shared" si="1"/>
        <v>0</v>
      </c>
      <c r="AA12" s="5">
        <f t="shared" si="1"/>
        <v>0</v>
      </c>
      <c r="AB12" s="5">
        <f t="shared" si="1"/>
        <v>0</v>
      </c>
      <c r="AC12" s="5">
        <f t="shared" si="1"/>
        <v>0</v>
      </c>
    </row>
    <row r="13" spans="2:30" x14ac:dyDescent="0.25">
      <c r="B13" s="4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Q13" s="4" t="s">
        <v>22</v>
      </c>
      <c r="R13" s="5">
        <f t="shared" si="2"/>
        <v>0</v>
      </c>
      <c r="S13" s="5">
        <f t="shared" si="0"/>
        <v>0</v>
      </c>
      <c r="T13" s="5">
        <f t="shared" si="0"/>
        <v>0</v>
      </c>
      <c r="U13" s="5">
        <f t="shared" si="0"/>
        <v>0</v>
      </c>
      <c r="V13" s="5">
        <f t="shared" si="0"/>
        <v>0</v>
      </c>
      <c r="W13" s="5">
        <f t="shared" si="0"/>
        <v>0</v>
      </c>
      <c r="X13" s="5">
        <v>0</v>
      </c>
      <c r="Y13" s="5">
        <v>0</v>
      </c>
      <c r="Z13" s="5">
        <f t="shared" si="1"/>
        <v>0</v>
      </c>
      <c r="AA13" s="5">
        <f t="shared" si="1"/>
        <v>0</v>
      </c>
      <c r="AB13" s="5">
        <f t="shared" si="1"/>
        <v>0</v>
      </c>
      <c r="AC13" s="5">
        <f t="shared" si="1"/>
        <v>0</v>
      </c>
    </row>
    <row r="14" spans="2:30" x14ac:dyDescent="0.25">
      <c r="B14" s="6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Q14" s="6" t="s">
        <v>23</v>
      </c>
      <c r="R14" s="5">
        <f t="shared" si="2"/>
        <v>0</v>
      </c>
      <c r="S14" s="5">
        <f t="shared" si="0"/>
        <v>0</v>
      </c>
      <c r="T14" s="5">
        <f t="shared" si="0"/>
        <v>0</v>
      </c>
      <c r="U14" s="5">
        <f t="shared" si="0"/>
        <v>0</v>
      </c>
      <c r="V14" s="5">
        <f t="shared" si="0"/>
        <v>0</v>
      </c>
      <c r="W14" s="5">
        <f t="shared" si="0"/>
        <v>0</v>
      </c>
      <c r="X14" s="5">
        <v>0</v>
      </c>
      <c r="Y14" s="5">
        <v>0</v>
      </c>
      <c r="Z14" s="5">
        <f t="shared" si="1"/>
        <v>0</v>
      </c>
      <c r="AA14" s="5">
        <f t="shared" si="1"/>
        <v>0</v>
      </c>
      <c r="AB14" s="5">
        <f t="shared" si="1"/>
        <v>0</v>
      </c>
      <c r="AC14" s="5">
        <f t="shared" si="1"/>
        <v>0</v>
      </c>
    </row>
    <row r="15" spans="2:30" x14ac:dyDescent="0.25">
      <c r="B15" s="4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Q15" s="4" t="s">
        <v>24</v>
      </c>
      <c r="R15" s="5">
        <f t="shared" si="2"/>
        <v>0</v>
      </c>
      <c r="S15" s="5">
        <f t="shared" si="0"/>
        <v>0</v>
      </c>
      <c r="T15" s="5">
        <f t="shared" si="0"/>
        <v>0</v>
      </c>
      <c r="U15" s="5">
        <f t="shared" si="0"/>
        <v>0</v>
      </c>
      <c r="V15" s="5">
        <f t="shared" si="0"/>
        <v>0</v>
      </c>
      <c r="W15" s="5">
        <f t="shared" si="0"/>
        <v>0</v>
      </c>
      <c r="X15" s="5">
        <v>0</v>
      </c>
      <c r="Y15" s="5">
        <v>0</v>
      </c>
      <c r="Z15" s="5">
        <f t="shared" si="1"/>
        <v>0</v>
      </c>
      <c r="AA15" s="5">
        <f t="shared" si="1"/>
        <v>0</v>
      </c>
      <c r="AB15" s="5">
        <f t="shared" si="1"/>
        <v>0</v>
      </c>
      <c r="AC15" s="5">
        <f t="shared" si="1"/>
        <v>0</v>
      </c>
    </row>
    <row r="16" spans="2:30" x14ac:dyDescent="0.25">
      <c r="B16" s="6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Q16" s="6" t="s">
        <v>25</v>
      </c>
      <c r="R16" s="5">
        <f t="shared" si="2"/>
        <v>0</v>
      </c>
      <c r="S16" s="5">
        <f t="shared" si="0"/>
        <v>0</v>
      </c>
      <c r="T16" s="5">
        <f t="shared" si="0"/>
        <v>0</v>
      </c>
      <c r="U16" s="5">
        <f t="shared" si="0"/>
        <v>0</v>
      </c>
      <c r="V16" s="5">
        <f t="shared" si="0"/>
        <v>0</v>
      </c>
      <c r="W16" s="5">
        <f t="shared" si="0"/>
        <v>0</v>
      </c>
      <c r="X16" s="5">
        <v>0</v>
      </c>
      <c r="Y16" s="5">
        <v>0</v>
      </c>
      <c r="Z16" s="5">
        <f t="shared" si="1"/>
        <v>0</v>
      </c>
      <c r="AA16" s="5">
        <f t="shared" si="1"/>
        <v>0</v>
      </c>
      <c r="AB16" s="5">
        <f t="shared" si="1"/>
        <v>0</v>
      </c>
      <c r="AC16" s="5">
        <f t="shared" si="1"/>
        <v>0</v>
      </c>
    </row>
    <row r="17" spans="2:29" x14ac:dyDescent="0.25">
      <c r="B17" s="4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Q17" s="4" t="s">
        <v>26</v>
      </c>
      <c r="R17" s="5">
        <f t="shared" si="2"/>
        <v>0</v>
      </c>
      <c r="S17" s="5">
        <f t="shared" si="0"/>
        <v>0</v>
      </c>
      <c r="T17" s="5">
        <f t="shared" si="0"/>
        <v>0</v>
      </c>
      <c r="U17" s="5">
        <f t="shared" si="0"/>
        <v>0</v>
      </c>
      <c r="V17" s="5">
        <f t="shared" si="0"/>
        <v>0</v>
      </c>
      <c r="W17" s="5">
        <f t="shared" si="0"/>
        <v>0</v>
      </c>
      <c r="X17" s="5">
        <v>0</v>
      </c>
      <c r="Y17" s="5">
        <v>0</v>
      </c>
      <c r="Z17" s="5">
        <f t="shared" si="1"/>
        <v>0</v>
      </c>
      <c r="AA17" s="5">
        <f t="shared" si="1"/>
        <v>0</v>
      </c>
      <c r="AB17" s="5">
        <f t="shared" si="1"/>
        <v>0</v>
      </c>
      <c r="AC17" s="5">
        <f t="shared" si="1"/>
        <v>0</v>
      </c>
    </row>
    <row r="18" spans="2:29" x14ac:dyDescent="0.25">
      <c r="B18" s="6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Q18" s="6" t="s">
        <v>27</v>
      </c>
      <c r="R18" s="5">
        <f t="shared" si="2"/>
        <v>0</v>
      </c>
      <c r="S18" s="5">
        <f t="shared" si="0"/>
        <v>0</v>
      </c>
      <c r="T18" s="5">
        <f t="shared" si="0"/>
        <v>0</v>
      </c>
      <c r="U18" s="5">
        <f t="shared" si="0"/>
        <v>0</v>
      </c>
      <c r="V18" s="5">
        <f t="shared" si="0"/>
        <v>0</v>
      </c>
      <c r="W18" s="5">
        <f t="shared" si="0"/>
        <v>0</v>
      </c>
      <c r="X18" s="5">
        <v>0</v>
      </c>
      <c r="Y18" s="5">
        <v>0</v>
      </c>
      <c r="Z18" s="5">
        <f t="shared" si="1"/>
        <v>0</v>
      </c>
      <c r="AA18" s="5">
        <f t="shared" si="1"/>
        <v>0</v>
      </c>
      <c r="AB18" s="5">
        <f t="shared" si="1"/>
        <v>0</v>
      </c>
      <c r="AC18" s="5">
        <f t="shared" si="1"/>
        <v>0</v>
      </c>
    </row>
    <row r="19" spans="2:29" x14ac:dyDescent="0.25">
      <c r="B19" s="6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Q19" s="6" t="s">
        <v>28</v>
      </c>
      <c r="R19" s="5">
        <f t="shared" si="2"/>
        <v>0</v>
      </c>
      <c r="S19" s="5">
        <f t="shared" si="0"/>
        <v>0</v>
      </c>
      <c r="T19" s="5">
        <f t="shared" si="0"/>
        <v>0</v>
      </c>
      <c r="U19" s="5">
        <f t="shared" si="0"/>
        <v>0</v>
      </c>
      <c r="V19" s="5">
        <f t="shared" si="0"/>
        <v>0</v>
      </c>
      <c r="W19" s="5">
        <f t="shared" si="0"/>
        <v>0</v>
      </c>
      <c r="X19" s="5">
        <v>0</v>
      </c>
      <c r="Y19" s="5">
        <v>0</v>
      </c>
      <c r="Z19" s="5">
        <f t="shared" si="1"/>
        <v>0</v>
      </c>
      <c r="AA19" s="5">
        <f t="shared" si="1"/>
        <v>0</v>
      </c>
      <c r="AB19" s="5">
        <f t="shared" si="1"/>
        <v>0</v>
      </c>
      <c r="AC19" s="5">
        <f t="shared" si="1"/>
        <v>0</v>
      </c>
    </row>
    <row r="20" spans="2:29" x14ac:dyDescent="0.25">
      <c r="B20" s="6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Q20" s="6" t="s">
        <v>29</v>
      </c>
      <c r="R20" s="5">
        <f t="shared" si="2"/>
        <v>0</v>
      </c>
      <c r="S20" s="5">
        <f t="shared" si="0"/>
        <v>0</v>
      </c>
      <c r="T20" s="5">
        <f t="shared" si="0"/>
        <v>0</v>
      </c>
      <c r="U20" s="5">
        <f t="shared" si="0"/>
        <v>0</v>
      </c>
      <c r="V20" s="5">
        <f t="shared" si="0"/>
        <v>0</v>
      </c>
      <c r="W20" s="5">
        <f t="shared" si="0"/>
        <v>0</v>
      </c>
      <c r="X20" s="5">
        <v>0</v>
      </c>
      <c r="Y20" s="5">
        <v>0</v>
      </c>
      <c r="Z20" s="5">
        <f t="shared" si="1"/>
        <v>0</v>
      </c>
      <c r="AA20" s="5">
        <f t="shared" si="1"/>
        <v>0</v>
      </c>
      <c r="AB20" s="5">
        <f t="shared" si="1"/>
        <v>0</v>
      </c>
      <c r="AC20" s="5">
        <f t="shared" si="1"/>
        <v>0</v>
      </c>
    </row>
    <row r="21" spans="2:29" x14ac:dyDescent="0.25">
      <c r="B21" s="4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Q21" s="4" t="s">
        <v>30</v>
      </c>
      <c r="R21" s="5">
        <f t="shared" si="2"/>
        <v>0</v>
      </c>
      <c r="S21" s="5">
        <f t="shared" si="2"/>
        <v>0</v>
      </c>
      <c r="T21" s="5">
        <f t="shared" si="2"/>
        <v>0</v>
      </c>
      <c r="U21" s="5">
        <f t="shared" si="2"/>
        <v>0</v>
      </c>
      <c r="V21" s="5">
        <f t="shared" si="2"/>
        <v>0</v>
      </c>
      <c r="W21" s="5">
        <f t="shared" si="2"/>
        <v>0</v>
      </c>
      <c r="X21" s="5">
        <v>0</v>
      </c>
      <c r="Y21" s="5">
        <v>0</v>
      </c>
      <c r="Z21" s="5">
        <f t="shared" ref="Z21:AC33" si="3">I21/4</f>
        <v>0</v>
      </c>
      <c r="AA21" s="5">
        <f t="shared" si="3"/>
        <v>0</v>
      </c>
      <c r="AB21" s="5">
        <f t="shared" si="3"/>
        <v>0</v>
      </c>
      <c r="AC21" s="5">
        <f t="shared" si="3"/>
        <v>0</v>
      </c>
    </row>
    <row r="22" spans="2:29" x14ac:dyDescent="0.25">
      <c r="B22" s="6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Q22" s="6" t="s">
        <v>31</v>
      </c>
      <c r="R22" s="5">
        <f t="shared" si="2"/>
        <v>0</v>
      </c>
      <c r="S22" s="5">
        <f t="shared" si="2"/>
        <v>0</v>
      </c>
      <c r="T22" s="5">
        <f t="shared" si="2"/>
        <v>0</v>
      </c>
      <c r="U22" s="5">
        <f t="shared" si="2"/>
        <v>0</v>
      </c>
      <c r="V22" s="5">
        <f t="shared" si="2"/>
        <v>0</v>
      </c>
      <c r="W22" s="5">
        <f t="shared" si="2"/>
        <v>0</v>
      </c>
      <c r="X22" s="5">
        <v>0</v>
      </c>
      <c r="Y22" s="5">
        <v>0</v>
      </c>
      <c r="Z22" s="5">
        <f t="shared" si="3"/>
        <v>0</v>
      </c>
      <c r="AA22" s="5">
        <f t="shared" si="3"/>
        <v>0</v>
      </c>
      <c r="AB22" s="5">
        <f t="shared" si="3"/>
        <v>0</v>
      </c>
      <c r="AC22" s="5">
        <f t="shared" si="3"/>
        <v>0</v>
      </c>
    </row>
    <row r="23" spans="2:29" x14ac:dyDescent="0.25">
      <c r="B23" s="6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Q23" s="6" t="s">
        <v>32</v>
      </c>
      <c r="R23" s="5">
        <f t="shared" si="2"/>
        <v>0</v>
      </c>
      <c r="S23" s="5">
        <f t="shared" si="2"/>
        <v>0</v>
      </c>
      <c r="T23" s="5">
        <f t="shared" si="2"/>
        <v>0</v>
      </c>
      <c r="U23" s="5">
        <f t="shared" si="2"/>
        <v>0</v>
      </c>
      <c r="V23" s="5">
        <f t="shared" si="2"/>
        <v>0</v>
      </c>
      <c r="W23" s="5">
        <f t="shared" si="2"/>
        <v>0</v>
      </c>
      <c r="X23" s="5">
        <v>0</v>
      </c>
      <c r="Y23" s="5">
        <v>0</v>
      </c>
      <c r="Z23" s="5">
        <f t="shared" si="3"/>
        <v>0</v>
      </c>
      <c r="AA23" s="5">
        <f t="shared" si="3"/>
        <v>0</v>
      </c>
      <c r="AB23" s="5">
        <f t="shared" si="3"/>
        <v>0</v>
      </c>
      <c r="AC23" s="5">
        <f t="shared" si="3"/>
        <v>0</v>
      </c>
    </row>
    <row r="24" spans="2:29" x14ac:dyDescent="0.25">
      <c r="B24" s="4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Q24" s="4" t="s">
        <v>33</v>
      </c>
      <c r="R24" s="5">
        <f t="shared" si="2"/>
        <v>0</v>
      </c>
      <c r="S24" s="5">
        <f t="shared" si="2"/>
        <v>0</v>
      </c>
      <c r="T24" s="5">
        <f t="shared" si="2"/>
        <v>0</v>
      </c>
      <c r="U24" s="5">
        <f t="shared" si="2"/>
        <v>0</v>
      </c>
      <c r="V24" s="5">
        <f t="shared" si="2"/>
        <v>0</v>
      </c>
      <c r="W24" s="5">
        <f t="shared" si="2"/>
        <v>0</v>
      </c>
      <c r="X24" s="5">
        <v>0</v>
      </c>
      <c r="Y24" s="5">
        <v>0</v>
      </c>
      <c r="Z24" s="5">
        <f t="shared" si="3"/>
        <v>0</v>
      </c>
      <c r="AA24" s="5">
        <f t="shared" si="3"/>
        <v>0</v>
      </c>
      <c r="AB24" s="5">
        <f t="shared" si="3"/>
        <v>0</v>
      </c>
      <c r="AC24" s="5">
        <f t="shared" si="3"/>
        <v>0</v>
      </c>
    </row>
    <row r="25" spans="2:29" x14ac:dyDescent="0.25">
      <c r="B25" s="6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Q25" s="6" t="s">
        <v>34</v>
      </c>
      <c r="R25" s="5">
        <f t="shared" si="2"/>
        <v>0</v>
      </c>
      <c r="S25" s="5">
        <f>D25/4</f>
        <v>0</v>
      </c>
      <c r="T25" s="5">
        <f t="shared" si="2"/>
        <v>0</v>
      </c>
      <c r="U25" s="5">
        <f t="shared" si="2"/>
        <v>0</v>
      </c>
      <c r="V25" s="5">
        <f t="shared" si="2"/>
        <v>0</v>
      </c>
      <c r="W25" s="5">
        <f t="shared" si="2"/>
        <v>0</v>
      </c>
      <c r="X25" s="5">
        <v>0</v>
      </c>
      <c r="Y25" s="5">
        <v>0</v>
      </c>
      <c r="Z25" s="5">
        <f t="shared" si="3"/>
        <v>0</v>
      </c>
      <c r="AA25" s="5">
        <f t="shared" si="3"/>
        <v>0</v>
      </c>
      <c r="AB25" s="5">
        <f t="shared" si="3"/>
        <v>0</v>
      </c>
      <c r="AC25" s="5">
        <f t="shared" si="3"/>
        <v>0</v>
      </c>
    </row>
    <row r="26" spans="2:29" x14ac:dyDescent="0.25">
      <c r="B26" s="4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Q26" s="4" t="s">
        <v>35</v>
      </c>
      <c r="R26" s="5">
        <f t="shared" si="2"/>
        <v>0</v>
      </c>
      <c r="S26" s="5">
        <f t="shared" si="2"/>
        <v>0</v>
      </c>
      <c r="T26" s="5">
        <f t="shared" si="2"/>
        <v>0</v>
      </c>
      <c r="U26" s="5">
        <f t="shared" si="2"/>
        <v>0</v>
      </c>
      <c r="V26" s="5">
        <f t="shared" si="2"/>
        <v>0</v>
      </c>
      <c r="W26" s="5">
        <f t="shared" si="2"/>
        <v>0</v>
      </c>
      <c r="X26" s="5">
        <v>0</v>
      </c>
      <c r="Y26" s="5">
        <v>0</v>
      </c>
      <c r="Z26" s="5">
        <f t="shared" si="3"/>
        <v>0</v>
      </c>
      <c r="AA26" s="5">
        <f t="shared" si="3"/>
        <v>0</v>
      </c>
      <c r="AB26" s="5">
        <f t="shared" si="3"/>
        <v>0</v>
      </c>
      <c r="AC26" s="5">
        <f t="shared" si="3"/>
        <v>0</v>
      </c>
    </row>
    <row r="27" spans="2:29" x14ac:dyDescent="0.25">
      <c r="B27" s="6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Q27" s="6" t="s">
        <v>36</v>
      </c>
      <c r="R27" s="5">
        <f t="shared" si="2"/>
        <v>0</v>
      </c>
      <c r="S27" s="5">
        <f t="shared" si="2"/>
        <v>0</v>
      </c>
      <c r="T27" s="5">
        <f t="shared" si="2"/>
        <v>0</v>
      </c>
      <c r="U27" s="5">
        <f t="shared" si="2"/>
        <v>0</v>
      </c>
      <c r="V27" s="5">
        <f t="shared" si="2"/>
        <v>0</v>
      </c>
      <c r="W27" s="5">
        <f t="shared" si="2"/>
        <v>0</v>
      </c>
      <c r="X27" s="5">
        <v>0</v>
      </c>
      <c r="Y27" s="5">
        <v>0</v>
      </c>
      <c r="Z27" s="5">
        <f t="shared" si="3"/>
        <v>0</v>
      </c>
      <c r="AA27" s="5">
        <f t="shared" si="3"/>
        <v>0</v>
      </c>
      <c r="AB27" s="5">
        <f t="shared" si="3"/>
        <v>0</v>
      </c>
      <c r="AC27" s="5">
        <f t="shared" si="3"/>
        <v>0</v>
      </c>
    </row>
    <row r="28" spans="2:29" x14ac:dyDescent="0.25">
      <c r="B28" s="6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Q28" s="6" t="s">
        <v>37</v>
      </c>
      <c r="R28" s="5">
        <f t="shared" si="2"/>
        <v>0</v>
      </c>
      <c r="S28" s="5">
        <f t="shared" si="2"/>
        <v>0</v>
      </c>
      <c r="T28" s="5">
        <f t="shared" si="2"/>
        <v>0</v>
      </c>
      <c r="U28" s="5">
        <f t="shared" si="2"/>
        <v>0</v>
      </c>
      <c r="V28" s="5">
        <f t="shared" si="2"/>
        <v>0</v>
      </c>
      <c r="W28" s="5">
        <f t="shared" si="2"/>
        <v>0</v>
      </c>
      <c r="X28" s="5">
        <v>0</v>
      </c>
      <c r="Y28" s="5">
        <v>0</v>
      </c>
      <c r="Z28" s="5">
        <f t="shared" si="3"/>
        <v>0</v>
      </c>
      <c r="AA28" s="5">
        <f t="shared" si="3"/>
        <v>0</v>
      </c>
      <c r="AB28" s="5">
        <f t="shared" si="3"/>
        <v>0</v>
      </c>
      <c r="AC28" s="5">
        <f t="shared" si="3"/>
        <v>0</v>
      </c>
    </row>
    <row r="29" spans="2:29" x14ac:dyDescent="0.25">
      <c r="B29" s="4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Q29" s="4" t="s">
        <v>38</v>
      </c>
      <c r="R29" s="5">
        <f t="shared" si="2"/>
        <v>0</v>
      </c>
      <c r="S29" s="5">
        <f t="shared" si="2"/>
        <v>0</v>
      </c>
      <c r="T29" s="5">
        <f t="shared" si="2"/>
        <v>0</v>
      </c>
      <c r="U29" s="5">
        <f t="shared" si="2"/>
        <v>0</v>
      </c>
      <c r="V29" s="5">
        <f t="shared" si="2"/>
        <v>0</v>
      </c>
      <c r="W29" s="5">
        <f t="shared" si="2"/>
        <v>0</v>
      </c>
      <c r="X29" s="5">
        <v>0</v>
      </c>
      <c r="Y29" s="5">
        <v>0</v>
      </c>
      <c r="Z29" s="5">
        <f t="shared" si="3"/>
        <v>0</v>
      </c>
      <c r="AA29" s="5">
        <f t="shared" si="3"/>
        <v>0</v>
      </c>
      <c r="AB29" s="5">
        <f t="shared" si="3"/>
        <v>0</v>
      </c>
      <c r="AC29" s="5">
        <f t="shared" si="3"/>
        <v>0</v>
      </c>
    </row>
    <row r="30" spans="2:29" x14ac:dyDescent="0.25">
      <c r="B30" s="6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Q30" s="6" t="s">
        <v>39</v>
      </c>
      <c r="R30" s="5">
        <f t="shared" si="2"/>
        <v>0</v>
      </c>
      <c r="S30" s="5">
        <f t="shared" si="2"/>
        <v>0</v>
      </c>
      <c r="T30" s="5">
        <f t="shared" si="2"/>
        <v>0</v>
      </c>
      <c r="U30" s="5">
        <f t="shared" si="2"/>
        <v>0</v>
      </c>
      <c r="V30" s="5">
        <f t="shared" si="2"/>
        <v>0</v>
      </c>
      <c r="W30" s="5">
        <f t="shared" si="2"/>
        <v>0</v>
      </c>
      <c r="X30" s="5">
        <v>0</v>
      </c>
      <c r="Y30" s="5">
        <v>0</v>
      </c>
      <c r="Z30" s="5">
        <f t="shared" si="3"/>
        <v>0</v>
      </c>
      <c r="AA30" s="5">
        <f t="shared" si="3"/>
        <v>0</v>
      </c>
      <c r="AB30" s="5">
        <f t="shared" si="3"/>
        <v>0</v>
      </c>
      <c r="AC30" s="5">
        <f t="shared" si="3"/>
        <v>0</v>
      </c>
    </row>
    <row r="31" spans="2:29" x14ac:dyDescent="0.25">
      <c r="B31" s="6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Q31" s="6" t="s">
        <v>40</v>
      </c>
      <c r="R31" s="5">
        <f t="shared" si="2"/>
        <v>0</v>
      </c>
      <c r="S31" s="5">
        <f t="shared" si="2"/>
        <v>0</v>
      </c>
      <c r="T31" s="5">
        <f t="shared" si="2"/>
        <v>0</v>
      </c>
      <c r="U31" s="5">
        <f t="shared" si="2"/>
        <v>0</v>
      </c>
      <c r="V31" s="5">
        <f t="shared" si="2"/>
        <v>0</v>
      </c>
      <c r="W31" s="5">
        <f t="shared" si="2"/>
        <v>0</v>
      </c>
      <c r="X31" s="5">
        <v>0</v>
      </c>
      <c r="Y31" s="5">
        <v>0</v>
      </c>
      <c r="Z31" s="5">
        <f t="shared" si="3"/>
        <v>0</v>
      </c>
      <c r="AA31" s="5">
        <f t="shared" si="3"/>
        <v>0</v>
      </c>
      <c r="AB31" s="5">
        <f t="shared" si="3"/>
        <v>0</v>
      </c>
      <c r="AC31" s="5">
        <f t="shared" si="3"/>
        <v>0</v>
      </c>
    </row>
    <row r="32" spans="2:29" x14ac:dyDescent="0.25">
      <c r="B32" s="6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Q32" s="6" t="s">
        <v>41</v>
      </c>
      <c r="R32" s="5">
        <f t="shared" si="2"/>
        <v>0</v>
      </c>
      <c r="S32" s="5">
        <f t="shared" si="2"/>
        <v>0</v>
      </c>
      <c r="T32" s="5">
        <f t="shared" si="2"/>
        <v>0</v>
      </c>
      <c r="U32" s="5">
        <f t="shared" si="2"/>
        <v>0</v>
      </c>
      <c r="V32" s="5">
        <f t="shared" si="2"/>
        <v>0</v>
      </c>
      <c r="W32" s="5">
        <f t="shared" si="2"/>
        <v>0</v>
      </c>
      <c r="X32" s="5">
        <v>0</v>
      </c>
      <c r="Y32" s="5">
        <v>0</v>
      </c>
      <c r="Z32" s="5">
        <f t="shared" si="3"/>
        <v>0</v>
      </c>
      <c r="AA32" s="5">
        <f t="shared" si="3"/>
        <v>0</v>
      </c>
      <c r="AB32" s="5">
        <f t="shared" si="3"/>
        <v>0</v>
      </c>
      <c r="AC32" s="5">
        <f t="shared" si="3"/>
        <v>0</v>
      </c>
    </row>
    <row r="33" spans="2:30" x14ac:dyDescent="0.25">
      <c r="B33" s="4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Q33" s="4" t="s">
        <v>42</v>
      </c>
      <c r="R33" s="5">
        <f t="shared" si="2"/>
        <v>0</v>
      </c>
      <c r="S33" s="5">
        <f t="shared" si="2"/>
        <v>0</v>
      </c>
      <c r="T33" s="5">
        <f t="shared" si="2"/>
        <v>0</v>
      </c>
      <c r="U33" s="5">
        <f t="shared" si="2"/>
        <v>0</v>
      </c>
      <c r="V33" s="5">
        <f t="shared" si="2"/>
        <v>0</v>
      </c>
      <c r="W33" s="5">
        <f t="shared" si="2"/>
        <v>0</v>
      </c>
      <c r="X33" s="5">
        <v>0</v>
      </c>
      <c r="Y33" s="5">
        <v>0</v>
      </c>
      <c r="Z33" s="5">
        <f t="shared" si="3"/>
        <v>0</v>
      </c>
      <c r="AA33" s="5">
        <f t="shared" si="3"/>
        <v>0</v>
      </c>
      <c r="AB33" s="5">
        <f t="shared" si="3"/>
        <v>0</v>
      </c>
      <c r="AC33" s="5">
        <f t="shared" si="3"/>
        <v>0</v>
      </c>
    </row>
    <row r="34" spans="2:30" ht="15.75" thickBot="1" x14ac:dyDescent="0.3">
      <c r="B34" s="6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Q34" s="6" t="s">
        <v>43</v>
      </c>
      <c r="R34" s="7"/>
      <c r="S34" s="7"/>
      <c r="T34" s="7"/>
      <c r="U34" s="7"/>
      <c r="V34" s="7"/>
      <c r="W34" s="7"/>
      <c r="X34" s="5">
        <v>0</v>
      </c>
      <c r="Y34" s="5">
        <v>0</v>
      </c>
      <c r="Z34" s="7"/>
      <c r="AA34" s="7"/>
      <c r="AB34" s="7"/>
      <c r="AC34" s="7"/>
    </row>
    <row r="35" spans="2:30" x14ac:dyDescent="0.25">
      <c r="B35" s="8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O35" s="508" t="s">
        <v>51</v>
      </c>
      <c r="P35" s="497"/>
      <c r="Q35" s="8" t="s">
        <v>70</v>
      </c>
      <c r="R35" s="9">
        <v>347.18258064516135</v>
      </c>
      <c r="S35" s="9">
        <v>442.09321428571428</v>
      </c>
      <c r="T35" s="9">
        <v>732.17882258064503</v>
      </c>
      <c r="U35" s="9">
        <v>711.29816666633337</v>
      </c>
      <c r="V35" s="9">
        <v>257.03590322580641</v>
      </c>
      <c r="W35" s="9">
        <v>67.17583333333333</v>
      </c>
      <c r="X35" s="9">
        <v>46.325806451612905</v>
      </c>
      <c r="Y35" s="9">
        <v>89.735483870967741</v>
      </c>
      <c r="Z35" s="9">
        <v>381.66866666666664</v>
      </c>
      <c r="AA35" s="9">
        <v>515.25596774193548</v>
      </c>
      <c r="AB35" s="9">
        <v>124.00166666666667</v>
      </c>
      <c r="AC35" s="9">
        <v>96.526129032258069</v>
      </c>
      <c r="AD35" s="9">
        <f>AVERAGE(W35:AC35)</f>
        <v>188.66993625192009</v>
      </c>
    </row>
    <row r="36" spans="2:30" x14ac:dyDescent="0.25">
      <c r="O36" s="498"/>
      <c r="P36" s="499"/>
      <c r="Q36" s="6" t="s">
        <v>71</v>
      </c>
      <c r="R36" s="64">
        <v>581</v>
      </c>
      <c r="S36" s="64">
        <v>905</v>
      </c>
      <c r="T36" s="64">
        <v>815</v>
      </c>
      <c r="U36" s="64">
        <v>696</v>
      </c>
      <c r="V36" s="64">
        <v>460</v>
      </c>
      <c r="W36" s="10">
        <v>379</v>
      </c>
      <c r="X36" s="10">
        <v>417</v>
      </c>
      <c r="Y36" s="10">
        <v>327.39999999999998</v>
      </c>
      <c r="Z36" s="10">
        <v>654</v>
      </c>
      <c r="AA36" s="10">
        <v>824</v>
      </c>
      <c r="AB36" s="10">
        <v>518</v>
      </c>
      <c r="AC36" s="10">
        <v>77</v>
      </c>
      <c r="AD36" s="10">
        <f>AVERAGE(W36:AC36)</f>
        <v>456.62857142857143</v>
      </c>
    </row>
    <row r="37" spans="2:30" x14ac:dyDescent="0.25">
      <c r="O37" s="498"/>
      <c r="P37" s="499"/>
      <c r="Q37" s="6" t="s">
        <v>66</v>
      </c>
      <c r="R37" s="12">
        <f t="shared" ref="R37:W37" si="4">(R35-R36)/R36</f>
        <v>-0.4024396202320803</v>
      </c>
      <c r="S37" s="12">
        <f t="shared" si="4"/>
        <v>-0.51149921073401738</v>
      </c>
      <c r="T37" s="12">
        <f t="shared" si="4"/>
        <v>-0.1016210765881656</v>
      </c>
      <c r="U37" s="12">
        <f t="shared" si="4"/>
        <v>2.1980124520593926E-2</v>
      </c>
      <c r="V37" s="12">
        <f t="shared" si="4"/>
        <v>-0.44122629733520347</v>
      </c>
      <c r="W37" s="12">
        <f t="shared" si="4"/>
        <v>-0.82275505716798591</v>
      </c>
      <c r="X37" s="12">
        <f t="shared" ref="X37:AC37" si="5">(X35-X36)/X36</f>
        <v>-0.88890693896495709</v>
      </c>
      <c r="Y37" s="12">
        <f t="shared" si="5"/>
        <v>-0.72591483240388588</v>
      </c>
      <c r="Z37" s="12">
        <f t="shared" si="5"/>
        <v>-0.41640876656472992</v>
      </c>
      <c r="AA37" s="12">
        <f t="shared" si="5"/>
        <v>-0.37468935953648608</v>
      </c>
      <c r="AB37" s="12">
        <f t="shared" si="5"/>
        <v>-0.76061454311454313</v>
      </c>
      <c r="AC37" s="12">
        <f t="shared" si="5"/>
        <v>0.2535860913280269</v>
      </c>
      <c r="AD37" s="12">
        <f>(AD35-AD36)/AD36</f>
        <v>-0.58681968659634565</v>
      </c>
    </row>
    <row r="38" spans="2:30" x14ac:dyDescent="0.25">
      <c r="O38" s="498"/>
      <c r="P38" s="499"/>
      <c r="Q38" s="6" t="s">
        <v>44</v>
      </c>
      <c r="R38" s="10">
        <v>948.15033333300005</v>
      </c>
      <c r="S38" s="10">
        <v>1121.312133333</v>
      </c>
      <c r="T38" s="10">
        <v>1072.6636000000001</v>
      </c>
      <c r="U38" s="10">
        <v>895.09436666700003</v>
      </c>
      <c r="V38" s="10">
        <v>581.02816666700005</v>
      </c>
      <c r="W38" s="10">
        <v>434.438333333</v>
      </c>
      <c r="X38" s="10">
        <v>321.70083333299999</v>
      </c>
      <c r="Y38" s="10">
        <v>341.993833333</v>
      </c>
      <c r="Z38" s="10">
        <v>690.85276666699997</v>
      </c>
      <c r="AA38" s="10">
        <v>1141.7179666669999</v>
      </c>
      <c r="AB38" s="10">
        <v>496.24033333300002</v>
      </c>
      <c r="AC38" s="10">
        <v>82.506666667000005</v>
      </c>
      <c r="AD38" s="10">
        <f>AVERAGE(W38:AC38)</f>
        <v>501.3501047618571</v>
      </c>
    </row>
    <row r="39" spans="2:30" ht="15.75" thickBot="1" x14ac:dyDescent="0.3">
      <c r="O39" s="500"/>
      <c r="P39" s="501"/>
      <c r="Q39" s="6" t="s">
        <v>66</v>
      </c>
      <c r="R39" s="12">
        <f>(R35-R38)/R38</f>
        <v>-0.633831715879145</v>
      </c>
      <c r="S39" s="12">
        <f t="shared" ref="S39:AD39" si="6">(S35-S38)/S38</f>
        <v>-0.60573581508332408</v>
      </c>
      <c r="T39" s="12">
        <f t="shared" si="6"/>
        <v>-0.31741990445033746</v>
      </c>
      <c r="U39" s="12">
        <f t="shared" si="6"/>
        <v>-0.20533723241389135</v>
      </c>
      <c r="V39" s="12">
        <f t="shared" si="6"/>
        <v>-0.55761885916777021</v>
      </c>
      <c r="W39" s="12">
        <f t="shared" si="6"/>
        <v>-0.8453731446349082</v>
      </c>
      <c r="X39" s="12">
        <f t="shared" si="6"/>
        <v>-0.85599724448441206</v>
      </c>
      <c r="Y39" s="12">
        <f t="shared" si="6"/>
        <v>-0.7376108130476372</v>
      </c>
      <c r="Z39" s="12">
        <f t="shared" si="6"/>
        <v>-0.44753978693895002</v>
      </c>
      <c r="AA39" s="12">
        <f t="shared" si="6"/>
        <v>-0.5487011829671784</v>
      </c>
      <c r="AB39" s="12">
        <f t="shared" si="6"/>
        <v>-0.75011771849779119</v>
      </c>
      <c r="AC39" s="12">
        <f t="shared" si="6"/>
        <v>0.16991914631385049</v>
      </c>
      <c r="AD39" s="12">
        <f t="shared" si="6"/>
        <v>-0.62367628038785605</v>
      </c>
    </row>
    <row r="40" spans="2:30" x14ac:dyDescent="0.25">
      <c r="Q40" s="6" t="s">
        <v>47</v>
      </c>
      <c r="R40" s="10">
        <v>537.71717333300001</v>
      </c>
      <c r="S40" s="10">
        <v>707.75298666699996</v>
      </c>
      <c r="T40" s="10">
        <v>660.13367333300005</v>
      </c>
      <c r="U40" s="10">
        <v>645.67525000000001</v>
      </c>
      <c r="V40" s="10">
        <v>497.81152333300003</v>
      </c>
      <c r="W40" s="10">
        <v>342.58150000000001</v>
      </c>
      <c r="X40" s="10">
        <v>348.07770166699999</v>
      </c>
      <c r="Y40" s="10">
        <v>258.9008</v>
      </c>
      <c r="Z40" s="10">
        <v>337.78199999999998</v>
      </c>
      <c r="AA40" s="10">
        <v>870.255266667</v>
      </c>
      <c r="AB40" s="10">
        <v>488.59033333299999</v>
      </c>
      <c r="AC40" s="10">
        <v>623.91846666699996</v>
      </c>
      <c r="AD40" s="10">
        <f>AVERAGE(W40:AC40)</f>
        <v>467.15800976200001</v>
      </c>
    </row>
    <row r="41" spans="2:30" x14ac:dyDescent="0.25">
      <c r="Q41" s="6" t="s">
        <v>66</v>
      </c>
      <c r="R41" s="12">
        <f t="shared" ref="R41:AD41" si="7">(R35-R40)/R40</f>
        <v>-0.35433979448122166</v>
      </c>
      <c r="S41" s="12">
        <f t="shared" si="7"/>
        <v>-0.37535662496084871</v>
      </c>
      <c r="T41" s="12">
        <f t="shared" si="7"/>
        <v>0.1091372128979433</v>
      </c>
      <c r="U41" s="12">
        <f t="shared" si="7"/>
        <v>0.10163455493505964</v>
      </c>
      <c r="V41" s="12">
        <f t="shared" si="7"/>
        <v>-0.48366823350156174</v>
      </c>
      <c r="W41" s="12">
        <f t="shared" si="7"/>
        <v>-0.80391284020493414</v>
      </c>
      <c r="X41" s="12">
        <f t="shared" si="7"/>
        <v>-0.86690958303346877</v>
      </c>
      <c r="Y41" s="12">
        <f t="shared" si="7"/>
        <v>-0.65339819780020858</v>
      </c>
      <c r="Z41" s="12">
        <f t="shared" si="7"/>
        <v>0.12992600750385355</v>
      </c>
      <c r="AA41" s="12">
        <f t="shared" si="7"/>
        <v>-0.40792548177809962</v>
      </c>
      <c r="AB41" s="12">
        <f t="shared" si="7"/>
        <v>-0.74620523942672234</v>
      </c>
      <c r="AC41" s="12">
        <f t="shared" si="7"/>
        <v>-0.84529047593685613</v>
      </c>
      <c r="AD41" s="12">
        <f t="shared" si="7"/>
        <v>-0.59613250268781526</v>
      </c>
    </row>
    <row r="42" spans="2:30" x14ac:dyDescent="0.25">
      <c r="B42" s="8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</row>
    <row r="43" spans="2:30" x14ac:dyDescent="0.25">
      <c r="B43" s="4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Q43" s="8" t="s">
        <v>57</v>
      </c>
      <c r="R43" s="9">
        <v>347.97645161290325</v>
      </c>
      <c r="S43" s="9">
        <v>594.7177864293659</v>
      </c>
      <c r="T43" s="9">
        <v>237.86139043381533</v>
      </c>
      <c r="U43" s="9">
        <v>80.508333333333326</v>
      </c>
      <c r="V43" s="9">
        <v>22.800161290322581</v>
      </c>
      <c r="W43" s="9">
        <v>59.756666666666675</v>
      </c>
      <c r="X43" s="9">
        <v>52.009677419354837</v>
      </c>
      <c r="Y43" s="9">
        <v>102.1708064516129</v>
      </c>
      <c r="Z43" s="9">
        <f>238.371666667333-7</f>
        <v>231.37166666733299</v>
      </c>
      <c r="AA43" s="9">
        <f>349.070537633742-39</f>
        <v>310.07053763374199</v>
      </c>
      <c r="AB43" s="9">
        <f>71.0011666666667-3</f>
        <v>68.001166666666705</v>
      </c>
    </row>
    <row r="44" spans="2:30" x14ac:dyDescent="0.25">
      <c r="B44" s="6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Q44" s="16" t="s">
        <v>59</v>
      </c>
      <c r="R44" s="17">
        <v>877.89209677419387</v>
      </c>
      <c r="S44" s="17">
        <v>1086.994344827586</v>
      </c>
      <c r="T44" s="17">
        <v>629.37490322580652</v>
      </c>
      <c r="U44" s="17">
        <v>500.59283333333337</v>
      </c>
      <c r="V44" s="17">
        <v>225.10806451612905</v>
      </c>
      <c r="W44" s="17">
        <v>227.28416666666666</v>
      </c>
      <c r="X44" s="17">
        <v>211.11274193548388</v>
      </c>
      <c r="Y44" s="17">
        <v>122.99354838709688</v>
      </c>
      <c r="Z44" s="17">
        <v>205.66433333333333</v>
      </c>
      <c r="AA44" s="17">
        <v>381.26325806451621</v>
      </c>
      <c r="AB44" s="17">
        <v>74.424300000000031</v>
      </c>
    </row>
    <row r="45" spans="2:30" x14ac:dyDescent="0.25">
      <c r="B45" s="4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</row>
    <row r="46" spans="2:30" x14ac:dyDescent="0.25">
      <c r="B46" s="6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</row>
    <row r="47" spans="2:30" x14ac:dyDescent="0.25">
      <c r="B47" s="6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</row>
    <row r="48" spans="2:30" x14ac:dyDescent="0.25">
      <c r="B48" s="4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</row>
    <row r="49" spans="1:43" x14ac:dyDescent="0.25">
      <c r="B49" s="6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R49">
        <v>347.18258064516129</v>
      </c>
      <c r="S49">
        <v>441.12196428571423</v>
      </c>
      <c r="T49">
        <v>724.38672580645164</v>
      </c>
      <c r="U49">
        <v>672.18149999966636</v>
      </c>
      <c r="V49">
        <v>233.31654838709682</v>
      </c>
      <c r="W49">
        <v>75.509166666666658</v>
      </c>
      <c r="X49">
        <v>52.535483870967752</v>
      </c>
      <c r="Y49">
        <v>44.8241935483871</v>
      </c>
      <c r="Z49">
        <v>462.70733333333339</v>
      </c>
      <c r="AA49">
        <v>600.74209677419344</v>
      </c>
      <c r="AB49">
        <v>194.55166666666665</v>
      </c>
      <c r="AC49">
        <v>96.526129032258055</v>
      </c>
    </row>
    <row r="50" spans="1:43" x14ac:dyDescent="0.25">
      <c r="B50" s="4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AF50" t="s">
        <v>3</v>
      </c>
      <c r="AG50" t="s">
        <v>4</v>
      </c>
      <c r="AH50" t="s">
        <v>5</v>
      </c>
      <c r="AI50" t="s">
        <v>6</v>
      </c>
      <c r="AJ50" t="s">
        <v>7</v>
      </c>
      <c r="AK50" t="s">
        <v>8</v>
      </c>
      <c r="AL50" t="s">
        <v>45</v>
      </c>
      <c r="AM50" t="s">
        <v>46</v>
      </c>
      <c r="AN50" t="s">
        <v>9</v>
      </c>
      <c r="AO50" t="s">
        <v>10</v>
      </c>
      <c r="AP50" t="s">
        <v>11</v>
      </c>
      <c r="AQ50" t="s">
        <v>12</v>
      </c>
    </row>
    <row r="51" spans="1:43" ht="15.75" thickBot="1" x14ac:dyDescent="0.3">
      <c r="B51" s="6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R51" t="s">
        <v>3</v>
      </c>
      <c r="S51" t="s">
        <v>4</v>
      </c>
      <c r="T51" t="s">
        <v>5</v>
      </c>
      <c r="U51" t="s">
        <v>6</v>
      </c>
      <c r="V51" t="s">
        <v>7</v>
      </c>
      <c r="W51" t="s">
        <v>8</v>
      </c>
      <c r="AE51" t="s">
        <v>1393</v>
      </c>
      <c r="AF51" s="50">
        <v>272.02499999999998</v>
      </c>
      <c r="AG51" s="50">
        <v>560.67071428571444</v>
      </c>
      <c r="AH51" s="50">
        <v>449.29274193548378</v>
      </c>
      <c r="AI51" s="50">
        <v>403.18786021505372</v>
      </c>
      <c r="AJ51" s="50">
        <v>165.51763440860216</v>
      </c>
      <c r="AK51" s="50">
        <v>120.30666666666666</v>
      </c>
      <c r="AL51" s="50">
        <v>103.96935483870968</v>
      </c>
      <c r="AM51" s="50">
        <v>104.15</v>
      </c>
      <c r="AN51" s="50">
        <v>113.84166666666667</v>
      </c>
      <c r="AO51" s="50">
        <v>174.68709677419358</v>
      </c>
      <c r="AP51" s="50">
        <v>124.77500000000001</v>
      </c>
      <c r="AQ51" s="50">
        <v>106.0016129032258</v>
      </c>
    </row>
    <row r="52" spans="1:43" ht="16.5" thickBot="1" x14ac:dyDescent="0.35">
      <c r="B52" s="4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Q52" t="s">
        <v>105</v>
      </c>
      <c r="R52" s="65">
        <v>689</v>
      </c>
      <c r="S52" s="65">
        <v>871</v>
      </c>
      <c r="T52" s="65">
        <v>871</v>
      </c>
      <c r="U52" s="65">
        <v>803</v>
      </c>
      <c r="V52" s="65">
        <v>571</v>
      </c>
      <c r="W52" s="65">
        <v>305</v>
      </c>
      <c r="X52">
        <v>417</v>
      </c>
      <c r="Y52">
        <v>327.39999999999998</v>
      </c>
      <c r="Z52">
        <v>654</v>
      </c>
      <c r="AA52">
        <v>824</v>
      </c>
      <c r="AB52">
        <v>518</v>
      </c>
      <c r="AC52">
        <v>77</v>
      </c>
      <c r="AE52" t="s">
        <v>105</v>
      </c>
      <c r="AF52" s="404">
        <v>-689.226870967742</v>
      </c>
      <c r="AG52" s="404">
        <v>-871.33632142857141</v>
      </c>
      <c r="AH52" s="404">
        <v>-931.76404558204763</v>
      </c>
      <c r="AI52" s="404">
        <v>-1037.8529166666672</v>
      </c>
      <c r="AJ52" s="404">
        <v>-699.32891935483894</v>
      </c>
      <c r="AK52" s="404">
        <v>-432.80886111111113</v>
      </c>
      <c r="AL52" s="404">
        <v>-368.58534408602156</v>
      </c>
      <c r="AM52" s="9">
        <f>AM53+AM56</f>
        <v>206.70937276030108</v>
      </c>
      <c r="AN52" s="9">
        <f>AN53+AN56</f>
        <v>511.695333334</v>
      </c>
      <c r="AO52" s="9">
        <f>AO53+AO56</f>
        <v>597.14434050223656</v>
      </c>
      <c r="AP52" s="9">
        <f>AP53+AP56</f>
        <v>210.65077777766663</v>
      </c>
      <c r="AQ52" s="9">
        <f>AQ53+AQ56</f>
        <v>146.52612903225807</v>
      </c>
    </row>
    <row r="53" spans="1:43" x14ac:dyDescent="0.25">
      <c r="B53" s="6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Q53" t="s">
        <v>1392</v>
      </c>
      <c r="R53">
        <v>-689.226870967742</v>
      </c>
      <c r="S53">
        <v>-871.33632142857141</v>
      </c>
      <c r="T53">
        <v>-931.76404558204763</v>
      </c>
      <c r="U53">
        <v>-1037.8529166666672</v>
      </c>
      <c r="V53">
        <v>-699.32891935483894</v>
      </c>
      <c r="W53">
        <v>-432.80886111111113</v>
      </c>
      <c r="X53">
        <v>417</v>
      </c>
      <c r="Y53">
        <v>327.39999999999998</v>
      </c>
      <c r="Z53">
        <v>654</v>
      </c>
      <c r="AA53">
        <v>824</v>
      </c>
      <c r="AB53">
        <v>518</v>
      </c>
      <c r="AC53">
        <v>77</v>
      </c>
      <c r="AE53" s="8" t="s">
        <v>70</v>
      </c>
      <c r="AF53" s="9">
        <v>347.18258064516135</v>
      </c>
      <c r="AG53" s="9">
        <v>442.09321428571428</v>
      </c>
      <c r="AH53" s="9">
        <v>732.17882258064503</v>
      </c>
      <c r="AI53" s="9">
        <v>711.29816666633337</v>
      </c>
      <c r="AJ53" s="9">
        <v>257.03590322580641</v>
      </c>
      <c r="AK53" s="9">
        <v>67.17583333333333</v>
      </c>
      <c r="AL53" s="9">
        <v>46.325806451612905</v>
      </c>
      <c r="AM53" s="9">
        <v>89.735483870967741</v>
      </c>
      <c r="AN53" s="9">
        <v>381.66866666666664</v>
      </c>
      <c r="AO53" s="9">
        <v>515.25596774193548</v>
      </c>
      <c r="AP53" s="9">
        <v>124.00166666666667</v>
      </c>
      <c r="AQ53" s="9">
        <v>96.526129032258069</v>
      </c>
    </row>
    <row r="54" spans="1:43" x14ac:dyDescent="0.25">
      <c r="B54" s="6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AE54" s="8" t="s">
        <v>57</v>
      </c>
      <c r="AF54" s="9">
        <v>347.97645161290325</v>
      </c>
      <c r="AG54" s="9">
        <v>594.7177864293659</v>
      </c>
      <c r="AH54" s="9">
        <v>237.86139043381533</v>
      </c>
      <c r="AI54" s="9">
        <v>80.508333333333326</v>
      </c>
      <c r="AJ54" s="9">
        <v>22.800161290322581</v>
      </c>
      <c r="AK54" s="9">
        <v>59.756666666666675</v>
      </c>
      <c r="AL54" s="9">
        <v>52.009677419354837</v>
      </c>
      <c r="AM54" s="9">
        <v>102.1708064516129</v>
      </c>
      <c r="AN54" s="9">
        <f>238.371666667333-7</f>
        <v>231.37166666733299</v>
      </c>
      <c r="AO54" s="9">
        <f>349.070537633742-39</f>
        <v>310.07053763374199</v>
      </c>
      <c r="AP54" s="9">
        <f>71.0011666666667-3</f>
        <v>68.001166666666705</v>
      </c>
      <c r="AQ54" s="9">
        <v>0</v>
      </c>
    </row>
    <row r="55" spans="1:43" x14ac:dyDescent="0.25">
      <c r="B55" s="4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Q55" t="s">
        <v>1412</v>
      </c>
      <c r="R55">
        <v>-518.53516129032255</v>
      </c>
      <c r="S55">
        <v>-905.17339901477828</v>
      </c>
      <c r="T55">
        <v>-815.41001612903221</v>
      </c>
      <c r="U55">
        <v>-696.64373333333344</v>
      </c>
      <c r="V55">
        <v>-460.26048387096773</v>
      </c>
      <c r="AE55" s="16" t="s">
        <v>59</v>
      </c>
      <c r="AF55" s="17">
        <v>877.89209677419387</v>
      </c>
      <c r="AG55" s="17">
        <v>1086.994344827586</v>
      </c>
      <c r="AH55" s="17">
        <v>629.37490322580652</v>
      </c>
      <c r="AI55" s="17">
        <v>500.59283333333337</v>
      </c>
      <c r="AJ55" s="17">
        <v>225.10806451612905</v>
      </c>
      <c r="AK55" s="17">
        <v>227.28416666666666</v>
      </c>
      <c r="AL55" s="17">
        <v>211.11274193548388</v>
      </c>
      <c r="AM55" s="17">
        <v>122.99354838709688</v>
      </c>
      <c r="AN55" s="17">
        <v>205.66433333333333</v>
      </c>
      <c r="AO55" s="17">
        <v>381.26325806451621</v>
      </c>
      <c r="AP55" s="17">
        <v>74.424300000000031</v>
      </c>
      <c r="AQ55" s="17"/>
    </row>
    <row r="56" spans="1:43" x14ac:dyDescent="0.25">
      <c r="B56" s="6"/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R56">
        <f>R55*-1</f>
        <v>518.53516129032255</v>
      </c>
      <c r="S56">
        <f>S55*-1</f>
        <v>905.17339901477828</v>
      </c>
      <c r="T56">
        <f>T55*-1</f>
        <v>815.41001612903221</v>
      </c>
      <c r="U56">
        <f>U55*-1</f>
        <v>696.64373333333344</v>
      </c>
      <c r="V56">
        <f>V55*-1</f>
        <v>460.26048387096773</v>
      </c>
      <c r="AE56" t="s">
        <v>73</v>
      </c>
      <c r="AK56">
        <v>114</v>
      </c>
      <c r="AL56">
        <v>115.1891075265484</v>
      </c>
      <c r="AM56">
        <v>116.97388888933334</v>
      </c>
      <c r="AN56">
        <v>130.02666666733333</v>
      </c>
      <c r="AO56">
        <v>81.888372760301039</v>
      </c>
      <c r="AP56">
        <v>86.649111110999982</v>
      </c>
      <c r="AQ56">
        <v>50</v>
      </c>
    </row>
    <row r="57" spans="1:43" x14ac:dyDescent="0.25">
      <c r="D57" t="s">
        <v>3</v>
      </c>
      <c r="E57" t="s">
        <v>4</v>
      </c>
      <c r="F57" t="s">
        <v>5</v>
      </c>
      <c r="G57" t="s">
        <v>6</v>
      </c>
      <c r="H57" t="s">
        <v>7</v>
      </c>
      <c r="I57" t="s">
        <v>8</v>
      </c>
      <c r="J57" t="s">
        <v>45</v>
      </c>
      <c r="K57" t="s">
        <v>46</v>
      </c>
      <c r="L57" t="s">
        <v>9</v>
      </c>
      <c r="M57" t="s">
        <v>10</v>
      </c>
      <c r="N57" t="s">
        <v>11</v>
      </c>
      <c r="O57" t="s">
        <v>12</v>
      </c>
      <c r="P57" t="s">
        <v>1403</v>
      </c>
    </row>
    <row r="58" spans="1:43" ht="15.75" thickBot="1" x14ac:dyDescent="0.3">
      <c r="C58" s="16" t="s">
        <v>1408</v>
      </c>
      <c r="D58" s="53">
        <v>272.02499999999992</v>
      </c>
      <c r="E58" s="53">
        <v>560.67071428571433</v>
      </c>
      <c r="F58" s="53">
        <v>449.29274193548383</v>
      </c>
      <c r="G58" s="53">
        <v>403.18786021505372</v>
      </c>
      <c r="H58" s="53">
        <v>165.51763440860213</v>
      </c>
      <c r="I58" s="53">
        <v>120.30666666666666</v>
      </c>
      <c r="J58" s="53">
        <v>103.96935483870968</v>
      </c>
      <c r="K58" s="53">
        <v>104.14999999999999</v>
      </c>
      <c r="L58" s="53">
        <v>113.84166666666667</v>
      </c>
      <c r="M58" s="53">
        <v>174.68709677419355</v>
      </c>
      <c r="N58" s="53">
        <v>124.77500000000001</v>
      </c>
      <c r="O58" s="53">
        <v>106.0016129032258</v>
      </c>
    </row>
    <row r="59" spans="1:43" x14ac:dyDescent="0.25">
      <c r="A59" s="503" t="s">
        <v>1394</v>
      </c>
      <c r="B59" s="497"/>
      <c r="C59" s="16" t="s">
        <v>1407</v>
      </c>
      <c r="D59" s="50">
        <v>668.68439383503653</v>
      </c>
      <c r="E59" s="50">
        <v>981.80061287991953</v>
      </c>
      <c r="F59" s="50">
        <v>880.54877355933081</v>
      </c>
      <c r="G59" s="50">
        <v>883.83607799300944</v>
      </c>
      <c r="H59" s="50">
        <v>639.23118853055485</v>
      </c>
      <c r="I59" s="50">
        <v>520.62609629620738</v>
      </c>
      <c r="J59" s="50">
        <v>477.89322580636292</v>
      </c>
      <c r="K59" s="50">
        <v>401.43754026296205</v>
      </c>
      <c r="L59" s="50">
        <v>395.72860000008899</v>
      </c>
      <c r="M59" s="50">
        <v>450.27853667891043</v>
      </c>
      <c r="N59" s="50">
        <v>373.05879851848886</v>
      </c>
      <c r="O59" s="50">
        <v>339.01556272410323</v>
      </c>
      <c r="P59">
        <f t="shared" ref="P59:P72" si="8">AVERAGE(D59:F59)</f>
        <v>843.67792675809562</v>
      </c>
    </row>
    <row r="60" spans="1:43" ht="15.75" thickBot="1" x14ac:dyDescent="0.3">
      <c r="A60" s="498"/>
      <c r="B60" s="499"/>
      <c r="C60" s="45" t="s">
        <v>88</v>
      </c>
      <c r="D60" s="11">
        <v>689.226870967742</v>
      </c>
      <c r="E60" s="11">
        <v>871.33632142857141</v>
      </c>
      <c r="F60" s="11">
        <v>931.76404558204763</v>
      </c>
      <c r="G60" s="11">
        <v>1037.8529166666672</v>
      </c>
      <c r="H60" s="11">
        <v>699.32891935483894</v>
      </c>
      <c r="I60" s="11">
        <v>432.80886111111101</v>
      </c>
      <c r="J60" s="11">
        <v>368.58534408602202</v>
      </c>
      <c r="K60" s="11">
        <v>206.70937276030108</v>
      </c>
      <c r="L60" s="11">
        <v>511.695333334</v>
      </c>
      <c r="M60" s="11">
        <v>597.14434050223656</v>
      </c>
      <c r="N60" s="11">
        <v>210.65077777766663</v>
      </c>
      <c r="O60" s="11">
        <v>146.52612903225807</v>
      </c>
      <c r="P60" s="11">
        <f t="shared" si="8"/>
        <v>830.77574599278705</v>
      </c>
    </row>
    <row r="61" spans="1:43" ht="18.75" customHeight="1" thickBot="1" x14ac:dyDescent="0.35">
      <c r="A61" s="498"/>
      <c r="B61" s="499"/>
      <c r="C61" s="45" t="s">
        <v>89</v>
      </c>
      <c r="D61" s="12">
        <f>(D59-D60)/D60</f>
        <v>-2.9805101916386141E-2</v>
      </c>
      <c r="E61" s="12">
        <f t="shared" ref="E61:O61" si="9">(E59-E60)/E60</f>
        <v>0.12677572222656797</v>
      </c>
      <c r="F61" s="12">
        <f t="shared" si="9"/>
        <v>-5.4965924329827547E-2</v>
      </c>
      <c r="G61" s="12">
        <f t="shared" si="9"/>
        <v>-0.14839948532237363</v>
      </c>
      <c r="H61" s="12">
        <f t="shared" si="9"/>
        <v>-8.5936287147579782E-2</v>
      </c>
      <c r="I61" s="12">
        <f t="shared" si="9"/>
        <v>0.20290073303871628</v>
      </c>
      <c r="J61" s="12">
        <f t="shared" si="9"/>
        <v>0.29656057538421865</v>
      </c>
      <c r="K61" s="12">
        <f t="shared" si="9"/>
        <v>0.9420384034954552</v>
      </c>
      <c r="L61" s="12">
        <f t="shared" si="9"/>
        <v>-0.22663238411481818</v>
      </c>
      <c r="M61" s="12">
        <f t="shared" si="9"/>
        <v>-0.24594690740902375</v>
      </c>
      <c r="N61" s="12">
        <f t="shared" si="9"/>
        <v>0.77098229806792984</v>
      </c>
      <c r="O61" s="12">
        <f t="shared" si="9"/>
        <v>1.3136867462694533</v>
      </c>
      <c r="P61" s="12">
        <f t="shared" si="8"/>
        <v>1.4001565326784761E-2</v>
      </c>
      <c r="S61" t="s">
        <v>1406</v>
      </c>
      <c r="U61" s="351" t="s">
        <v>237</v>
      </c>
      <c r="V61" s="113" t="s">
        <v>131</v>
      </c>
      <c r="W61" s="353" t="s">
        <v>156</v>
      </c>
      <c r="X61" s="358" t="s">
        <v>519</v>
      </c>
      <c r="Y61" s="358" t="s">
        <v>534</v>
      </c>
    </row>
    <row r="62" spans="1:43" x14ac:dyDescent="0.25">
      <c r="A62" s="498"/>
      <c r="B62" s="499"/>
      <c r="C62" s="45" t="s">
        <v>65</v>
      </c>
      <c r="D62" s="11">
        <v>518.53516129032255</v>
      </c>
      <c r="E62" s="11">
        <v>905.17339901477828</v>
      </c>
      <c r="F62" s="11">
        <v>815.41001612903221</v>
      </c>
      <c r="G62" s="11">
        <v>696.64373333333344</v>
      </c>
      <c r="H62" s="11">
        <v>460.26048387096773</v>
      </c>
      <c r="I62" s="11">
        <v>227.28416666666666</v>
      </c>
      <c r="J62" s="11">
        <v>211.11274193548388</v>
      </c>
      <c r="K62" s="11">
        <v>122.99354838709688</v>
      </c>
      <c r="L62" s="11">
        <v>205.66433333333333</v>
      </c>
      <c r="M62" s="11">
        <v>381.26325806451621</v>
      </c>
      <c r="N62" s="11">
        <v>74.424300000000031</v>
      </c>
      <c r="O62" s="11">
        <v>0</v>
      </c>
      <c r="P62" s="11">
        <f t="shared" si="8"/>
        <v>746.37285881137768</v>
      </c>
    </row>
    <row r="63" spans="1:43" x14ac:dyDescent="0.25">
      <c r="A63" s="498"/>
      <c r="B63" s="499"/>
      <c r="C63" s="45" t="s">
        <v>89</v>
      </c>
      <c r="D63" s="12">
        <f t="shared" ref="D63:O63" si="10">(D59-D62)/D62</f>
        <v>0.28956422583009173</v>
      </c>
      <c r="E63" s="12">
        <f t="shared" si="10"/>
        <v>8.4654734605043552E-2</v>
      </c>
      <c r="F63" s="12">
        <f t="shared" si="10"/>
        <v>7.9884666783380423E-2</v>
      </c>
      <c r="G63" s="12">
        <f t="shared" si="10"/>
        <v>0.26870599088574204</v>
      </c>
      <c r="H63" s="12">
        <f t="shared" si="10"/>
        <v>0.3888465573980513</v>
      </c>
      <c r="I63" s="12">
        <f t="shared" si="10"/>
        <v>1.290639528180394</v>
      </c>
      <c r="J63" s="12">
        <f t="shared" si="10"/>
        <v>1.2636872669315584</v>
      </c>
      <c r="K63" s="12">
        <f t="shared" si="10"/>
        <v>2.2638910375975168</v>
      </c>
      <c r="L63" s="12">
        <f t="shared" si="10"/>
        <v>0.92414792388287548</v>
      </c>
      <c r="M63" s="12">
        <f t="shared" si="10"/>
        <v>0.18101738668643402</v>
      </c>
      <c r="N63" s="12">
        <f t="shared" si="10"/>
        <v>4.0125939850087766</v>
      </c>
      <c r="O63" s="12" t="e">
        <f t="shared" si="10"/>
        <v>#DIV/0!</v>
      </c>
      <c r="P63" s="12">
        <f t="shared" si="8"/>
        <v>0.15136787573950522</v>
      </c>
    </row>
    <row r="64" spans="1:43" ht="15.75" thickBot="1" x14ac:dyDescent="0.3">
      <c r="A64" s="498"/>
      <c r="B64" s="499"/>
      <c r="C64" s="45" t="s">
        <v>44</v>
      </c>
      <c r="D64" s="11">
        <v>417.94819354838717</v>
      </c>
      <c r="E64" s="11">
        <v>512.31600000000003</v>
      </c>
      <c r="F64" s="11">
        <v>415.3019032258066</v>
      </c>
      <c r="G64" s="11">
        <v>283.59499999999997</v>
      </c>
      <c r="H64" s="11">
        <v>218.23032258064515</v>
      </c>
      <c r="I64" s="11">
        <v>236.04299999999998</v>
      </c>
      <c r="J64" s="11">
        <v>127.59258064516133</v>
      </c>
      <c r="K64" s="11">
        <v>245.76064516129034</v>
      </c>
      <c r="L64" s="11">
        <v>323.25500000000005</v>
      </c>
      <c r="M64" s="11">
        <v>530.40580645161299</v>
      </c>
      <c r="N64" s="11">
        <v>239.63700000000006</v>
      </c>
      <c r="O64" s="11">
        <v>58.000645161290294</v>
      </c>
      <c r="P64" s="11">
        <f t="shared" si="8"/>
        <v>448.5220322580646</v>
      </c>
    </row>
    <row r="65" spans="1:29" ht="15.75" thickBot="1" x14ac:dyDescent="0.3">
      <c r="A65" s="500"/>
      <c r="B65" s="501"/>
      <c r="C65" s="45" t="s">
        <v>89</v>
      </c>
      <c r="D65" s="12">
        <f t="shared" ref="D65:O65" si="11">(D59-D64)/D64</f>
        <v>0.59992172273289379</v>
      </c>
      <c r="E65" s="12">
        <f t="shared" si="11"/>
        <v>0.91639654603783494</v>
      </c>
      <c r="F65" s="12">
        <f t="shared" si="11"/>
        <v>1.1202618305376792</v>
      </c>
      <c r="G65" s="12">
        <f t="shared" si="11"/>
        <v>2.1165432324018743</v>
      </c>
      <c r="H65" s="12">
        <f t="shared" si="11"/>
        <v>1.9291584275339757</v>
      </c>
      <c r="I65" s="12">
        <f t="shared" si="11"/>
        <v>1.2056409056663717</v>
      </c>
      <c r="J65" s="12">
        <f t="shared" si="11"/>
        <v>2.7454624978187239</v>
      </c>
      <c r="K65" s="12">
        <f t="shared" si="11"/>
        <v>0.63344924489233201</v>
      </c>
      <c r="L65" s="12">
        <f t="shared" si="11"/>
        <v>0.22419947100613732</v>
      </c>
      <c r="M65" s="12">
        <f t="shared" si="11"/>
        <v>-0.15106785935989236</v>
      </c>
      <c r="N65" s="12">
        <f t="shared" si="11"/>
        <v>0.55676626947628605</v>
      </c>
      <c r="O65" s="12">
        <f t="shared" si="11"/>
        <v>4.8450308920074328</v>
      </c>
      <c r="P65" s="12">
        <f t="shared" si="8"/>
        <v>0.8788600331028027</v>
      </c>
      <c r="U65" s="113"/>
    </row>
    <row r="66" spans="1:29" x14ac:dyDescent="0.25">
      <c r="A66" s="503" t="s">
        <v>1395</v>
      </c>
      <c r="B66" s="497"/>
      <c r="C66" s="28" t="s">
        <v>87</v>
      </c>
      <c r="D66" s="53">
        <v>484.02499999999992</v>
      </c>
      <c r="E66" s="53">
        <v>772.67071428571433</v>
      </c>
      <c r="F66" s="53">
        <v>661.29274193548383</v>
      </c>
      <c r="G66" s="53">
        <v>615.18786021505366</v>
      </c>
      <c r="H66" s="53">
        <v>377.51763440860213</v>
      </c>
      <c r="I66" s="53">
        <v>332.30666666666667</v>
      </c>
      <c r="J66" s="53">
        <v>315.96935483870971</v>
      </c>
      <c r="K66" s="53">
        <v>316.14999999999998</v>
      </c>
      <c r="L66" s="53">
        <v>325.8416666666667</v>
      </c>
      <c r="M66" s="53">
        <v>386.68709677419355</v>
      </c>
      <c r="N66" s="53">
        <v>336.77499999999998</v>
      </c>
      <c r="O66" s="53">
        <v>318.0016129032258</v>
      </c>
      <c r="P66">
        <f t="shared" si="8"/>
        <v>639.32948540706604</v>
      </c>
    </row>
    <row r="67" spans="1:29" x14ac:dyDescent="0.25">
      <c r="A67" s="502"/>
      <c r="B67" s="499"/>
      <c r="C67" s="45" t="s">
        <v>88</v>
      </c>
      <c r="D67" s="11">
        <v>347.18258064516135</v>
      </c>
      <c r="E67" s="11">
        <v>442.09321428571428</v>
      </c>
      <c r="F67" s="11">
        <v>732.17882258064503</v>
      </c>
      <c r="G67" s="11">
        <v>711.29816666633337</v>
      </c>
      <c r="H67" s="11">
        <v>257.03590322580641</v>
      </c>
      <c r="I67" s="11">
        <v>67.17583333333333</v>
      </c>
      <c r="J67" s="11">
        <v>46.325806451612905</v>
      </c>
      <c r="K67" s="11">
        <v>89.735483870967741</v>
      </c>
      <c r="L67" s="11">
        <v>381.66866666666664</v>
      </c>
      <c r="M67" s="11">
        <v>515.25596774193548</v>
      </c>
      <c r="N67" s="11">
        <v>124.00166666666667</v>
      </c>
      <c r="O67" s="11">
        <v>96.526129032258069</v>
      </c>
      <c r="P67" s="11">
        <f t="shared" si="8"/>
        <v>507.15153917050685</v>
      </c>
    </row>
    <row r="68" spans="1:29" x14ac:dyDescent="0.25">
      <c r="A68" s="502"/>
      <c r="B68" s="499"/>
      <c r="C68" s="45" t="s">
        <v>89</v>
      </c>
      <c r="D68" s="12">
        <f>(D66-D67)/D67</f>
        <v>0.394151167090663</v>
      </c>
      <c r="E68" s="12">
        <f t="shared" ref="E68:O68" si="12">(E66-E67)/E67</f>
        <v>0.74775520030116482</v>
      </c>
      <c r="F68" s="12">
        <f t="shared" si="12"/>
        <v>-9.6815256681851827E-2</v>
      </c>
      <c r="G68" s="12">
        <f t="shared" si="12"/>
        <v>-0.1351195756650454</v>
      </c>
      <c r="H68" s="12">
        <f t="shared" si="12"/>
        <v>0.46873502756131447</v>
      </c>
      <c r="I68" s="12">
        <f t="shared" si="12"/>
        <v>3.9468186723896244</v>
      </c>
      <c r="J68" s="12">
        <f t="shared" si="12"/>
        <v>5.8205904881275687</v>
      </c>
      <c r="K68" s="12">
        <f t="shared" si="12"/>
        <v>2.5231325041340136</v>
      </c>
      <c r="L68" s="12">
        <f t="shared" si="12"/>
        <v>-0.14627084923572439</v>
      </c>
      <c r="M68" s="12">
        <f t="shared" si="12"/>
        <v>-0.24952427340372949</v>
      </c>
      <c r="N68" s="12">
        <f t="shared" si="12"/>
        <v>1.7158909154446846</v>
      </c>
      <c r="O68" s="12">
        <f t="shared" si="12"/>
        <v>2.2944614695669898</v>
      </c>
      <c r="P68" s="12">
        <f t="shared" si="8"/>
        <v>0.34836370356999197</v>
      </c>
    </row>
    <row r="69" spans="1:29" x14ac:dyDescent="0.25">
      <c r="A69" s="498"/>
      <c r="B69" s="499"/>
      <c r="C69" s="45" t="s">
        <v>65</v>
      </c>
      <c r="D69" s="11">
        <v>347.97645161290325</v>
      </c>
      <c r="E69" s="11">
        <v>594.7177864293659</v>
      </c>
      <c r="F69" s="11">
        <v>237.86139043381533</v>
      </c>
      <c r="G69" s="11">
        <v>80.508333333333326</v>
      </c>
      <c r="H69" s="11">
        <v>22.800161290322581</v>
      </c>
      <c r="I69" s="11">
        <v>59.756666666666675</v>
      </c>
      <c r="J69" s="11">
        <v>52.009677419354837</v>
      </c>
      <c r="K69" s="11">
        <v>102.1708064516129</v>
      </c>
      <c r="L69" s="11">
        <f>238.371666667333-7</f>
        <v>231.37166666733299</v>
      </c>
      <c r="M69" s="11">
        <f>349.070537633742-39</f>
        <v>310.07053763374199</v>
      </c>
      <c r="N69" s="11">
        <f>71.0011666666667-3</f>
        <v>68.001166666666705</v>
      </c>
      <c r="O69" s="11">
        <v>0</v>
      </c>
      <c r="P69" s="11">
        <f t="shared" si="8"/>
        <v>393.51854282536146</v>
      </c>
    </row>
    <row r="70" spans="1:29" x14ac:dyDescent="0.25">
      <c r="A70" s="498"/>
      <c r="B70" s="499"/>
      <c r="C70" s="45" t="s">
        <v>89</v>
      </c>
      <c r="D70" s="12">
        <f t="shared" ref="D70:O70" si="13">(D66-D69)/D69</f>
        <v>0.39097056067012287</v>
      </c>
      <c r="E70" s="12">
        <f t="shared" si="13"/>
        <v>0.29922247478886144</v>
      </c>
      <c r="F70" s="12">
        <f t="shared" si="13"/>
        <v>1.7801600786466762</v>
      </c>
      <c r="G70" s="12">
        <f t="shared" si="13"/>
        <v>6.6412941958189053</v>
      </c>
      <c r="H70" s="12">
        <f t="shared" si="13"/>
        <v>15.557673851580939</v>
      </c>
      <c r="I70" s="12">
        <f t="shared" si="13"/>
        <v>4.5609973782562614</v>
      </c>
      <c r="J70" s="12">
        <f t="shared" si="13"/>
        <v>5.0752031259691135</v>
      </c>
      <c r="K70" s="12">
        <f t="shared" si="13"/>
        <v>2.0943281254193242</v>
      </c>
      <c r="L70" s="12">
        <f t="shared" si="13"/>
        <v>0.40830409946073049</v>
      </c>
      <c r="M70" s="12">
        <f t="shared" si="13"/>
        <v>0.24709396682812768</v>
      </c>
      <c r="N70" s="12">
        <f t="shared" si="13"/>
        <v>3.9524885602452873</v>
      </c>
      <c r="O70" s="12" t="e">
        <f t="shared" si="13"/>
        <v>#DIV/0!</v>
      </c>
      <c r="P70" s="12">
        <f t="shared" si="8"/>
        <v>0.82345103803522013</v>
      </c>
    </row>
    <row r="71" spans="1:29" x14ac:dyDescent="0.25">
      <c r="A71" s="498"/>
      <c r="B71" s="499"/>
      <c r="C71" s="45" t="s">
        <v>44</v>
      </c>
      <c r="D71" s="11">
        <v>238.07846666699999</v>
      </c>
      <c r="E71" s="11">
        <v>467.77760000000001</v>
      </c>
      <c r="F71" s="11">
        <v>370.22563333300002</v>
      </c>
      <c r="G71" s="11">
        <v>218.854333333</v>
      </c>
      <c r="H71" s="11">
        <v>116.557833333</v>
      </c>
      <c r="I71" s="11">
        <v>63.005666667</v>
      </c>
      <c r="J71" s="11">
        <v>1.7406666669999999</v>
      </c>
      <c r="K71" s="11">
        <v>63.728999999999999</v>
      </c>
      <c r="L71" s="11">
        <v>165.49833333300001</v>
      </c>
      <c r="M71" s="11">
        <v>445.01900000000001</v>
      </c>
      <c r="N71" s="11">
        <v>196.64500000000001</v>
      </c>
      <c r="O71" s="11">
        <v>29.198333333000001</v>
      </c>
      <c r="P71" s="11">
        <f t="shared" si="8"/>
        <v>358.69390000000004</v>
      </c>
    </row>
    <row r="72" spans="1:29" ht="15.75" thickBot="1" x14ac:dyDescent="0.3">
      <c r="A72" s="500"/>
      <c r="B72" s="501"/>
      <c r="C72" s="45" t="s">
        <v>89</v>
      </c>
      <c r="D72" s="12">
        <f t="shared" ref="D72:O72" si="14">(D66-D71)/D71</f>
        <v>1.0330482079129188</v>
      </c>
      <c r="E72" s="12">
        <f t="shared" si="14"/>
        <v>0.6517907533103644</v>
      </c>
      <c r="F72" s="12">
        <f t="shared" si="14"/>
        <v>0.78618842780311504</v>
      </c>
      <c r="G72" s="12">
        <f t="shared" si="14"/>
        <v>1.8109466732788353</v>
      </c>
      <c r="H72" s="12">
        <f t="shared" si="14"/>
        <v>2.2388868565362978</v>
      </c>
      <c r="I72" s="12">
        <f t="shared" si="14"/>
        <v>4.2742345926277832</v>
      </c>
      <c r="J72" s="12">
        <f t="shared" si="14"/>
        <v>180.5220345336283</v>
      </c>
      <c r="K72" s="12">
        <f t="shared" si="14"/>
        <v>3.9608498485775705</v>
      </c>
      <c r="L72" s="12">
        <f t="shared" si="14"/>
        <v>0.9688516500709351</v>
      </c>
      <c r="M72" s="12">
        <f t="shared" si="14"/>
        <v>-0.13107733203707361</v>
      </c>
      <c r="N72" s="12">
        <f t="shared" si="14"/>
        <v>0.71260393094154417</v>
      </c>
      <c r="O72" s="12">
        <f t="shared" si="14"/>
        <v>9.8910878328736622</v>
      </c>
      <c r="P72" s="12">
        <f t="shared" si="8"/>
        <v>0.82367579634213273</v>
      </c>
      <c r="Q72" t="s">
        <v>1436</v>
      </c>
      <c r="R72" s="52">
        <f>R79+128</f>
        <v>584.68439383503653</v>
      </c>
      <c r="S72" s="52">
        <f t="shared" ref="S72:AC72" si="15">S79+128</f>
        <v>897.80061287991953</v>
      </c>
      <c r="T72" s="52">
        <f t="shared" si="15"/>
        <v>796.54877355933081</v>
      </c>
      <c r="U72" s="52">
        <f t="shared" si="15"/>
        <v>799.83607799300944</v>
      </c>
      <c r="V72" s="52">
        <f t="shared" si="15"/>
        <v>555.23118853055485</v>
      </c>
      <c r="W72" s="52">
        <f t="shared" si="15"/>
        <v>436.62609629620738</v>
      </c>
      <c r="X72" s="52">
        <f t="shared" si="15"/>
        <v>393.89322580636292</v>
      </c>
      <c r="Y72" s="52">
        <f t="shared" si="15"/>
        <v>317.43754026296205</v>
      </c>
      <c r="Z72" s="52">
        <f t="shared" si="15"/>
        <v>311.72860000008899</v>
      </c>
      <c r="AA72" s="52">
        <f t="shared" si="15"/>
        <v>366.27853667891043</v>
      </c>
      <c r="AB72" s="52">
        <f t="shared" si="15"/>
        <v>289.05879851848886</v>
      </c>
      <c r="AC72" s="52">
        <f t="shared" si="15"/>
        <v>255.01556272410323</v>
      </c>
    </row>
    <row r="73" spans="1:29" x14ac:dyDescent="0.25">
      <c r="B73" s="4"/>
      <c r="C73" s="49"/>
      <c r="D73" t="s">
        <v>3</v>
      </c>
      <c r="E73" t="s">
        <v>4</v>
      </c>
      <c r="F73" t="s">
        <v>5</v>
      </c>
      <c r="G73" t="s">
        <v>6</v>
      </c>
      <c r="H73" t="s">
        <v>7</v>
      </c>
      <c r="I73" t="s">
        <v>8</v>
      </c>
      <c r="J73" t="s">
        <v>45</v>
      </c>
      <c r="K73" t="s">
        <v>46</v>
      </c>
      <c r="L73" t="s">
        <v>9</v>
      </c>
      <c r="M73" t="s">
        <v>10</v>
      </c>
      <c r="N73" t="s">
        <v>11</v>
      </c>
      <c r="O73" t="s">
        <v>12</v>
      </c>
      <c r="Q73" t="s">
        <v>1435</v>
      </c>
      <c r="R73" s="52">
        <f>R80+128</f>
        <v>400.02499999999992</v>
      </c>
      <c r="S73" s="52">
        <f t="shared" ref="S73:AC73" si="16">S80+128</f>
        <v>688.67071428571433</v>
      </c>
      <c r="T73" s="52">
        <f t="shared" si="16"/>
        <v>577.29274193548383</v>
      </c>
      <c r="U73" s="52">
        <f t="shared" si="16"/>
        <v>531.18786021505366</v>
      </c>
      <c r="V73" s="52">
        <f t="shared" si="16"/>
        <v>293.51763440860213</v>
      </c>
      <c r="W73" s="52">
        <f t="shared" si="16"/>
        <v>248.30666666666667</v>
      </c>
      <c r="X73" s="52">
        <f t="shared" si="16"/>
        <v>231.96935483870968</v>
      </c>
      <c r="Y73" s="52">
        <f t="shared" si="16"/>
        <v>232.14999999999998</v>
      </c>
      <c r="Z73" s="52">
        <f t="shared" si="16"/>
        <v>241.84166666666667</v>
      </c>
      <c r="AA73" s="52">
        <f t="shared" si="16"/>
        <v>302.68709677419355</v>
      </c>
      <c r="AB73" s="52">
        <f t="shared" si="16"/>
        <v>252.77500000000001</v>
      </c>
      <c r="AC73" s="52">
        <f t="shared" si="16"/>
        <v>234.0016129032258</v>
      </c>
    </row>
    <row r="74" spans="1:29" x14ac:dyDescent="0.25">
      <c r="B74" s="6" t="s">
        <v>1414</v>
      </c>
      <c r="C74" s="50"/>
      <c r="D74" s="50">
        <v>200</v>
      </c>
      <c r="E74" s="50">
        <v>230</v>
      </c>
      <c r="F74" s="50">
        <v>230</v>
      </c>
      <c r="G74" s="50">
        <v>200</v>
      </c>
      <c r="H74" s="50">
        <v>150</v>
      </c>
      <c r="I74" s="50">
        <v>230</v>
      </c>
      <c r="J74" s="50">
        <v>200</v>
      </c>
      <c r="K74" s="50">
        <v>100</v>
      </c>
      <c r="L74" s="50">
        <v>80</v>
      </c>
      <c r="M74" s="50">
        <v>80</v>
      </c>
      <c r="N74" s="50">
        <v>50</v>
      </c>
      <c r="O74" s="50">
        <v>25</v>
      </c>
    </row>
    <row r="75" spans="1:29" x14ac:dyDescent="0.25">
      <c r="B75" s="6" t="s">
        <v>1411</v>
      </c>
      <c r="C75" s="49"/>
      <c r="D75" s="49">
        <f>D60-D67</f>
        <v>342.04429032258065</v>
      </c>
      <c r="E75" s="49">
        <f t="shared" ref="E75:O75" si="17">E60-E67</f>
        <v>429.24310714285713</v>
      </c>
      <c r="F75" s="49">
        <f t="shared" si="17"/>
        <v>199.5852230014026</v>
      </c>
      <c r="G75" s="49">
        <f t="shared" si="17"/>
        <v>326.5547500003338</v>
      </c>
      <c r="H75" s="49">
        <f t="shared" si="17"/>
        <v>442.29301612903254</v>
      </c>
      <c r="I75" s="49">
        <f t="shared" si="17"/>
        <v>365.63302777777767</v>
      </c>
      <c r="J75" s="49">
        <f t="shared" si="17"/>
        <v>322.25953763440913</v>
      </c>
      <c r="K75" s="49">
        <f t="shared" si="17"/>
        <v>116.97388888933334</v>
      </c>
      <c r="L75" s="49">
        <f t="shared" si="17"/>
        <v>130.02666666733336</v>
      </c>
      <c r="M75" s="49">
        <f t="shared" si="17"/>
        <v>81.888372760301081</v>
      </c>
      <c r="N75" s="49">
        <f t="shared" si="17"/>
        <v>86.649111110999968</v>
      </c>
      <c r="O75" s="49">
        <f t="shared" si="17"/>
        <v>50</v>
      </c>
    </row>
    <row r="76" spans="1:29" x14ac:dyDescent="0.25">
      <c r="B76" s="6" t="s">
        <v>1410</v>
      </c>
      <c r="C76" s="50"/>
      <c r="D76" s="50">
        <f>D62-D69</f>
        <v>170.5587096774193</v>
      </c>
      <c r="E76" s="50">
        <f t="shared" ref="E76:O76" si="18">E62-E69</f>
        <v>310.45561258541238</v>
      </c>
      <c r="F76" s="50">
        <f t="shared" si="18"/>
        <v>577.54862569521686</v>
      </c>
      <c r="G76" s="50">
        <f t="shared" si="18"/>
        <v>616.13540000000012</v>
      </c>
      <c r="H76" s="50">
        <f t="shared" si="18"/>
        <v>437.46032258064514</v>
      </c>
      <c r="I76" s="50">
        <f t="shared" si="18"/>
        <v>167.52749999999997</v>
      </c>
      <c r="J76" s="50">
        <f t="shared" si="18"/>
        <v>159.10306451612905</v>
      </c>
      <c r="K76" s="50">
        <f t="shared" si="18"/>
        <v>20.822741935483975</v>
      </c>
      <c r="L76" s="50">
        <f>L62-L69</f>
        <v>-25.707333333999657</v>
      </c>
      <c r="M76" s="50">
        <f t="shared" si="18"/>
        <v>71.192720430774216</v>
      </c>
      <c r="N76" s="50">
        <f t="shared" si="18"/>
        <v>6.4231333333333254</v>
      </c>
      <c r="O76" s="50">
        <f t="shared" si="18"/>
        <v>0</v>
      </c>
      <c r="Q76" t="s">
        <v>1433</v>
      </c>
      <c r="R76">
        <v>584.68439383503653</v>
      </c>
      <c r="S76">
        <v>897.80061287991953</v>
      </c>
      <c r="T76">
        <v>796.54877355933081</v>
      </c>
      <c r="U76">
        <v>799.83607799300944</v>
      </c>
      <c r="V76">
        <v>555.23118853055485</v>
      </c>
      <c r="W76">
        <v>436.62609629620738</v>
      </c>
      <c r="X76">
        <v>393.89322580636292</v>
      </c>
      <c r="Y76">
        <v>317.43754026296205</v>
      </c>
      <c r="Z76">
        <v>311.72860000008899</v>
      </c>
      <c r="AA76">
        <v>366.27853667891043</v>
      </c>
      <c r="AB76">
        <v>289.05879851848886</v>
      </c>
      <c r="AC76">
        <v>255.01556272410323</v>
      </c>
    </row>
    <row r="77" spans="1:29" x14ac:dyDescent="0.25">
      <c r="B77" s="6" t="s">
        <v>1409</v>
      </c>
      <c r="C77" s="50"/>
      <c r="D77" s="50">
        <f>D64-D71</f>
        <v>179.86972688138718</v>
      </c>
      <c r="E77" s="50">
        <f t="shared" ref="E77:O77" si="19">E64-E71</f>
        <v>44.538400000000024</v>
      </c>
      <c r="F77" s="50">
        <f t="shared" si="19"/>
        <v>45.076269892806579</v>
      </c>
      <c r="G77" s="50">
        <f t="shared" si="19"/>
        <v>64.740666666999971</v>
      </c>
      <c r="H77" s="50">
        <f t="shared" si="19"/>
        <v>101.67248924764515</v>
      </c>
      <c r="I77" s="50">
        <f t="shared" si="19"/>
        <v>173.03733333299999</v>
      </c>
      <c r="J77" s="50">
        <f t="shared" si="19"/>
        <v>125.85191397816133</v>
      </c>
      <c r="K77" s="50">
        <f t="shared" si="19"/>
        <v>182.03164516129033</v>
      </c>
      <c r="L77" s="50">
        <f t="shared" si="19"/>
        <v>157.75666666700005</v>
      </c>
      <c r="M77" s="50">
        <f t="shared" si="19"/>
        <v>85.386806451612983</v>
      </c>
      <c r="N77" s="50">
        <f t="shared" si="19"/>
        <v>42.992000000000047</v>
      </c>
      <c r="O77" s="50">
        <f t="shared" si="19"/>
        <v>28.802311828290293</v>
      </c>
      <c r="Q77" t="s">
        <v>1433</v>
      </c>
      <c r="R77">
        <v>400.02499999999992</v>
      </c>
      <c r="S77">
        <v>688.67071428571433</v>
      </c>
      <c r="T77">
        <v>577.29274193548383</v>
      </c>
      <c r="U77">
        <v>531.18786021505366</v>
      </c>
      <c r="V77">
        <v>293.51763440860213</v>
      </c>
      <c r="W77">
        <v>248.30666666666667</v>
      </c>
      <c r="X77">
        <v>231.96935483870968</v>
      </c>
      <c r="Y77">
        <v>232.14999999999998</v>
      </c>
      <c r="Z77">
        <v>241.84166666666667</v>
      </c>
      <c r="AA77">
        <v>302.68709677419355</v>
      </c>
      <c r="AB77">
        <v>252.77500000000001</v>
      </c>
      <c r="AC77">
        <v>234.0016129032258</v>
      </c>
    </row>
    <row r="78" spans="1:29" x14ac:dyDescent="0.25">
      <c r="B78" s="6" t="s">
        <v>1413</v>
      </c>
      <c r="C78" s="50"/>
      <c r="D78" s="50">
        <f t="shared" ref="D78:O78" si="20">AVERAGE(D75:D77)</f>
        <v>230.82424229379572</v>
      </c>
      <c r="E78" s="50">
        <f t="shared" si="20"/>
        <v>261.41237324275647</v>
      </c>
      <c r="F78" s="50">
        <f t="shared" si="20"/>
        <v>274.07003952980864</v>
      </c>
      <c r="G78" s="50">
        <f t="shared" si="20"/>
        <v>335.81027222244461</v>
      </c>
      <c r="H78" s="50">
        <f t="shared" si="20"/>
        <v>327.14194265244095</v>
      </c>
      <c r="I78" s="50">
        <f t="shared" si="20"/>
        <v>235.39928703692587</v>
      </c>
      <c r="J78" s="50">
        <f t="shared" si="20"/>
        <v>202.40483870956652</v>
      </c>
      <c r="K78" s="50">
        <f t="shared" si="20"/>
        <v>106.60942532870256</v>
      </c>
      <c r="L78" s="50">
        <f t="shared" si="20"/>
        <v>87.358666666777921</v>
      </c>
      <c r="M78" s="50">
        <f t="shared" si="20"/>
        <v>79.489299880896098</v>
      </c>
      <c r="N78" s="50">
        <f t="shared" si="20"/>
        <v>45.354748148111106</v>
      </c>
      <c r="O78" s="50">
        <f t="shared" si="20"/>
        <v>26.267437276096768</v>
      </c>
    </row>
    <row r="79" spans="1:29" x14ac:dyDescent="0.25">
      <c r="B79" s="6" t="s">
        <v>1415</v>
      </c>
      <c r="C79" s="50"/>
      <c r="D79" s="458">
        <f t="shared" ref="D79:O79" si="21">D78*0.8</f>
        <v>184.65939383503658</v>
      </c>
      <c r="E79" s="458">
        <f t="shared" si="21"/>
        <v>209.1298985942052</v>
      </c>
      <c r="F79" s="458">
        <f t="shared" si="21"/>
        <v>219.25603162384692</v>
      </c>
      <c r="G79" s="458">
        <f t="shared" si="21"/>
        <v>268.64821777795572</v>
      </c>
      <c r="H79" s="458">
        <f t="shared" si="21"/>
        <v>261.71355412195277</v>
      </c>
      <c r="I79" s="458">
        <f t="shared" si="21"/>
        <v>188.31942962954071</v>
      </c>
      <c r="J79" s="458">
        <f t="shared" si="21"/>
        <v>161.92387096765322</v>
      </c>
      <c r="K79" s="458">
        <f t="shared" si="21"/>
        <v>85.287540262962054</v>
      </c>
      <c r="L79" s="458">
        <f t="shared" si="21"/>
        <v>69.886933333422334</v>
      </c>
      <c r="M79" s="458">
        <f t="shared" si="21"/>
        <v>63.591439904716879</v>
      </c>
      <c r="N79" s="458">
        <f t="shared" si="21"/>
        <v>36.283798518488886</v>
      </c>
      <c r="O79" s="458">
        <f t="shared" si="21"/>
        <v>21.013949820877414</v>
      </c>
      <c r="Q79" t="s">
        <v>1434</v>
      </c>
      <c r="R79">
        <v>456.68439383503653</v>
      </c>
      <c r="S79">
        <v>769.80061287991953</v>
      </c>
      <c r="T79">
        <v>668.54877355933081</v>
      </c>
      <c r="U79">
        <v>671.83607799300944</v>
      </c>
      <c r="V79">
        <v>427.23118853055485</v>
      </c>
      <c r="W79">
        <v>308.62609629620738</v>
      </c>
      <c r="X79">
        <v>265.89322580636292</v>
      </c>
      <c r="Y79">
        <v>189.43754026296205</v>
      </c>
      <c r="Z79">
        <v>183.72860000008899</v>
      </c>
      <c r="AA79">
        <v>238.27853667891043</v>
      </c>
      <c r="AB79">
        <v>161.05879851848886</v>
      </c>
      <c r="AC79">
        <v>127.01556272410323</v>
      </c>
    </row>
    <row r="80" spans="1:29" x14ac:dyDescent="0.25">
      <c r="R80">
        <v>272.02499999999992</v>
      </c>
      <c r="S80">
        <v>560.67071428571433</v>
      </c>
      <c r="T80">
        <v>449.29274193548383</v>
      </c>
      <c r="U80">
        <v>403.18786021505366</v>
      </c>
      <c r="V80">
        <v>165.51763440860213</v>
      </c>
      <c r="W80">
        <v>120.30666666666667</v>
      </c>
      <c r="X80">
        <v>103.96935483870968</v>
      </c>
      <c r="Y80">
        <v>104.14999999999998</v>
      </c>
      <c r="Z80">
        <v>113.84166666666667</v>
      </c>
      <c r="AA80">
        <v>174.68709677419355</v>
      </c>
      <c r="AB80">
        <v>124.77500000000001</v>
      </c>
      <c r="AC80">
        <v>106.0016129032258</v>
      </c>
    </row>
    <row r="81" spans="2:29" x14ac:dyDescent="0.25">
      <c r="B81" s="4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</row>
    <row r="82" spans="2:29" x14ac:dyDescent="0.25">
      <c r="B82" s="6"/>
      <c r="C82" s="50"/>
      <c r="D82" s="50"/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</row>
    <row r="83" spans="2:29" x14ac:dyDescent="0.25">
      <c r="B83" s="6"/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Q83" t="s">
        <v>1456</v>
      </c>
    </row>
    <row r="84" spans="2:29" x14ac:dyDescent="0.25">
      <c r="B84" s="6"/>
      <c r="C84" s="50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R84">
        <f>R76+65+19</f>
        <v>668.68439383503653</v>
      </c>
      <c r="S84">
        <f t="shared" ref="S84:AC84" si="22">S76+65+19</f>
        <v>981.80061287991953</v>
      </c>
      <c r="T84">
        <f t="shared" si="22"/>
        <v>880.54877355933081</v>
      </c>
      <c r="U84">
        <f t="shared" si="22"/>
        <v>883.83607799300944</v>
      </c>
      <c r="V84">
        <f t="shared" si="22"/>
        <v>639.23118853055485</v>
      </c>
      <c r="W84">
        <f t="shared" si="22"/>
        <v>520.62609629620738</v>
      </c>
      <c r="X84">
        <f t="shared" si="22"/>
        <v>477.89322580636292</v>
      </c>
      <c r="Y84">
        <f t="shared" si="22"/>
        <v>401.43754026296205</v>
      </c>
      <c r="Z84">
        <f t="shared" si="22"/>
        <v>395.72860000008899</v>
      </c>
      <c r="AA84">
        <f t="shared" si="22"/>
        <v>450.27853667891043</v>
      </c>
      <c r="AB84">
        <f t="shared" si="22"/>
        <v>373.05879851848886</v>
      </c>
      <c r="AC84">
        <f t="shared" si="22"/>
        <v>339.01556272410323</v>
      </c>
    </row>
    <row r="85" spans="2:29" x14ac:dyDescent="0.25">
      <c r="B85" s="6"/>
      <c r="C85" s="50"/>
      <c r="D85" s="50"/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50"/>
      <c r="R85">
        <f>R77+65+19</f>
        <v>484.02499999999992</v>
      </c>
      <c r="S85">
        <f t="shared" ref="S85:AC85" si="23">S77+65+19</f>
        <v>772.67071428571433</v>
      </c>
      <c r="T85">
        <f t="shared" si="23"/>
        <v>661.29274193548383</v>
      </c>
      <c r="U85">
        <f t="shared" si="23"/>
        <v>615.18786021505366</v>
      </c>
      <c r="V85">
        <f t="shared" si="23"/>
        <v>377.51763440860213</v>
      </c>
      <c r="W85">
        <f t="shared" si="23"/>
        <v>332.30666666666667</v>
      </c>
      <c r="X85">
        <f t="shared" si="23"/>
        <v>315.96935483870971</v>
      </c>
      <c r="Y85">
        <f t="shared" si="23"/>
        <v>316.14999999999998</v>
      </c>
      <c r="Z85">
        <f t="shared" si="23"/>
        <v>325.8416666666667</v>
      </c>
      <c r="AA85">
        <f t="shared" si="23"/>
        <v>386.68709677419355</v>
      </c>
      <c r="AB85">
        <f t="shared" si="23"/>
        <v>336.77499999999998</v>
      </c>
      <c r="AC85">
        <f t="shared" si="23"/>
        <v>318.0016129032258</v>
      </c>
    </row>
    <row r="86" spans="2:29" x14ac:dyDescent="0.25">
      <c r="B86" s="6"/>
      <c r="C86" s="50"/>
      <c r="D86" s="50"/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</row>
    <row r="87" spans="2:29" x14ac:dyDescent="0.25">
      <c r="B87" s="6"/>
      <c r="C87" s="50"/>
      <c r="D87" s="50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</row>
    <row r="88" spans="2:29" x14ac:dyDescent="0.25">
      <c r="B88" s="6"/>
      <c r="C88" s="50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</row>
    <row r="89" spans="2:29" x14ac:dyDescent="0.25">
      <c r="B89" s="4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</row>
    <row r="90" spans="2:29" x14ac:dyDescent="0.25">
      <c r="B90" s="6"/>
      <c r="C90" s="50"/>
      <c r="D90" s="50"/>
      <c r="E90" s="50"/>
      <c r="F90" s="50"/>
      <c r="G90" s="50"/>
      <c r="H90" s="50"/>
      <c r="I90" s="50"/>
      <c r="J90" s="50"/>
      <c r="K90" s="50"/>
      <c r="L90" s="50"/>
      <c r="M90" s="50"/>
      <c r="N90" s="50"/>
      <c r="O90" s="50"/>
    </row>
    <row r="91" spans="2:29" x14ac:dyDescent="0.25">
      <c r="B91" s="4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</row>
    <row r="92" spans="2:29" x14ac:dyDescent="0.25">
      <c r="B92" s="6"/>
      <c r="C92" s="50"/>
      <c r="D92" s="50"/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</row>
    <row r="93" spans="2:29" x14ac:dyDescent="0.25">
      <c r="B93" s="6"/>
      <c r="C93" s="50"/>
      <c r="D93" s="50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</row>
    <row r="94" spans="2:29" x14ac:dyDescent="0.25">
      <c r="B94" s="4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</row>
    <row r="95" spans="2:29" x14ac:dyDescent="0.25">
      <c r="B95" s="6"/>
      <c r="C95" s="50"/>
      <c r="D95" s="50"/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</row>
    <row r="96" spans="2:29" x14ac:dyDescent="0.25">
      <c r="B96" s="4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</row>
    <row r="97" spans="2:15" x14ac:dyDescent="0.25">
      <c r="B97" s="6"/>
      <c r="C97" s="50"/>
      <c r="D97" s="50"/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50"/>
    </row>
    <row r="98" spans="2:15" x14ac:dyDescent="0.25">
      <c r="B98" s="6"/>
      <c r="C98" s="50"/>
      <c r="D98" s="50"/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0"/>
    </row>
    <row r="99" spans="2:15" x14ac:dyDescent="0.25">
      <c r="B99" s="4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</row>
    <row r="100" spans="2:15" x14ac:dyDescent="0.25">
      <c r="B100" s="6"/>
      <c r="C100" s="50"/>
      <c r="D100" s="50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</row>
    <row r="101" spans="2:15" x14ac:dyDescent="0.25">
      <c r="B101" s="4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</row>
    <row r="102" spans="2:15" x14ac:dyDescent="0.25">
      <c r="B102" s="6"/>
      <c r="C102" s="50"/>
      <c r="D102" s="50"/>
      <c r="E102" s="50"/>
      <c r="F102" s="50"/>
      <c r="G102" s="50"/>
      <c r="H102" s="50"/>
      <c r="I102" s="50"/>
      <c r="J102" s="50"/>
      <c r="K102" s="50"/>
      <c r="L102" s="50"/>
      <c r="M102" s="50"/>
      <c r="N102" s="50"/>
      <c r="O102" s="50"/>
    </row>
    <row r="103" spans="2:15" x14ac:dyDescent="0.25">
      <c r="B103" s="6"/>
      <c r="C103" s="50"/>
      <c r="D103" s="50"/>
      <c r="E103" s="50"/>
      <c r="F103" s="50"/>
      <c r="G103" s="50"/>
      <c r="H103" s="50"/>
      <c r="I103" s="50"/>
      <c r="J103" s="50"/>
      <c r="K103" s="50"/>
      <c r="L103" s="50"/>
      <c r="M103" s="50"/>
      <c r="N103" s="50"/>
      <c r="O103" s="50"/>
    </row>
    <row r="104" spans="2:15" x14ac:dyDescent="0.25">
      <c r="B104" s="4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</row>
    <row r="105" spans="2:15" x14ac:dyDescent="0.25">
      <c r="B105" s="6"/>
      <c r="C105" s="50"/>
      <c r="D105" s="50"/>
      <c r="E105" s="50"/>
      <c r="F105" s="50"/>
      <c r="G105" s="50"/>
      <c r="H105" s="50"/>
      <c r="I105" s="50"/>
      <c r="J105" s="50"/>
      <c r="K105" s="50"/>
      <c r="L105" s="50"/>
      <c r="M105" s="50"/>
      <c r="N105" s="50"/>
      <c r="O105" s="50"/>
    </row>
    <row r="106" spans="2:15" x14ac:dyDescent="0.25">
      <c r="B106" s="6"/>
      <c r="C106" s="50"/>
      <c r="D106" s="50"/>
      <c r="E106" s="50"/>
      <c r="F106" s="50"/>
      <c r="G106" s="50"/>
      <c r="H106" s="50"/>
      <c r="I106" s="50"/>
      <c r="J106" s="50"/>
      <c r="K106" s="50"/>
      <c r="L106" s="50"/>
      <c r="M106" s="50"/>
      <c r="N106" s="50"/>
      <c r="O106" s="50"/>
    </row>
    <row r="107" spans="2:15" x14ac:dyDescent="0.25">
      <c r="B107" s="4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</row>
    <row r="108" spans="2:15" x14ac:dyDescent="0.25">
      <c r="B108" s="6"/>
      <c r="C108" s="50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</row>
    <row r="109" spans="2:15" x14ac:dyDescent="0.25">
      <c r="B109" s="4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</row>
    <row r="110" spans="2:15" x14ac:dyDescent="0.25">
      <c r="B110" s="6"/>
      <c r="C110" s="50"/>
      <c r="D110" s="50"/>
      <c r="E110" s="50"/>
      <c r="F110" s="50"/>
      <c r="G110" s="50"/>
      <c r="H110" s="50"/>
      <c r="I110" s="50"/>
      <c r="J110" s="50"/>
      <c r="K110" s="50"/>
      <c r="L110" s="50"/>
      <c r="M110" s="50"/>
      <c r="N110" s="50"/>
      <c r="O110" s="50"/>
    </row>
    <row r="111" spans="2:15" x14ac:dyDescent="0.25">
      <c r="B111" s="4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</row>
    <row r="112" spans="2:15" x14ac:dyDescent="0.25">
      <c r="B112" s="6"/>
      <c r="C112" s="50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</row>
    <row r="113" spans="2:15" x14ac:dyDescent="0.25">
      <c r="B113" s="4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</row>
    <row r="114" spans="2:15" x14ac:dyDescent="0.25">
      <c r="B114" s="6"/>
      <c r="C114" s="50"/>
      <c r="D114" s="50"/>
      <c r="E114" s="50"/>
      <c r="F114" s="50"/>
      <c r="G114" s="50"/>
      <c r="H114" s="50"/>
      <c r="I114" s="50"/>
      <c r="J114" s="50"/>
      <c r="K114" s="50"/>
      <c r="L114" s="50"/>
      <c r="M114" s="50"/>
      <c r="N114" s="50"/>
      <c r="O114" s="50"/>
    </row>
    <row r="115" spans="2:15" x14ac:dyDescent="0.25">
      <c r="B115" s="6"/>
      <c r="C115" s="50"/>
      <c r="D115" s="50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</row>
    <row r="116" spans="2:15" x14ac:dyDescent="0.25">
      <c r="B116" s="4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</row>
    <row r="117" spans="2:15" x14ac:dyDescent="0.25">
      <c r="B117" s="6"/>
      <c r="C117" s="50"/>
      <c r="D117" s="50"/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0"/>
    </row>
    <row r="118" spans="2:15" x14ac:dyDescent="0.25">
      <c r="B118" s="6"/>
      <c r="C118" s="50"/>
      <c r="D118" s="50"/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</row>
    <row r="119" spans="2:15" x14ac:dyDescent="0.25">
      <c r="B119" s="4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</row>
    <row r="120" spans="2:15" x14ac:dyDescent="0.25">
      <c r="B120" s="6"/>
      <c r="C120" s="50"/>
      <c r="D120" s="50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</row>
    <row r="121" spans="2:15" x14ac:dyDescent="0.25">
      <c r="B121" s="4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</row>
    <row r="122" spans="2:15" x14ac:dyDescent="0.25">
      <c r="B122" s="6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0"/>
      <c r="O122" s="50"/>
    </row>
    <row r="123" spans="2:15" x14ac:dyDescent="0.25">
      <c r="B123" s="6"/>
      <c r="C123" s="50"/>
      <c r="D123" s="50"/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</row>
    <row r="124" spans="2:15" x14ac:dyDescent="0.25">
      <c r="B124" s="6"/>
      <c r="C124" s="50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</row>
    <row r="125" spans="2:15" x14ac:dyDescent="0.25">
      <c r="B125" s="6"/>
      <c r="C125" s="50"/>
      <c r="D125" s="50"/>
      <c r="E125" s="50"/>
      <c r="F125" s="50"/>
      <c r="G125" s="50"/>
      <c r="H125" s="50"/>
      <c r="I125" s="50"/>
      <c r="J125" s="50"/>
      <c r="K125" s="50"/>
      <c r="L125" s="50"/>
      <c r="M125" s="50"/>
      <c r="N125" s="50"/>
      <c r="O125" s="50"/>
    </row>
    <row r="126" spans="2:15" x14ac:dyDescent="0.25">
      <c r="B126" s="6"/>
      <c r="C126" s="50"/>
      <c r="D126" s="50"/>
      <c r="E126" s="50"/>
      <c r="F126" s="50"/>
      <c r="G126" s="50"/>
      <c r="H126" s="50"/>
      <c r="I126" s="50"/>
      <c r="J126" s="50"/>
      <c r="K126" s="50"/>
      <c r="L126" s="50"/>
      <c r="M126" s="50"/>
      <c r="N126" s="50"/>
      <c r="O126" s="50"/>
    </row>
    <row r="127" spans="2:15" x14ac:dyDescent="0.25">
      <c r="B127" s="6"/>
      <c r="C127" s="50"/>
      <c r="D127" s="50"/>
      <c r="E127" s="50"/>
      <c r="F127" s="50"/>
      <c r="G127" s="50"/>
      <c r="H127" s="50"/>
      <c r="I127" s="50"/>
      <c r="J127" s="50"/>
      <c r="K127" s="50"/>
      <c r="L127" s="50"/>
      <c r="M127" s="50"/>
      <c r="N127" s="50"/>
      <c r="O127" s="50"/>
    </row>
    <row r="128" spans="2:15" x14ac:dyDescent="0.25">
      <c r="B128" s="6"/>
      <c r="C128" s="50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</row>
    <row r="129" spans="2:15" x14ac:dyDescent="0.25">
      <c r="B129" s="6"/>
      <c r="C129" s="50"/>
      <c r="D129" s="50"/>
      <c r="E129" s="50"/>
      <c r="F129" s="50"/>
      <c r="G129" s="50"/>
      <c r="H129" s="50"/>
      <c r="I129" s="50"/>
      <c r="J129" s="50"/>
      <c r="K129" s="50"/>
      <c r="L129" s="50"/>
      <c r="M129" s="50"/>
      <c r="N129" s="50"/>
      <c r="O129" s="50"/>
    </row>
    <row r="130" spans="2:15" x14ac:dyDescent="0.25">
      <c r="B130" s="6"/>
      <c r="C130" s="50"/>
      <c r="D130" s="50"/>
      <c r="E130" s="50"/>
      <c r="F130" s="50"/>
      <c r="G130" s="50"/>
      <c r="H130" s="50"/>
      <c r="I130" s="50"/>
      <c r="J130" s="50"/>
      <c r="K130" s="50"/>
      <c r="L130" s="50"/>
      <c r="M130" s="50"/>
      <c r="N130" s="50"/>
      <c r="O130" s="50"/>
    </row>
    <row r="131" spans="2:15" x14ac:dyDescent="0.25">
      <c r="B131" s="6"/>
      <c r="C131" s="50"/>
      <c r="D131" s="50"/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50"/>
    </row>
    <row r="132" spans="2:15" x14ac:dyDescent="0.25">
      <c r="B132" s="4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</row>
    <row r="133" spans="2:15" x14ac:dyDescent="0.25">
      <c r="B133" s="6"/>
      <c r="C133" s="50"/>
      <c r="D133" s="50"/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</row>
    <row r="134" spans="2:15" x14ac:dyDescent="0.25">
      <c r="B134" s="4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</row>
    <row r="135" spans="2:15" x14ac:dyDescent="0.25">
      <c r="B135" s="6"/>
      <c r="C135" s="50"/>
      <c r="D135" s="50"/>
      <c r="E135" s="50"/>
      <c r="F135" s="50"/>
      <c r="G135" s="50"/>
      <c r="H135" s="50"/>
      <c r="I135" s="50"/>
      <c r="J135" s="50"/>
      <c r="K135" s="50"/>
      <c r="L135" s="50"/>
      <c r="M135" s="50"/>
      <c r="N135" s="50"/>
      <c r="O135" s="50"/>
    </row>
  </sheetData>
  <mergeCells count="4">
    <mergeCell ref="Q2:AC2"/>
    <mergeCell ref="O35:P39"/>
    <mergeCell ref="A59:B65"/>
    <mergeCell ref="A66:B72"/>
  </mergeCells>
  <phoneticPr fontId="13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20F10-DA90-4022-8DB8-96B6608FDC96}">
  <sheetPr codeName="Sheet6">
    <tabColor rgb="FFFFFF00"/>
  </sheetPr>
  <dimension ref="A1:Z115"/>
  <sheetViews>
    <sheetView topLeftCell="A73" zoomScale="125" zoomScaleNormal="85" workbookViewId="0">
      <selection activeCell="T6" sqref="T6"/>
    </sheetView>
  </sheetViews>
  <sheetFormatPr defaultRowHeight="15" x14ac:dyDescent="0.25"/>
  <cols>
    <col min="4" max="4" width="12" bestFit="1" customWidth="1"/>
    <col min="21" max="21" width="12" bestFit="1" customWidth="1"/>
  </cols>
  <sheetData>
    <row r="1" spans="1:26" ht="31.5" x14ac:dyDescent="0.5">
      <c r="A1" t="s">
        <v>91</v>
      </c>
      <c r="B1">
        <v>2024</v>
      </c>
      <c r="C1">
        <v>2025</v>
      </c>
      <c r="D1" t="s">
        <v>92</v>
      </c>
      <c r="P1" s="459" t="s">
        <v>97</v>
      </c>
      <c r="Q1" s="460"/>
      <c r="R1" s="460"/>
      <c r="S1" s="460"/>
      <c r="T1" s="460"/>
      <c r="U1" s="460"/>
      <c r="V1" s="460" t="s">
        <v>102</v>
      </c>
      <c r="W1" s="461"/>
      <c r="Z1" t="s">
        <v>103</v>
      </c>
    </row>
    <row r="2" spans="1:26" x14ac:dyDescent="0.25">
      <c r="G2" s="2" t="s">
        <v>78</v>
      </c>
      <c r="P2" s="462"/>
      <c r="W2" s="463"/>
      <c r="Y2" t="s">
        <v>104</v>
      </c>
    </row>
    <row r="3" spans="1:26" x14ac:dyDescent="0.25">
      <c r="A3" t="s">
        <v>93</v>
      </c>
      <c r="B3">
        <v>2024</v>
      </c>
      <c r="C3">
        <v>2025</v>
      </c>
      <c r="D3" t="s">
        <v>92</v>
      </c>
      <c r="P3" s="462"/>
      <c r="Q3" t="s">
        <v>98</v>
      </c>
      <c r="R3" t="s">
        <v>1</v>
      </c>
      <c r="W3" s="463"/>
    </row>
    <row r="4" spans="1:26" x14ac:dyDescent="0.25">
      <c r="A4" t="s">
        <v>3</v>
      </c>
      <c r="B4">
        <v>376.30645161290323</v>
      </c>
      <c r="C4" s="62">
        <v>347.18258064516129</v>
      </c>
      <c r="D4" s="63">
        <v>272.02499999999992</v>
      </c>
      <c r="P4" s="462"/>
      <c r="Q4" t="s">
        <v>93</v>
      </c>
      <c r="R4" t="s">
        <v>99</v>
      </c>
      <c r="S4" t="s">
        <v>100</v>
      </c>
      <c r="T4" t="s">
        <v>101</v>
      </c>
      <c r="U4" t="s">
        <v>92</v>
      </c>
      <c r="W4" s="463"/>
    </row>
    <row r="5" spans="1:26" x14ac:dyDescent="0.25">
      <c r="A5" t="s">
        <v>4</v>
      </c>
      <c r="B5">
        <v>706.91176783727974</v>
      </c>
      <c r="C5" s="62">
        <v>441.12196428571428</v>
      </c>
      <c r="D5" s="63">
        <v>560.67071428571444</v>
      </c>
      <c r="P5" s="462"/>
      <c r="W5" s="463"/>
    </row>
    <row r="6" spans="1:26" x14ac:dyDescent="0.25">
      <c r="A6" t="s">
        <v>5</v>
      </c>
      <c r="B6">
        <v>527.9323366700412</v>
      </c>
      <c r="C6" s="62">
        <v>724.38672580645164</v>
      </c>
      <c r="D6" s="63">
        <v>449.29274193548372</v>
      </c>
      <c r="P6" s="462"/>
      <c r="Q6" t="s">
        <v>3</v>
      </c>
      <c r="R6">
        <v>713.58045161290295</v>
      </c>
      <c r="S6">
        <v>971.73864516129026</v>
      </c>
      <c r="T6">
        <v>372.22212903225801</v>
      </c>
      <c r="U6">
        <v>294.74612903225801</v>
      </c>
      <c r="V6" s="464">
        <f>U6-D4</f>
        <v>22.721129032258091</v>
      </c>
      <c r="W6" s="463"/>
    </row>
    <row r="7" spans="1:26" x14ac:dyDescent="0.25">
      <c r="A7" t="s">
        <v>6</v>
      </c>
      <c r="B7">
        <v>572.57733333320471</v>
      </c>
      <c r="C7" s="62">
        <v>672.18149999966636</v>
      </c>
      <c r="D7" s="63">
        <v>403.18786021505372</v>
      </c>
      <c r="P7" s="462"/>
      <c r="Q7" t="s">
        <v>4</v>
      </c>
      <c r="R7">
        <v>1128.2900714285713</v>
      </c>
      <c r="S7">
        <v>1337.8524137931036</v>
      </c>
      <c r="T7">
        <v>839.72214285714313</v>
      </c>
      <c r="U7">
        <v>468.11875000000003</v>
      </c>
      <c r="V7" s="464">
        <f t="shared" ref="V7:V18" si="0">U7-D5</f>
        <v>-92.551964285714405</v>
      </c>
      <c r="W7" s="463"/>
    </row>
    <row r="8" spans="1:26" x14ac:dyDescent="0.25">
      <c r="A8" t="s">
        <v>7</v>
      </c>
      <c r="B8">
        <v>346.63860215087095</v>
      </c>
      <c r="C8" s="62">
        <v>233.31654838709682</v>
      </c>
      <c r="D8" s="63">
        <v>165.51763440860222</v>
      </c>
      <c r="P8" s="462"/>
      <c r="Q8" t="s">
        <v>5</v>
      </c>
      <c r="R8">
        <v>1003.2088387096768</v>
      </c>
      <c r="S8">
        <v>915.41658064516105</v>
      </c>
      <c r="T8">
        <v>865.88596774193581</v>
      </c>
      <c r="U8">
        <v>527.37454838709652</v>
      </c>
      <c r="V8" s="464">
        <f t="shared" si="0"/>
        <v>78.081806451612806</v>
      </c>
      <c r="W8" s="463"/>
    </row>
    <row r="9" spans="1:26" x14ac:dyDescent="0.25">
      <c r="A9" t="s">
        <v>8</v>
      </c>
      <c r="B9">
        <v>107.33000000000001</v>
      </c>
      <c r="C9" s="62">
        <v>75.509166666666658</v>
      </c>
      <c r="D9">
        <v>120.30666666666666</v>
      </c>
      <c r="P9" s="462"/>
      <c r="Q9" t="s">
        <v>6</v>
      </c>
      <c r="R9">
        <v>918.93966666666711</v>
      </c>
      <c r="S9">
        <v>771.28016666666701</v>
      </c>
      <c r="T9">
        <v>562.44416666666666</v>
      </c>
      <c r="U9">
        <v>274.53953333333334</v>
      </c>
      <c r="V9" s="464">
        <f t="shared" si="0"/>
        <v>-128.64832688172038</v>
      </c>
      <c r="W9" s="463"/>
    </row>
    <row r="10" spans="1:26" x14ac:dyDescent="0.25">
      <c r="A10" t="s">
        <v>45</v>
      </c>
      <c r="B10">
        <v>60.376344086021504</v>
      </c>
      <c r="C10" s="62">
        <v>52.535483870967745</v>
      </c>
      <c r="D10">
        <v>103.96935483870968</v>
      </c>
      <c r="P10" s="462"/>
      <c r="Q10" t="s">
        <v>7</v>
      </c>
      <c r="R10">
        <v>604.2099999999997</v>
      </c>
      <c r="S10">
        <v>477.80112903225807</v>
      </c>
      <c r="T10">
        <v>278.07419354838703</v>
      </c>
      <c r="U10">
        <v>61.096064516129012</v>
      </c>
      <c r="V10" s="464">
        <f t="shared" si="0"/>
        <v>-104.4215698924732</v>
      </c>
      <c r="W10" s="463"/>
    </row>
    <row r="11" spans="1:26" x14ac:dyDescent="0.25">
      <c r="A11" t="s">
        <v>46</v>
      </c>
      <c r="B11">
        <v>132.18693548387097</v>
      </c>
      <c r="C11" s="62">
        <v>44.8241935483871</v>
      </c>
      <c r="D11">
        <v>104.15</v>
      </c>
      <c r="P11" s="462"/>
      <c r="Q11" t="s">
        <v>8</v>
      </c>
      <c r="R11">
        <v>424.2943333333339</v>
      </c>
      <c r="S11">
        <v>372.30349999999999</v>
      </c>
      <c r="T11">
        <v>69.549499999999995</v>
      </c>
      <c r="U11">
        <v>18.65666666666667</v>
      </c>
      <c r="V11" s="464">
        <f t="shared" si="0"/>
        <v>-101.64999999999999</v>
      </c>
      <c r="W11" s="463"/>
    </row>
    <row r="12" spans="1:26" x14ac:dyDescent="0.25">
      <c r="A12" t="s">
        <v>9</v>
      </c>
      <c r="B12">
        <v>443.19466666700004</v>
      </c>
      <c r="C12" s="62">
        <v>462.70733333333334</v>
      </c>
      <c r="D12">
        <v>113.84166666666667</v>
      </c>
      <c r="P12" s="462"/>
      <c r="Q12" t="s">
        <v>45</v>
      </c>
      <c r="R12">
        <v>388.18903225806446</v>
      </c>
      <c r="S12">
        <v>69.619322580645161</v>
      </c>
      <c r="T12">
        <v>42.852903225806443</v>
      </c>
      <c r="V12" s="464">
        <f t="shared" si="0"/>
        <v>-103.96935483870968</v>
      </c>
      <c r="W12" s="463"/>
    </row>
    <row r="13" spans="1:26" x14ac:dyDescent="0.25">
      <c r="A13" t="s">
        <v>10</v>
      </c>
      <c r="B13">
        <v>662.20441935483882</v>
      </c>
      <c r="C13" s="62">
        <v>600.74209677419344</v>
      </c>
      <c r="D13">
        <v>174.68709677419358</v>
      </c>
      <c r="P13" s="462"/>
      <c r="Q13" t="s">
        <v>46</v>
      </c>
      <c r="R13">
        <v>536.08629032258045</v>
      </c>
      <c r="S13">
        <v>81.140967741935455</v>
      </c>
      <c r="T13">
        <v>50.97999999999999</v>
      </c>
      <c r="V13" s="464">
        <f t="shared" si="0"/>
        <v>-104.15</v>
      </c>
      <c r="W13" s="463"/>
    </row>
    <row r="14" spans="1:26" x14ac:dyDescent="0.25">
      <c r="A14" t="s">
        <v>11</v>
      </c>
      <c r="B14">
        <v>122.84950000000002</v>
      </c>
      <c r="C14" s="62">
        <v>194.55166666666665</v>
      </c>
      <c r="D14">
        <v>124.77500000000001</v>
      </c>
      <c r="P14" s="462"/>
      <c r="Q14" t="s">
        <v>9</v>
      </c>
      <c r="R14">
        <v>928.43276666666713</v>
      </c>
      <c r="S14">
        <v>327.85700000000003</v>
      </c>
      <c r="T14">
        <v>343.23099999999999</v>
      </c>
      <c r="V14" s="464">
        <f t="shared" si="0"/>
        <v>-113.84166666666667</v>
      </c>
      <c r="W14" s="463"/>
    </row>
    <row r="15" spans="1:26" x14ac:dyDescent="0.25">
      <c r="A15" t="s">
        <v>12</v>
      </c>
      <c r="B15">
        <v>6.4580645161290322</v>
      </c>
      <c r="C15" s="62">
        <v>96.526129032258055</v>
      </c>
      <c r="D15">
        <v>106.0016129032258</v>
      </c>
      <c r="P15" s="462"/>
      <c r="Q15" t="s">
        <v>10</v>
      </c>
      <c r="R15">
        <v>1775.1201290322588</v>
      </c>
      <c r="S15">
        <v>593.54632258064498</v>
      </c>
      <c r="T15">
        <v>566.18838709677425</v>
      </c>
      <c r="V15" s="464">
        <f t="shared" si="0"/>
        <v>-174.68709677419358</v>
      </c>
      <c r="W15" s="463"/>
    </row>
    <row r="16" spans="1:26" x14ac:dyDescent="0.25">
      <c r="A16" t="s">
        <v>13</v>
      </c>
      <c r="D16">
        <v>2698.4253486943162</v>
      </c>
      <c r="P16" s="462"/>
      <c r="Q16" t="s">
        <v>11</v>
      </c>
      <c r="R16">
        <v>913.20733333333351</v>
      </c>
      <c r="S16">
        <v>231.79146666666671</v>
      </c>
      <c r="T16">
        <v>130.42699999999996</v>
      </c>
      <c r="V16" s="464">
        <f t="shared" si="0"/>
        <v>-124.77500000000001</v>
      </c>
      <c r="W16" s="463"/>
    </row>
    <row r="17" spans="1:23" x14ac:dyDescent="0.25">
      <c r="P17" s="462"/>
      <c r="Q17" t="s">
        <v>12</v>
      </c>
      <c r="R17">
        <v>348.58783870967727</v>
      </c>
      <c r="S17">
        <v>14.980000000000004</v>
      </c>
      <c r="T17">
        <v>4.6451612903225801</v>
      </c>
      <c r="V17" s="464">
        <f t="shared" si="0"/>
        <v>-106.0016129032258</v>
      </c>
      <c r="W17" s="463"/>
    </row>
    <row r="18" spans="1:23" x14ac:dyDescent="0.25">
      <c r="P18" s="462"/>
      <c r="Q18" t="s">
        <v>13</v>
      </c>
      <c r="R18">
        <v>9682.1467520737351</v>
      </c>
      <c r="S18">
        <v>6165.3275148683715</v>
      </c>
      <c r="T18">
        <v>4126.2225514592938</v>
      </c>
      <c r="U18">
        <v>1644.5316919354837</v>
      </c>
      <c r="V18" s="464">
        <f t="shared" si="0"/>
        <v>-1053.8936567588325</v>
      </c>
      <c r="W18" s="463"/>
    </row>
    <row r="19" spans="1:23" x14ac:dyDescent="0.25">
      <c r="P19" s="462"/>
      <c r="W19" s="463"/>
    </row>
    <row r="20" spans="1:23" x14ac:dyDescent="0.25">
      <c r="A20" t="s">
        <v>94</v>
      </c>
      <c r="P20" s="462"/>
      <c r="W20" s="463"/>
    </row>
    <row r="21" spans="1:23" x14ac:dyDescent="0.25">
      <c r="P21" s="462"/>
      <c r="W21" s="463"/>
    </row>
    <row r="22" spans="1:23" x14ac:dyDescent="0.25">
      <c r="A22" t="s">
        <v>3</v>
      </c>
      <c r="B22">
        <v>343.11774193548388</v>
      </c>
      <c r="C22">
        <v>288.69032258064522</v>
      </c>
      <c r="D22">
        <v>246.11532258064517</v>
      </c>
      <c r="P22" s="462"/>
      <c r="Q22" t="s">
        <v>98</v>
      </c>
      <c r="R22" t="s">
        <v>1</v>
      </c>
      <c r="W22" s="463"/>
    </row>
    <row r="23" spans="1:23" x14ac:dyDescent="0.25">
      <c r="A23" t="s">
        <v>4</v>
      </c>
      <c r="B23">
        <v>604.06280232003826</v>
      </c>
      <c r="C23">
        <v>293.5410714285714</v>
      </c>
      <c r="D23">
        <v>386.82678571428568</v>
      </c>
      <c r="P23" s="462"/>
      <c r="R23" t="s">
        <v>99</v>
      </c>
      <c r="S23" t="s">
        <v>100</v>
      </c>
      <c r="T23" t="s">
        <v>101</v>
      </c>
      <c r="U23" t="s">
        <v>92</v>
      </c>
      <c r="W23" s="463"/>
    </row>
    <row r="24" spans="1:23" x14ac:dyDescent="0.25">
      <c r="A24" t="s">
        <v>5</v>
      </c>
      <c r="B24">
        <v>235.24526140155731</v>
      </c>
      <c r="C24">
        <v>222.98024193548386</v>
      </c>
      <c r="D24">
        <v>206.43467741935484</v>
      </c>
      <c r="P24" s="462"/>
      <c r="Q24" t="s">
        <v>2</v>
      </c>
      <c r="W24" s="463"/>
    </row>
    <row r="25" spans="1:23" x14ac:dyDescent="0.25">
      <c r="A25" t="s">
        <v>6</v>
      </c>
      <c r="B25">
        <v>78.808333333333337</v>
      </c>
      <c r="C25">
        <v>147.2266666663333</v>
      </c>
      <c r="D25">
        <v>38.385833333333331</v>
      </c>
      <c r="P25" s="462"/>
      <c r="Q25" t="s">
        <v>3</v>
      </c>
      <c r="R25">
        <v>420.20238709677392</v>
      </c>
      <c r="S25">
        <v>818.4145806451611</v>
      </c>
      <c r="T25">
        <v>288.47903225806448</v>
      </c>
      <c r="U25">
        <v>182.74677419354836</v>
      </c>
      <c r="V25">
        <f>U25-D22</f>
        <v>-63.368548387096808</v>
      </c>
      <c r="W25" s="463"/>
    </row>
    <row r="26" spans="1:23" x14ac:dyDescent="0.25">
      <c r="A26" t="s">
        <v>7</v>
      </c>
      <c r="B26">
        <v>22.754999999999999</v>
      </c>
      <c r="C26">
        <v>34.555903225806446</v>
      </c>
      <c r="D26">
        <v>9.939516129032258</v>
      </c>
      <c r="P26" s="462"/>
      <c r="Q26" t="s">
        <v>4</v>
      </c>
      <c r="R26">
        <v>682.32992857142847</v>
      </c>
      <c r="S26">
        <v>1135.9813793103447</v>
      </c>
      <c r="T26">
        <v>713.39214285714297</v>
      </c>
      <c r="U26">
        <v>301.8155357142856</v>
      </c>
      <c r="V26">
        <f t="shared" ref="V26:V31" si="1">U26-D23</f>
        <v>-85.011250000000075</v>
      </c>
      <c r="W26" s="463"/>
    </row>
    <row r="27" spans="1:23" x14ac:dyDescent="0.25">
      <c r="A27" t="s">
        <v>8</v>
      </c>
      <c r="B27">
        <v>59.156666666666666</v>
      </c>
      <c r="C27">
        <v>17.93333333333333</v>
      </c>
      <c r="D27">
        <v>2.75</v>
      </c>
      <c r="P27" s="462"/>
      <c r="Q27" t="s">
        <v>5</v>
      </c>
      <c r="R27">
        <v>610.41609677419331</v>
      </c>
      <c r="S27">
        <v>587.10490322580631</v>
      </c>
      <c r="T27">
        <v>588.23580645161314</v>
      </c>
      <c r="U27">
        <v>156.04267741935487</v>
      </c>
      <c r="V27">
        <f t="shared" si="1"/>
        <v>-50.391999999999967</v>
      </c>
      <c r="W27" s="463"/>
    </row>
    <row r="28" spans="1:23" x14ac:dyDescent="0.25">
      <c r="A28" t="s">
        <v>45</v>
      </c>
      <c r="B28">
        <v>56.45967741935484</v>
      </c>
      <c r="C28">
        <v>1.8580645161290321</v>
      </c>
      <c r="D28">
        <v>0.91935483870967749</v>
      </c>
      <c r="P28" s="462"/>
      <c r="Q28" t="s">
        <v>6</v>
      </c>
      <c r="R28">
        <v>446.31633333333389</v>
      </c>
      <c r="S28">
        <v>411.00816666666702</v>
      </c>
      <c r="T28">
        <v>78.730833333333337</v>
      </c>
      <c r="U28">
        <v>31.188399999999994</v>
      </c>
      <c r="V28">
        <f t="shared" si="1"/>
        <v>-7.1974333333333362</v>
      </c>
      <c r="W28" s="463"/>
    </row>
    <row r="29" spans="1:23" x14ac:dyDescent="0.25">
      <c r="A29" t="s">
        <v>46</v>
      </c>
      <c r="B29">
        <v>107.75790322580644</v>
      </c>
      <c r="P29" s="462"/>
      <c r="Q29" t="s">
        <v>7</v>
      </c>
      <c r="R29">
        <v>301.50048387096757</v>
      </c>
      <c r="S29">
        <v>244.82677419354837</v>
      </c>
      <c r="T29">
        <v>6.4919354838709671</v>
      </c>
      <c r="U29">
        <v>14.5616129032258</v>
      </c>
      <c r="V29">
        <f t="shared" si="1"/>
        <v>4.6220967741935421</v>
      </c>
      <c r="W29" s="463"/>
    </row>
    <row r="30" spans="1:23" x14ac:dyDescent="0.25">
      <c r="A30" t="s">
        <v>9</v>
      </c>
      <c r="B30">
        <v>178.73000000066665</v>
      </c>
      <c r="C30">
        <v>195.60533333333331</v>
      </c>
      <c r="P30" s="462"/>
      <c r="Q30" t="s">
        <v>8</v>
      </c>
      <c r="R30">
        <v>302.91233333333389</v>
      </c>
      <c r="S30">
        <v>184.11949999999999</v>
      </c>
      <c r="T30">
        <v>1.6333333333333335</v>
      </c>
      <c r="U30">
        <v>8.2500000000000036</v>
      </c>
      <c r="V30">
        <f t="shared" si="1"/>
        <v>5.5000000000000036</v>
      </c>
      <c r="W30" s="463"/>
    </row>
    <row r="31" spans="1:23" x14ac:dyDescent="0.25">
      <c r="A31" t="s">
        <v>10</v>
      </c>
      <c r="B31">
        <v>290.52790322580648</v>
      </c>
      <c r="C31">
        <v>321.95806451612901</v>
      </c>
      <c r="P31" s="462"/>
      <c r="Q31" t="s">
        <v>45</v>
      </c>
      <c r="R31">
        <v>259.14387096774175</v>
      </c>
      <c r="S31">
        <v>30.447580645161288</v>
      </c>
      <c r="T31">
        <v>8.9806451612903242</v>
      </c>
      <c r="V31">
        <f t="shared" si="1"/>
        <v>-0.91935483870967749</v>
      </c>
      <c r="W31" s="463"/>
    </row>
    <row r="32" spans="1:23" x14ac:dyDescent="0.25">
      <c r="A32" t="s">
        <v>11</v>
      </c>
      <c r="B32">
        <v>76.95450000000001</v>
      </c>
      <c r="C32">
        <v>40.338333333333338</v>
      </c>
      <c r="P32" s="462"/>
      <c r="Q32" t="s">
        <v>46</v>
      </c>
      <c r="R32">
        <v>278.36096774193533</v>
      </c>
      <c r="S32">
        <v>69.406451612903197</v>
      </c>
      <c r="T32">
        <v>9.6000000000000032</v>
      </c>
      <c r="W32" s="463"/>
    </row>
    <row r="33" spans="1:23" x14ac:dyDescent="0.25">
      <c r="P33" s="462"/>
      <c r="Q33" t="s">
        <v>9</v>
      </c>
      <c r="R33">
        <v>528.28500000000054</v>
      </c>
      <c r="S33">
        <v>113.37066666666666</v>
      </c>
      <c r="T33">
        <v>122.00700000000005</v>
      </c>
      <c r="W33" s="463"/>
    </row>
    <row r="34" spans="1:23" x14ac:dyDescent="0.25">
      <c r="P34" s="462"/>
      <c r="Q34" t="s">
        <v>10</v>
      </c>
      <c r="R34">
        <v>1096.9483870967749</v>
      </c>
      <c r="S34">
        <v>329.23003225806445</v>
      </c>
      <c r="T34">
        <v>322.8029032258064</v>
      </c>
      <c r="W34" s="463"/>
    </row>
    <row r="35" spans="1:23" x14ac:dyDescent="0.25">
      <c r="P35" s="462"/>
      <c r="Q35" t="s">
        <v>11</v>
      </c>
      <c r="R35">
        <v>620.05000000000041</v>
      </c>
      <c r="S35">
        <v>166.44230000000005</v>
      </c>
      <c r="T35">
        <v>57.464666666666659</v>
      </c>
      <c r="W35" s="463"/>
    </row>
    <row r="36" spans="1:23" x14ac:dyDescent="0.25">
      <c r="P36" s="462"/>
      <c r="Q36" t="s">
        <v>12</v>
      </c>
      <c r="R36">
        <v>230.55961290322563</v>
      </c>
      <c r="S36">
        <v>14.500967741935487</v>
      </c>
      <c r="T36">
        <v>4.6451612903225801</v>
      </c>
      <c r="W36" s="463"/>
    </row>
    <row r="37" spans="1:23" x14ac:dyDescent="0.25">
      <c r="P37" s="462"/>
      <c r="Q37" t="s">
        <v>13</v>
      </c>
      <c r="R37">
        <v>5777.0254016897088</v>
      </c>
      <c r="S37">
        <v>4104.8533029662585</v>
      </c>
      <c r="T37">
        <v>2202.463460061444</v>
      </c>
      <c r="U37">
        <v>694.60500023041459</v>
      </c>
      <c r="W37" s="463"/>
    </row>
    <row r="38" spans="1:23" x14ac:dyDescent="0.25">
      <c r="A38" t="s">
        <v>95</v>
      </c>
      <c r="P38" s="462"/>
      <c r="W38" s="463"/>
    </row>
    <row r="39" spans="1:23" x14ac:dyDescent="0.25">
      <c r="B39" t="s">
        <v>100</v>
      </c>
      <c r="C39" t="s">
        <v>101</v>
      </c>
      <c r="D39" t="s">
        <v>92</v>
      </c>
      <c r="P39" s="462"/>
      <c r="W39" s="463"/>
    </row>
    <row r="40" spans="1:23" x14ac:dyDescent="0.25">
      <c r="A40" t="s">
        <v>3</v>
      </c>
      <c r="C40">
        <v>8.637096774193548</v>
      </c>
      <c r="P40" s="462"/>
      <c r="Q40" t="s">
        <v>98</v>
      </c>
      <c r="R40" t="s">
        <v>1</v>
      </c>
      <c r="W40" s="463"/>
    </row>
    <row r="41" spans="1:23" x14ac:dyDescent="0.25">
      <c r="A41" t="s">
        <v>4</v>
      </c>
      <c r="B41">
        <v>13.6</v>
      </c>
      <c r="C41">
        <v>36.455357142857146</v>
      </c>
      <c r="D41">
        <v>146.72142857142856</v>
      </c>
      <c r="P41" s="462"/>
      <c r="R41" t="s">
        <v>99</v>
      </c>
      <c r="S41" t="s">
        <v>100</v>
      </c>
      <c r="T41" t="s">
        <v>101</v>
      </c>
      <c r="U41" t="s">
        <v>92</v>
      </c>
      <c r="W41" s="463"/>
    </row>
    <row r="42" spans="1:23" x14ac:dyDescent="0.25">
      <c r="A42" t="s">
        <v>5</v>
      </c>
      <c r="B42">
        <v>134.09944086054838</v>
      </c>
      <c r="C42">
        <v>280.16212903225801</v>
      </c>
      <c r="D42">
        <v>155.92822580645159</v>
      </c>
      <c r="P42" s="462"/>
      <c r="Q42" t="s">
        <v>2</v>
      </c>
      <c r="W42" s="463"/>
    </row>
    <row r="43" spans="1:23" x14ac:dyDescent="0.25">
      <c r="A43" t="s">
        <v>6</v>
      </c>
      <c r="B43">
        <v>343.47233333220458</v>
      </c>
      <c r="C43">
        <v>383.54150000000004</v>
      </c>
      <c r="D43">
        <v>148.97166666666666</v>
      </c>
      <c r="P43" s="462"/>
      <c r="Q43" t="s">
        <v>3</v>
      </c>
      <c r="R43">
        <v>187.67000000000004</v>
      </c>
      <c r="S43">
        <v>90.000000000000043</v>
      </c>
      <c r="T43">
        <v>29.506322580645161</v>
      </c>
      <c r="U43">
        <v>0</v>
      </c>
      <c r="W43" s="463"/>
    </row>
    <row r="44" spans="1:23" x14ac:dyDescent="0.25">
      <c r="A44" t="s">
        <v>7</v>
      </c>
      <c r="B44">
        <v>148.09725806451615</v>
      </c>
      <c r="C44">
        <v>110.88064516129032</v>
      </c>
      <c r="D44">
        <v>23.029838709677421</v>
      </c>
      <c r="P44" s="462"/>
      <c r="Q44" t="s">
        <v>4</v>
      </c>
      <c r="R44">
        <v>194.47892857142853</v>
      </c>
      <c r="S44">
        <v>103.36620689655169</v>
      </c>
      <c r="T44">
        <v>64.85899999999998</v>
      </c>
      <c r="U44">
        <v>137.81785714285718</v>
      </c>
      <c r="V44">
        <f t="shared" ref="V44:V49" si="2">U44-D41</f>
        <v>-8.9035714285713823</v>
      </c>
      <c r="W44" s="463"/>
    </row>
    <row r="45" spans="1:23" x14ac:dyDescent="0.25">
      <c r="A45" t="s">
        <v>8</v>
      </c>
      <c r="C45">
        <v>45.25</v>
      </c>
      <c r="P45" s="462"/>
      <c r="Q45" t="s">
        <v>5</v>
      </c>
      <c r="R45">
        <v>225.18338709677428</v>
      </c>
      <c r="S45">
        <v>163.40016129032264</v>
      </c>
      <c r="T45">
        <v>190.22870967741937</v>
      </c>
      <c r="U45">
        <v>84.803225806451607</v>
      </c>
      <c r="V45">
        <f t="shared" si="2"/>
        <v>-71.124999999999986</v>
      </c>
      <c r="W45" s="463"/>
    </row>
    <row r="46" spans="1:23" x14ac:dyDescent="0.25">
      <c r="A46" t="s">
        <v>45</v>
      </c>
      <c r="B46">
        <v>3.916666666666667</v>
      </c>
      <c r="C46">
        <v>36.193548387096783</v>
      </c>
      <c r="P46" s="462"/>
      <c r="Q46" t="s">
        <v>6</v>
      </c>
      <c r="R46">
        <v>276.39600000000007</v>
      </c>
      <c r="S46">
        <v>226.50133333333326</v>
      </c>
      <c r="T46">
        <v>351.62783333333334</v>
      </c>
      <c r="U46">
        <v>56.081666666666678</v>
      </c>
      <c r="V46">
        <f t="shared" si="2"/>
        <v>-92.889999999999986</v>
      </c>
      <c r="W46" s="463"/>
    </row>
    <row r="47" spans="1:23" x14ac:dyDescent="0.25">
      <c r="A47" t="s">
        <v>46</v>
      </c>
      <c r="B47">
        <v>0</v>
      </c>
      <c r="C47">
        <v>42.25</v>
      </c>
      <c r="P47" s="462"/>
      <c r="Q47" t="s">
        <v>7</v>
      </c>
      <c r="R47">
        <v>137.33741935483874</v>
      </c>
      <c r="S47">
        <v>113.01387096774192</v>
      </c>
      <c r="T47">
        <v>161.14806451612904</v>
      </c>
      <c r="U47">
        <v>11.453225806451613</v>
      </c>
      <c r="V47">
        <f t="shared" si="2"/>
        <v>-11.576612903225808</v>
      </c>
      <c r="W47" s="463"/>
    </row>
    <row r="48" spans="1:23" x14ac:dyDescent="0.25">
      <c r="A48" t="s">
        <v>9</v>
      </c>
      <c r="B48">
        <v>212.34333333333331</v>
      </c>
      <c r="C48">
        <v>177.59833333333333</v>
      </c>
      <c r="D48">
        <v>10.791666666666666</v>
      </c>
      <c r="P48" s="462"/>
      <c r="Q48" t="s">
        <v>8</v>
      </c>
      <c r="R48">
        <v>90</v>
      </c>
      <c r="S48">
        <v>45.804666666666662</v>
      </c>
      <c r="T48">
        <v>55.68</v>
      </c>
      <c r="V48">
        <f t="shared" si="2"/>
        <v>0</v>
      </c>
      <c r="W48" s="463"/>
    </row>
    <row r="49" spans="1:23" x14ac:dyDescent="0.25">
      <c r="A49" t="s">
        <v>10</v>
      </c>
      <c r="B49">
        <v>347.76451612903224</v>
      </c>
      <c r="C49">
        <v>105.96370967741936</v>
      </c>
      <c r="D49">
        <v>64.75</v>
      </c>
      <c r="P49" s="462"/>
      <c r="Q49" t="s">
        <v>45</v>
      </c>
      <c r="R49">
        <v>100.67870967741939</v>
      </c>
      <c r="S49">
        <v>35.771741935483867</v>
      </c>
      <c r="T49">
        <v>33.37096774193548</v>
      </c>
      <c r="V49">
        <f t="shared" si="2"/>
        <v>0</v>
      </c>
      <c r="W49" s="463"/>
    </row>
    <row r="50" spans="1:23" x14ac:dyDescent="0.25">
      <c r="A50" t="s">
        <v>11</v>
      </c>
      <c r="B50">
        <v>43.56166666666666</v>
      </c>
      <c r="C50">
        <v>4.293333333333333</v>
      </c>
      <c r="D50">
        <v>6.4750000000000005</v>
      </c>
      <c r="P50" s="462"/>
      <c r="Q50" t="s">
        <v>46</v>
      </c>
      <c r="R50">
        <v>91.419354838709722</v>
      </c>
      <c r="S50">
        <v>8.7345161290322579</v>
      </c>
      <c r="T50">
        <v>41.379999999999995</v>
      </c>
      <c r="W50" s="463"/>
    </row>
    <row r="51" spans="1:23" x14ac:dyDescent="0.25">
      <c r="A51" t="s">
        <v>13</v>
      </c>
      <c r="B51">
        <v>1246.8552150529681</v>
      </c>
      <c r="C51">
        <v>1231.2256528417818</v>
      </c>
      <c r="D51">
        <v>556.66782642089095</v>
      </c>
      <c r="P51" s="462"/>
      <c r="Q51" t="s">
        <v>9</v>
      </c>
      <c r="R51">
        <v>323.94976666666662</v>
      </c>
      <c r="S51">
        <v>164.10499999999996</v>
      </c>
      <c r="T51">
        <v>199.91600000000003</v>
      </c>
      <c r="U51">
        <v>53.958333333333336</v>
      </c>
      <c r="W51" s="463"/>
    </row>
    <row r="52" spans="1:23" x14ac:dyDescent="0.25">
      <c r="P52" s="462"/>
      <c r="Q52" t="s">
        <v>10</v>
      </c>
      <c r="R52">
        <v>406.71464516129049</v>
      </c>
      <c r="S52">
        <v>234.14435483870955</v>
      </c>
      <c r="T52">
        <v>131.22096774193554</v>
      </c>
      <c r="U52">
        <v>64.75</v>
      </c>
      <c r="W52" s="463"/>
    </row>
    <row r="53" spans="1:23" x14ac:dyDescent="0.25">
      <c r="P53" s="462"/>
      <c r="Q53" t="s">
        <v>11</v>
      </c>
      <c r="R53">
        <v>135.98666666666665</v>
      </c>
      <c r="S53">
        <v>62.874166666666653</v>
      </c>
      <c r="W53" s="463"/>
    </row>
    <row r="54" spans="1:23" x14ac:dyDescent="0.25">
      <c r="P54" s="462"/>
      <c r="Q54" t="s">
        <v>12</v>
      </c>
      <c r="R54">
        <v>90.000000000000043</v>
      </c>
      <c r="W54" s="463"/>
    </row>
    <row r="55" spans="1:23" x14ac:dyDescent="0.25">
      <c r="P55" s="462"/>
      <c r="Q55" t="s">
        <v>13</v>
      </c>
      <c r="R55">
        <v>2259.8148780337947</v>
      </c>
      <c r="S55">
        <v>1247.7160187245088</v>
      </c>
      <c r="T55">
        <v>1258.9378655913979</v>
      </c>
      <c r="U55">
        <v>290.15597542242705</v>
      </c>
      <c r="W55" s="463"/>
    </row>
    <row r="56" spans="1:23" x14ac:dyDescent="0.25">
      <c r="A56" t="s">
        <v>96</v>
      </c>
      <c r="P56" s="462"/>
      <c r="W56" s="463"/>
    </row>
    <row r="57" spans="1:23" x14ac:dyDescent="0.25">
      <c r="P57" s="462"/>
      <c r="W57" s="463"/>
    </row>
    <row r="58" spans="1:23" x14ac:dyDescent="0.25">
      <c r="A58" t="s">
        <v>3</v>
      </c>
      <c r="B58">
        <v>33.188709677419354</v>
      </c>
      <c r="C58">
        <v>38.525806451612908</v>
      </c>
      <c r="D58" s="475">
        <v>25.909677419354843</v>
      </c>
      <c r="P58" s="462"/>
      <c r="W58" s="463"/>
    </row>
    <row r="59" spans="1:23" x14ac:dyDescent="0.25">
      <c r="A59" t="s">
        <v>4</v>
      </c>
      <c r="B59">
        <v>51.103448275862078</v>
      </c>
      <c r="C59">
        <v>67.828571428571436</v>
      </c>
      <c r="D59" s="475">
        <v>8.3724999999999987</v>
      </c>
      <c r="P59" s="462"/>
      <c r="Q59" t="s">
        <v>98</v>
      </c>
      <c r="R59" t="s">
        <v>1</v>
      </c>
      <c r="W59" s="463"/>
    </row>
    <row r="60" spans="1:23" x14ac:dyDescent="0.25">
      <c r="A60" t="s">
        <v>5</v>
      </c>
      <c r="B60">
        <v>71.543333332999993</v>
      </c>
      <c r="C60">
        <v>180.20645161290324</v>
      </c>
      <c r="D60" s="475">
        <v>11.34</v>
      </c>
      <c r="P60" s="462"/>
      <c r="R60" t="s">
        <v>99</v>
      </c>
      <c r="S60" t="s">
        <v>100</v>
      </c>
      <c r="T60" t="s">
        <v>101</v>
      </c>
      <c r="U60" t="s">
        <v>92</v>
      </c>
      <c r="W60" s="463"/>
    </row>
    <row r="61" spans="1:23" x14ac:dyDescent="0.25">
      <c r="A61" t="s">
        <v>6</v>
      </c>
      <c r="B61">
        <v>105.24333333366667</v>
      </c>
      <c r="C61">
        <v>109.64833333333334</v>
      </c>
      <c r="D61" s="475">
        <v>118.53933333333333</v>
      </c>
      <c r="P61" s="462"/>
      <c r="Q61" t="s">
        <v>2</v>
      </c>
      <c r="W61" s="463"/>
    </row>
    <row r="62" spans="1:23" x14ac:dyDescent="0.25">
      <c r="A62" t="s">
        <v>7</v>
      </c>
      <c r="B62">
        <v>161.95838709677417</v>
      </c>
      <c r="C62">
        <v>72.732258064516131</v>
      </c>
      <c r="D62" s="475">
        <v>129.5340860215054</v>
      </c>
      <c r="P62" s="462"/>
      <c r="Q62" t="s">
        <v>3</v>
      </c>
      <c r="R62">
        <v>64.6148387096774</v>
      </c>
      <c r="S62">
        <v>57.735483870967748</v>
      </c>
      <c r="T62">
        <v>54.236774193548378</v>
      </c>
      <c r="U62" s="475">
        <v>111.99935483870966</v>
      </c>
      <c r="W62" s="463"/>
    </row>
    <row r="63" spans="1:23" x14ac:dyDescent="0.25">
      <c r="A63" t="s">
        <v>8</v>
      </c>
      <c r="B63">
        <v>48.173333333333332</v>
      </c>
      <c r="D63">
        <v>117.55666666666667</v>
      </c>
      <c r="P63" s="462"/>
      <c r="Q63" t="s">
        <v>4</v>
      </c>
      <c r="R63">
        <v>121.13249999999999</v>
      </c>
      <c r="S63">
        <v>59.781034482758614</v>
      </c>
      <c r="T63">
        <v>34.670285714285711</v>
      </c>
      <c r="U63" s="475">
        <v>23.006428571428575</v>
      </c>
      <c r="W63" s="463"/>
    </row>
    <row r="64" spans="1:23" x14ac:dyDescent="0.25">
      <c r="A64" t="s">
        <v>45</v>
      </c>
      <c r="C64">
        <v>14.483870967741934</v>
      </c>
      <c r="D64">
        <v>103.05000000000001</v>
      </c>
      <c r="P64" s="462"/>
      <c r="Q64" t="s">
        <v>5</v>
      </c>
      <c r="R64">
        <v>48.76</v>
      </c>
      <c r="S64">
        <v>48.573870967741932</v>
      </c>
      <c r="T64">
        <v>41.109677419354838</v>
      </c>
      <c r="U64" s="475">
        <v>54.319999999999972</v>
      </c>
      <c r="W64" s="463"/>
    </row>
    <row r="65" spans="1:23" x14ac:dyDescent="0.25">
      <c r="A65" t="s">
        <v>46</v>
      </c>
      <c r="B65">
        <v>21.429032258064517</v>
      </c>
      <c r="C65">
        <v>2.5741935483870968</v>
      </c>
      <c r="D65">
        <v>103.05000000000001</v>
      </c>
      <c r="P65" s="462"/>
      <c r="Q65" t="s">
        <v>6</v>
      </c>
      <c r="R65">
        <v>122.61483333333335</v>
      </c>
      <c r="S65">
        <v>54.338399999999979</v>
      </c>
      <c r="T65">
        <v>91.32</v>
      </c>
      <c r="U65" s="475">
        <v>21.542333333333335</v>
      </c>
      <c r="W65" s="463"/>
    </row>
    <row r="66" spans="1:23" x14ac:dyDescent="0.25">
      <c r="A66" t="s">
        <v>9</v>
      </c>
      <c r="B66">
        <v>4.95</v>
      </c>
      <c r="C66">
        <v>82.603333333333325</v>
      </c>
      <c r="D66">
        <v>103.05000000000001</v>
      </c>
      <c r="P66" s="462"/>
      <c r="Q66" t="s">
        <v>7</v>
      </c>
      <c r="R66">
        <v>99.754677419354863</v>
      </c>
      <c r="S66">
        <v>110.43290322580646</v>
      </c>
      <c r="T66">
        <v>75.193548387096754</v>
      </c>
      <c r="U66" s="475">
        <v>32.514516129032259</v>
      </c>
      <c r="W66" s="463"/>
    </row>
    <row r="67" spans="1:23" x14ac:dyDescent="0.25">
      <c r="A67" t="s">
        <v>10</v>
      </c>
      <c r="B67">
        <v>4.080645161290323</v>
      </c>
      <c r="C67">
        <v>167.38516129032257</v>
      </c>
      <c r="D67">
        <v>103.05000000000001</v>
      </c>
      <c r="P67" s="462"/>
      <c r="Q67" t="s">
        <v>8</v>
      </c>
      <c r="R67">
        <v>25.131666666666657</v>
      </c>
      <c r="S67">
        <v>142.37933333333328</v>
      </c>
      <c r="T67">
        <v>0.26</v>
      </c>
      <c r="U67" s="475">
        <v>10.406666666666665</v>
      </c>
      <c r="W67" s="463"/>
    </row>
    <row r="68" spans="1:23" x14ac:dyDescent="0.25">
      <c r="A68" t="s">
        <v>11</v>
      </c>
      <c r="C68">
        <v>149.92000000000002</v>
      </c>
      <c r="D68">
        <v>103.05000000000001</v>
      </c>
      <c r="P68" s="462"/>
      <c r="Q68" t="s">
        <v>45</v>
      </c>
      <c r="S68">
        <v>2.7225806451612904</v>
      </c>
      <c r="T68">
        <v>0</v>
      </c>
      <c r="W68" s="463"/>
    </row>
    <row r="69" spans="1:23" x14ac:dyDescent="0.25">
      <c r="A69" t="s">
        <v>12</v>
      </c>
      <c r="B69">
        <v>6.4580645161290322</v>
      </c>
      <c r="C69">
        <v>93.574516129032261</v>
      </c>
      <c r="D69">
        <v>103.05000000000001</v>
      </c>
      <c r="P69" s="462"/>
      <c r="Q69" t="s">
        <v>46</v>
      </c>
      <c r="R69">
        <v>27.870967741935484</v>
      </c>
      <c r="T69">
        <v>0</v>
      </c>
      <c r="W69" s="463"/>
    </row>
    <row r="70" spans="1:23" x14ac:dyDescent="0.25">
      <c r="P70" s="462"/>
      <c r="Q70" t="s">
        <v>9</v>
      </c>
      <c r="R70">
        <v>20.063333333333333</v>
      </c>
      <c r="S70">
        <v>6.6000000000000023</v>
      </c>
      <c r="T70">
        <v>18.231333333333328</v>
      </c>
      <c r="W70" s="463"/>
    </row>
    <row r="71" spans="1:23" x14ac:dyDescent="0.25">
      <c r="P71" s="462"/>
      <c r="Q71" t="s">
        <v>10</v>
      </c>
      <c r="R71">
        <v>149.26645161290315</v>
      </c>
      <c r="S71">
        <v>8.6225806451612854</v>
      </c>
      <c r="T71">
        <v>105.76225806451613</v>
      </c>
      <c r="W71" s="463"/>
    </row>
    <row r="72" spans="1:23" x14ac:dyDescent="0.25">
      <c r="P72" s="462"/>
      <c r="Q72" t="s">
        <v>11</v>
      </c>
      <c r="R72">
        <v>108.31733333333331</v>
      </c>
      <c r="S72">
        <v>2.4750000000000001</v>
      </c>
      <c r="T72">
        <v>72.962333333333319</v>
      </c>
      <c r="W72" s="463"/>
    </row>
    <row r="73" spans="1:23" x14ac:dyDescent="0.25">
      <c r="P73" s="462"/>
      <c r="Q73" t="s">
        <v>12</v>
      </c>
      <c r="R73">
        <v>24.894354838709674</v>
      </c>
      <c r="S73">
        <v>0.47903225806451616</v>
      </c>
      <c r="W73" s="463"/>
    </row>
    <row r="74" spans="1:23" x14ac:dyDescent="0.25">
      <c r="P74" s="462"/>
      <c r="Q74" t="s">
        <v>13</v>
      </c>
      <c r="R74">
        <v>812.4209569892472</v>
      </c>
      <c r="S74">
        <v>494.14021942899524</v>
      </c>
      <c r="T74">
        <v>493.74621044546848</v>
      </c>
      <c r="U74">
        <v>253.78929953917046</v>
      </c>
      <c r="W74" s="463"/>
    </row>
    <row r="75" spans="1:23" x14ac:dyDescent="0.25">
      <c r="P75" s="462"/>
      <c r="W75" s="463"/>
    </row>
    <row r="76" spans="1:23" x14ac:dyDescent="0.25">
      <c r="P76" s="462"/>
      <c r="W76" s="463"/>
    </row>
    <row r="77" spans="1:23" x14ac:dyDescent="0.25">
      <c r="P77" s="462"/>
      <c r="W77" s="463"/>
    </row>
    <row r="78" spans="1:23" x14ac:dyDescent="0.25">
      <c r="P78" s="462"/>
      <c r="W78" s="463"/>
    </row>
    <row r="79" spans="1:23" x14ac:dyDescent="0.25">
      <c r="P79" s="462"/>
      <c r="W79" s="463"/>
    </row>
    <row r="80" spans="1:23" x14ac:dyDescent="0.25">
      <c r="P80" s="462"/>
      <c r="W80" s="463"/>
    </row>
    <row r="81" spans="16:23" x14ac:dyDescent="0.25">
      <c r="P81" s="462"/>
      <c r="W81" s="463"/>
    </row>
    <row r="82" spans="16:23" x14ac:dyDescent="0.25">
      <c r="P82" s="462"/>
      <c r="W82" s="463"/>
    </row>
    <row r="83" spans="16:23" x14ac:dyDescent="0.25">
      <c r="P83" s="462"/>
      <c r="W83" s="463"/>
    </row>
    <row r="84" spans="16:23" x14ac:dyDescent="0.25">
      <c r="P84" s="462"/>
      <c r="W84" s="463"/>
    </row>
    <row r="85" spans="16:23" x14ac:dyDescent="0.25">
      <c r="P85" s="462"/>
      <c r="W85" s="463"/>
    </row>
    <row r="86" spans="16:23" x14ac:dyDescent="0.25">
      <c r="P86" s="462"/>
      <c r="W86" s="463"/>
    </row>
    <row r="87" spans="16:23" x14ac:dyDescent="0.25">
      <c r="P87" s="462"/>
      <c r="W87" s="463"/>
    </row>
    <row r="88" spans="16:23" x14ac:dyDescent="0.25">
      <c r="P88" s="462"/>
      <c r="W88" s="463"/>
    </row>
    <row r="89" spans="16:23" x14ac:dyDescent="0.25">
      <c r="P89" s="462"/>
      <c r="W89" s="463"/>
    </row>
    <row r="90" spans="16:23" x14ac:dyDescent="0.25">
      <c r="P90" s="462"/>
      <c r="W90" s="463"/>
    </row>
    <row r="91" spans="16:23" x14ac:dyDescent="0.25">
      <c r="P91" s="462"/>
      <c r="W91" s="463"/>
    </row>
    <row r="92" spans="16:23" x14ac:dyDescent="0.25">
      <c r="P92" s="462"/>
      <c r="W92" s="463"/>
    </row>
    <row r="93" spans="16:23" x14ac:dyDescent="0.25">
      <c r="P93" s="462"/>
      <c r="W93" s="463"/>
    </row>
    <row r="94" spans="16:23" x14ac:dyDescent="0.25">
      <c r="P94" s="462"/>
      <c r="W94" s="463"/>
    </row>
    <row r="95" spans="16:23" x14ac:dyDescent="0.25">
      <c r="P95" s="462"/>
      <c r="W95" s="463"/>
    </row>
    <row r="96" spans="16:23" x14ac:dyDescent="0.25">
      <c r="P96" s="462"/>
      <c r="W96" s="463"/>
    </row>
    <row r="97" spans="16:23" x14ac:dyDescent="0.25">
      <c r="P97" s="462"/>
      <c r="W97" s="463"/>
    </row>
    <row r="98" spans="16:23" x14ac:dyDescent="0.25">
      <c r="P98" s="462"/>
      <c r="W98" s="463"/>
    </row>
    <row r="99" spans="16:23" x14ac:dyDescent="0.25">
      <c r="P99" s="462"/>
      <c r="W99" s="463"/>
    </row>
    <row r="100" spans="16:23" x14ac:dyDescent="0.25">
      <c r="P100" s="462"/>
      <c r="W100" s="463"/>
    </row>
    <row r="101" spans="16:23" x14ac:dyDescent="0.25">
      <c r="P101" s="462"/>
      <c r="W101" s="463"/>
    </row>
    <row r="102" spans="16:23" x14ac:dyDescent="0.25">
      <c r="P102" s="462"/>
      <c r="W102" s="463"/>
    </row>
    <row r="103" spans="16:23" x14ac:dyDescent="0.25">
      <c r="P103" s="462"/>
      <c r="W103" s="463"/>
    </row>
    <row r="104" spans="16:23" x14ac:dyDescent="0.25">
      <c r="P104" s="462"/>
      <c r="W104" s="463"/>
    </row>
    <row r="105" spans="16:23" x14ac:dyDescent="0.25">
      <c r="P105" s="462"/>
      <c r="W105" s="463"/>
    </row>
    <row r="106" spans="16:23" x14ac:dyDescent="0.25">
      <c r="P106" s="462"/>
      <c r="W106" s="463"/>
    </row>
    <row r="107" spans="16:23" x14ac:dyDescent="0.25">
      <c r="P107" s="462"/>
      <c r="W107" s="463"/>
    </row>
    <row r="108" spans="16:23" x14ac:dyDescent="0.25">
      <c r="P108" s="462"/>
      <c r="W108" s="463"/>
    </row>
    <row r="109" spans="16:23" x14ac:dyDescent="0.25">
      <c r="P109" s="462"/>
      <c r="W109" s="463"/>
    </row>
    <row r="110" spans="16:23" x14ac:dyDescent="0.25">
      <c r="P110" s="462"/>
      <c r="W110" s="463"/>
    </row>
    <row r="111" spans="16:23" x14ac:dyDescent="0.25">
      <c r="P111" s="462"/>
      <c r="W111" s="463"/>
    </row>
    <row r="112" spans="16:23" x14ac:dyDescent="0.25">
      <c r="P112" s="462"/>
      <c r="W112" s="463"/>
    </row>
    <row r="113" spans="16:23" x14ac:dyDescent="0.25">
      <c r="P113" s="462"/>
      <c r="W113" s="463"/>
    </row>
    <row r="114" spans="16:23" x14ac:dyDescent="0.25">
      <c r="P114" s="462"/>
      <c r="W114" s="463"/>
    </row>
    <row r="115" spans="16:23" x14ac:dyDescent="0.25">
      <c r="P115" s="465"/>
      <c r="Q115" s="466"/>
      <c r="R115" s="466"/>
      <c r="S115" s="466"/>
      <c r="T115" s="466"/>
      <c r="U115" s="466"/>
      <c r="V115" s="466"/>
      <c r="W115" s="467"/>
    </row>
  </sheetData>
  <phoneticPr fontId="13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BDA6D-80D5-469A-B7DD-A7C6C4314C99}">
  <sheetPr codeName="Sheet16" filterMode="1">
    <tabColor rgb="FFFFFF00"/>
  </sheetPr>
  <dimension ref="A1:FJ880"/>
  <sheetViews>
    <sheetView zoomScale="79" zoomScaleNormal="70" workbookViewId="0">
      <pane xSplit="6" ySplit="1" topLeftCell="O115" activePane="bottomRight" state="frozen"/>
      <selection pane="topRight" activeCell="G1" sqref="G1"/>
      <selection pane="bottomLeft" activeCell="A2" sqref="A2"/>
      <selection pane="bottomRight" activeCell="P824" sqref="P824:V824"/>
    </sheetView>
  </sheetViews>
  <sheetFormatPr defaultRowHeight="15" x14ac:dyDescent="0.25"/>
  <cols>
    <col min="1" max="1" width="30.85546875" customWidth="1"/>
    <col min="2" max="2" width="15.5703125" style="20" customWidth="1"/>
    <col min="3" max="3" width="13" style="20" customWidth="1"/>
    <col min="4" max="4" width="10.7109375" style="20" customWidth="1"/>
    <col min="5" max="5" width="12.5703125" style="441" customWidth="1"/>
    <col min="6" max="6" width="16.7109375" style="445" customWidth="1"/>
    <col min="7" max="7" width="13.5703125" style="441" customWidth="1"/>
    <col min="8" max="8" width="50.85546875" style="444" customWidth="1"/>
    <col min="9" max="9" width="43.42578125" style="433" customWidth="1"/>
    <col min="10" max="10" width="17.7109375" style="433" bestFit="1" customWidth="1"/>
    <col min="11" max="11" width="18.5703125" style="433" bestFit="1" customWidth="1"/>
    <col min="12" max="12" width="18.140625" style="433" bestFit="1" customWidth="1"/>
    <col min="13" max="13" width="18.5703125" style="433" bestFit="1" customWidth="1"/>
    <col min="14" max="14" width="15.85546875" style="433" bestFit="1" customWidth="1"/>
    <col min="15" max="15" width="15.85546875" style="433" customWidth="1"/>
    <col min="16" max="16" width="17.7109375" style="433" bestFit="1" customWidth="1"/>
    <col min="17" max="17" width="18.5703125" style="433" bestFit="1" customWidth="1"/>
    <col min="18" max="18" width="18.140625" style="433" bestFit="1" customWidth="1"/>
    <col min="19" max="19" width="18.5703125" style="433" bestFit="1" customWidth="1"/>
    <col min="20" max="23" width="20.5703125" style="433" customWidth="1"/>
    <col min="24" max="24" width="12.85546875" style="433" customWidth="1"/>
    <col min="25" max="30" width="9.140625" customWidth="1"/>
    <col min="31" max="31" width="11.140625" customWidth="1"/>
    <col min="32" max="32" width="10.140625" customWidth="1"/>
    <col min="33" max="33" width="11" customWidth="1"/>
    <col min="34" max="35" width="9.140625" customWidth="1"/>
    <col min="36" max="36" width="11.42578125" customWidth="1"/>
    <col min="37" max="37" width="10.5703125" customWidth="1"/>
    <col min="38" max="39" width="9.140625" customWidth="1"/>
    <col min="40" max="40" width="9.85546875" customWidth="1"/>
    <col min="41" max="43" width="10" customWidth="1"/>
    <col min="44" max="44" width="22.42578125" customWidth="1"/>
    <col min="45" max="46" width="10" customWidth="1"/>
    <col min="47" max="47" width="9.140625" customWidth="1"/>
    <col min="48" max="49" width="12.7109375" customWidth="1"/>
    <col min="50" max="50" width="12.42578125" customWidth="1"/>
    <col min="51" max="51" width="9.140625" customWidth="1"/>
    <col min="52" max="52" width="11" customWidth="1"/>
    <col min="53" max="55" width="10.140625" customWidth="1"/>
    <col min="56" max="56" width="13.42578125" customWidth="1"/>
    <col min="57" max="57" width="9.140625" customWidth="1"/>
    <col min="58" max="69" width="13" customWidth="1"/>
    <col min="70" max="70" width="0.140625" customWidth="1"/>
    <col min="71" max="71" width="13" customWidth="1"/>
    <col min="72" max="82" width="14" customWidth="1"/>
    <col min="83" max="85" width="13" customWidth="1"/>
    <col min="86" max="86" width="9.140625" customWidth="1"/>
    <col min="87" max="87" width="11.28515625" customWidth="1"/>
    <col min="88" max="88" width="13.7109375" customWidth="1"/>
    <col min="89" max="89" width="12" customWidth="1"/>
    <col min="90" max="90" width="10.42578125" customWidth="1"/>
    <col min="91" max="91" width="9.28515625" customWidth="1"/>
    <col min="92" max="92" width="14.85546875" customWidth="1"/>
    <col min="93" max="93" width="16.85546875" customWidth="1"/>
    <col min="94" max="94" width="16.140625" customWidth="1"/>
    <col min="95" max="98" width="16.85546875" customWidth="1"/>
    <col min="99" max="99" width="16.140625" customWidth="1"/>
    <col min="100" max="101" width="16.85546875" customWidth="1"/>
    <col min="102" max="102" width="14.85546875" customWidth="1"/>
    <col min="103" max="106" width="16.140625" customWidth="1"/>
    <col min="107" max="107" width="15.5703125" customWidth="1"/>
    <col min="108" max="108" width="13" bestFit="1" customWidth="1"/>
    <col min="109" max="109" width="14" bestFit="1" customWidth="1"/>
    <col min="110" max="110" width="14.5703125" bestFit="1" customWidth="1"/>
    <col min="111" max="111" width="14.28515625" bestFit="1" customWidth="1"/>
    <col min="112" max="112" width="12.42578125" bestFit="1" customWidth="1"/>
    <col min="113" max="114" width="16.85546875" bestFit="1" customWidth="1"/>
    <col min="115" max="115" width="13.85546875" bestFit="1" customWidth="1"/>
    <col min="116" max="116" width="13.28515625" bestFit="1" customWidth="1"/>
    <col min="117" max="117" width="13.85546875" bestFit="1" customWidth="1"/>
    <col min="118" max="118" width="14.5703125" bestFit="1" customWidth="1"/>
    <col min="119" max="120" width="15.28515625" bestFit="1" customWidth="1"/>
    <col min="121" max="123" width="16.85546875" bestFit="1" customWidth="1"/>
    <col min="124" max="124" width="15.140625" bestFit="1" customWidth="1"/>
    <col min="125" max="125" width="16.140625" bestFit="1" customWidth="1"/>
    <col min="126" max="128" width="16.85546875" bestFit="1" customWidth="1"/>
    <col min="129" max="129" width="10.5703125" bestFit="1" customWidth="1"/>
    <col min="130" max="130" width="9.7109375" bestFit="1" customWidth="1"/>
    <col min="131" max="133" width="11" bestFit="1" customWidth="1"/>
    <col min="134" max="134" width="9.42578125" bestFit="1" customWidth="1"/>
    <col min="135" max="135" width="10.7109375" bestFit="1" customWidth="1"/>
    <col min="136" max="136" width="10.85546875" customWidth="1"/>
    <col min="137" max="137" width="10.7109375" bestFit="1" customWidth="1"/>
    <col min="138" max="139" width="9.28515625" bestFit="1" customWidth="1"/>
  </cols>
  <sheetData>
    <row r="1" spans="1:166" ht="57.75" thickBot="1" x14ac:dyDescent="0.35">
      <c r="A1" s="66" t="s">
        <v>106</v>
      </c>
      <c r="B1" s="67" t="s">
        <v>107</v>
      </c>
      <c r="C1" s="67" t="s">
        <v>108</v>
      </c>
      <c r="D1" s="67" t="s">
        <v>109</v>
      </c>
      <c r="E1" s="67" t="s">
        <v>110</v>
      </c>
      <c r="F1" s="68" t="s">
        <v>111</v>
      </c>
      <c r="G1" s="67" t="s">
        <v>112</v>
      </c>
      <c r="H1" s="69"/>
      <c r="I1" s="70" t="s">
        <v>113</v>
      </c>
      <c r="J1" s="468">
        <v>45322</v>
      </c>
      <c r="K1" s="71">
        <v>45351</v>
      </c>
      <c r="L1" s="71">
        <v>45382</v>
      </c>
      <c r="M1" s="71">
        <v>45412</v>
      </c>
      <c r="N1" s="72">
        <v>45443</v>
      </c>
      <c r="O1" s="72"/>
      <c r="P1" s="468">
        <v>45688</v>
      </c>
      <c r="Q1" s="71">
        <v>45716</v>
      </c>
      <c r="R1" s="71">
        <v>45747</v>
      </c>
      <c r="S1" s="71">
        <v>45777</v>
      </c>
      <c r="T1" s="71">
        <v>45808</v>
      </c>
      <c r="U1" s="71">
        <v>45838</v>
      </c>
      <c r="V1" s="71">
        <v>45869</v>
      </c>
      <c r="W1" s="71">
        <v>31</v>
      </c>
      <c r="X1" s="73" t="s">
        <v>114</v>
      </c>
      <c r="Y1" s="74">
        <v>45233</v>
      </c>
      <c r="Z1" s="74">
        <v>45240</v>
      </c>
      <c r="AA1" s="74">
        <v>45247</v>
      </c>
      <c r="AB1" s="74">
        <v>45254</v>
      </c>
      <c r="AC1" s="74">
        <v>45261</v>
      </c>
      <c r="AD1" s="74">
        <v>45268</v>
      </c>
      <c r="AE1" s="74">
        <v>45275</v>
      </c>
      <c r="AF1" s="74">
        <v>45282</v>
      </c>
      <c r="AG1" s="75">
        <v>45289</v>
      </c>
      <c r="AH1" s="74">
        <v>45296</v>
      </c>
      <c r="AI1" s="74">
        <v>45303</v>
      </c>
      <c r="AJ1" s="74">
        <v>45310</v>
      </c>
      <c r="AK1" s="74">
        <v>45317</v>
      </c>
      <c r="AL1" s="74">
        <v>45324</v>
      </c>
      <c r="AM1" s="74">
        <v>45331</v>
      </c>
      <c r="AN1" s="74">
        <v>45338</v>
      </c>
      <c r="AO1" s="74">
        <v>45345</v>
      </c>
      <c r="AP1" s="74">
        <v>45352</v>
      </c>
      <c r="AQ1" s="74">
        <v>45359</v>
      </c>
      <c r="AR1" s="75">
        <v>45366</v>
      </c>
      <c r="AS1" s="75">
        <v>45373</v>
      </c>
      <c r="AT1" s="75">
        <v>45380</v>
      </c>
      <c r="AU1" s="75">
        <v>45387</v>
      </c>
      <c r="AV1" s="75">
        <v>45394</v>
      </c>
      <c r="AW1" s="75">
        <v>45401</v>
      </c>
      <c r="AX1" s="75">
        <v>45408</v>
      </c>
      <c r="AY1" s="75">
        <v>45415</v>
      </c>
      <c r="AZ1" s="75">
        <v>45422</v>
      </c>
      <c r="BA1" s="75">
        <v>45429</v>
      </c>
      <c r="BB1" s="75">
        <v>45436</v>
      </c>
      <c r="BC1" s="75">
        <v>45443</v>
      </c>
      <c r="BD1" s="75">
        <v>45450</v>
      </c>
      <c r="BE1" s="75">
        <v>45457</v>
      </c>
      <c r="BF1" s="75">
        <v>45464</v>
      </c>
      <c r="BG1" s="75">
        <v>45471</v>
      </c>
      <c r="BH1" s="75">
        <v>45478</v>
      </c>
      <c r="BI1" s="75">
        <v>45485</v>
      </c>
      <c r="BJ1" s="75">
        <v>45492</v>
      </c>
      <c r="BK1" s="75">
        <v>45499</v>
      </c>
      <c r="BL1" s="75">
        <v>45506</v>
      </c>
      <c r="BM1" s="75">
        <v>45513</v>
      </c>
      <c r="BN1" s="75">
        <v>45520</v>
      </c>
      <c r="BO1" s="75">
        <v>45527</v>
      </c>
      <c r="BP1" s="75">
        <v>45534</v>
      </c>
      <c r="BQ1" s="75">
        <v>45541</v>
      </c>
      <c r="BR1" s="75">
        <v>45548</v>
      </c>
      <c r="BS1" s="75">
        <v>45555</v>
      </c>
      <c r="BT1" s="75">
        <v>45562</v>
      </c>
      <c r="BU1" s="75">
        <v>45569</v>
      </c>
      <c r="BV1" s="75">
        <v>45576</v>
      </c>
      <c r="BW1" s="75">
        <v>45583</v>
      </c>
      <c r="BX1" s="75">
        <v>45590</v>
      </c>
      <c r="BY1" s="75">
        <v>45597</v>
      </c>
      <c r="BZ1" s="75">
        <v>45604</v>
      </c>
      <c r="CA1" s="75">
        <v>45611</v>
      </c>
      <c r="CB1" s="75">
        <v>45618</v>
      </c>
      <c r="CC1" s="75">
        <v>45625</v>
      </c>
      <c r="CD1" s="75">
        <v>45632</v>
      </c>
      <c r="CE1" s="75">
        <v>45639</v>
      </c>
      <c r="CF1" s="75">
        <v>45646</v>
      </c>
      <c r="CG1" s="75">
        <v>45653</v>
      </c>
      <c r="CH1" s="75">
        <v>45660</v>
      </c>
      <c r="CI1" s="75">
        <v>45667</v>
      </c>
      <c r="CJ1" s="75">
        <v>45674</v>
      </c>
      <c r="CK1" s="75">
        <v>45681</v>
      </c>
      <c r="CL1" s="75">
        <v>45688</v>
      </c>
      <c r="CM1" s="75">
        <v>45695</v>
      </c>
      <c r="CN1" s="75">
        <v>45702</v>
      </c>
      <c r="CO1" s="75">
        <v>45709</v>
      </c>
      <c r="CP1" s="75">
        <v>45716</v>
      </c>
      <c r="CQ1" s="75">
        <v>45723</v>
      </c>
      <c r="CR1" s="75">
        <v>45730</v>
      </c>
      <c r="CS1" s="75">
        <v>45737</v>
      </c>
      <c r="CT1" s="75">
        <v>45744</v>
      </c>
      <c r="CU1" s="75">
        <v>45751</v>
      </c>
      <c r="CV1" s="75">
        <v>45758</v>
      </c>
      <c r="CW1" s="75">
        <v>45765</v>
      </c>
      <c r="CX1" s="75">
        <v>45772</v>
      </c>
      <c r="CY1" s="75">
        <v>45779</v>
      </c>
      <c r="CZ1" s="75">
        <v>45786</v>
      </c>
      <c r="DA1" s="75">
        <v>45793</v>
      </c>
      <c r="DB1" s="75">
        <v>45800</v>
      </c>
      <c r="DC1" s="75">
        <v>45807</v>
      </c>
      <c r="DD1" s="75">
        <v>45814</v>
      </c>
      <c r="DE1" s="75">
        <v>45821</v>
      </c>
      <c r="DF1" s="75">
        <v>45828</v>
      </c>
      <c r="DG1" s="75">
        <v>45835</v>
      </c>
      <c r="DH1" s="75">
        <v>45842</v>
      </c>
      <c r="DI1" s="75">
        <v>45849</v>
      </c>
      <c r="DJ1" s="75">
        <v>45856</v>
      </c>
      <c r="DK1" s="75">
        <v>45863</v>
      </c>
      <c r="DL1" s="75">
        <v>45870</v>
      </c>
      <c r="DM1" s="75">
        <v>45877</v>
      </c>
      <c r="DN1" s="75">
        <v>45884</v>
      </c>
      <c r="DO1" s="75">
        <v>45891</v>
      </c>
      <c r="DP1" s="75">
        <v>45898</v>
      </c>
      <c r="DQ1" s="75">
        <v>45905</v>
      </c>
      <c r="DR1" s="75">
        <v>45912</v>
      </c>
      <c r="DS1" s="75">
        <v>45919</v>
      </c>
      <c r="DT1" s="75">
        <v>45926</v>
      </c>
      <c r="DU1" s="75">
        <v>45933</v>
      </c>
      <c r="DV1" s="75">
        <v>45940</v>
      </c>
      <c r="DW1" s="75">
        <v>45947</v>
      </c>
      <c r="DX1" s="75">
        <v>45954</v>
      </c>
      <c r="DY1" s="75">
        <v>45961</v>
      </c>
      <c r="DZ1" s="75">
        <v>45968</v>
      </c>
      <c r="EA1" s="75">
        <v>45975</v>
      </c>
      <c r="EB1" s="75">
        <v>45982</v>
      </c>
      <c r="EC1" s="75">
        <v>45989</v>
      </c>
      <c r="ED1" s="75">
        <v>45996</v>
      </c>
      <c r="EE1" s="75">
        <v>46003</v>
      </c>
      <c r="EF1" s="75">
        <v>46010</v>
      </c>
      <c r="EG1" s="75">
        <v>46017</v>
      </c>
      <c r="EH1" s="75">
        <v>46024</v>
      </c>
      <c r="EI1" s="75">
        <v>46031</v>
      </c>
      <c r="EJ1" s="75">
        <v>46038</v>
      </c>
      <c r="EK1" s="75">
        <v>46045</v>
      </c>
      <c r="EL1" s="75">
        <v>46052</v>
      </c>
      <c r="EM1" s="75">
        <v>46059</v>
      </c>
      <c r="EN1" s="75">
        <v>46066</v>
      </c>
      <c r="EO1" s="75">
        <v>46073</v>
      </c>
      <c r="EP1" s="75">
        <v>46080</v>
      </c>
      <c r="EQ1" s="75">
        <v>46087</v>
      </c>
      <c r="ER1" s="75">
        <v>46094</v>
      </c>
      <c r="ES1" s="75">
        <v>46101</v>
      </c>
      <c r="ET1" s="75">
        <v>46108</v>
      </c>
      <c r="EU1" s="75">
        <v>46115</v>
      </c>
      <c r="EV1" s="75">
        <v>46122</v>
      </c>
      <c r="EW1" s="75">
        <v>46129</v>
      </c>
      <c r="EX1" s="75">
        <v>46136</v>
      </c>
      <c r="EY1" s="75">
        <v>46143</v>
      </c>
      <c r="EZ1" s="75">
        <v>46150</v>
      </c>
      <c r="FA1" s="75">
        <v>46157</v>
      </c>
      <c r="FB1" s="75">
        <v>46164</v>
      </c>
      <c r="FC1" s="75">
        <v>46171</v>
      </c>
      <c r="FD1" s="75">
        <v>46178</v>
      </c>
      <c r="FE1" s="75">
        <v>46185</v>
      </c>
      <c r="FF1" s="75">
        <v>46192</v>
      </c>
      <c r="FG1" s="75">
        <v>46199</v>
      </c>
      <c r="FH1" s="75">
        <v>46206</v>
      </c>
      <c r="FI1" s="75">
        <v>46213</v>
      </c>
      <c r="FJ1" s="75">
        <v>46220</v>
      </c>
    </row>
    <row r="2" spans="1:166" ht="16.5" hidden="1" thickBot="1" x14ac:dyDescent="0.35">
      <c r="A2" s="76" t="s">
        <v>115</v>
      </c>
      <c r="B2" s="77">
        <v>2</v>
      </c>
      <c r="C2" s="78"/>
      <c r="D2" s="79">
        <f>C2/VLOOKUP(B2,'[2]Gas Prod per PADD'!$A$1:$C$6,2,FALSE)</f>
        <v>0</v>
      </c>
      <c r="E2" s="80">
        <v>45293</v>
      </c>
      <c r="F2" s="81">
        <v>45296</v>
      </c>
      <c r="G2" s="82" t="s">
        <v>116</v>
      </c>
      <c r="H2" s="83"/>
      <c r="I2" s="84"/>
      <c r="J2" s="85">
        <f>C2*(E2-F2)/31</f>
        <v>0</v>
      </c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4"/>
      <c r="W2" s="84"/>
      <c r="X2" s="84" t="str">
        <f t="shared" ref="X2:X65" si="0">IF(COUNTA(Y2:EI2)=0,"Missing","OK")</f>
        <v>Missing</v>
      </c>
      <c r="Y2" s="86"/>
      <c r="Z2" s="86"/>
      <c r="AA2" s="87"/>
      <c r="AB2" s="87"/>
      <c r="AC2" s="87"/>
      <c r="AD2" s="87"/>
      <c r="AE2" s="87"/>
      <c r="AF2" s="87"/>
      <c r="AG2" s="87"/>
      <c r="AH2" s="87"/>
      <c r="AI2" s="87"/>
      <c r="AJ2" s="87"/>
      <c r="AK2" s="87"/>
      <c r="AL2" s="87"/>
      <c r="AM2" s="87"/>
      <c r="AN2" s="87"/>
      <c r="AO2" s="87"/>
      <c r="AP2" s="87"/>
      <c r="AQ2" s="87"/>
      <c r="AR2" s="87"/>
      <c r="AS2" s="87"/>
      <c r="AT2" s="87"/>
      <c r="AU2" s="87"/>
      <c r="AV2" s="87"/>
      <c r="AW2" s="87"/>
      <c r="AX2" s="87"/>
      <c r="AY2" s="87"/>
      <c r="AZ2" s="87"/>
      <c r="BA2" s="87"/>
      <c r="BB2" s="87"/>
      <c r="BC2" s="87"/>
      <c r="BD2" s="87"/>
      <c r="BE2" s="87"/>
      <c r="BF2" s="87"/>
      <c r="BG2" s="87"/>
      <c r="BH2" s="87"/>
      <c r="BI2" s="87"/>
      <c r="BJ2" s="87"/>
      <c r="BK2" s="87"/>
      <c r="BL2" s="87"/>
      <c r="BM2" s="87"/>
      <c r="BN2" s="87"/>
      <c r="BO2" s="87"/>
      <c r="BP2" s="87"/>
      <c r="BQ2" s="87"/>
      <c r="BR2" s="87"/>
      <c r="BS2" s="87"/>
      <c r="BT2" s="87"/>
      <c r="BU2" s="87"/>
      <c r="BV2" s="87"/>
      <c r="BW2" s="87"/>
      <c r="BX2" s="87"/>
      <c r="BY2" s="87"/>
      <c r="BZ2" s="87"/>
      <c r="CA2" s="87"/>
      <c r="CB2" s="87"/>
      <c r="CC2" s="87"/>
      <c r="CD2" s="87"/>
      <c r="CE2" s="87"/>
      <c r="CF2" s="87"/>
      <c r="CG2" s="87"/>
      <c r="CH2" s="87"/>
      <c r="CI2" s="87"/>
      <c r="CJ2" s="87"/>
      <c r="CK2" s="87"/>
      <c r="CL2" s="87"/>
      <c r="CM2" s="87"/>
      <c r="CN2" s="87"/>
      <c r="CO2" s="87"/>
      <c r="CP2" s="87"/>
      <c r="CQ2" s="87"/>
      <c r="CR2" s="87"/>
      <c r="CS2" s="87"/>
      <c r="CT2" s="87"/>
      <c r="CU2" s="87"/>
      <c r="CV2" s="87"/>
      <c r="CW2" s="87"/>
      <c r="CX2" s="87"/>
      <c r="CY2" s="87"/>
      <c r="CZ2" s="87"/>
      <c r="DA2" s="87"/>
      <c r="DB2" s="87"/>
      <c r="DC2" s="87"/>
      <c r="DD2" s="87"/>
      <c r="DE2" s="87"/>
      <c r="DF2" s="87"/>
      <c r="DG2" s="87"/>
      <c r="DH2" s="87"/>
      <c r="DI2" s="87"/>
      <c r="DJ2" s="87"/>
      <c r="DK2" s="87"/>
      <c r="DL2" s="87"/>
      <c r="DM2" s="87"/>
      <c r="DN2" s="87"/>
      <c r="DO2" s="87"/>
      <c r="DP2" s="87"/>
      <c r="DQ2" s="87"/>
      <c r="DR2" s="87"/>
      <c r="DS2" s="87"/>
      <c r="DT2" s="87"/>
      <c r="DU2" s="87"/>
      <c r="DV2" s="87"/>
      <c r="DW2" s="87"/>
      <c r="DX2" s="87"/>
      <c r="DY2" s="87"/>
      <c r="DZ2" s="87"/>
      <c r="EA2" s="87"/>
      <c r="EB2" s="87"/>
      <c r="EC2" s="87"/>
      <c r="ED2" s="87"/>
      <c r="EE2" s="87"/>
      <c r="EF2" s="87"/>
      <c r="EG2" s="87"/>
      <c r="EH2" s="87"/>
      <c r="EI2" s="87"/>
    </row>
    <row r="3" spans="1:166" ht="16.5" hidden="1" thickBot="1" x14ac:dyDescent="0.35">
      <c r="A3" s="88" t="s">
        <v>117</v>
      </c>
      <c r="B3" s="89">
        <v>3</v>
      </c>
      <c r="C3" s="90"/>
      <c r="D3" s="91">
        <f>C3/VLOOKUP(B3,'[2]Gas Prod per PADD'!$A$1:$C$6,2,FALSE)</f>
        <v>0</v>
      </c>
      <c r="E3" s="92">
        <v>45296</v>
      </c>
      <c r="F3" s="93">
        <v>45298</v>
      </c>
      <c r="G3" s="94" t="s">
        <v>118</v>
      </c>
      <c r="H3" s="95"/>
      <c r="I3" s="84"/>
      <c r="J3" s="85">
        <f>C3*(E3-F3)/31</f>
        <v>0</v>
      </c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4"/>
      <c r="W3" s="84"/>
      <c r="X3" s="84" t="str">
        <f t="shared" si="0"/>
        <v>Missing</v>
      </c>
      <c r="Y3" s="86"/>
      <c r="Z3" s="86"/>
      <c r="AA3" s="87"/>
      <c r="AB3" s="87"/>
      <c r="AC3" s="87"/>
      <c r="AD3" s="87"/>
      <c r="AE3" s="87"/>
      <c r="AF3" s="87"/>
      <c r="AG3" s="87"/>
      <c r="AH3" s="87"/>
      <c r="AI3" s="87"/>
      <c r="AJ3" s="87"/>
      <c r="AK3" s="87"/>
      <c r="AL3" s="87"/>
      <c r="AM3" s="87"/>
      <c r="AN3" s="87"/>
      <c r="AO3" s="87"/>
      <c r="AP3" s="87"/>
      <c r="AQ3" s="87"/>
      <c r="AR3" s="87"/>
      <c r="AS3" s="87"/>
      <c r="AT3" s="87"/>
      <c r="AU3" s="87"/>
      <c r="AV3" s="87"/>
      <c r="AW3" s="87"/>
      <c r="AX3" s="87"/>
      <c r="AY3" s="87"/>
      <c r="AZ3" s="87"/>
      <c r="BA3" s="87"/>
      <c r="BB3" s="87"/>
      <c r="BC3" s="87"/>
      <c r="BD3" s="87"/>
      <c r="BE3" s="87"/>
      <c r="BF3" s="87"/>
      <c r="BG3" s="87"/>
      <c r="BH3" s="87"/>
      <c r="BI3" s="87"/>
      <c r="BJ3" s="87"/>
      <c r="BK3" s="87"/>
      <c r="BL3" s="87"/>
      <c r="BM3" s="87"/>
      <c r="BN3" s="87"/>
      <c r="BO3" s="87"/>
      <c r="BP3" s="87"/>
      <c r="BQ3" s="87"/>
      <c r="BR3" s="87"/>
      <c r="BS3" s="87"/>
      <c r="BT3" s="87"/>
      <c r="BU3" s="87"/>
      <c r="BV3" s="87"/>
      <c r="BW3" s="87"/>
      <c r="BX3" s="87"/>
      <c r="BY3" s="87"/>
      <c r="BZ3" s="87"/>
      <c r="CA3" s="87"/>
      <c r="CB3" s="87"/>
      <c r="CC3" s="87"/>
      <c r="CD3" s="87"/>
      <c r="CE3" s="87"/>
      <c r="CF3" s="87"/>
      <c r="CG3" s="87"/>
      <c r="CH3" s="87"/>
      <c r="CI3" s="87"/>
      <c r="CJ3" s="87"/>
      <c r="CK3" s="87"/>
      <c r="CL3" s="87"/>
      <c r="CM3" s="87"/>
      <c r="CN3" s="87"/>
      <c r="CO3" s="87"/>
      <c r="CP3" s="87"/>
      <c r="CQ3" s="87"/>
      <c r="CR3" s="87"/>
      <c r="CS3" s="87"/>
      <c r="CT3" s="87"/>
      <c r="CU3" s="87"/>
      <c r="CV3" s="87"/>
      <c r="CW3" s="87"/>
      <c r="CX3" s="87"/>
      <c r="CY3" s="87"/>
      <c r="CZ3" s="87"/>
      <c r="DA3" s="87"/>
      <c r="DB3" s="87"/>
      <c r="DC3" s="87"/>
      <c r="DD3" s="87"/>
      <c r="DE3" s="87"/>
      <c r="DF3" s="87"/>
      <c r="DG3" s="87"/>
      <c r="DH3" s="87"/>
      <c r="DI3" s="87"/>
      <c r="DJ3" s="87"/>
      <c r="DK3" s="87"/>
      <c r="DL3" s="87"/>
      <c r="DM3" s="87"/>
      <c r="DN3" s="87"/>
      <c r="DO3" s="87"/>
      <c r="DP3" s="87"/>
      <c r="DQ3" s="87"/>
      <c r="DR3" s="87"/>
      <c r="DS3" s="87"/>
      <c r="DT3" s="87"/>
      <c r="DU3" s="87"/>
      <c r="DV3" s="87"/>
      <c r="DW3" s="87"/>
      <c r="DX3" s="87"/>
      <c r="DY3" s="87"/>
      <c r="DZ3" s="87"/>
      <c r="EA3" s="87"/>
      <c r="EB3" s="87"/>
      <c r="EC3" s="87"/>
      <c r="ED3" s="87"/>
      <c r="EE3" s="87"/>
      <c r="EF3" s="87"/>
      <c r="EG3" s="87"/>
      <c r="EH3" s="87"/>
      <c r="EI3" s="87"/>
    </row>
    <row r="4" spans="1:166" ht="16.5" hidden="1" thickBot="1" x14ac:dyDescent="0.35">
      <c r="A4" s="96" t="s">
        <v>119</v>
      </c>
      <c r="B4" s="89">
        <v>5</v>
      </c>
      <c r="C4" s="97"/>
      <c r="D4" s="91">
        <f>C3/VLOOKUP(B4,'[2]Gas Prod per PADD'!$A$1:$C$6,2,FALSE)</f>
        <v>0</v>
      </c>
      <c r="E4" s="92">
        <v>45286</v>
      </c>
      <c r="F4" s="93">
        <v>45299</v>
      </c>
      <c r="G4" s="94" t="s">
        <v>120</v>
      </c>
      <c r="H4" s="95"/>
      <c r="I4" s="84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4"/>
      <c r="W4" s="84"/>
      <c r="X4" s="84" t="str">
        <f t="shared" si="0"/>
        <v>OK</v>
      </c>
      <c r="Y4" s="86"/>
      <c r="Z4" s="86"/>
      <c r="AA4" s="87"/>
      <c r="AB4" s="87"/>
      <c r="AC4" s="87"/>
      <c r="AD4" s="87"/>
      <c r="AE4" s="87"/>
      <c r="AF4" s="87"/>
      <c r="AG4" s="87"/>
      <c r="AH4" s="87"/>
      <c r="AI4" s="87"/>
      <c r="AJ4" s="87"/>
      <c r="AK4" s="87"/>
      <c r="AL4" s="87"/>
      <c r="AM4" s="87"/>
      <c r="AN4" s="87"/>
      <c r="AO4" s="87"/>
      <c r="AP4" s="87"/>
      <c r="AQ4" s="87"/>
      <c r="AR4" s="87"/>
      <c r="AS4" s="87"/>
      <c r="AT4" s="87"/>
      <c r="AU4" s="87"/>
      <c r="AV4" s="87"/>
      <c r="AW4" s="87"/>
      <c r="AX4" s="87"/>
      <c r="AY4" s="87"/>
      <c r="AZ4" s="87"/>
      <c r="BA4" s="87"/>
      <c r="BB4" s="87"/>
      <c r="BC4" s="87"/>
      <c r="BD4" s="87"/>
      <c r="BE4" s="87"/>
      <c r="BF4" s="87"/>
      <c r="BG4" s="87"/>
      <c r="BH4" s="87"/>
      <c r="BI4" s="87"/>
      <c r="BJ4" s="87"/>
      <c r="BK4" s="87"/>
      <c r="BL4" s="87"/>
      <c r="BM4" s="87"/>
      <c r="BN4" s="87"/>
      <c r="BO4" s="87"/>
      <c r="BP4" s="87"/>
      <c r="BQ4" s="87"/>
      <c r="BR4" s="87"/>
      <c r="BS4" s="87"/>
      <c r="BT4" s="87"/>
      <c r="BU4" s="87"/>
      <c r="BV4" s="87"/>
      <c r="BW4" s="87"/>
      <c r="BX4" s="87"/>
      <c r="BY4" s="87"/>
      <c r="BZ4" s="87"/>
      <c r="CA4" s="87"/>
      <c r="CB4" s="87"/>
      <c r="CC4" s="87"/>
      <c r="CD4" s="87"/>
      <c r="CE4" s="87"/>
      <c r="CF4" s="87"/>
      <c r="CG4" s="87"/>
      <c r="CH4" s="87"/>
      <c r="CI4" s="87"/>
      <c r="CJ4" s="87"/>
      <c r="CK4" s="87"/>
      <c r="CL4" s="87"/>
      <c r="CM4" s="87"/>
      <c r="CN4" s="87"/>
      <c r="CO4" s="87"/>
      <c r="CP4" s="87"/>
      <c r="CQ4" s="87"/>
      <c r="CR4" s="87"/>
      <c r="CS4" s="87"/>
      <c r="CT4" s="87"/>
      <c r="CU4" s="87"/>
      <c r="CV4" s="87"/>
      <c r="CW4" s="87"/>
      <c r="CX4" s="87"/>
      <c r="CY4" s="87"/>
      <c r="CZ4" s="87"/>
      <c r="DA4" s="87"/>
      <c r="DB4" s="87"/>
      <c r="DC4" s="87"/>
      <c r="DD4" s="87"/>
      <c r="DE4" s="87"/>
      <c r="DF4" s="87"/>
      <c r="DG4" s="87"/>
      <c r="DH4" s="87"/>
      <c r="DI4" s="87"/>
      <c r="DJ4" s="87"/>
      <c r="DK4" s="87"/>
      <c r="DL4" s="87"/>
      <c r="DM4" s="87"/>
      <c r="DN4" s="87"/>
      <c r="DO4" s="87"/>
      <c r="DP4" s="87"/>
      <c r="DQ4" s="87"/>
      <c r="DR4" s="87"/>
      <c r="DS4" s="87"/>
      <c r="DT4" s="87"/>
      <c r="DU4" s="87"/>
      <c r="DV4" s="87"/>
      <c r="DW4" s="87"/>
      <c r="DX4" s="87"/>
      <c r="DY4" s="87"/>
      <c r="DZ4" s="87"/>
      <c r="EA4" s="87"/>
      <c r="EB4" s="87"/>
      <c r="EC4" s="87"/>
      <c r="ED4" s="87"/>
      <c r="EE4" s="87"/>
      <c r="EF4" s="87"/>
      <c r="EG4" s="75">
        <v>46017</v>
      </c>
      <c r="EH4" s="75">
        <v>46024</v>
      </c>
      <c r="EI4" s="75">
        <v>46031</v>
      </c>
    </row>
    <row r="5" spans="1:166" ht="16.5" hidden="1" thickBot="1" x14ac:dyDescent="0.35">
      <c r="A5" s="96" t="s">
        <v>121</v>
      </c>
      <c r="B5" s="89">
        <v>3</v>
      </c>
      <c r="C5" s="90"/>
      <c r="D5" s="91">
        <f>C5/VLOOKUP(B5,'[2]Gas Prod per PADD'!$A$1:$C$6,2,FALSE)</f>
        <v>0</v>
      </c>
      <c r="E5" s="92">
        <v>45297</v>
      </c>
      <c r="F5" s="93">
        <v>45299</v>
      </c>
      <c r="G5" s="94" t="s">
        <v>122</v>
      </c>
      <c r="H5" s="95"/>
      <c r="I5" s="84"/>
      <c r="J5" s="85">
        <f t="shared" ref="J5:J26" si="1">C5*(E5-F5)/31</f>
        <v>0</v>
      </c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4"/>
      <c r="W5" s="84"/>
      <c r="X5" s="84" t="str">
        <f t="shared" si="0"/>
        <v>Missing</v>
      </c>
      <c r="Y5" s="86"/>
      <c r="Z5" s="86"/>
      <c r="AA5" s="87"/>
      <c r="AB5" s="87"/>
      <c r="AC5" s="87"/>
      <c r="AD5" s="87"/>
      <c r="AE5" s="87"/>
      <c r="AF5" s="87"/>
      <c r="AG5" s="87"/>
      <c r="AH5" s="87"/>
      <c r="AI5" s="87"/>
      <c r="AJ5" s="87"/>
      <c r="AK5" s="87"/>
      <c r="AL5" s="87"/>
      <c r="AM5" s="87"/>
      <c r="AN5" s="87"/>
      <c r="AO5" s="87"/>
      <c r="AP5" s="87"/>
      <c r="AQ5" s="87"/>
      <c r="AR5" s="87"/>
      <c r="AS5" s="87"/>
      <c r="AT5" s="87"/>
      <c r="AU5" s="87"/>
      <c r="AV5" s="87"/>
      <c r="AW5" s="87"/>
      <c r="AX5" s="87"/>
      <c r="AY5" s="87"/>
      <c r="AZ5" s="87"/>
      <c r="BA5" s="87"/>
      <c r="BB5" s="87"/>
      <c r="BC5" s="87"/>
      <c r="BD5" s="87"/>
      <c r="BE5" s="87"/>
      <c r="BF5" s="87"/>
      <c r="BG5" s="87"/>
      <c r="BH5" s="87"/>
      <c r="BI5" s="87"/>
      <c r="BJ5" s="87"/>
      <c r="BK5" s="87"/>
      <c r="BL5" s="87"/>
      <c r="BM5" s="87"/>
      <c r="BN5" s="87"/>
      <c r="BO5" s="87"/>
      <c r="BP5" s="87"/>
      <c r="BQ5" s="87"/>
      <c r="BR5" s="87"/>
      <c r="BS5" s="87"/>
      <c r="BT5" s="87"/>
      <c r="BU5" s="87"/>
      <c r="BV5" s="87"/>
      <c r="BW5" s="87"/>
      <c r="BX5" s="87"/>
      <c r="BY5" s="87"/>
      <c r="BZ5" s="87"/>
      <c r="CA5" s="87"/>
      <c r="CB5" s="87"/>
      <c r="CC5" s="87"/>
      <c r="CD5" s="87"/>
      <c r="CE5" s="87"/>
      <c r="CF5" s="87"/>
      <c r="CG5" s="87"/>
      <c r="CH5" s="87"/>
      <c r="CI5" s="87"/>
      <c r="CJ5" s="87"/>
      <c r="CK5" s="87"/>
      <c r="CL5" s="87"/>
      <c r="CM5" s="87"/>
      <c r="CN5" s="87"/>
      <c r="CO5" s="87"/>
      <c r="CP5" s="87"/>
      <c r="CQ5" s="87"/>
      <c r="CR5" s="87"/>
      <c r="CS5" s="87"/>
      <c r="CT5" s="87"/>
      <c r="CU5" s="87"/>
      <c r="CV5" s="87"/>
      <c r="CW5" s="87"/>
      <c r="CX5" s="87"/>
      <c r="CY5" s="87"/>
      <c r="CZ5" s="87"/>
      <c r="DA5" s="87"/>
      <c r="DB5" s="87"/>
      <c r="DC5" s="87"/>
      <c r="DD5" s="87"/>
      <c r="DE5" s="87"/>
      <c r="DF5" s="87"/>
      <c r="DG5" s="87"/>
      <c r="DH5" s="87"/>
      <c r="DI5" s="87"/>
      <c r="DJ5" s="87"/>
      <c r="DK5" s="87"/>
      <c r="DL5" s="87"/>
      <c r="DM5" s="87"/>
      <c r="DN5" s="87"/>
      <c r="DO5" s="87"/>
      <c r="DP5" s="87"/>
      <c r="DQ5" s="87"/>
      <c r="DR5" s="87"/>
      <c r="DS5" s="87"/>
      <c r="DT5" s="87"/>
      <c r="DU5" s="87"/>
      <c r="DV5" s="87"/>
      <c r="DW5" s="87"/>
      <c r="DX5" s="87"/>
      <c r="DY5" s="87"/>
      <c r="DZ5" s="87"/>
      <c r="EA5" s="87"/>
      <c r="EB5" s="87"/>
      <c r="EC5" s="87"/>
      <c r="ED5" s="87"/>
      <c r="EE5" s="87"/>
      <c r="EF5" s="87"/>
      <c r="EG5" s="87"/>
      <c r="EH5" s="87"/>
      <c r="EI5" s="87"/>
    </row>
    <row r="6" spans="1:166" ht="43.5" hidden="1" thickBot="1" x14ac:dyDescent="0.35">
      <c r="A6" s="98" t="s">
        <v>123</v>
      </c>
      <c r="B6" s="99">
        <v>1</v>
      </c>
      <c r="C6" s="100">
        <f>200*0.1+53*0.65+50*0.85+23*0.05+1.9</f>
        <v>100.00000000000001</v>
      </c>
      <c r="D6" s="91">
        <f>C6/VLOOKUP(B6,'[2]Gas Prod per PADD'!$A$1:$C$6,2,FALSE)</f>
        <v>0.20833333333333337</v>
      </c>
      <c r="E6" s="101">
        <v>45300</v>
      </c>
      <c r="F6" s="102">
        <v>45302</v>
      </c>
      <c r="G6" s="103" t="s">
        <v>124</v>
      </c>
      <c r="H6" s="104" t="s">
        <v>125</v>
      </c>
      <c r="I6" s="84" t="s">
        <v>126</v>
      </c>
      <c r="J6" s="85">
        <f t="shared" si="1"/>
        <v>-6.4516129032258069</v>
      </c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4"/>
      <c r="W6" s="84"/>
      <c r="X6" s="84" t="str">
        <f t="shared" si="0"/>
        <v>OK</v>
      </c>
      <c r="Y6" s="105"/>
      <c r="Z6" s="105"/>
      <c r="AA6" s="87"/>
      <c r="AB6" s="87"/>
      <c r="AC6" s="87"/>
      <c r="AD6" s="87"/>
      <c r="AE6" s="105"/>
      <c r="AF6" s="105"/>
      <c r="AG6" s="105"/>
      <c r="AH6" s="105"/>
      <c r="AI6" s="87">
        <f>-4/7*C6</f>
        <v>-57.142857142857146</v>
      </c>
      <c r="AJ6" s="87"/>
      <c r="AK6" s="87">
        <f>-AI6</f>
        <v>57.142857142857146</v>
      </c>
      <c r="AL6" s="87"/>
      <c r="AM6" s="87"/>
      <c r="AN6" s="87"/>
      <c r="AO6" s="87"/>
      <c r="AP6" s="87"/>
      <c r="AQ6" s="87"/>
      <c r="AR6" s="87"/>
      <c r="AS6" s="87"/>
      <c r="AT6" s="87"/>
      <c r="AU6" s="87"/>
      <c r="AV6" s="87"/>
      <c r="AW6" s="87"/>
      <c r="AX6" s="87"/>
      <c r="AY6" s="87"/>
      <c r="AZ6" s="87"/>
      <c r="BA6" s="87"/>
      <c r="BB6" s="87"/>
      <c r="BC6" s="87"/>
      <c r="BD6" s="87"/>
      <c r="BE6" s="87"/>
      <c r="BF6" s="87"/>
      <c r="BG6" s="87"/>
      <c r="BH6" s="87"/>
      <c r="BI6" s="87"/>
      <c r="BJ6" s="87"/>
      <c r="BK6" s="87"/>
      <c r="BL6" s="87"/>
      <c r="BM6" s="87"/>
      <c r="BN6" s="87"/>
      <c r="BO6" s="87"/>
      <c r="BP6" s="87"/>
      <c r="BQ6" s="87"/>
      <c r="BR6" s="87"/>
      <c r="BS6" s="87"/>
      <c r="BT6" s="87"/>
      <c r="BU6" s="87"/>
      <c r="BV6" s="87"/>
      <c r="BW6" s="87"/>
      <c r="BX6" s="87"/>
      <c r="BY6" s="87"/>
      <c r="BZ6" s="87"/>
      <c r="CA6" s="87"/>
      <c r="CB6" s="87"/>
      <c r="CC6" s="87"/>
      <c r="CD6" s="87"/>
      <c r="CE6" s="87"/>
      <c r="CF6" s="87"/>
      <c r="CG6" s="87"/>
      <c r="CH6" s="87"/>
      <c r="CI6" s="87"/>
      <c r="CJ6" s="87"/>
      <c r="CK6" s="87"/>
      <c r="CL6" s="87"/>
      <c r="CM6" s="87"/>
      <c r="CN6" s="87"/>
      <c r="CO6" s="87"/>
      <c r="CP6" s="87"/>
      <c r="CQ6" s="87"/>
      <c r="CR6" s="87"/>
      <c r="CS6" s="87"/>
      <c r="CT6" s="87"/>
      <c r="CU6" s="87"/>
      <c r="CV6" s="87"/>
      <c r="CW6" s="87"/>
      <c r="CX6" s="87"/>
      <c r="CY6" s="87"/>
      <c r="CZ6" s="87"/>
      <c r="DA6" s="87"/>
      <c r="DB6" s="87"/>
      <c r="DC6" s="87"/>
      <c r="DD6" s="87"/>
      <c r="DE6" s="87"/>
      <c r="DF6" s="87"/>
      <c r="DG6" s="87"/>
      <c r="DH6" s="87"/>
      <c r="DI6" s="87"/>
      <c r="DJ6" s="87"/>
      <c r="DK6" s="87"/>
      <c r="DL6" s="87"/>
      <c r="DM6" s="87"/>
      <c r="DN6" s="87"/>
      <c r="DO6" s="87"/>
      <c r="DP6" s="87"/>
      <c r="DQ6" s="87"/>
      <c r="DR6" s="87"/>
      <c r="DS6" s="87"/>
      <c r="DT6" s="87"/>
      <c r="DU6" s="87"/>
      <c r="DV6" s="87"/>
      <c r="DW6" s="87"/>
      <c r="DX6" s="87"/>
      <c r="DY6" s="87"/>
      <c r="DZ6" s="87"/>
      <c r="EA6" s="87"/>
      <c r="EB6" s="87"/>
      <c r="EC6" s="87"/>
      <c r="ED6" s="87"/>
      <c r="EE6" s="87"/>
      <c r="EF6" s="87"/>
      <c r="EG6" s="87"/>
      <c r="EH6" s="87"/>
      <c r="EI6" s="87"/>
    </row>
    <row r="7" spans="1:166" ht="29.25" hidden="1" thickBot="1" x14ac:dyDescent="0.35">
      <c r="A7" s="106" t="s">
        <v>127</v>
      </c>
      <c r="B7" s="107">
        <v>3</v>
      </c>
      <c r="C7" s="108">
        <f>(0.5*80*0.6)+((245-180)*0.1)-0.5</f>
        <v>30</v>
      </c>
      <c r="D7" s="91">
        <f>C7/VLOOKUP(B7,'[2]Gas Prod per PADD'!$A$1:$C$6,2,FALSE)</f>
        <v>6.5217391304347823E-3</v>
      </c>
      <c r="E7" s="109">
        <v>45302</v>
      </c>
      <c r="F7" s="110">
        <v>45303</v>
      </c>
      <c r="G7" s="111" t="s">
        <v>128</v>
      </c>
      <c r="H7" s="112" t="s">
        <v>129</v>
      </c>
      <c r="I7" s="84" t="s">
        <v>130</v>
      </c>
      <c r="J7" s="85">
        <f t="shared" si="1"/>
        <v>-0.967741935483871</v>
      </c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4"/>
      <c r="W7" s="84"/>
      <c r="X7" s="84" t="str">
        <f t="shared" si="0"/>
        <v>OK</v>
      </c>
      <c r="Y7" s="105"/>
      <c r="Z7" s="105"/>
      <c r="AA7" s="87"/>
      <c r="AB7" s="87"/>
      <c r="AC7" s="87"/>
      <c r="AD7" s="87"/>
      <c r="AE7" s="105"/>
      <c r="AF7" s="105"/>
      <c r="AG7" s="105"/>
      <c r="AH7" s="105"/>
      <c r="AI7" s="87">
        <f>(1/7)*$C7*-1</f>
        <v>-4.2857142857142856</v>
      </c>
      <c r="AJ7" s="87">
        <f>(3/7)*$C7*-1</f>
        <v>-12.857142857142856</v>
      </c>
      <c r="AK7" s="87"/>
      <c r="AL7" s="87"/>
      <c r="AM7" s="87"/>
      <c r="AN7" s="87"/>
      <c r="AO7" s="87"/>
      <c r="AP7" s="87"/>
      <c r="AQ7" s="87"/>
      <c r="AR7" s="87"/>
      <c r="AS7" s="87"/>
      <c r="AT7" s="87"/>
      <c r="AU7" s="87"/>
      <c r="AV7" s="87"/>
      <c r="AW7" s="87"/>
      <c r="AX7" s="87"/>
      <c r="AY7" s="87"/>
      <c r="AZ7" s="87"/>
      <c r="BA7" s="87"/>
      <c r="BB7" s="87"/>
      <c r="BC7" s="87"/>
      <c r="BD7" s="87"/>
      <c r="BE7" s="87"/>
      <c r="BF7" s="87"/>
      <c r="BG7" s="87"/>
      <c r="BH7" s="87"/>
      <c r="BI7" s="87"/>
      <c r="BJ7" s="87"/>
      <c r="BK7" s="87"/>
      <c r="BL7" s="87"/>
      <c r="BM7" s="87"/>
      <c r="BN7" s="87"/>
      <c r="BO7" s="87"/>
      <c r="BP7" s="87"/>
      <c r="BQ7" s="87"/>
      <c r="BR7" s="87"/>
      <c r="BS7" s="87"/>
      <c r="BT7" s="87"/>
      <c r="BU7" s="87"/>
      <c r="BV7" s="87"/>
      <c r="BW7" s="87"/>
      <c r="BX7" s="87"/>
      <c r="BY7" s="87"/>
      <c r="BZ7" s="87"/>
      <c r="CA7" s="87"/>
      <c r="CB7" s="87"/>
      <c r="CC7" s="87"/>
      <c r="CD7" s="87"/>
      <c r="CE7" s="87"/>
      <c r="CF7" s="87"/>
      <c r="CG7" s="87"/>
      <c r="CH7" s="87"/>
      <c r="CI7" s="87"/>
      <c r="CJ7" s="87"/>
      <c r="CK7" s="87"/>
      <c r="CL7" s="87"/>
      <c r="CM7" s="87"/>
      <c r="CN7" s="87"/>
      <c r="CO7" s="87"/>
      <c r="CP7" s="87"/>
      <c r="CQ7" s="87"/>
      <c r="CR7" s="87"/>
      <c r="CS7" s="87"/>
      <c r="CT7" s="87"/>
      <c r="CU7" s="87"/>
      <c r="CV7" s="87"/>
      <c r="CW7" s="87"/>
      <c r="CX7" s="87"/>
      <c r="CY7" s="87"/>
      <c r="CZ7" s="87"/>
      <c r="DA7" s="87"/>
      <c r="DB7" s="87"/>
      <c r="DC7" s="87"/>
      <c r="DD7" s="87"/>
      <c r="DE7" s="87"/>
      <c r="DF7" s="87"/>
      <c r="DG7" s="87"/>
      <c r="DH7" s="87"/>
      <c r="DI7" s="87"/>
      <c r="DJ7" s="87"/>
      <c r="DK7" s="87"/>
      <c r="DL7" s="87"/>
      <c r="DM7" s="87"/>
      <c r="DN7" s="87"/>
      <c r="DO7" s="87"/>
      <c r="DP7" s="87"/>
      <c r="DQ7" s="87"/>
      <c r="DR7" s="87"/>
      <c r="DS7" s="87"/>
      <c r="DT7" s="87"/>
      <c r="DU7" s="87"/>
      <c r="DV7" s="87"/>
      <c r="DW7" s="87"/>
      <c r="DX7" s="87"/>
      <c r="DY7" s="87"/>
      <c r="DZ7" s="87"/>
      <c r="EA7" s="87"/>
      <c r="EB7" s="87"/>
      <c r="EC7" s="87"/>
      <c r="ED7" s="87"/>
      <c r="EE7" s="87"/>
      <c r="EF7" s="87"/>
      <c r="EG7" s="87"/>
      <c r="EH7" s="87"/>
      <c r="EI7" s="87"/>
    </row>
    <row r="8" spans="1:166" ht="16.5" hidden="1" thickBot="1" x14ac:dyDescent="0.35">
      <c r="A8" s="113" t="s">
        <v>131</v>
      </c>
      <c r="B8" s="114">
        <v>2</v>
      </c>
      <c r="C8" s="115"/>
      <c r="D8" s="91">
        <f>C8/VLOOKUP(B8,'[2]Gas Prod per PADD'!$A$1:$C$6,2,FALSE)</f>
        <v>0</v>
      </c>
      <c r="E8" s="116">
        <v>45304</v>
      </c>
      <c r="F8" s="117">
        <v>45306</v>
      </c>
      <c r="G8" s="118" t="s">
        <v>132</v>
      </c>
      <c r="H8" s="119" t="s">
        <v>133</v>
      </c>
      <c r="I8" s="84"/>
      <c r="J8" s="85">
        <f t="shared" si="1"/>
        <v>0</v>
      </c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4"/>
      <c r="W8" s="84"/>
      <c r="X8" s="84" t="str">
        <f t="shared" si="0"/>
        <v>Missing</v>
      </c>
      <c r="Y8" s="86"/>
      <c r="Z8" s="86"/>
      <c r="AA8" s="87"/>
      <c r="AB8" s="87"/>
      <c r="AC8" s="87"/>
      <c r="AD8" s="87"/>
      <c r="AE8" s="87"/>
      <c r="AF8" s="87"/>
      <c r="AG8" s="87"/>
      <c r="AH8" s="87"/>
      <c r="AI8" s="87"/>
      <c r="AJ8" s="87"/>
      <c r="AK8" s="87"/>
      <c r="AL8" s="87"/>
      <c r="AM8" s="87"/>
      <c r="AN8" s="87"/>
      <c r="AO8" s="87"/>
      <c r="AP8" s="87"/>
      <c r="AQ8" s="87"/>
      <c r="AR8" s="87"/>
      <c r="AS8" s="87"/>
      <c r="AT8" s="87"/>
      <c r="AU8" s="87"/>
      <c r="AV8" s="87"/>
      <c r="AW8" s="87"/>
      <c r="AX8" s="87"/>
      <c r="AY8" s="87"/>
      <c r="AZ8" s="87"/>
      <c r="BA8" s="87"/>
      <c r="BB8" s="87"/>
      <c r="BC8" s="87"/>
      <c r="BD8" s="87"/>
      <c r="BE8" s="87"/>
      <c r="BF8" s="87"/>
      <c r="BG8" s="87"/>
      <c r="BH8" s="87"/>
      <c r="BI8" s="87"/>
      <c r="BJ8" s="87"/>
      <c r="BK8" s="87"/>
      <c r="BL8" s="87"/>
      <c r="BM8" s="87"/>
      <c r="BN8" s="87"/>
      <c r="BO8" s="87"/>
      <c r="BP8" s="87"/>
      <c r="BQ8" s="87"/>
      <c r="BR8" s="87"/>
      <c r="BS8" s="87"/>
      <c r="BT8" s="87"/>
      <c r="BU8" s="87"/>
      <c r="BV8" s="87"/>
      <c r="BW8" s="87"/>
      <c r="BX8" s="87"/>
      <c r="BY8" s="87"/>
      <c r="BZ8" s="87"/>
      <c r="CA8" s="87"/>
      <c r="CB8" s="87"/>
      <c r="CC8" s="87"/>
      <c r="CD8" s="87"/>
      <c r="CE8" s="87"/>
      <c r="CF8" s="87"/>
      <c r="CG8" s="87"/>
      <c r="CH8" s="87"/>
      <c r="CI8" s="87"/>
      <c r="CJ8" s="87"/>
      <c r="CK8" s="87"/>
      <c r="CL8" s="87"/>
      <c r="CM8" s="87"/>
      <c r="CN8" s="87"/>
      <c r="CO8" s="87"/>
      <c r="CP8" s="87"/>
      <c r="CQ8" s="87"/>
      <c r="CR8" s="87"/>
      <c r="CS8" s="87"/>
      <c r="CT8" s="87"/>
      <c r="CU8" s="87"/>
      <c r="CV8" s="87"/>
      <c r="CW8" s="87"/>
      <c r="CX8" s="87"/>
      <c r="CY8" s="87"/>
      <c r="CZ8" s="87"/>
      <c r="DA8" s="87"/>
      <c r="DB8" s="87"/>
      <c r="DC8" s="87"/>
      <c r="DD8" s="87"/>
      <c r="DE8" s="87"/>
      <c r="DF8" s="87"/>
      <c r="DG8" s="87"/>
      <c r="DH8" s="87"/>
      <c r="DI8" s="87"/>
      <c r="DJ8" s="87"/>
      <c r="DK8" s="87"/>
      <c r="DL8" s="87"/>
      <c r="DM8" s="87"/>
      <c r="DN8" s="87"/>
      <c r="DO8" s="87"/>
      <c r="DP8" s="87"/>
      <c r="DQ8" s="87"/>
      <c r="DR8" s="87"/>
      <c r="DS8" s="87"/>
      <c r="DT8" s="87"/>
      <c r="DU8" s="87"/>
      <c r="DV8" s="87"/>
      <c r="DW8" s="87"/>
      <c r="DX8" s="87"/>
      <c r="DY8" s="87"/>
      <c r="DZ8" s="87"/>
      <c r="EA8" s="87"/>
      <c r="EB8" s="87"/>
      <c r="EC8" s="87"/>
      <c r="ED8" s="87"/>
      <c r="EE8" s="87"/>
      <c r="EF8" s="87"/>
      <c r="EG8" s="87"/>
      <c r="EH8" s="87"/>
      <c r="EI8" s="87"/>
    </row>
    <row r="9" spans="1:166" ht="16.5" hidden="1" thickBot="1" x14ac:dyDescent="0.35">
      <c r="A9" s="96" t="s">
        <v>121</v>
      </c>
      <c r="B9" s="114">
        <v>3</v>
      </c>
      <c r="C9" s="115"/>
      <c r="D9" s="91">
        <f>C9/VLOOKUP(B9,'[2]Gas Prod per PADD'!$A$1:$C$6,2,FALSE)</f>
        <v>0</v>
      </c>
      <c r="E9" s="116">
        <v>45297</v>
      </c>
      <c r="F9" s="117">
        <v>45307</v>
      </c>
      <c r="G9" s="118" t="s">
        <v>134</v>
      </c>
      <c r="H9" s="119"/>
      <c r="I9" s="84"/>
      <c r="J9" s="85">
        <f t="shared" si="1"/>
        <v>0</v>
      </c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4"/>
      <c r="W9" s="84"/>
      <c r="X9" s="84" t="str">
        <f t="shared" si="0"/>
        <v>Missing</v>
      </c>
      <c r="Y9" s="86"/>
      <c r="Z9" s="86"/>
      <c r="AA9" s="87"/>
      <c r="AB9" s="87"/>
      <c r="AC9" s="87"/>
      <c r="AD9" s="87"/>
      <c r="AE9" s="87"/>
      <c r="AF9" s="87"/>
      <c r="AG9" s="87"/>
      <c r="AH9" s="87"/>
      <c r="AI9" s="87"/>
      <c r="AJ9" s="87"/>
      <c r="AK9" s="87"/>
      <c r="AL9" s="87"/>
      <c r="AM9" s="87"/>
      <c r="AN9" s="87"/>
      <c r="AO9" s="87"/>
      <c r="AP9" s="87"/>
      <c r="AQ9" s="87"/>
      <c r="AR9" s="87"/>
      <c r="AS9" s="87"/>
      <c r="AT9" s="87"/>
      <c r="AU9" s="87"/>
      <c r="AV9" s="87"/>
      <c r="AW9" s="87"/>
      <c r="AX9" s="87"/>
      <c r="AY9" s="87"/>
      <c r="AZ9" s="87"/>
      <c r="BA9" s="87"/>
      <c r="BB9" s="87"/>
      <c r="BC9" s="87"/>
      <c r="BD9" s="87"/>
      <c r="BE9" s="87"/>
      <c r="BF9" s="87"/>
      <c r="BG9" s="87"/>
      <c r="BH9" s="87"/>
      <c r="BI9" s="87"/>
      <c r="BJ9" s="87"/>
      <c r="BK9" s="87"/>
      <c r="BL9" s="87"/>
      <c r="BM9" s="87"/>
      <c r="BN9" s="87"/>
      <c r="BO9" s="87"/>
      <c r="BP9" s="87"/>
      <c r="BQ9" s="87"/>
      <c r="BR9" s="87"/>
      <c r="BS9" s="87"/>
      <c r="BT9" s="87"/>
      <c r="BU9" s="87"/>
      <c r="BV9" s="87"/>
      <c r="BW9" s="87"/>
      <c r="BX9" s="87"/>
      <c r="BY9" s="87"/>
      <c r="BZ9" s="87"/>
      <c r="CA9" s="87"/>
      <c r="CB9" s="87"/>
      <c r="CC9" s="87"/>
      <c r="CD9" s="87"/>
      <c r="CE9" s="87"/>
      <c r="CF9" s="87"/>
      <c r="CG9" s="87"/>
      <c r="CH9" s="87"/>
      <c r="CI9" s="87"/>
      <c r="CJ9" s="87"/>
      <c r="CK9" s="87"/>
      <c r="CL9" s="87"/>
      <c r="CM9" s="87"/>
      <c r="CN9" s="87"/>
      <c r="CO9" s="87"/>
      <c r="CP9" s="87"/>
      <c r="CQ9" s="87"/>
      <c r="CR9" s="87"/>
      <c r="CS9" s="87"/>
      <c r="CT9" s="87"/>
      <c r="CU9" s="87"/>
      <c r="CV9" s="87"/>
      <c r="CW9" s="87"/>
      <c r="CX9" s="87"/>
      <c r="CY9" s="87"/>
      <c r="CZ9" s="87"/>
      <c r="DA9" s="87"/>
      <c r="DB9" s="87"/>
      <c r="DC9" s="87"/>
      <c r="DD9" s="87"/>
      <c r="DE9" s="87"/>
      <c r="DF9" s="87"/>
      <c r="DG9" s="87"/>
      <c r="DH9" s="87"/>
      <c r="DI9" s="87"/>
      <c r="DJ9" s="87"/>
      <c r="DK9" s="87"/>
      <c r="DL9" s="87"/>
      <c r="DM9" s="87"/>
      <c r="DN9" s="87"/>
      <c r="DO9" s="87"/>
      <c r="DP9" s="87"/>
      <c r="DQ9" s="87"/>
      <c r="DR9" s="87"/>
      <c r="DS9" s="87"/>
      <c r="DT9" s="87"/>
      <c r="DU9" s="87"/>
      <c r="DV9" s="87"/>
      <c r="DW9" s="87"/>
      <c r="DX9" s="87"/>
      <c r="DY9" s="87"/>
      <c r="DZ9" s="87"/>
      <c r="EA9" s="87"/>
      <c r="EB9" s="87"/>
      <c r="EC9" s="87"/>
      <c r="ED9" s="87"/>
      <c r="EE9" s="87"/>
      <c r="EF9" s="87"/>
      <c r="EG9" s="87"/>
      <c r="EH9" s="87"/>
      <c r="EI9" s="87"/>
    </row>
    <row r="10" spans="1:166" ht="57.75" hidden="1" thickBot="1" x14ac:dyDescent="0.35">
      <c r="A10" s="120" t="s">
        <v>135</v>
      </c>
      <c r="B10" s="121">
        <v>3</v>
      </c>
      <c r="C10" s="122">
        <f>50*0.2</f>
        <v>10</v>
      </c>
      <c r="D10" s="91">
        <f>C10/VLOOKUP(B10,'[2]Gas Prod per PADD'!$A$1:$C$6,2,FALSE)</f>
        <v>2.1739130434782609E-3</v>
      </c>
      <c r="E10" s="116">
        <v>45307</v>
      </c>
      <c r="F10" s="117">
        <v>45309</v>
      </c>
      <c r="G10" s="123" t="s">
        <v>136</v>
      </c>
      <c r="H10" s="124" t="s">
        <v>137</v>
      </c>
      <c r="I10" s="84"/>
      <c r="J10" s="85">
        <f t="shared" si="1"/>
        <v>-0.64516129032258063</v>
      </c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4"/>
      <c r="W10" s="84"/>
      <c r="X10" s="84" t="str">
        <f t="shared" si="0"/>
        <v>OK</v>
      </c>
      <c r="Y10" s="87"/>
      <c r="Z10" s="87"/>
      <c r="AA10" s="87"/>
      <c r="AB10" s="87"/>
      <c r="AC10" s="87"/>
      <c r="AD10" s="87"/>
      <c r="AE10" s="87"/>
      <c r="AF10" s="87"/>
      <c r="AG10" s="87"/>
      <c r="AH10" s="87"/>
      <c r="AI10" s="87"/>
      <c r="AJ10" s="87">
        <f>(E10-$AJ$1)/7*C10</f>
        <v>-4.2857142857142856</v>
      </c>
      <c r="AK10" s="87">
        <f>-AJ10</f>
        <v>4.2857142857142856</v>
      </c>
      <c r="AL10" s="87"/>
      <c r="AM10" s="87"/>
      <c r="AN10" s="87"/>
      <c r="AO10" s="87"/>
      <c r="AP10" s="87"/>
      <c r="AQ10" s="87"/>
      <c r="AR10" s="87"/>
      <c r="AS10" s="87"/>
      <c r="AT10" s="87"/>
      <c r="AU10" s="87"/>
      <c r="AV10" s="87"/>
      <c r="AW10" s="87"/>
      <c r="AX10" s="87"/>
      <c r="AY10" s="87"/>
      <c r="AZ10" s="87"/>
      <c r="BA10" s="87"/>
      <c r="BB10" s="87"/>
      <c r="BC10" s="87"/>
      <c r="BD10" s="87"/>
      <c r="BE10" s="87"/>
      <c r="BF10" s="87"/>
      <c r="BG10" s="87"/>
      <c r="BH10" s="87"/>
      <c r="BI10" s="87"/>
      <c r="BJ10" s="87"/>
      <c r="BK10" s="87"/>
      <c r="BL10" s="87"/>
      <c r="BM10" s="87"/>
      <c r="BN10" s="87"/>
      <c r="BO10" s="87"/>
      <c r="BP10" s="87"/>
      <c r="BQ10" s="87"/>
      <c r="BR10" s="87"/>
      <c r="BS10" s="87"/>
      <c r="BT10" s="87"/>
      <c r="BU10" s="87"/>
      <c r="BV10" s="87"/>
      <c r="BW10" s="87"/>
      <c r="BX10" s="87"/>
      <c r="BY10" s="87"/>
      <c r="BZ10" s="87"/>
      <c r="CA10" s="87"/>
      <c r="CB10" s="87"/>
      <c r="CC10" s="87"/>
      <c r="CD10" s="87"/>
      <c r="CE10" s="87"/>
      <c r="CF10" s="87"/>
      <c r="CG10" s="87"/>
      <c r="CH10" s="87"/>
      <c r="CI10" s="87"/>
      <c r="CJ10" s="87"/>
      <c r="CK10" s="87"/>
      <c r="CL10" s="87"/>
      <c r="CM10" s="87"/>
      <c r="CN10" s="87"/>
      <c r="CO10" s="87"/>
      <c r="CP10" s="87"/>
      <c r="CQ10" s="87"/>
      <c r="CR10" s="87"/>
      <c r="CS10" s="87"/>
      <c r="CT10" s="87"/>
      <c r="CU10" s="87"/>
      <c r="CV10" s="87"/>
      <c r="CW10" s="87"/>
      <c r="CX10" s="87"/>
      <c r="CY10" s="87"/>
      <c r="CZ10" s="87"/>
      <c r="DA10" s="87"/>
      <c r="DB10" s="87"/>
      <c r="DC10" s="87"/>
      <c r="DD10" s="87"/>
      <c r="DE10" s="87"/>
      <c r="DF10" s="87"/>
      <c r="DG10" s="87"/>
      <c r="DH10" s="87"/>
      <c r="DI10" s="87"/>
      <c r="DJ10" s="87"/>
      <c r="DK10" s="87"/>
      <c r="DL10" s="87"/>
      <c r="DM10" s="87"/>
      <c r="DN10" s="87"/>
      <c r="DO10" s="87"/>
      <c r="DP10" s="87"/>
      <c r="DQ10" s="87"/>
      <c r="DR10" s="87"/>
      <c r="DS10" s="87"/>
      <c r="DT10" s="87"/>
      <c r="DU10" s="87"/>
      <c r="DV10" s="87"/>
      <c r="DW10" s="87"/>
      <c r="DX10" s="87"/>
      <c r="DY10" s="87"/>
      <c r="DZ10" s="87"/>
      <c r="EA10" s="87"/>
      <c r="EB10" s="87"/>
      <c r="EC10" s="87"/>
      <c r="ED10" s="87"/>
      <c r="EE10" s="87"/>
      <c r="EF10" s="87"/>
      <c r="EG10" s="87"/>
      <c r="EH10" s="87"/>
      <c r="EI10" s="87"/>
    </row>
    <row r="11" spans="1:166" ht="16.5" hidden="1" thickBot="1" x14ac:dyDescent="0.35">
      <c r="A11" s="96" t="s">
        <v>138</v>
      </c>
      <c r="B11" s="114">
        <v>3</v>
      </c>
      <c r="C11" s="115"/>
      <c r="D11" s="91">
        <f>C11/VLOOKUP(B11,'[2]Gas Prod per PADD'!$A$1:$C$6,2,FALSE)</f>
        <v>0</v>
      </c>
      <c r="E11" s="116">
        <v>45298</v>
      </c>
      <c r="F11" s="117">
        <v>45310</v>
      </c>
      <c r="G11" s="118" t="s">
        <v>139</v>
      </c>
      <c r="H11" s="119"/>
      <c r="I11" s="84"/>
      <c r="J11" s="85">
        <f t="shared" si="1"/>
        <v>0</v>
      </c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4"/>
      <c r="W11" s="84"/>
      <c r="X11" s="84" t="str">
        <f t="shared" si="0"/>
        <v>Missing</v>
      </c>
      <c r="Y11" s="86"/>
      <c r="Z11" s="86"/>
      <c r="AA11" s="87"/>
      <c r="AB11" s="87"/>
      <c r="AC11" s="87"/>
      <c r="AD11" s="87"/>
      <c r="AE11" s="87"/>
      <c r="AF11" s="87"/>
      <c r="AG11" s="87"/>
      <c r="AH11" s="87"/>
      <c r="AI11" s="87"/>
      <c r="AJ11" s="87"/>
      <c r="AK11" s="87"/>
      <c r="AL11" s="87"/>
      <c r="AM11" s="87"/>
      <c r="AN11" s="87"/>
      <c r="AO11" s="87"/>
      <c r="AP11" s="87"/>
      <c r="AQ11" s="87"/>
      <c r="AR11" s="87"/>
      <c r="AS11" s="87"/>
      <c r="AT11" s="87"/>
      <c r="AU11" s="87"/>
      <c r="AV11" s="87"/>
      <c r="AW11" s="87"/>
      <c r="AX11" s="87"/>
      <c r="AY11" s="87"/>
      <c r="AZ11" s="87"/>
      <c r="BA11" s="87"/>
      <c r="BB11" s="87"/>
      <c r="BC11" s="87"/>
      <c r="BD11" s="87"/>
      <c r="BE11" s="87"/>
      <c r="BF11" s="87"/>
      <c r="BG11" s="87"/>
      <c r="BH11" s="87"/>
      <c r="BI11" s="87"/>
      <c r="BJ11" s="87"/>
      <c r="BK11" s="87"/>
      <c r="BL11" s="87"/>
      <c r="BM11" s="87"/>
      <c r="BN11" s="87"/>
      <c r="BO11" s="87"/>
      <c r="BP11" s="87"/>
      <c r="BQ11" s="87"/>
      <c r="BR11" s="87"/>
      <c r="BS11" s="87"/>
      <c r="BT11" s="87"/>
      <c r="BU11" s="87"/>
      <c r="BV11" s="87"/>
      <c r="BW11" s="87"/>
      <c r="BX11" s="87"/>
      <c r="BY11" s="87"/>
      <c r="BZ11" s="87"/>
      <c r="CA11" s="87"/>
      <c r="CB11" s="87"/>
      <c r="CC11" s="87"/>
      <c r="CD11" s="87"/>
      <c r="CE11" s="87"/>
      <c r="CF11" s="87"/>
      <c r="CG11" s="87"/>
      <c r="CH11" s="87"/>
      <c r="CI11" s="87"/>
      <c r="CJ11" s="87"/>
      <c r="CK11" s="87"/>
      <c r="CL11" s="87"/>
      <c r="CM11" s="87"/>
      <c r="CN11" s="87"/>
      <c r="CO11" s="87"/>
      <c r="CP11" s="87"/>
      <c r="CQ11" s="87"/>
      <c r="CR11" s="87"/>
      <c r="CS11" s="87"/>
      <c r="CT11" s="87"/>
      <c r="CU11" s="87"/>
      <c r="CV11" s="87"/>
      <c r="CW11" s="87"/>
      <c r="CX11" s="87"/>
      <c r="CY11" s="87"/>
      <c r="CZ11" s="87"/>
      <c r="DA11" s="87"/>
      <c r="DB11" s="87"/>
      <c r="DC11" s="87"/>
      <c r="DD11" s="87"/>
      <c r="DE11" s="87"/>
      <c r="DF11" s="87"/>
      <c r="DG11" s="87"/>
      <c r="DH11" s="87"/>
      <c r="DI11" s="87"/>
      <c r="DJ11" s="87"/>
      <c r="DK11" s="87"/>
      <c r="DL11" s="87"/>
      <c r="DM11" s="87"/>
      <c r="DN11" s="87"/>
      <c r="DO11" s="87"/>
      <c r="DP11" s="87"/>
      <c r="DQ11" s="87"/>
      <c r="DR11" s="87"/>
      <c r="DS11" s="87"/>
      <c r="DT11" s="87"/>
      <c r="DU11" s="87"/>
      <c r="DV11" s="87"/>
      <c r="DW11" s="87"/>
      <c r="DX11" s="87"/>
      <c r="DY11" s="87"/>
      <c r="DZ11" s="87"/>
      <c r="EA11" s="87"/>
      <c r="EB11" s="87"/>
      <c r="EC11" s="87"/>
      <c r="ED11" s="87"/>
      <c r="EE11" s="87"/>
      <c r="EF11" s="87"/>
      <c r="EG11" s="87"/>
      <c r="EH11" s="87"/>
      <c r="EI11" s="87"/>
    </row>
    <row r="12" spans="1:166" ht="29.25" hidden="1" thickBot="1" x14ac:dyDescent="0.35">
      <c r="A12" s="120" t="s">
        <v>140</v>
      </c>
      <c r="B12" s="121">
        <v>3</v>
      </c>
      <c r="C12" s="122">
        <f>220*0.2+1</f>
        <v>45</v>
      </c>
      <c r="D12" s="91">
        <f>C12/VLOOKUP(B12,'[2]Gas Prod per PADD'!$A$1:$C$6,2,FALSE)</f>
        <v>9.7826086956521747E-3</v>
      </c>
      <c r="E12" s="116">
        <v>45306</v>
      </c>
      <c r="F12" s="117">
        <v>45310</v>
      </c>
      <c r="G12" s="123" t="s">
        <v>141</v>
      </c>
      <c r="H12" s="124" t="s">
        <v>142</v>
      </c>
      <c r="I12" s="84"/>
      <c r="J12" s="85">
        <f t="shared" si="1"/>
        <v>-5.806451612903226</v>
      </c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4"/>
      <c r="W12" s="84"/>
      <c r="X12" s="84" t="str">
        <f t="shared" si="0"/>
        <v>OK</v>
      </c>
      <c r="Y12" s="87"/>
      <c r="Z12" s="87"/>
      <c r="AA12" s="87"/>
      <c r="AB12" s="87"/>
      <c r="AC12" s="87"/>
      <c r="AD12" s="87"/>
      <c r="AE12" s="87"/>
      <c r="AF12" s="87"/>
      <c r="AG12" s="87"/>
      <c r="AH12" s="87"/>
      <c r="AI12" s="87"/>
      <c r="AJ12" s="87">
        <f>(E12-F12)/7*C12</f>
        <v>-25.714285714285712</v>
      </c>
      <c r="AK12" s="87"/>
      <c r="AL12" s="87"/>
      <c r="AM12" s="87"/>
      <c r="AN12" s="87"/>
      <c r="AO12" s="87"/>
      <c r="AP12" s="87"/>
      <c r="AQ12" s="87"/>
      <c r="AR12" s="87"/>
      <c r="AS12" s="87"/>
      <c r="AT12" s="87"/>
      <c r="AU12" s="87"/>
      <c r="AV12" s="87"/>
      <c r="AW12" s="87"/>
      <c r="AX12" s="87"/>
      <c r="AY12" s="87"/>
      <c r="AZ12" s="87"/>
      <c r="BA12" s="87"/>
      <c r="BB12" s="87"/>
      <c r="BC12" s="87"/>
      <c r="BD12" s="87"/>
      <c r="BE12" s="87"/>
      <c r="BF12" s="87"/>
      <c r="BG12" s="87"/>
      <c r="BH12" s="87"/>
      <c r="BI12" s="87"/>
      <c r="BJ12" s="87"/>
      <c r="BK12" s="87"/>
      <c r="BL12" s="87"/>
      <c r="BM12" s="87"/>
      <c r="BN12" s="87"/>
      <c r="BO12" s="87"/>
      <c r="BP12" s="87"/>
      <c r="BQ12" s="87"/>
      <c r="BR12" s="87"/>
      <c r="BS12" s="87"/>
      <c r="BT12" s="87"/>
      <c r="BU12" s="87"/>
      <c r="BV12" s="87"/>
      <c r="BW12" s="87"/>
      <c r="BX12" s="87"/>
      <c r="BY12" s="87"/>
      <c r="BZ12" s="87"/>
      <c r="CA12" s="87"/>
      <c r="CB12" s="87"/>
      <c r="CC12" s="87"/>
      <c r="CD12" s="87"/>
      <c r="CE12" s="87"/>
      <c r="CF12" s="87"/>
      <c r="CG12" s="87"/>
      <c r="CH12" s="87"/>
      <c r="CI12" s="87"/>
      <c r="CJ12" s="87"/>
      <c r="CK12" s="87"/>
      <c r="CL12" s="87"/>
      <c r="CM12" s="87"/>
      <c r="CN12" s="87"/>
      <c r="CO12" s="87"/>
      <c r="CP12" s="87"/>
      <c r="CQ12" s="87"/>
      <c r="CR12" s="87"/>
      <c r="CS12" s="87"/>
      <c r="CT12" s="87"/>
      <c r="CU12" s="87"/>
      <c r="CV12" s="87"/>
      <c r="CW12" s="87"/>
      <c r="CX12" s="87"/>
      <c r="CY12" s="87"/>
      <c r="CZ12" s="87"/>
      <c r="DA12" s="87"/>
      <c r="DB12" s="87"/>
      <c r="DC12" s="87"/>
      <c r="DD12" s="87"/>
      <c r="DE12" s="87"/>
      <c r="DF12" s="87"/>
      <c r="DG12" s="87"/>
      <c r="DH12" s="87"/>
      <c r="DI12" s="87"/>
      <c r="DJ12" s="87"/>
      <c r="DK12" s="87"/>
      <c r="DL12" s="87"/>
      <c r="DM12" s="87"/>
      <c r="DN12" s="87"/>
      <c r="DO12" s="87"/>
      <c r="DP12" s="87"/>
      <c r="DQ12" s="87"/>
      <c r="DR12" s="87"/>
      <c r="DS12" s="87"/>
      <c r="DT12" s="87"/>
      <c r="DU12" s="87"/>
      <c r="DV12" s="87"/>
      <c r="DW12" s="87"/>
      <c r="DX12" s="87"/>
      <c r="DY12" s="87"/>
      <c r="DZ12" s="87"/>
      <c r="EA12" s="87"/>
      <c r="EB12" s="87"/>
      <c r="EC12" s="87"/>
      <c r="ED12" s="87"/>
      <c r="EE12" s="87"/>
      <c r="EF12" s="87"/>
      <c r="EG12" s="87"/>
      <c r="EH12" s="87"/>
      <c r="EI12" s="87"/>
    </row>
    <row r="13" spans="1:166" ht="43.5" hidden="1" thickBot="1" x14ac:dyDescent="0.35">
      <c r="A13" s="125" t="s">
        <v>143</v>
      </c>
      <c r="B13" s="121">
        <v>5</v>
      </c>
      <c r="C13" s="122">
        <f>26*0.3+140/2*0.2-4.8</f>
        <v>17</v>
      </c>
      <c r="D13" s="91">
        <f>C13/VLOOKUP(B13,'[2]Gas Prod per PADD'!$A$1:$C$6,2,FALSE)</f>
        <v>1.2592592592592593E-2</v>
      </c>
      <c r="E13" s="126">
        <v>45306</v>
      </c>
      <c r="F13" s="127">
        <v>45310</v>
      </c>
      <c r="G13" s="123" t="s">
        <v>144</v>
      </c>
      <c r="H13" s="124" t="s">
        <v>145</v>
      </c>
      <c r="I13" s="84"/>
      <c r="J13" s="85">
        <f t="shared" si="1"/>
        <v>-2.193548387096774</v>
      </c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5"/>
      <c r="V13" s="84"/>
      <c r="W13" s="84"/>
      <c r="X13" s="84" t="str">
        <f t="shared" si="0"/>
        <v>OK</v>
      </c>
      <c r="Y13" s="87"/>
      <c r="Z13" s="87"/>
      <c r="AA13" s="87"/>
      <c r="AB13" s="87"/>
      <c r="AC13" s="87"/>
      <c r="AD13" s="87"/>
      <c r="AE13" s="87"/>
      <c r="AF13" s="87"/>
      <c r="AG13" s="87"/>
      <c r="AH13" s="87"/>
      <c r="AI13" s="87"/>
      <c r="AJ13" s="87"/>
      <c r="AK13" s="87"/>
      <c r="AL13" s="87"/>
      <c r="AM13" s="87"/>
      <c r="AN13" s="87"/>
      <c r="AO13" s="87"/>
      <c r="AP13" s="87"/>
      <c r="AQ13" s="87"/>
      <c r="AR13" s="87"/>
      <c r="AS13" s="87"/>
      <c r="AT13" s="87"/>
      <c r="AU13" s="87"/>
      <c r="AV13" s="87"/>
      <c r="AW13" s="87"/>
      <c r="AX13" s="87"/>
      <c r="AY13" s="87"/>
      <c r="AZ13" s="87"/>
      <c r="BA13" s="87"/>
      <c r="BB13" s="87"/>
      <c r="BC13" s="87"/>
      <c r="BD13" s="87"/>
      <c r="BE13" s="87"/>
      <c r="BF13" s="87"/>
      <c r="BG13" s="87"/>
      <c r="BH13" s="87"/>
      <c r="BI13" s="87"/>
      <c r="BJ13" s="87"/>
      <c r="BK13" s="87"/>
      <c r="BL13" s="87"/>
      <c r="BM13" s="87"/>
      <c r="BN13" s="87"/>
      <c r="BO13" s="87"/>
      <c r="BP13" s="87"/>
      <c r="BQ13" s="87"/>
      <c r="BR13" s="87"/>
      <c r="BS13" s="87"/>
      <c r="BT13" s="87"/>
      <c r="BU13" s="87"/>
      <c r="BV13" s="87"/>
      <c r="BW13" s="87"/>
      <c r="BX13" s="87"/>
      <c r="BY13" s="87"/>
      <c r="BZ13" s="87"/>
      <c r="CA13" s="87"/>
      <c r="CB13" s="87"/>
      <c r="CC13" s="87"/>
      <c r="CD13" s="87"/>
      <c r="CE13" s="87"/>
      <c r="CF13" s="87"/>
      <c r="CG13" s="87"/>
      <c r="CH13" s="87"/>
      <c r="CI13" s="87"/>
      <c r="CJ13" s="87"/>
      <c r="CK13" s="87"/>
      <c r="CL13" s="87"/>
      <c r="CM13" s="87"/>
      <c r="CN13" s="87"/>
      <c r="CO13" s="87"/>
      <c r="CP13" s="87"/>
      <c r="CQ13" s="87"/>
      <c r="CR13" s="87"/>
      <c r="CS13" s="87"/>
      <c r="CT13" s="87"/>
      <c r="CU13" s="87"/>
      <c r="CV13" s="87"/>
      <c r="CW13" s="87"/>
      <c r="CX13" s="87"/>
      <c r="CY13" s="87"/>
      <c r="CZ13" s="87"/>
      <c r="DA13" s="87"/>
      <c r="DB13" s="87"/>
      <c r="DC13" s="87"/>
      <c r="DD13" s="87"/>
      <c r="DE13" s="87"/>
      <c r="DF13" s="87"/>
      <c r="DG13" s="87"/>
      <c r="DH13" s="87"/>
      <c r="DI13" s="87"/>
      <c r="DJ13" s="87"/>
      <c r="DK13" s="87"/>
      <c r="DL13" s="87"/>
      <c r="DM13" s="87"/>
      <c r="DN13" s="87"/>
      <c r="DO13" s="87"/>
      <c r="DP13" s="87"/>
      <c r="DQ13" s="87"/>
      <c r="DR13" s="87"/>
      <c r="DS13" s="87"/>
      <c r="DT13" s="87"/>
      <c r="DU13" s="87"/>
      <c r="DV13" s="87"/>
      <c r="DW13" s="87"/>
      <c r="DX13" s="87"/>
      <c r="DY13" s="87"/>
      <c r="DZ13" s="87"/>
      <c r="EA13" s="87"/>
      <c r="EB13" s="87"/>
      <c r="EC13" s="87"/>
      <c r="ED13" s="87"/>
      <c r="EE13" s="87"/>
      <c r="EF13" s="87"/>
      <c r="EG13" s="75">
        <v>46017</v>
      </c>
      <c r="EH13" s="75">
        <v>46024</v>
      </c>
      <c r="EI13" s="75">
        <v>46031</v>
      </c>
    </row>
    <row r="14" spans="1:166" ht="43.5" hidden="1" thickBot="1" x14ac:dyDescent="0.35">
      <c r="A14" s="128" t="s">
        <v>146</v>
      </c>
      <c r="B14" s="121">
        <v>3</v>
      </c>
      <c r="C14" s="122">
        <f>55*0.85*0.2/2+197*0.26-0.9</f>
        <v>54.994999999999997</v>
      </c>
      <c r="D14" s="91">
        <f>C14/VLOOKUP(B14,'[2]Gas Prod per PADD'!$A$1:$C$6,2,FALSE)</f>
        <v>1.1955434782608696E-2</v>
      </c>
      <c r="E14" s="116">
        <v>45306</v>
      </c>
      <c r="F14" s="117">
        <v>45310</v>
      </c>
      <c r="G14" s="123" t="s">
        <v>147</v>
      </c>
      <c r="H14" s="124" t="s">
        <v>148</v>
      </c>
      <c r="I14" s="84"/>
      <c r="J14" s="85">
        <f t="shared" si="1"/>
        <v>-7.0961290322580641</v>
      </c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4"/>
      <c r="W14" s="84"/>
      <c r="X14" s="84" t="str">
        <f t="shared" si="0"/>
        <v>OK</v>
      </c>
      <c r="Y14" s="87"/>
      <c r="Z14" s="87"/>
      <c r="AA14" s="87"/>
      <c r="AB14" s="87"/>
      <c r="AC14" s="87"/>
      <c r="AD14" s="87"/>
      <c r="AE14" s="87"/>
      <c r="AF14" s="87"/>
      <c r="AG14" s="87"/>
      <c r="AH14" s="87"/>
      <c r="AI14" s="87"/>
      <c r="AJ14" s="87">
        <f>(E14-F14)/7*C14</f>
        <v>-31.425714285714282</v>
      </c>
      <c r="AK14" s="87">
        <f>-AJ14*2/3</f>
        <v>20.950476190476188</v>
      </c>
      <c r="AL14" s="87">
        <f>-AJ14-AK14</f>
        <v>10.475238095238094</v>
      </c>
      <c r="AM14" s="87"/>
      <c r="AN14" s="87"/>
      <c r="AO14" s="87"/>
      <c r="AP14" s="87"/>
      <c r="AQ14" s="87"/>
      <c r="AR14" s="87"/>
      <c r="AS14" s="87"/>
      <c r="AT14" s="87"/>
      <c r="AU14" s="87"/>
      <c r="AV14" s="87"/>
      <c r="AW14" s="87"/>
      <c r="AX14" s="87"/>
      <c r="AY14" s="87"/>
      <c r="AZ14" s="87"/>
      <c r="BA14" s="87"/>
      <c r="BB14" s="87"/>
      <c r="BC14" s="87"/>
      <c r="BD14" s="87"/>
      <c r="BE14" s="87"/>
      <c r="BF14" s="87"/>
      <c r="BG14" s="87"/>
      <c r="BH14" s="87"/>
      <c r="BI14" s="87"/>
      <c r="BJ14" s="87"/>
      <c r="BK14" s="87"/>
      <c r="BL14" s="87"/>
      <c r="BM14" s="87"/>
      <c r="BN14" s="87"/>
      <c r="BO14" s="87"/>
      <c r="BP14" s="87"/>
      <c r="BQ14" s="87"/>
      <c r="BR14" s="87"/>
      <c r="BS14" s="87"/>
      <c r="BT14" s="87"/>
      <c r="BU14" s="87"/>
      <c r="BV14" s="87"/>
      <c r="BW14" s="87"/>
      <c r="BX14" s="87"/>
      <c r="BY14" s="87"/>
      <c r="BZ14" s="87"/>
      <c r="CA14" s="87"/>
      <c r="CB14" s="87"/>
      <c r="CC14" s="87"/>
      <c r="CD14" s="87"/>
      <c r="CE14" s="87"/>
      <c r="CF14" s="87"/>
      <c r="CG14" s="87"/>
      <c r="CH14" s="87"/>
      <c r="CI14" s="87"/>
      <c r="CJ14" s="87"/>
      <c r="CK14" s="87"/>
      <c r="CL14" s="87"/>
      <c r="CM14" s="87"/>
      <c r="CN14" s="87"/>
      <c r="CO14" s="87"/>
      <c r="CP14" s="87"/>
      <c r="CQ14" s="87"/>
      <c r="CR14" s="87"/>
      <c r="CS14" s="87"/>
      <c r="CT14" s="87"/>
      <c r="CU14" s="87"/>
      <c r="CV14" s="87"/>
      <c r="CW14" s="87"/>
      <c r="CX14" s="87"/>
      <c r="CY14" s="87"/>
      <c r="CZ14" s="87"/>
      <c r="DA14" s="87"/>
      <c r="DB14" s="87"/>
      <c r="DC14" s="87"/>
      <c r="DD14" s="87"/>
      <c r="DE14" s="87"/>
      <c r="DF14" s="87"/>
      <c r="DG14" s="87"/>
      <c r="DH14" s="87"/>
      <c r="DI14" s="87"/>
      <c r="DJ14" s="87"/>
      <c r="DK14" s="87"/>
      <c r="DL14" s="87"/>
      <c r="DM14" s="87"/>
      <c r="DN14" s="87"/>
      <c r="DO14" s="87"/>
      <c r="DP14" s="87"/>
      <c r="DQ14" s="87"/>
      <c r="DR14" s="87"/>
      <c r="DS14" s="87"/>
      <c r="DT14" s="87"/>
      <c r="DU14" s="87"/>
      <c r="DV14" s="87"/>
      <c r="DW14" s="87"/>
      <c r="DX14" s="87"/>
      <c r="DY14" s="87"/>
      <c r="DZ14" s="87"/>
      <c r="EA14" s="87"/>
      <c r="EB14" s="87"/>
      <c r="EC14" s="87"/>
      <c r="ED14" s="87"/>
      <c r="EE14" s="87"/>
      <c r="EF14" s="87"/>
      <c r="EG14" s="87"/>
      <c r="EH14" s="87"/>
      <c r="EI14" s="87"/>
    </row>
    <row r="15" spans="1:166" ht="29.25" hidden="1" thickBot="1" x14ac:dyDescent="0.35">
      <c r="A15" s="120" t="s">
        <v>149</v>
      </c>
      <c r="B15" s="121">
        <v>3</v>
      </c>
      <c r="C15" s="122">
        <f>70*0.2+1</f>
        <v>15</v>
      </c>
      <c r="D15" s="91">
        <f>C15/VLOOKUP(B15,'[2]Gas Prod per PADD'!$A$1:$C$6,2,FALSE)</f>
        <v>3.2608695652173911E-3</v>
      </c>
      <c r="E15" s="116">
        <v>45307</v>
      </c>
      <c r="F15" s="117">
        <v>45310</v>
      </c>
      <c r="G15" s="123" t="s">
        <v>150</v>
      </c>
      <c r="H15" s="124" t="s">
        <v>151</v>
      </c>
      <c r="I15" s="84"/>
      <c r="J15" s="85">
        <f t="shared" si="1"/>
        <v>-1.4516129032258065</v>
      </c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4"/>
      <c r="W15" s="84"/>
      <c r="X15" s="84" t="str">
        <f t="shared" si="0"/>
        <v>OK</v>
      </c>
      <c r="Y15" s="87"/>
      <c r="Z15" s="87"/>
      <c r="AA15" s="87"/>
      <c r="AB15" s="87"/>
      <c r="AC15" s="87"/>
      <c r="AD15" s="87"/>
      <c r="AE15" s="87"/>
      <c r="AF15" s="87"/>
      <c r="AG15" s="87"/>
      <c r="AH15" s="87"/>
      <c r="AI15" s="87"/>
      <c r="AJ15" s="87">
        <f>(E15-F15)/7*C15</f>
        <v>-6.4285714285714279</v>
      </c>
      <c r="AK15" s="87">
        <f>-AJ15</f>
        <v>6.4285714285714279</v>
      </c>
      <c r="AL15" s="87"/>
      <c r="AM15" s="87"/>
      <c r="AN15" s="87"/>
      <c r="AO15" s="87"/>
      <c r="AP15" s="87"/>
      <c r="AQ15" s="87"/>
      <c r="AR15" s="87"/>
      <c r="AS15" s="87"/>
      <c r="AT15" s="87"/>
      <c r="AU15" s="87"/>
      <c r="AV15" s="87"/>
      <c r="AW15" s="87"/>
      <c r="AX15" s="87"/>
      <c r="AY15" s="87"/>
      <c r="AZ15" s="87"/>
      <c r="BA15" s="87"/>
      <c r="BB15" s="87"/>
      <c r="BC15" s="87"/>
      <c r="BD15" s="87"/>
      <c r="BE15" s="87"/>
      <c r="BF15" s="87"/>
      <c r="BG15" s="87"/>
      <c r="BH15" s="87"/>
      <c r="BI15" s="87"/>
      <c r="BJ15" s="87"/>
      <c r="BK15" s="87"/>
      <c r="BL15" s="87"/>
      <c r="BM15" s="87"/>
      <c r="BN15" s="87"/>
      <c r="BO15" s="87"/>
      <c r="BP15" s="87"/>
      <c r="BQ15" s="87"/>
      <c r="BR15" s="87"/>
      <c r="BS15" s="87"/>
      <c r="BT15" s="87"/>
      <c r="BU15" s="87"/>
      <c r="BV15" s="87"/>
      <c r="BW15" s="87"/>
      <c r="BX15" s="87"/>
      <c r="BY15" s="87"/>
      <c r="BZ15" s="87"/>
      <c r="CA15" s="87"/>
      <c r="CB15" s="87"/>
      <c r="CC15" s="87"/>
      <c r="CD15" s="87"/>
      <c r="CE15" s="87"/>
      <c r="CF15" s="87"/>
      <c r="CG15" s="87"/>
      <c r="CH15" s="87"/>
      <c r="CI15" s="87"/>
      <c r="CJ15" s="87"/>
      <c r="CK15" s="87"/>
      <c r="CL15" s="87"/>
      <c r="CM15" s="87"/>
      <c r="CN15" s="87"/>
      <c r="CO15" s="87"/>
      <c r="CP15" s="87"/>
      <c r="CQ15" s="87"/>
      <c r="CR15" s="87"/>
      <c r="CS15" s="87"/>
      <c r="CT15" s="87"/>
      <c r="CU15" s="87"/>
      <c r="CV15" s="87"/>
      <c r="CW15" s="87"/>
      <c r="CX15" s="87"/>
      <c r="CY15" s="87"/>
      <c r="CZ15" s="87"/>
      <c r="DA15" s="87"/>
      <c r="DB15" s="87"/>
      <c r="DC15" s="87"/>
      <c r="DD15" s="87"/>
      <c r="DE15" s="87"/>
      <c r="DF15" s="87"/>
      <c r="DG15" s="87"/>
      <c r="DH15" s="87"/>
      <c r="DI15" s="87"/>
      <c r="DJ15" s="87"/>
      <c r="DK15" s="87"/>
      <c r="DL15" s="87"/>
      <c r="DM15" s="87"/>
      <c r="DN15" s="87"/>
      <c r="DO15" s="87"/>
      <c r="DP15" s="87"/>
      <c r="DQ15" s="87"/>
      <c r="DR15" s="87"/>
      <c r="DS15" s="87"/>
      <c r="DT15" s="87"/>
      <c r="DU15" s="87"/>
      <c r="DV15" s="87"/>
      <c r="DW15" s="87"/>
      <c r="DX15" s="87"/>
      <c r="DY15" s="87"/>
      <c r="DZ15" s="87"/>
      <c r="EA15" s="87"/>
      <c r="EB15" s="87"/>
      <c r="EC15" s="87"/>
      <c r="ED15" s="87"/>
      <c r="EE15" s="87"/>
      <c r="EF15" s="87"/>
      <c r="EG15" s="87"/>
      <c r="EH15" s="87"/>
      <c r="EI15" s="87"/>
    </row>
    <row r="16" spans="1:166" ht="29.25" hidden="1" thickBot="1" x14ac:dyDescent="0.35">
      <c r="A16" s="120" t="s">
        <v>152</v>
      </c>
      <c r="B16" s="121">
        <v>3</v>
      </c>
      <c r="C16" s="122">
        <f>45*0.2+1</f>
        <v>10</v>
      </c>
      <c r="D16" s="91">
        <f>C16/VLOOKUP(B16,'[2]Gas Prod per PADD'!$A$1:$C$6,2,FALSE)</f>
        <v>2.1739130434782609E-3</v>
      </c>
      <c r="E16" s="116">
        <v>45307</v>
      </c>
      <c r="F16" s="117">
        <v>45310</v>
      </c>
      <c r="G16" s="123" t="s">
        <v>153</v>
      </c>
      <c r="H16" s="124" t="s">
        <v>151</v>
      </c>
      <c r="I16" s="84"/>
      <c r="J16" s="85">
        <f t="shared" si="1"/>
        <v>-0.967741935483871</v>
      </c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5"/>
      <c r="V16" s="84"/>
      <c r="W16" s="84"/>
      <c r="X16" s="84" t="str">
        <f t="shared" si="0"/>
        <v>OK</v>
      </c>
      <c r="Y16" s="87"/>
      <c r="Z16" s="87"/>
      <c r="AA16" s="87"/>
      <c r="AB16" s="87"/>
      <c r="AC16" s="87"/>
      <c r="AD16" s="87"/>
      <c r="AE16" s="87"/>
      <c r="AF16" s="87"/>
      <c r="AG16" s="87"/>
      <c r="AH16" s="87"/>
      <c r="AI16" s="87"/>
      <c r="AJ16" s="87">
        <f>(E16-F16)/7*C16</f>
        <v>-4.2857142857142856</v>
      </c>
      <c r="AK16" s="87">
        <f>-AJ16</f>
        <v>4.2857142857142856</v>
      </c>
      <c r="AL16" s="87"/>
      <c r="AM16" s="87"/>
      <c r="AN16" s="87"/>
      <c r="AO16" s="87"/>
      <c r="AP16" s="87"/>
      <c r="AQ16" s="87"/>
      <c r="AR16" s="87"/>
      <c r="AS16" s="87"/>
      <c r="AT16" s="87"/>
      <c r="AU16" s="87"/>
      <c r="AV16" s="87"/>
      <c r="AW16" s="87"/>
      <c r="AX16" s="87"/>
      <c r="AY16" s="87"/>
      <c r="AZ16" s="87"/>
      <c r="BA16" s="87"/>
      <c r="BB16" s="87"/>
      <c r="BC16" s="87"/>
      <c r="BD16" s="87"/>
      <c r="BE16" s="87"/>
      <c r="BF16" s="87"/>
      <c r="BG16" s="87"/>
      <c r="BH16" s="87"/>
      <c r="BI16" s="87"/>
      <c r="BJ16" s="87"/>
      <c r="BK16" s="87"/>
      <c r="BL16" s="87"/>
      <c r="BM16" s="87"/>
      <c r="BN16" s="87"/>
      <c r="BO16" s="87"/>
      <c r="BP16" s="87"/>
      <c r="BQ16" s="87"/>
      <c r="BR16" s="87"/>
      <c r="BS16" s="87"/>
      <c r="BT16" s="87"/>
      <c r="BU16" s="87"/>
      <c r="BV16" s="87"/>
      <c r="BW16" s="87"/>
      <c r="BX16" s="87"/>
      <c r="BY16" s="87"/>
      <c r="BZ16" s="87"/>
      <c r="CA16" s="87"/>
      <c r="CB16" s="87"/>
      <c r="CC16" s="87"/>
      <c r="CD16" s="87"/>
      <c r="CE16" s="87"/>
      <c r="CF16" s="87"/>
      <c r="CG16" s="87"/>
      <c r="CH16" s="87"/>
      <c r="CI16" s="87"/>
      <c r="CJ16" s="87"/>
      <c r="CK16" s="87"/>
      <c r="CL16" s="87"/>
      <c r="CM16" s="87"/>
      <c r="CN16" s="87"/>
      <c r="CO16" s="87"/>
      <c r="CP16" s="87"/>
      <c r="CQ16" s="87"/>
      <c r="CR16" s="87"/>
      <c r="CS16" s="87"/>
      <c r="CT16" s="87"/>
      <c r="CU16" s="87"/>
      <c r="CV16" s="87"/>
      <c r="CW16" s="87"/>
      <c r="CX16" s="87"/>
      <c r="CY16" s="87"/>
      <c r="CZ16" s="87"/>
      <c r="DA16" s="87"/>
      <c r="DB16" s="87"/>
      <c r="DC16" s="87"/>
      <c r="DD16" s="87"/>
      <c r="DE16" s="87"/>
      <c r="DF16" s="87"/>
      <c r="DG16" s="87"/>
      <c r="DH16" s="87"/>
      <c r="DI16" s="87"/>
      <c r="DJ16" s="87"/>
      <c r="DK16" s="87"/>
      <c r="DL16" s="87"/>
      <c r="DM16" s="87"/>
      <c r="DN16" s="87"/>
      <c r="DO16" s="87"/>
      <c r="DP16" s="87"/>
      <c r="DQ16" s="87"/>
      <c r="DR16" s="87"/>
      <c r="DS16" s="87"/>
      <c r="DT16" s="87"/>
      <c r="DU16" s="87"/>
      <c r="DV16" s="87"/>
      <c r="DW16" s="87"/>
      <c r="DX16" s="87"/>
      <c r="DY16" s="87"/>
      <c r="DZ16" s="87"/>
      <c r="EA16" s="87"/>
      <c r="EB16" s="87"/>
      <c r="EC16" s="87"/>
      <c r="ED16" s="87"/>
      <c r="EE16" s="87"/>
      <c r="EF16" s="87"/>
      <c r="EG16" s="87"/>
      <c r="EH16" s="87"/>
      <c r="EI16" s="87"/>
    </row>
    <row r="17" spans="1:139" ht="57.75" hidden="1" thickBot="1" x14ac:dyDescent="0.35">
      <c r="A17" s="120" t="s">
        <v>154</v>
      </c>
      <c r="B17" s="121">
        <v>3</v>
      </c>
      <c r="C17" s="122">
        <f>50*0.2</f>
        <v>10</v>
      </c>
      <c r="D17" s="91">
        <f>C17/VLOOKUP(B17,'[2]Gas Prod per PADD'!$A$1:$C$6,2,FALSE)</f>
        <v>2.1739130434782609E-3</v>
      </c>
      <c r="E17" s="116">
        <v>45307</v>
      </c>
      <c r="F17" s="117">
        <v>45310</v>
      </c>
      <c r="G17" s="123" t="s">
        <v>155</v>
      </c>
      <c r="H17" s="124" t="s">
        <v>151</v>
      </c>
      <c r="I17" s="84"/>
      <c r="J17" s="85">
        <f t="shared" si="1"/>
        <v>-0.967741935483871</v>
      </c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4"/>
      <c r="W17" s="84"/>
      <c r="X17" s="84" t="str">
        <f t="shared" si="0"/>
        <v>OK</v>
      </c>
      <c r="Y17" s="87"/>
      <c r="Z17" s="87"/>
      <c r="AA17" s="87"/>
      <c r="AB17" s="87"/>
      <c r="AC17" s="87"/>
      <c r="AD17" s="87"/>
      <c r="AE17" s="87"/>
      <c r="AF17" s="87"/>
      <c r="AG17" s="87"/>
      <c r="AH17" s="87"/>
      <c r="AI17" s="87"/>
      <c r="AJ17" s="87">
        <f>(E17-$AJ$1)/7*C17</f>
        <v>-4.2857142857142856</v>
      </c>
      <c r="AK17" s="87">
        <f>-AJ17</f>
        <v>4.2857142857142856</v>
      </c>
      <c r="AL17" s="87"/>
      <c r="AM17" s="87"/>
      <c r="AN17" s="87"/>
      <c r="AO17" s="87"/>
      <c r="AP17" s="87"/>
      <c r="AQ17" s="87"/>
      <c r="AR17" s="87"/>
      <c r="AS17" s="87"/>
      <c r="AT17" s="87"/>
      <c r="AU17" s="87"/>
      <c r="AV17" s="87"/>
      <c r="AW17" s="87"/>
      <c r="AX17" s="87"/>
      <c r="AY17" s="87"/>
      <c r="AZ17" s="87"/>
      <c r="BA17" s="87"/>
      <c r="BB17" s="87"/>
      <c r="BC17" s="87"/>
      <c r="BD17" s="87"/>
      <c r="BE17" s="87"/>
      <c r="BF17" s="87"/>
      <c r="BG17" s="87"/>
      <c r="BH17" s="87"/>
      <c r="BI17" s="87"/>
      <c r="BJ17" s="87"/>
      <c r="BK17" s="87"/>
      <c r="BL17" s="87"/>
      <c r="BM17" s="87"/>
      <c r="BN17" s="87"/>
      <c r="BO17" s="87"/>
      <c r="BP17" s="87"/>
      <c r="BQ17" s="87"/>
      <c r="BR17" s="87"/>
      <c r="BS17" s="87"/>
      <c r="BT17" s="87"/>
      <c r="BU17" s="87"/>
      <c r="BV17" s="87"/>
      <c r="BW17" s="87"/>
      <c r="BX17" s="87"/>
      <c r="BY17" s="87"/>
      <c r="BZ17" s="87"/>
      <c r="CA17" s="87"/>
      <c r="CB17" s="87"/>
      <c r="CC17" s="87"/>
      <c r="CD17" s="87"/>
      <c r="CE17" s="87"/>
      <c r="CF17" s="87"/>
      <c r="CG17" s="87"/>
      <c r="CH17" s="87"/>
      <c r="CI17" s="87"/>
      <c r="CJ17" s="87"/>
      <c r="CK17" s="87"/>
      <c r="CL17" s="87"/>
      <c r="CM17" s="87"/>
      <c r="CN17" s="87"/>
      <c r="CO17" s="87"/>
      <c r="CP17" s="87"/>
      <c r="CQ17" s="87"/>
      <c r="CR17" s="87"/>
      <c r="CS17" s="87"/>
      <c r="CT17" s="87"/>
      <c r="CU17" s="87"/>
      <c r="CV17" s="87"/>
      <c r="CW17" s="87"/>
      <c r="CX17" s="87"/>
      <c r="CY17" s="87"/>
      <c r="CZ17" s="87"/>
      <c r="DA17" s="87"/>
      <c r="DB17" s="87"/>
      <c r="DC17" s="87"/>
      <c r="DD17" s="87"/>
      <c r="DE17" s="87"/>
      <c r="DF17" s="87"/>
      <c r="DG17" s="87"/>
      <c r="DH17" s="87"/>
      <c r="DI17" s="87"/>
      <c r="DJ17" s="87"/>
      <c r="DK17" s="87"/>
      <c r="DL17" s="87"/>
      <c r="DM17" s="87"/>
      <c r="DN17" s="87"/>
      <c r="DO17" s="87"/>
      <c r="DP17" s="87"/>
      <c r="DQ17" s="87"/>
      <c r="DR17" s="87"/>
      <c r="DS17" s="87"/>
      <c r="DT17" s="87"/>
      <c r="DU17" s="87"/>
      <c r="DV17" s="87"/>
      <c r="DW17" s="87"/>
      <c r="DX17" s="87"/>
      <c r="DY17" s="87"/>
      <c r="DZ17" s="87"/>
      <c r="EA17" s="87"/>
      <c r="EB17" s="87"/>
      <c r="EC17" s="87"/>
      <c r="ED17" s="87"/>
      <c r="EE17" s="87"/>
      <c r="EF17" s="87"/>
      <c r="EG17" s="87"/>
      <c r="EH17" s="87"/>
      <c r="EI17" s="87"/>
    </row>
    <row r="18" spans="1:139" ht="57.75" hidden="1" thickBot="1" x14ac:dyDescent="0.35">
      <c r="A18" s="129" t="s">
        <v>156</v>
      </c>
      <c r="B18" s="121">
        <v>2</v>
      </c>
      <c r="C18" s="122">
        <f>356*0.2*1/4+5.2</f>
        <v>23</v>
      </c>
      <c r="D18" s="91">
        <f>C18/VLOOKUP(B18,'[2]Gas Prod per PADD'!$A$1:$C$6,2,FALSE)</f>
        <v>9.5833333333333326E-3</v>
      </c>
      <c r="E18" s="116">
        <v>45307</v>
      </c>
      <c r="F18" s="117">
        <v>45310</v>
      </c>
      <c r="G18" s="123" t="s">
        <v>157</v>
      </c>
      <c r="H18" s="124" t="s">
        <v>151</v>
      </c>
      <c r="I18" s="84"/>
      <c r="J18" s="85">
        <f t="shared" si="1"/>
        <v>-2.225806451612903</v>
      </c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4"/>
      <c r="W18" s="84"/>
      <c r="X18" s="84" t="str">
        <f t="shared" si="0"/>
        <v>OK</v>
      </c>
      <c r="Y18" s="87"/>
      <c r="Z18" s="87"/>
      <c r="AA18" s="87"/>
      <c r="AB18" s="87"/>
      <c r="AC18" s="87"/>
      <c r="AD18" s="87"/>
      <c r="AE18" s="87"/>
      <c r="AF18" s="87"/>
      <c r="AG18" s="87"/>
      <c r="AH18" s="87"/>
      <c r="AI18" s="87"/>
      <c r="AJ18" s="87">
        <f>(E18-F18)/7*C18</f>
        <v>-9.8571428571428559</v>
      </c>
      <c r="AK18" s="87">
        <f>-AJ18</f>
        <v>9.8571428571428559</v>
      </c>
      <c r="AL18" s="87"/>
      <c r="AM18" s="87"/>
      <c r="AN18" s="87"/>
      <c r="AO18" s="87"/>
      <c r="AP18" s="87"/>
      <c r="AQ18" s="87"/>
      <c r="AR18" s="87"/>
      <c r="AS18" s="87"/>
      <c r="AT18" s="87"/>
      <c r="AU18" s="87"/>
      <c r="AV18" s="87"/>
      <c r="AW18" s="87"/>
      <c r="AX18" s="87"/>
      <c r="AY18" s="87"/>
      <c r="AZ18" s="87"/>
      <c r="BA18" s="87"/>
      <c r="BB18" s="87"/>
      <c r="BC18" s="87"/>
      <c r="BD18" s="87"/>
      <c r="BE18" s="87"/>
      <c r="BF18" s="87"/>
      <c r="BG18" s="87"/>
      <c r="BH18" s="87"/>
      <c r="BI18" s="87"/>
      <c r="BJ18" s="87"/>
      <c r="BK18" s="87"/>
      <c r="BL18" s="87"/>
      <c r="BM18" s="87"/>
      <c r="BN18" s="87"/>
      <c r="BO18" s="87"/>
      <c r="BP18" s="87"/>
      <c r="BQ18" s="87"/>
      <c r="BR18" s="87"/>
      <c r="BS18" s="87"/>
      <c r="BT18" s="87"/>
      <c r="BU18" s="87"/>
      <c r="BV18" s="87"/>
      <c r="BW18" s="87"/>
      <c r="BX18" s="87"/>
      <c r="BY18" s="87"/>
      <c r="BZ18" s="87"/>
      <c r="CA18" s="87"/>
      <c r="CB18" s="87"/>
      <c r="CC18" s="87"/>
      <c r="CD18" s="87"/>
      <c r="CE18" s="87"/>
      <c r="CF18" s="87"/>
      <c r="CG18" s="87"/>
      <c r="CH18" s="87"/>
      <c r="CI18" s="87"/>
      <c r="CJ18" s="87"/>
      <c r="CK18" s="87"/>
      <c r="CL18" s="87"/>
      <c r="CM18" s="87"/>
      <c r="CN18" s="87"/>
      <c r="CO18" s="87"/>
      <c r="CP18" s="87"/>
      <c r="CQ18" s="87"/>
      <c r="CR18" s="87"/>
      <c r="CS18" s="87"/>
      <c r="CT18" s="87"/>
      <c r="CU18" s="87"/>
      <c r="CV18" s="87"/>
      <c r="CW18" s="87"/>
      <c r="CX18" s="87"/>
      <c r="CY18" s="87"/>
      <c r="CZ18" s="87"/>
      <c r="DA18" s="87"/>
      <c r="DB18" s="87"/>
      <c r="DC18" s="87"/>
      <c r="DD18" s="87"/>
      <c r="DE18" s="87"/>
      <c r="DF18" s="87"/>
      <c r="DG18" s="87"/>
      <c r="DH18" s="87"/>
      <c r="DI18" s="87"/>
      <c r="DJ18" s="87"/>
      <c r="DK18" s="87"/>
      <c r="DL18" s="87"/>
      <c r="DM18" s="87"/>
      <c r="DN18" s="87"/>
      <c r="DO18" s="87"/>
      <c r="DP18" s="87"/>
      <c r="DQ18" s="87"/>
      <c r="DR18" s="87"/>
      <c r="DS18" s="87"/>
      <c r="DT18" s="87"/>
      <c r="DU18" s="87"/>
      <c r="DV18" s="87"/>
      <c r="DW18" s="87"/>
      <c r="DX18" s="87"/>
      <c r="DY18" s="87"/>
      <c r="DZ18" s="87"/>
      <c r="EA18" s="87"/>
      <c r="EB18" s="87"/>
      <c r="EC18" s="87"/>
      <c r="ED18" s="87"/>
      <c r="EE18" s="87"/>
      <c r="EF18" s="87"/>
      <c r="EG18" s="87"/>
      <c r="EH18" s="87"/>
      <c r="EI18" s="87"/>
    </row>
    <row r="19" spans="1:139" ht="16.5" hidden="1" thickBot="1" x14ac:dyDescent="0.35">
      <c r="A19" s="130" t="s">
        <v>158</v>
      </c>
      <c r="B19" s="114">
        <v>3</v>
      </c>
      <c r="C19" s="115"/>
      <c r="D19" s="91">
        <f>C19/VLOOKUP(B19,'[2]Gas Prod per PADD'!$A$1:$C$6,2,FALSE)</f>
        <v>0</v>
      </c>
      <c r="E19" s="116">
        <v>45309</v>
      </c>
      <c r="F19" s="117">
        <v>45310</v>
      </c>
      <c r="G19" s="118" t="s">
        <v>159</v>
      </c>
      <c r="H19" s="119"/>
      <c r="I19" s="84"/>
      <c r="J19" s="85">
        <f t="shared" si="1"/>
        <v>0</v>
      </c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4"/>
      <c r="W19" s="84"/>
      <c r="X19" s="84" t="str">
        <f t="shared" si="0"/>
        <v>OK</v>
      </c>
      <c r="Y19" s="86"/>
      <c r="Z19" s="86"/>
      <c r="AA19" s="87"/>
      <c r="AB19" s="87"/>
      <c r="AC19" s="87"/>
      <c r="AD19" s="87"/>
      <c r="AE19" s="87"/>
      <c r="AF19" s="87"/>
      <c r="AG19" s="87"/>
      <c r="AH19" s="87"/>
      <c r="AI19" s="105"/>
      <c r="AJ19" s="105"/>
      <c r="AK19" s="87"/>
      <c r="AL19" s="105">
        <v>1.857142857142857</v>
      </c>
      <c r="AM19" s="87"/>
      <c r="AN19" s="87"/>
      <c r="AO19" s="87"/>
      <c r="AP19" s="87"/>
      <c r="AQ19" s="87"/>
      <c r="AR19" s="87"/>
      <c r="AS19" s="87"/>
      <c r="AT19" s="87">
        <f>-1*$C70*0.8</f>
        <v>-16</v>
      </c>
      <c r="AU19" s="87">
        <f>-1*$C70*0.2</f>
        <v>-4</v>
      </c>
      <c r="AV19" s="87">
        <f>8</f>
        <v>8</v>
      </c>
      <c r="AW19" s="87">
        <v>2.5</v>
      </c>
      <c r="AX19" s="87"/>
      <c r="AY19" s="87"/>
      <c r="AZ19" s="87"/>
      <c r="BA19" s="87"/>
      <c r="BB19" s="87"/>
      <c r="BC19" s="87"/>
      <c r="BD19" s="87"/>
      <c r="BE19" s="87"/>
      <c r="BF19" s="87"/>
      <c r="BG19" s="87"/>
      <c r="BH19" s="87"/>
      <c r="BI19" s="87"/>
      <c r="BJ19" s="87"/>
      <c r="BK19" s="87"/>
      <c r="BL19" s="87"/>
      <c r="BM19" s="87"/>
      <c r="BN19" s="87"/>
      <c r="BO19" s="87"/>
      <c r="BP19" s="87"/>
      <c r="BQ19" s="87"/>
      <c r="BR19" s="87"/>
      <c r="BS19" s="87"/>
      <c r="BT19" s="87"/>
      <c r="BU19" s="87"/>
      <c r="BV19" s="87"/>
      <c r="BW19" s="87"/>
      <c r="BX19" s="87"/>
      <c r="BY19" s="87"/>
      <c r="BZ19" s="87"/>
      <c r="CA19" s="87"/>
      <c r="CB19" s="87"/>
      <c r="CC19" s="87"/>
      <c r="CD19" s="87"/>
      <c r="CE19" s="87"/>
      <c r="CF19" s="87"/>
      <c r="CG19" s="87"/>
      <c r="CH19" s="87"/>
      <c r="CI19" s="87"/>
      <c r="CJ19" s="87"/>
      <c r="CK19" s="87"/>
      <c r="CL19" s="87"/>
      <c r="CM19" s="87"/>
      <c r="CN19" s="87"/>
      <c r="CO19" s="87"/>
      <c r="CP19" s="87"/>
      <c r="CQ19" s="87"/>
      <c r="CR19" s="87"/>
      <c r="CS19" s="87"/>
      <c r="CT19" s="87"/>
      <c r="CU19" s="87"/>
      <c r="CV19" s="87"/>
      <c r="CW19" s="87"/>
      <c r="CX19" s="87"/>
      <c r="CY19" s="87"/>
      <c r="CZ19" s="87"/>
      <c r="DA19" s="87"/>
      <c r="DB19" s="87"/>
      <c r="DC19" s="87"/>
      <c r="DD19" s="87"/>
      <c r="DE19" s="87"/>
      <c r="DF19" s="87"/>
      <c r="DG19" s="87"/>
      <c r="DH19" s="87"/>
      <c r="DI19" s="87"/>
      <c r="DJ19" s="87"/>
      <c r="DK19" s="87"/>
      <c r="DL19" s="87"/>
      <c r="DM19" s="87"/>
      <c r="DN19" s="87"/>
      <c r="DO19" s="87"/>
      <c r="DP19" s="87"/>
      <c r="DQ19" s="87"/>
      <c r="DR19" s="87"/>
      <c r="DS19" s="87"/>
      <c r="DT19" s="87"/>
      <c r="DU19" s="87"/>
      <c r="DV19" s="87"/>
      <c r="DW19" s="87"/>
      <c r="DX19" s="87"/>
      <c r="DY19" s="87"/>
      <c r="DZ19" s="87"/>
      <c r="EA19" s="87"/>
      <c r="EB19" s="87"/>
      <c r="EC19" s="87"/>
      <c r="ED19" s="87"/>
      <c r="EE19" s="87"/>
      <c r="EF19" s="87"/>
      <c r="EG19" s="87"/>
      <c r="EH19" s="87"/>
      <c r="EI19" s="87"/>
    </row>
    <row r="20" spans="1:139" ht="16.5" hidden="1" thickBot="1" x14ac:dyDescent="0.35">
      <c r="A20" s="96" t="s">
        <v>160</v>
      </c>
      <c r="B20" s="114">
        <v>3</v>
      </c>
      <c r="C20" s="115"/>
      <c r="D20" s="91">
        <f>C20/VLOOKUP(B20,'[2]Gas Prod per PADD'!$A$1:$C$6,2,FALSE)</f>
        <v>0</v>
      </c>
      <c r="E20" s="116">
        <v>45314</v>
      </c>
      <c r="F20" s="117">
        <v>45316</v>
      </c>
      <c r="G20" s="118" t="s">
        <v>161</v>
      </c>
      <c r="H20" s="119"/>
      <c r="I20" s="84"/>
      <c r="J20" s="85">
        <f t="shared" si="1"/>
        <v>0</v>
      </c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84"/>
      <c r="W20" s="84"/>
      <c r="X20" s="84" t="str">
        <f t="shared" si="0"/>
        <v>OK</v>
      </c>
      <c r="Y20" s="87"/>
      <c r="Z20" s="87"/>
      <c r="AA20" s="87"/>
      <c r="AB20" s="87"/>
      <c r="AC20" s="87"/>
      <c r="AD20" s="87"/>
      <c r="AE20" s="87"/>
      <c r="AF20" s="87"/>
      <c r="AG20" s="87"/>
      <c r="AH20" s="87"/>
      <c r="AI20" s="87"/>
      <c r="AJ20" s="87"/>
      <c r="AK20" s="87"/>
      <c r="AL20" s="87">
        <v>5.4785714285714286</v>
      </c>
      <c r="AM20" s="87"/>
      <c r="AN20" s="87"/>
      <c r="AO20" s="87"/>
      <c r="AP20" s="87"/>
      <c r="AQ20" s="87"/>
      <c r="AR20" s="87"/>
      <c r="AS20" s="87"/>
      <c r="AT20" s="87"/>
      <c r="AU20" s="87"/>
      <c r="AV20" s="87"/>
      <c r="AW20" s="87"/>
      <c r="AX20" s="87"/>
      <c r="AY20" s="87"/>
      <c r="AZ20" s="87"/>
      <c r="BA20" s="87"/>
      <c r="BB20" s="87"/>
      <c r="BC20" s="87"/>
      <c r="BD20" s="87"/>
      <c r="BE20" s="87"/>
      <c r="BF20" s="87"/>
      <c r="BG20" s="87"/>
      <c r="BH20" s="87"/>
      <c r="BI20" s="87"/>
      <c r="BJ20" s="87"/>
      <c r="BK20" s="87"/>
      <c r="BL20" s="87"/>
      <c r="BM20" s="87"/>
      <c r="BN20" s="87"/>
      <c r="BO20" s="87"/>
      <c r="BP20" s="87"/>
      <c r="BQ20" s="87"/>
      <c r="BR20" s="87"/>
      <c r="BS20" s="87"/>
      <c r="BT20" s="87"/>
      <c r="BU20" s="87"/>
      <c r="BV20" s="87"/>
      <c r="BW20" s="87"/>
      <c r="BX20" s="87"/>
      <c r="BY20" s="87"/>
      <c r="BZ20" s="87"/>
      <c r="CA20" s="87"/>
      <c r="CB20" s="87"/>
      <c r="CC20" s="87"/>
      <c r="CD20" s="87"/>
      <c r="CE20" s="87"/>
      <c r="CF20" s="87"/>
      <c r="CG20" s="87"/>
      <c r="CH20" s="87"/>
      <c r="CI20" s="87"/>
      <c r="CJ20" s="87"/>
      <c r="CK20" s="87"/>
      <c r="CL20" s="87"/>
      <c r="CM20" s="87"/>
      <c r="CN20" s="87"/>
      <c r="CO20" s="87"/>
      <c r="CP20" s="87"/>
      <c r="CQ20" s="87"/>
      <c r="CR20" s="87"/>
      <c r="CS20" s="87"/>
      <c r="CT20" s="87"/>
      <c r="CU20" s="87"/>
      <c r="CV20" s="87"/>
      <c r="CW20" s="87"/>
      <c r="CX20" s="87"/>
      <c r="CY20" s="87"/>
      <c r="CZ20" s="87"/>
      <c r="DA20" s="87"/>
      <c r="DB20" s="87"/>
      <c r="DC20" s="87"/>
      <c r="DD20" s="87"/>
      <c r="DE20" s="87"/>
      <c r="DF20" s="87"/>
      <c r="DG20" s="87"/>
      <c r="DH20" s="87"/>
      <c r="DI20" s="87"/>
      <c r="DJ20" s="87"/>
      <c r="DK20" s="87"/>
      <c r="DL20" s="87"/>
      <c r="DM20" s="87"/>
      <c r="DN20" s="87"/>
      <c r="DO20" s="87"/>
      <c r="DP20" s="87"/>
      <c r="DQ20" s="87"/>
      <c r="DR20" s="87"/>
      <c r="DS20" s="87"/>
      <c r="DT20" s="87"/>
      <c r="DU20" s="87"/>
      <c r="DV20" s="87"/>
      <c r="DW20" s="87"/>
      <c r="DX20" s="87"/>
      <c r="DY20" s="87"/>
      <c r="DZ20" s="87"/>
      <c r="EA20" s="87"/>
      <c r="EB20" s="87"/>
      <c r="EC20" s="87"/>
      <c r="ED20" s="87"/>
      <c r="EE20" s="87"/>
      <c r="EF20" s="87"/>
      <c r="EG20" s="87"/>
      <c r="EH20" s="87"/>
      <c r="EI20" s="87"/>
    </row>
    <row r="21" spans="1:139" ht="16.5" hidden="1" thickBot="1" x14ac:dyDescent="0.35">
      <c r="A21" s="106" t="s">
        <v>162</v>
      </c>
      <c r="B21" s="107">
        <v>3</v>
      </c>
      <c r="C21" s="108">
        <f>53*0.85-0.05</f>
        <v>45</v>
      </c>
      <c r="D21" s="91">
        <f>C21/VLOOKUP(B21,'[2]Gas Prod per PADD'!$A$1:$C$6,2,FALSE)</f>
        <v>9.7826086956521747E-3</v>
      </c>
      <c r="E21" s="109">
        <v>45299</v>
      </c>
      <c r="F21" s="110">
        <v>45317</v>
      </c>
      <c r="G21" s="111" t="s">
        <v>163</v>
      </c>
      <c r="H21" s="112" t="s">
        <v>164</v>
      </c>
      <c r="I21" s="84" t="s">
        <v>165</v>
      </c>
      <c r="J21" s="85">
        <f t="shared" si="1"/>
        <v>-26.129032258064516</v>
      </c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84"/>
      <c r="W21" s="84"/>
      <c r="X21" s="84" t="str">
        <f t="shared" si="0"/>
        <v>OK</v>
      </c>
      <c r="Y21" s="105"/>
      <c r="Z21" s="105"/>
      <c r="AA21" s="87"/>
      <c r="AB21" s="87"/>
      <c r="AC21" s="87"/>
      <c r="AD21" s="87"/>
      <c r="AE21" s="105"/>
      <c r="AF21" s="105"/>
      <c r="AG21" s="105"/>
      <c r="AH21" s="105"/>
      <c r="AI21" s="87" t="e">
        <f>(E21-#REF!)/7*C21/2</f>
        <v>#REF!</v>
      </c>
      <c r="AJ21" s="87" t="e">
        <f>-C21*2/3-AI21</f>
        <v>#REF!</v>
      </c>
      <c r="AK21" s="87" t="e">
        <f>-(AI21+AJ21)/2</f>
        <v>#REF!</v>
      </c>
      <c r="AL21" s="87" t="e">
        <f>AK21</f>
        <v>#REF!</v>
      </c>
      <c r="AM21" s="87"/>
      <c r="AN21" s="87"/>
      <c r="AO21" s="87"/>
      <c r="AP21" s="87"/>
      <c r="AQ21" s="87"/>
      <c r="AR21" s="87"/>
      <c r="AS21" s="87"/>
      <c r="AT21" s="87"/>
      <c r="AU21" s="87"/>
      <c r="AV21" s="87"/>
      <c r="AW21" s="87"/>
      <c r="AX21" s="87"/>
      <c r="AY21" s="87"/>
      <c r="AZ21" s="87"/>
      <c r="BA21" s="87"/>
      <c r="BB21" s="87"/>
      <c r="BC21" s="87"/>
      <c r="BD21" s="87"/>
      <c r="BE21" s="87"/>
      <c r="BF21" s="87"/>
      <c r="BG21" s="87"/>
      <c r="BH21" s="87"/>
      <c r="BI21" s="87"/>
      <c r="BJ21" s="87"/>
      <c r="BK21" s="87"/>
      <c r="BL21" s="87"/>
      <c r="BM21" s="87"/>
      <c r="BN21" s="87"/>
      <c r="BO21" s="87"/>
      <c r="BP21" s="87"/>
      <c r="BQ21" s="87"/>
      <c r="BR21" s="87"/>
      <c r="BS21" s="87"/>
      <c r="BT21" s="87"/>
      <c r="BU21" s="87"/>
      <c r="BV21" s="87"/>
      <c r="BW21" s="87"/>
      <c r="BX21" s="87"/>
      <c r="BY21" s="87"/>
      <c r="BZ21" s="87"/>
      <c r="CA21" s="87"/>
      <c r="CB21" s="87"/>
      <c r="CC21" s="87"/>
      <c r="CD21" s="87"/>
      <c r="CE21" s="87"/>
      <c r="CF21" s="87"/>
      <c r="CG21" s="87"/>
      <c r="CH21" s="87"/>
      <c r="CI21" s="87"/>
      <c r="CJ21" s="87"/>
      <c r="CK21" s="87"/>
      <c r="CL21" s="87"/>
      <c r="CM21" s="87"/>
      <c r="CN21" s="87"/>
      <c r="CO21" s="87"/>
      <c r="CP21" s="87"/>
      <c r="CQ21" s="87"/>
      <c r="CR21" s="87"/>
      <c r="CS21" s="87"/>
      <c r="CT21" s="87"/>
      <c r="CU21" s="87"/>
      <c r="CV21" s="87"/>
      <c r="CW21" s="87"/>
      <c r="CX21" s="87"/>
      <c r="CY21" s="87"/>
      <c r="CZ21" s="87"/>
      <c r="DA21" s="87"/>
      <c r="DB21" s="87"/>
      <c r="DC21" s="87"/>
      <c r="DD21" s="87"/>
      <c r="DE21" s="87"/>
      <c r="DF21" s="87"/>
      <c r="DG21" s="87"/>
      <c r="DH21" s="87"/>
      <c r="DI21" s="87"/>
      <c r="DJ21" s="87"/>
      <c r="DK21" s="87"/>
      <c r="DL21" s="87"/>
      <c r="DM21" s="87"/>
      <c r="DN21" s="87"/>
      <c r="DO21" s="87"/>
      <c r="DP21" s="87"/>
      <c r="DQ21" s="87"/>
      <c r="DR21" s="87"/>
      <c r="DS21" s="87"/>
      <c r="DT21" s="87"/>
      <c r="DU21" s="87"/>
      <c r="DV21" s="87"/>
      <c r="DW21" s="87"/>
      <c r="DX21" s="87"/>
      <c r="DY21" s="87"/>
      <c r="DZ21" s="87"/>
      <c r="EA21" s="87"/>
      <c r="EB21" s="87"/>
      <c r="EC21" s="87"/>
      <c r="ED21" s="87"/>
      <c r="EE21" s="87"/>
      <c r="EF21" s="87"/>
      <c r="EG21" s="87"/>
      <c r="EH21" s="87"/>
      <c r="EI21" s="87"/>
    </row>
    <row r="22" spans="1:139" ht="16.5" hidden="1" thickBot="1" x14ac:dyDescent="0.35">
      <c r="A22" s="130" t="s">
        <v>166</v>
      </c>
      <c r="B22" s="114">
        <v>3</v>
      </c>
      <c r="C22" s="115"/>
      <c r="D22" s="91">
        <f>C22/VLOOKUP(B22,'[2]Gas Prod per PADD'!$A$1:$C$6,2,FALSE)</f>
        <v>0</v>
      </c>
      <c r="E22" s="116">
        <v>45308</v>
      </c>
      <c r="F22" s="117">
        <v>45317</v>
      </c>
      <c r="G22" s="118" t="s">
        <v>167</v>
      </c>
      <c r="H22" s="119"/>
      <c r="I22" s="84"/>
      <c r="J22" s="85">
        <f t="shared" si="1"/>
        <v>0</v>
      </c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5"/>
      <c r="V22" s="84"/>
      <c r="W22" s="84"/>
      <c r="X22" s="84" t="str">
        <f t="shared" si="0"/>
        <v>OK</v>
      </c>
      <c r="Y22" s="86"/>
      <c r="Z22" s="86"/>
      <c r="AA22" s="87"/>
      <c r="AB22" s="87"/>
      <c r="AC22" s="87"/>
      <c r="AD22" s="87"/>
      <c r="AE22" s="87"/>
      <c r="AF22" s="87"/>
      <c r="AG22" s="87"/>
      <c r="AH22" s="87"/>
      <c r="AI22" s="87"/>
      <c r="AJ22" s="87"/>
      <c r="AK22" s="87"/>
      <c r="AL22" s="87">
        <v>2.5</v>
      </c>
      <c r="AM22" s="87"/>
      <c r="AN22" s="87"/>
      <c r="AO22" s="87"/>
      <c r="AP22" s="87"/>
      <c r="AQ22" s="87"/>
      <c r="AR22" s="87"/>
      <c r="AS22" s="87"/>
      <c r="AT22" s="87"/>
      <c r="AU22" s="87"/>
      <c r="AV22" s="87"/>
      <c r="AW22" s="87"/>
      <c r="AX22" s="87"/>
      <c r="AY22" s="87"/>
      <c r="AZ22" s="87"/>
      <c r="BA22" s="87"/>
      <c r="BB22" s="87"/>
      <c r="BC22" s="87"/>
      <c r="BD22" s="87"/>
      <c r="BE22" s="87"/>
      <c r="BF22" s="87"/>
      <c r="BG22" s="87"/>
      <c r="BH22" s="87"/>
      <c r="BI22" s="87"/>
      <c r="BJ22" s="87"/>
      <c r="BK22" s="87"/>
      <c r="BL22" s="87"/>
      <c r="BM22" s="87"/>
      <c r="BN22" s="87"/>
      <c r="BO22" s="87"/>
      <c r="BP22" s="87"/>
      <c r="BQ22" s="87"/>
      <c r="BR22" s="87"/>
      <c r="BS22" s="87"/>
      <c r="BT22" s="87"/>
      <c r="BU22" s="87"/>
      <c r="BV22" s="87"/>
      <c r="BW22" s="87"/>
      <c r="BX22" s="87"/>
      <c r="BY22" s="87"/>
      <c r="BZ22" s="87"/>
      <c r="CA22" s="87"/>
      <c r="CB22" s="87"/>
      <c r="CC22" s="87"/>
      <c r="CD22" s="87"/>
      <c r="CE22" s="87"/>
      <c r="CF22" s="87"/>
      <c r="CG22" s="87"/>
      <c r="CH22" s="87"/>
      <c r="CI22" s="87"/>
      <c r="CJ22" s="87"/>
      <c r="CK22" s="87"/>
      <c r="CL22" s="87"/>
      <c r="CM22" s="87"/>
      <c r="CN22" s="87"/>
      <c r="CO22" s="87"/>
      <c r="CP22" s="87"/>
      <c r="CQ22" s="87"/>
      <c r="CR22" s="87"/>
      <c r="CS22" s="87"/>
      <c r="CT22" s="87"/>
      <c r="CU22" s="87"/>
      <c r="CV22" s="87"/>
      <c r="CW22" s="87"/>
      <c r="CX22" s="87"/>
      <c r="CY22" s="87"/>
      <c r="CZ22" s="87"/>
      <c r="DA22" s="87"/>
      <c r="DB22" s="87"/>
      <c r="DC22" s="87"/>
      <c r="DD22" s="87"/>
      <c r="DE22" s="87"/>
      <c r="DF22" s="87"/>
      <c r="DG22" s="87"/>
      <c r="DH22" s="87"/>
      <c r="DI22" s="87"/>
      <c r="DJ22" s="87"/>
      <c r="DK22" s="87"/>
      <c r="DL22" s="87"/>
      <c r="DM22" s="87"/>
      <c r="DN22" s="87"/>
      <c r="DO22" s="87"/>
      <c r="DP22" s="87"/>
      <c r="DQ22" s="87"/>
      <c r="DR22" s="87"/>
      <c r="DS22" s="87"/>
      <c r="DT22" s="87"/>
      <c r="DU22" s="87"/>
      <c r="DV22" s="87"/>
      <c r="DW22" s="87"/>
      <c r="DX22" s="87"/>
      <c r="DY22" s="87"/>
      <c r="DZ22" s="87"/>
      <c r="EA22" s="87"/>
      <c r="EB22" s="87"/>
      <c r="EC22" s="87"/>
      <c r="ED22" s="87"/>
      <c r="EE22" s="87"/>
      <c r="EF22" s="87"/>
      <c r="EG22" s="87"/>
      <c r="EH22" s="87"/>
      <c r="EI22" s="87"/>
    </row>
    <row r="23" spans="1:139" ht="57.75" hidden="1" thickBot="1" x14ac:dyDescent="0.35">
      <c r="A23" s="129" t="s">
        <v>168</v>
      </c>
      <c r="B23" s="121">
        <v>2</v>
      </c>
      <c r="C23" s="122">
        <f>23*0.3+0.1</f>
        <v>6.9999999999999991</v>
      </c>
      <c r="D23" s="91">
        <f>C23/VLOOKUP(B23,'[2]Gas Prod per PADD'!$A$1:$C$6,2,FALSE)</f>
        <v>2.9166666666666664E-3</v>
      </c>
      <c r="E23" s="116">
        <v>45310</v>
      </c>
      <c r="F23" s="117">
        <v>45320</v>
      </c>
      <c r="G23" s="123" t="s">
        <v>169</v>
      </c>
      <c r="H23" s="124" t="s">
        <v>170</v>
      </c>
      <c r="I23" s="84"/>
      <c r="J23" s="85">
        <f t="shared" si="1"/>
        <v>-2.2580645161290316</v>
      </c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4"/>
      <c r="W23" s="84"/>
      <c r="X23" s="84" t="str">
        <f t="shared" si="0"/>
        <v>OK</v>
      </c>
      <c r="Y23" s="87"/>
      <c r="Z23" s="87"/>
      <c r="AA23" s="87"/>
      <c r="AB23" s="87"/>
      <c r="AC23" s="87"/>
      <c r="AD23" s="87"/>
      <c r="AE23" s="87"/>
      <c r="AF23" s="87"/>
      <c r="AG23" s="87"/>
      <c r="AH23" s="87"/>
      <c r="AI23" s="87"/>
      <c r="AJ23" s="87"/>
      <c r="AK23" s="87">
        <f>-C23</f>
        <v>-6.9999999999999991</v>
      </c>
      <c r="AL23" s="87">
        <f>(E23-F23)/7*C23</f>
        <v>-9.9999999999999982</v>
      </c>
      <c r="AM23" s="87">
        <f>C23-AL23</f>
        <v>16.999999999999996</v>
      </c>
      <c r="AN23" s="87"/>
      <c r="AO23" s="87"/>
      <c r="AP23" s="87"/>
      <c r="AQ23" s="87"/>
      <c r="AR23" s="87"/>
      <c r="AS23" s="87"/>
      <c r="AT23" s="87"/>
      <c r="AU23" s="87"/>
      <c r="AV23" s="87"/>
      <c r="AW23" s="87"/>
      <c r="AX23" s="87"/>
      <c r="AY23" s="87"/>
      <c r="AZ23" s="87"/>
      <c r="BA23" s="87"/>
      <c r="BB23" s="87"/>
      <c r="BC23" s="87"/>
      <c r="BD23" s="87"/>
      <c r="BE23" s="87"/>
      <c r="BF23" s="87"/>
      <c r="BG23" s="87"/>
      <c r="BH23" s="87"/>
      <c r="BI23" s="87"/>
      <c r="BJ23" s="87"/>
      <c r="BK23" s="87"/>
      <c r="BL23" s="87"/>
      <c r="BM23" s="87"/>
      <c r="BN23" s="87"/>
      <c r="BO23" s="87"/>
      <c r="BP23" s="87"/>
      <c r="BQ23" s="87"/>
      <c r="BR23" s="87"/>
      <c r="BS23" s="87"/>
      <c r="BT23" s="87"/>
      <c r="BU23" s="87"/>
      <c r="BV23" s="87"/>
      <c r="BW23" s="87"/>
      <c r="BX23" s="87"/>
      <c r="BY23" s="87"/>
      <c r="BZ23" s="87"/>
      <c r="CA23" s="87"/>
      <c r="CB23" s="87"/>
      <c r="CC23" s="87"/>
      <c r="CD23" s="87"/>
      <c r="CE23" s="87"/>
      <c r="CF23" s="87"/>
      <c r="CG23" s="87"/>
      <c r="CH23" s="87"/>
      <c r="CI23" s="87"/>
      <c r="CJ23" s="87"/>
      <c r="CK23" s="87"/>
      <c r="CL23" s="87"/>
      <c r="CM23" s="87"/>
      <c r="CN23" s="87"/>
      <c r="CO23" s="87"/>
      <c r="CP23" s="87"/>
      <c r="CQ23" s="87"/>
      <c r="CR23" s="87"/>
      <c r="CS23" s="87"/>
      <c r="CT23" s="87"/>
      <c r="CU23" s="87"/>
      <c r="CV23" s="87"/>
      <c r="CW23" s="87"/>
      <c r="CX23" s="87"/>
      <c r="CY23" s="87"/>
      <c r="CZ23" s="87"/>
      <c r="DA23" s="87"/>
      <c r="DB23" s="87"/>
      <c r="DC23" s="87"/>
      <c r="DD23" s="87"/>
      <c r="DE23" s="87"/>
      <c r="DF23" s="87"/>
      <c r="DG23" s="87"/>
      <c r="DH23" s="87"/>
      <c r="DI23" s="87"/>
      <c r="DJ23" s="87"/>
      <c r="DK23" s="87"/>
      <c r="DL23" s="87"/>
      <c r="DM23" s="87"/>
      <c r="DN23" s="87"/>
      <c r="DO23" s="87"/>
      <c r="DP23" s="87"/>
      <c r="DQ23" s="87"/>
      <c r="DR23" s="87"/>
      <c r="DS23" s="87"/>
      <c r="DT23" s="87"/>
      <c r="DU23" s="87"/>
      <c r="DV23" s="87"/>
      <c r="DW23" s="87"/>
      <c r="DX23" s="87"/>
      <c r="DY23" s="87"/>
      <c r="DZ23" s="87"/>
      <c r="EA23" s="87"/>
      <c r="EB23" s="87"/>
      <c r="EC23" s="87"/>
      <c r="ED23" s="87"/>
      <c r="EE23" s="87"/>
      <c r="EF23" s="87"/>
      <c r="EG23" s="87"/>
      <c r="EH23" s="87"/>
      <c r="EI23" s="87"/>
    </row>
    <row r="24" spans="1:139" ht="16.5" hidden="1" thickBot="1" x14ac:dyDescent="0.35">
      <c r="A24" s="96" t="s">
        <v>171</v>
      </c>
      <c r="B24" s="114">
        <v>3</v>
      </c>
      <c r="C24" s="115"/>
      <c r="D24" s="91">
        <f>C24/VLOOKUP(B24,'[2]Gas Prod per PADD'!$A$1:$C$6,2,FALSE)</f>
        <v>0</v>
      </c>
      <c r="E24" s="116">
        <v>45303</v>
      </c>
      <c r="F24" s="117">
        <v>45321</v>
      </c>
      <c r="G24" s="118" t="s">
        <v>172</v>
      </c>
      <c r="H24" s="119"/>
      <c r="I24" s="84"/>
      <c r="J24" s="85">
        <f t="shared" si="1"/>
        <v>0</v>
      </c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4"/>
      <c r="W24" s="84"/>
      <c r="X24" s="84" t="str">
        <f t="shared" si="0"/>
        <v>OK</v>
      </c>
      <c r="Y24" s="87"/>
      <c r="Z24" s="87"/>
      <c r="AA24" s="87"/>
      <c r="AB24" s="87"/>
      <c r="AC24" s="87"/>
      <c r="AD24" s="87"/>
      <c r="AE24" s="87"/>
      <c r="AF24" s="87"/>
      <c r="AG24" s="87"/>
      <c r="AH24" s="87"/>
      <c r="AI24" s="87"/>
      <c r="AJ24" s="87"/>
      <c r="AK24" s="87"/>
      <c r="AL24" s="87">
        <v>17.600000000000001</v>
      </c>
      <c r="AM24" s="87"/>
      <c r="AN24" s="87"/>
      <c r="AO24" s="87"/>
      <c r="AP24" s="87"/>
      <c r="AQ24" s="87"/>
      <c r="AR24" s="87"/>
      <c r="AS24" s="87"/>
      <c r="AT24" s="87"/>
      <c r="AU24" s="87"/>
      <c r="AV24" s="87"/>
      <c r="AW24" s="87"/>
      <c r="AX24" s="87"/>
      <c r="AY24" s="87"/>
      <c r="AZ24" s="87"/>
      <c r="BA24" s="87"/>
      <c r="BB24" s="87"/>
      <c r="BC24" s="87"/>
      <c r="BD24" s="87"/>
      <c r="BE24" s="87"/>
      <c r="BF24" s="87"/>
      <c r="BG24" s="87"/>
      <c r="BH24" s="87"/>
      <c r="BI24" s="87"/>
      <c r="BJ24" s="87"/>
      <c r="BK24" s="87"/>
      <c r="BL24" s="87"/>
      <c r="BM24" s="87"/>
      <c r="BN24" s="87"/>
      <c r="BO24" s="87"/>
      <c r="BP24" s="87"/>
      <c r="BQ24" s="87"/>
      <c r="BR24" s="87"/>
      <c r="BS24" s="87"/>
      <c r="BT24" s="87"/>
      <c r="BU24" s="87"/>
      <c r="BV24" s="87"/>
      <c r="BW24" s="87"/>
      <c r="BX24" s="87"/>
      <c r="BY24" s="87"/>
      <c r="BZ24" s="87"/>
      <c r="CA24" s="87"/>
      <c r="CB24" s="87"/>
      <c r="CC24" s="87"/>
      <c r="CD24" s="87"/>
      <c r="CE24" s="87"/>
      <c r="CF24" s="87"/>
      <c r="CG24" s="87"/>
      <c r="CH24" s="87"/>
      <c r="CI24" s="87"/>
      <c r="CJ24" s="87"/>
      <c r="CK24" s="87"/>
      <c r="CL24" s="87"/>
      <c r="CM24" s="87"/>
      <c r="CN24" s="87"/>
      <c r="CO24" s="87"/>
      <c r="CP24" s="87"/>
      <c r="CQ24" s="87"/>
      <c r="CR24" s="87"/>
      <c r="CS24" s="87"/>
      <c r="CT24" s="87"/>
      <c r="CU24" s="87"/>
      <c r="CV24" s="87"/>
      <c r="CW24" s="87"/>
      <c r="CX24" s="87"/>
      <c r="CY24" s="87"/>
      <c r="CZ24" s="87"/>
      <c r="DA24" s="87"/>
      <c r="DB24" s="87"/>
      <c r="DC24" s="87"/>
      <c r="DD24" s="87"/>
      <c r="DE24" s="87"/>
      <c r="DF24" s="87"/>
      <c r="DG24" s="87"/>
      <c r="DH24" s="87"/>
      <c r="DI24" s="87"/>
      <c r="DJ24" s="87"/>
      <c r="DK24" s="87"/>
      <c r="DL24" s="87"/>
      <c r="DM24" s="87"/>
      <c r="DN24" s="87"/>
      <c r="DO24" s="87"/>
      <c r="DP24" s="87"/>
      <c r="DQ24" s="87"/>
      <c r="DR24" s="87"/>
      <c r="DS24" s="87"/>
      <c r="DT24" s="87"/>
      <c r="DU24" s="87"/>
      <c r="DV24" s="87"/>
      <c r="DW24" s="87"/>
      <c r="DX24" s="87"/>
      <c r="DY24" s="87"/>
      <c r="DZ24" s="87"/>
      <c r="EA24" s="87"/>
      <c r="EB24" s="87"/>
      <c r="EC24" s="87"/>
      <c r="ED24" s="87"/>
      <c r="EE24" s="87"/>
      <c r="EF24" s="87"/>
      <c r="EG24" s="87"/>
      <c r="EH24" s="87"/>
      <c r="EI24" s="87"/>
    </row>
    <row r="25" spans="1:139" ht="43.5" hidden="1" thickBot="1" x14ac:dyDescent="0.35">
      <c r="A25" s="120" t="s">
        <v>173</v>
      </c>
      <c r="B25" s="121">
        <v>3</v>
      </c>
      <c r="C25" s="122">
        <f>73*0.26/3+25*0.6/3+22*0.85/3+0.44</f>
        <v>18.000000000000004</v>
      </c>
      <c r="D25" s="91">
        <f>C25/VLOOKUP(B25,'[2]Gas Prod per PADD'!$A$1:$C$6,2,FALSE)</f>
        <v>3.9130434782608707E-3</v>
      </c>
      <c r="E25" s="116">
        <v>45306</v>
      </c>
      <c r="F25" s="117">
        <v>45321</v>
      </c>
      <c r="G25" s="123" t="s">
        <v>174</v>
      </c>
      <c r="H25" s="124" t="s">
        <v>151</v>
      </c>
      <c r="I25" s="84"/>
      <c r="J25" s="85">
        <f t="shared" si="1"/>
        <v>-8.7096774193548399</v>
      </c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4"/>
      <c r="W25" s="84"/>
      <c r="X25" s="84" t="str">
        <f t="shared" si="0"/>
        <v>OK</v>
      </c>
      <c r="Y25" s="87"/>
      <c r="Z25" s="87"/>
      <c r="AA25" s="87"/>
      <c r="AB25" s="87"/>
      <c r="AC25" s="87"/>
      <c r="AD25" s="87"/>
      <c r="AE25" s="87"/>
      <c r="AF25" s="87"/>
      <c r="AG25" s="87"/>
      <c r="AH25" s="87"/>
      <c r="AI25" s="87"/>
      <c r="AJ25" s="87">
        <f>(E25-F25)/7*C25</f>
        <v>-38.571428571428577</v>
      </c>
      <c r="AK25" s="87"/>
      <c r="AL25" s="87"/>
      <c r="AM25" s="87">
        <f>-AJ25</f>
        <v>38.571428571428577</v>
      </c>
      <c r="AN25" s="87"/>
      <c r="AO25" s="87"/>
      <c r="AP25" s="87"/>
      <c r="AQ25" s="87"/>
      <c r="AR25" s="87"/>
      <c r="AS25" s="87"/>
      <c r="AT25" s="87"/>
      <c r="AU25" s="87"/>
      <c r="AV25" s="87"/>
      <c r="AW25" s="87"/>
      <c r="AX25" s="87"/>
      <c r="AY25" s="87"/>
      <c r="AZ25" s="87"/>
      <c r="BA25" s="87"/>
      <c r="BB25" s="87"/>
      <c r="BC25" s="87"/>
      <c r="BD25" s="87"/>
      <c r="BE25" s="87"/>
      <c r="BF25" s="87"/>
      <c r="BG25" s="87"/>
      <c r="BH25" s="87"/>
      <c r="BI25" s="87"/>
      <c r="BJ25" s="87"/>
      <c r="BK25" s="87"/>
      <c r="BL25" s="87"/>
      <c r="BM25" s="87"/>
      <c r="BN25" s="87"/>
      <c r="BO25" s="87"/>
      <c r="BP25" s="87"/>
      <c r="BQ25" s="87"/>
      <c r="BR25" s="87"/>
      <c r="BS25" s="87"/>
      <c r="BT25" s="87"/>
      <c r="BU25" s="87"/>
      <c r="BV25" s="87"/>
      <c r="BW25" s="87"/>
      <c r="BX25" s="87"/>
      <c r="BY25" s="87"/>
      <c r="BZ25" s="87"/>
      <c r="CA25" s="87"/>
      <c r="CB25" s="87"/>
      <c r="CC25" s="87"/>
      <c r="CD25" s="87"/>
      <c r="CE25" s="87"/>
      <c r="CF25" s="87"/>
      <c r="CG25" s="87"/>
      <c r="CH25" s="87"/>
      <c r="CI25" s="87"/>
      <c r="CJ25" s="87"/>
      <c r="CK25" s="87"/>
      <c r="CL25" s="87"/>
      <c r="CM25" s="87"/>
      <c r="CN25" s="87"/>
      <c r="CO25" s="87"/>
      <c r="CP25" s="87"/>
      <c r="CQ25" s="87"/>
      <c r="CR25" s="87"/>
      <c r="CS25" s="87"/>
      <c r="CT25" s="87"/>
      <c r="CU25" s="87"/>
      <c r="CV25" s="87"/>
      <c r="CW25" s="87"/>
      <c r="CX25" s="87"/>
      <c r="CY25" s="87"/>
      <c r="CZ25" s="87"/>
      <c r="DA25" s="87"/>
      <c r="DB25" s="87"/>
      <c r="DC25" s="87"/>
      <c r="DD25" s="87"/>
      <c r="DE25" s="87"/>
      <c r="DF25" s="87"/>
      <c r="DG25" s="87"/>
      <c r="DH25" s="87"/>
      <c r="DI25" s="87"/>
      <c r="DJ25" s="87"/>
      <c r="DK25" s="87"/>
      <c r="DL25" s="87"/>
      <c r="DM25" s="87"/>
      <c r="DN25" s="87"/>
      <c r="DO25" s="87"/>
      <c r="DP25" s="87"/>
      <c r="DQ25" s="87"/>
      <c r="DR25" s="87"/>
      <c r="DS25" s="87"/>
      <c r="DT25" s="87"/>
      <c r="DU25" s="87"/>
      <c r="DV25" s="87"/>
      <c r="DW25" s="87"/>
      <c r="DX25" s="87"/>
      <c r="DY25" s="87"/>
      <c r="DZ25" s="87"/>
      <c r="EA25" s="87"/>
      <c r="EB25" s="87"/>
      <c r="EC25" s="87"/>
      <c r="ED25" s="87"/>
      <c r="EE25" s="87"/>
      <c r="EF25" s="87"/>
      <c r="EG25" s="87"/>
      <c r="EH25" s="87"/>
      <c r="EI25" s="87"/>
    </row>
    <row r="26" spans="1:139" ht="16.5" hidden="1" thickBot="1" x14ac:dyDescent="0.35">
      <c r="A26" s="96" t="s">
        <v>175</v>
      </c>
      <c r="B26" s="114">
        <v>4</v>
      </c>
      <c r="C26" s="115"/>
      <c r="D26" s="91">
        <f>C26/VLOOKUP(B26,'[2]Gas Prod per PADD'!$A$1:$C$6,2,FALSE)</f>
        <v>0</v>
      </c>
      <c r="E26" s="116">
        <v>45307</v>
      </c>
      <c r="F26" s="117">
        <v>45321</v>
      </c>
      <c r="G26" s="118" t="s">
        <v>176</v>
      </c>
      <c r="H26" s="119"/>
      <c r="I26" s="84"/>
      <c r="J26" s="85">
        <f t="shared" si="1"/>
        <v>0</v>
      </c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5"/>
      <c r="V26" s="84"/>
      <c r="W26" s="84"/>
      <c r="X26" s="84" t="str">
        <f t="shared" si="0"/>
        <v>OK</v>
      </c>
      <c r="Y26" s="86"/>
      <c r="Z26" s="86"/>
      <c r="AA26" s="87"/>
      <c r="AB26" s="87"/>
      <c r="AC26" s="87"/>
      <c r="AD26" s="87"/>
      <c r="AE26" s="87"/>
      <c r="AF26" s="87"/>
      <c r="AG26" s="87"/>
      <c r="AH26" s="87"/>
      <c r="AI26" s="87"/>
      <c r="AJ26" s="87"/>
      <c r="AK26" s="87"/>
      <c r="AL26" s="87">
        <v>7.1314285714285717</v>
      </c>
      <c r="AM26" s="87"/>
      <c r="AN26" s="87"/>
      <c r="AO26" s="87"/>
      <c r="AP26" s="87"/>
      <c r="AQ26" s="87"/>
      <c r="AR26" s="87"/>
      <c r="AS26" s="87"/>
      <c r="AT26" s="87"/>
      <c r="AU26" s="87"/>
      <c r="AV26" s="87"/>
      <c r="AW26" s="87"/>
      <c r="AX26" s="87"/>
      <c r="AY26" s="87"/>
      <c r="AZ26" s="87"/>
      <c r="BA26" s="87"/>
      <c r="BB26" s="87"/>
      <c r="BC26" s="87"/>
      <c r="BD26" s="87"/>
      <c r="BE26" s="87"/>
      <c r="BF26" s="87"/>
      <c r="BG26" s="87"/>
      <c r="BH26" s="87"/>
      <c r="BI26" s="87"/>
      <c r="BJ26" s="87"/>
      <c r="BK26" s="87"/>
      <c r="BL26" s="87"/>
      <c r="BM26" s="87"/>
      <c r="BN26" s="87"/>
      <c r="BO26" s="87"/>
      <c r="BP26" s="87"/>
      <c r="BQ26" s="87"/>
      <c r="BR26" s="87"/>
      <c r="BS26" s="87"/>
      <c r="BT26" s="87"/>
      <c r="BU26" s="87"/>
      <c r="BV26" s="87"/>
      <c r="BW26" s="87"/>
      <c r="BX26" s="87"/>
      <c r="BY26" s="87"/>
      <c r="BZ26" s="87"/>
      <c r="CA26" s="87"/>
      <c r="CB26" s="87"/>
      <c r="CC26" s="87"/>
      <c r="CD26" s="87"/>
      <c r="CE26" s="87"/>
      <c r="CF26" s="87"/>
      <c r="CG26" s="87"/>
      <c r="CH26" s="87"/>
      <c r="CI26" s="87"/>
      <c r="CJ26" s="87"/>
      <c r="CK26" s="87"/>
      <c r="CL26" s="87"/>
      <c r="CM26" s="87"/>
      <c r="CN26" s="87"/>
      <c r="CO26" s="87"/>
      <c r="CP26" s="87"/>
      <c r="CQ26" s="87"/>
      <c r="CR26" s="87"/>
      <c r="CS26" s="87"/>
      <c r="CT26" s="87"/>
      <c r="CU26" s="87"/>
      <c r="CV26" s="87"/>
      <c r="CW26" s="87"/>
      <c r="CX26" s="87"/>
      <c r="CY26" s="87"/>
      <c r="CZ26" s="87"/>
      <c r="DA26" s="87"/>
      <c r="DB26" s="87"/>
      <c r="DC26" s="87"/>
      <c r="DD26" s="87"/>
      <c r="DE26" s="87"/>
      <c r="DF26" s="87"/>
      <c r="DG26" s="87"/>
      <c r="DH26" s="87"/>
      <c r="DI26" s="87"/>
      <c r="DJ26" s="87"/>
      <c r="DK26" s="87"/>
      <c r="DL26" s="87"/>
      <c r="DM26" s="87"/>
      <c r="DN26" s="87"/>
      <c r="DO26" s="87"/>
      <c r="DP26" s="87"/>
      <c r="DQ26" s="87"/>
      <c r="DR26" s="87"/>
      <c r="DS26" s="87"/>
      <c r="DT26" s="87"/>
      <c r="DU26" s="87"/>
      <c r="DV26" s="87"/>
      <c r="DW26" s="87"/>
      <c r="DX26" s="87"/>
      <c r="DY26" s="87"/>
      <c r="DZ26" s="87"/>
      <c r="EA26" s="87"/>
      <c r="EB26" s="87"/>
      <c r="EC26" s="87"/>
      <c r="ED26" s="87"/>
      <c r="EE26" s="87"/>
      <c r="EF26" s="87"/>
      <c r="EG26" s="87"/>
      <c r="EH26" s="87"/>
      <c r="EI26" s="87"/>
    </row>
    <row r="27" spans="1:139" ht="16.5" hidden="1" thickBot="1" x14ac:dyDescent="0.35">
      <c r="A27" s="96" t="s">
        <v>177</v>
      </c>
      <c r="B27" s="114">
        <v>5</v>
      </c>
      <c r="C27" s="115"/>
      <c r="D27" s="91">
        <f>C27/VLOOKUP(B27,'[2]Gas Prod per PADD'!$A$1:$C$6,2,FALSE)</f>
        <v>0</v>
      </c>
      <c r="E27" s="116">
        <v>45319</v>
      </c>
      <c r="F27" s="117">
        <v>45323</v>
      </c>
      <c r="G27" s="118" t="s">
        <v>178</v>
      </c>
      <c r="H27" s="119"/>
      <c r="I27" s="84"/>
      <c r="J27" s="85">
        <f>C27*(E27-$J$1)/31</f>
        <v>0</v>
      </c>
      <c r="K27" s="85">
        <f>C27*($J$1+1-F27)/28</f>
        <v>0</v>
      </c>
      <c r="L27" s="85"/>
      <c r="M27" s="85"/>
      <c r="N27" s="85"/>
      <c r="O27" s="85"/>
      <c r="P27" s="85"/>
      <c r="Q27" s="85"/>
      <c r="R27" s="85"/>
      <c r="S27" s="85"/>
      <c r="T27" s="85"/>
      <c r="U27" s="85"/>
      <c r="V27" s="84"/>
      <c r="W27" s="84"/>
      <c r="X27" s="84" t="str">
        <f t="shared" si="0"/>
        <v>OK</v>
      </c>
      <c r="Y27" s="87"/>
      <c r="Z27" s="87"/>
      <c r="AA27" s="87"/>
      <c r="AB27" s="87"/>
      <c r="AC27" s="87"/>
      <c r="AD27" s="87"/>
      <c r="AE27" s="87"/>
      <c r="AF27" s="87"/>
      <c r="AG27" s="87"/>
      <c r="AH27" s="87"/>
      <c r="AI27" s="87"/>
      <c r="AJ27" s="87"/>
      <c r="AK27" s="87"/>
      <c r="AL27" s="87">
        <v>-24.285714285714285</v>
      </c>
      <c r="AM27" s="87">
        <v>24.285714285714285</v>
      </c>
      <c r="AN27" s="87"/>
      <c r="AO27" s="87"/>
      <c r="AP27" s="87"/>
      <c r="AQ27" s="87"/>
      <c r="AR27" s="87"/>
      <c r="AS27" s="87"/>
      <c r="AT27" s="87"/>
      <c r="AU27" s="87"/>
      <c r="AV27" s="87"/>
      <c r="AW27" s="87"/>
      <c r="AX27" s="87"/>
      <c r="AY27" s="87"/>
      <c r="AZ27" s="87"/>
      <c r="BA27" s="87"/>
      <c r="BB27" s="87"/>
      <c r="BC27" s="87"/>
      <c r="BD27" s="87"/>
      <c r="BE27" s="87"/>
      <c r="BF27" s="87"/>
      <c r="BG27" s="87"/>
      <c r="BH27" s="87"/>
      <c r="BI27" s="87"/>
      <c r="BJ27" s="87"/>
      <c r="BK27" s="87"/>
      <c r="BL27" s="87"/>
      <c r="BM27" s="87"/>
      <c r="BN27" s="87"/>
      <c r="BO27" s="87"/>
      <c r="BP27" s="87"/>
      <c r="BQ27" s="87"/>
      <c r="BR27" s="87"/>
      <c r="BS27" s="87"/>
      <c r="BT27" s="87"/>
      <c r="BU27" s="87"/>
      <c r="BV27" s="87"/>
      <c r="BW27" s="87"/>
      <c r="BX27" s="87"/>
      <c r="BY27" s="87"/>
      <c r="BZ27" s="87"/>
      <c r="CA27" s="87"/>
      <c r="CB27" s="87"/>
      <c r="CC27" s="87"/>
      <c r="CD27" s="87"/>
      <c r="CE27" s="87"/>
      <c r="CF27" s="87"/>
      <c r="CG27" s="87"/>
      <c r="CH27" s="87"/>
      <c r="CI27" s="87"/>
      <c r="CJ27" s="87"/>
      <c r="CK27" s="87"/>
      <c r="CL27" s="87"/>
      <c r="CM27" s="87"/>
      <c r="CN27" s="87"/>
      <c r="CO27" s="87"/>
      <c r="CP27" s="87"/>
      <c r="CQ27" s="87"/>
      <c r="CR27" s="87"/>
      <c r="CS27" s="87"/>
      <c r="CT27" s="87"/>
      <c r="CU27" s="87"/>
      <c r="CV27" s="87"/>
      <c r="CW27" s="87"/>
      <c r="CX27" s="87"/>
      <c r="CY27" s="87"/>
      <c r="CZ27" s="87"/>
      <c r="DA27" s="87"/>
      <c r="DB27" s="87"/>
      <c r="DC27" s="87"/>
      <c r="DD27" s="87"/>
      <c r="DE27" s="87"/>
      <c r="DF27" s="87"/>
      <c r="DG27" s="87"/>
      <c r="DH27" s="87"/>
      <c r="DI27" s="87"/>
      <c r="DJ27" s="87"/>
      <c r="DK27" s="87"/>
      <c r="DL27" s="87"/>
      <c r="DM27" s="87"/>
      <c r="DN27" s="87"/>
      <c r="DO27" s="87"/>
      <c r="DP27" s="87"/>
      <c r="DQ27" s="87"/>
      <c r="DR27" s="87"/>
      <c r="DS27" s="87"/>
      <c r="DT27" s="87"/>
      <c r="DU27" s="87"/>
      <c r="DV27" s="87"/>
      <c r="DW27" s="87"/>
      <c r="DX27" s="87"/>
      <c r="DY27" s="87"/>
      <c r="DZ27" s="87"/>
      <c r="EA27" s="87"/>
      <c r="EB27" s="87"/>
      <c r="EC27" s="87"/>
      <c r="ED27" s="87"/>
      <c r="EE27" s="87"/>
      <c r="EF27" s="87"/>
      <c r="EG27" s="75">
        <v>46017</v>
      </c>
      <c r="EH27" s="75">
        <v>46024</v>
      </c>
      <c r="EI27" s="75">
        <v>46031</v>
      </c>
    </row>
    <row r="28" spans="1:139" ht="16.5" hidden="1" thickBot="1" x14ac:dyDescent="0.35">
      <c r="A28" s="96" t="s">
        <v>179</v>
      </c>
      <c r="B28" s="114">
        <v>4</v>
      </c>
      <c r="C28" s="115"/>
      <c r="D28" s="91">
        <f>C28/VLOOKUP(B28,'[2]Gas Prod per PADD'!$A$1:$C$6,2,FALSE)</f>
        <v>0</v>
      </c>
      <c r="E28" s="116">
        <v>45321</v>
      </c>
      <c r="F28" s="117">
        <v>45323</v>
      </c>
      <c r="G28" s="118" t="s">
        <v>180</v>
      </c>
      <c r="H28" s="119"/>
      <c r="I28" s="84"/>
      <c r="J28" s="85">
        <f>C28*(E28-$J$1)/31</f>
        <v>0</v>
      </c>
      <c r="K28" s="85">
        <f>C28*($J$1+1-F28)/28</f>
        <v>0</v>
      </c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4"/>
      <c r="W28" s="84"/>
      <c r="X28" s="84" t="str">
        <f t="shared" si="0"/>
        <v>OK</v>
      </c>
      <c r="Y28" s="87"/>
      <c r="Z28" s="87"/>
      <c r="AA28" s="87"/>
      <c r="AB28" s="87"/>
      <c r="AC28" s="87"/>
      <c r="AD28" s="87"/>
      <c r="AE28" s="87"/>
      <c r="AF28" s="87"/>
      <c r="AG28" s="87"/>
      <c r="AH28" s="87"/>
      <c r="AI28" s="87"/>
      <c r="AJ28" s="87"/>
      <c r="AK28" s="87"/>
      <c r="AL28" s="87">
        <v>-6.1714285714285708</v>
      </c>
      <c r="AM28" s="87">
        <v>6.1714285714285708</v>
      </c>
      <c r="AN28" s="87"/>
      <c r="AO28" s="87"/>
      <c r="AP28" s="87"/>
      <c r="AQ28" s="87"/>
      <c r="AR28" s="87"/>
      <c r="AS28" s="87"/>
      <c r="AT28" s="87"/>
      <c r="AU28" s="87"/>
      <c r="AV28" s="87"/>
      <c r="AW28" s="87"/>
      <c r="AX28" s="87"/>
      <c r="AY28" s="87"/>
      <c r="AZ28" s="87"/>
      <c r="BA28" s="87"/>
      <c r="BB28" s="87"/>
      <c r="BC28" s="87"/>
      <c r="BD28" s="87"/>
      <c r="BE28" s="87"/>
      <c r="BF28" s="87"/>
      <c r="BG28" s="87"/>
      <c r="BH28" s="87"/>
      <c r="BI28" s="87"/>
      <c r="BJ28" s="87"/>
      <c r="BK28" s="87"/>
      <c r="BL28" s="87"/>
      <c r="BM28" s="87"/>
      <c r="BN28" s="87"/>
      <c r="BO28" s="87"/>
      <c r="BP28" s="87"/>
      <c r="BQ28" s="87"/>
      <c r="BR28" s="87"/>
      <c r="BS28" s="87"/>
      <c r="BT28" s="87"/>
      <c r="BU28" s="87"/>
      <c r="BV28" s="87"/>
      <c r="BW28" s="87"/>
      <c r="BX28" s="87"/>
      <c r="BY28" s="87"/>
      <c r="BZ28" s="87"/>
      <c r="CA28" s="87"/>
      <c r="CB28" s="87"/>
      <c r="CC28" s="87"/>
      <c r="CD28" s="87"/>
      <c r="CE28" s="87"/>
      <c r="CF28" s="87"/>
      <c r="CG28" s="87"/>
      <c r="CH28" s="87"/>
      <c r="CI28" s="87"/>
      <c r="CJ28" s="87"/>
      <c r="CK28" s="87"/>
      <c r="CL28" s="87"/>
      <c r="CM28" s="87"/>
      <c r="CN28" s="87"/>
      <c r="CO28" s="87"/>
      <c r="CP28" s="87"/>
      <c r="CQ28" s="87"/>
      <c r="CR28" s="87"/>
      <c r="CS28" s="87"/>
      <c r="CT28" s="87"/>
      <c r="CU28" s="87"/>
      <c r="CV28" s="87"/>
      <c r="CW28" s="87"/>
      <c r="CX28" s="87"/>
      <c r="CY28" s="87"/>
      <c r="CZ28" s="87"/>
      <c r="DA28" s="87"/>
      <c r="DB28" s="87"/>
      <c r="DC28" s="87"/>
      <c r="DD28" s="87"/>
      <c r="DE28" s="87"/>
      <c r="DF28" s="87"/>
      <c r="DG28" s="87"/>
      <c r="DH28" s="87"/>
      <c r="DI28" s="87"/>
      <c r="DJ28" s="87"/>
      <c r="DK28" s="87"/>
      <c r="DL28" s="87"/>
      <c r="DM28" s="87"/>
      <c r="DN28" s="87"/>
      <c r="DO28" s="87"/>
      <c r="DP28" s="87"/>
      <c r="DQ28" s="87"/>
      <c r="DR28" s="87"/>
      <c r="DS28" s="87"/>
      <c r="DT28" s="87"/>
      <c r="DU28" s="87"/>
      <c r="DV28" s="87"/>
      <c r="DW28" s="87"/>
      <c r="DX28" s="87"/>
      <c r="DY28" s="87"/>
      <c r="DZ28" s="87"/>
      <c r="EA28" s="87"/>
      <c r="EB28" s="87"/>
      <c r="EC28" s="87"/>
      <c r="ED28" s="87"/>
      <c r="EE28" s="87"/>
      <c r="EF28" s="87"/>
      <c r="EG28" s="87"/>
      <c r="EH28" s="87"/>
      <c r="EI28" s="87"/>
    </row>
    <row r="29" spans="1:139" ht="16.5" hidden="1" thickBot="1" x14ac:dyDescent="0.35">
      <c r="A29" s="131" t="s">
        <v>181</v>
      </c>
      <c r="B29" s="118">
        <v>4</v>
      </c>
      <c r="C29" s="115"/>
      <c r="D29" s="91">
        <f>C29/VLOOKUP(B29,'[2]Gas Prod per PADD'!$A$1:$C$6,2,FALSE)</f>
        <v>0</v>
      </c>
      <c r="E29" s="116">
        <v>45307</v>
      </c>
      <c r="F29" s="132">
        <v>45327</v>
      </c>
      <c r="G29" s="118" t="s">
        <v>176</v>
      </c>
      <c r="H29" s="133"/>
      <c r="I29" s="84"/>
      <c r="J29" s="85">
        <f>C29*(E29-$J$1)/31</f>
        <v>0</v>
      </c>
      <c r="K29" s="85">
        <f>C29*($J$1+1-F29)/28</f>
        <v>0</v>
      </c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4"/>
      <c r="W29" s="84"/>
      <c r="X29" s="84" t="str">
        <f t="shared" si="0"/>
        <v>OK</v>
      </c>
      <c r="Y29" s="87"/>
      <c r="Z29" s="87"/>
      <c r="AA29" s="87"/>
      <c r="AB29" s="87"/>
      <c r="AC29" s="87"/>
      <c r="AD29" s="87"/>
      <c r="AE29" s="87"/>
      <c r="AF29" s="87"/>
      <c r="AG29" s="87"/>
      <c r="AH29" s="87"/>
      <c r="AI29" s="87"/>
      <c r="AJ29" s="87"/>
      <c r="AK29" s="87"/>
      <c r="AL29" s="87"/>
      <c r="AM29" s="87">
        <v>4.7542857142857144</v>
      </c>
      <c r="AN29" s="87">
        <v>3.5657142857142858</v>
      </c>
      <c r="AO29" s="87"/>
      <c r="AP29" s="87"/>
      <c r="AQ29" s="87"/>
      <c r="AR29" s="87"/>
      <c r="AS29" s="87"/>
      <c r="AT29" s="87"/>
      <c r="AU29" s="87"/>
      <c r="AV29" s="87"/>
      <c r="AW29" s="87"/>
      <c r="AX29" s="87"/>
      <c r="AY29" s="87"/>
      <c r="AZ29" s="87"/>
      <c r="BA29" s="87"/>
      <c r="BB29" s="87"/>
      <c r="BC29" s="87"/>
      <c r="BD29" s="87"/>
      <c r="BE29" s="87"/>
      <c r="BF29" s="87"/>
      <c r="BG29" s="87"/>
      <c r="BH29" s="87"/>
      <c r="BI29" s="87"/>
      <c r="BJ29" s="87"/>
      <c r="BK29" s="87"/>
      <c r="BL29" s="87"/>
      <c r="BM29" s="87"/>
      <c r="BN29" s="87"/>
      <c r="BO29" s="87"/>
      <c r="BP29" s="87"/>
      <c r="BQ29" s="87"/>
      <c r="BR29" s="87"/>
      <c r="BS29" s="87"/>
      <c r="BT29" s="87"/>
      <c r="BU29" s="87"/>
      <c r="BV29" s="87"/>
      <c r="BW29" s="87"/>
      <c r="BX29" s="87"/>
      <c r="BY29" s="87"/>
      <c r="BZ29" s="87"/>
      <c r="CA29" s="87"/>
      <c r="CB29" s="87"/>
      <c r="CC29" s="87"/>
      <c r="CD29" s="87"/>
      <c r="CE29" s="87"/>
      <c r="CF29" s="87"/>
      <c r="CG29" s="87"/>
      <c r="CH29" s="87"/>
      <c r="CI29" s="87"/>
      <c r="CJ29" s="87"/>
      <c r="CK29" s="87"/>
      <c r="CL29" s="87"/>
      <c r="CM29" s="87"/>
      <c r="CN29" s="87"/>
      <c r="CO29" s="87"/>
      <c r="CP29" s="87"/>
      <c r="CQ29" s="87"/>
      <c r="CR29" s="87"/>
      <c r="CS29" s="87"/>
      <c r="CT29" s="87"/>
      <c r="CU29" s="87"/>
      <c r="CV29" s="87"/>
      <c r="CW29" s="87"/>
      <c r="CX29" s="87"/>
      <c r="CY29" s="87"/>
      <c r="CZ29" s="87"/>
      <c r="DA29" s="87"/>
      <c r="DB29" s="87"/>
      <c r="DC29" s="87"/>
      <c r="DD29" s="87"/>
      <c r="DE29" s="87"/>
      <c r="DF29" s="87"/>
      <c r="DG29" s="87"/>
      <c r="DH29" s="87"/>
      <c r="DI29" s="87"/>
      <c r="DJ29" s="87"/>
      <c r="DK29" s="87"/>
      <c r="DL29" s="87"/>
      <c r="DM29" s="87"/>
      <c r="DN29" s="87"/>
      <c r="DO29" s="87"/>
      <c r="DP29" s="87"/>
      <c r="DQ29" s="87"/>
      <c r="DR29" s="87"/>
      <c r="DS29" s="87"/>
      <c r="DT29" s="87"/>
      <c r="DU29" s="87"/>
      <c r="DV29" s="87"/>
      <c r="DW29" s="87"/>
      <c r="DX29" s="87"/>
      <c r="DY29" s="87"/>
      <c r="DZ29" s="87"/>
      <c r="EA29" s="87"/>
      <c r="EB29" s="87"/>
      <c r="EC29" s="87"/>
      <c r="ED29" s="87"/>
      <c r="EE29" s="87"/>
      <c r="EF29" s="87"/>
      <c r="EG29" s="87"/>
      <c r="EH29" s="87"/>
      <c r="EI29" s="87"/>
    </row>
    <row r="30" spans="1:139" ht="16.5" hidden="1" thickBot="1" x14ac:dyDescent="0.35">
      <c r="A30" s="134" t="s">
        <v>182</v>
      </c>
      <c r="B30" s="135">
        <v>3</v>
      </c>
      <c r="C30" s="136">
        <f>55*0.85-1.75</f>
        <v>45</v>
      </c>
      <c r="D30" s="91">
        <f>C30/VLOOKUP(B30,'[2]Gas Prod per PADD'!$A$1:$C$6,2,FALSE)</f>
        <v>9.7826086956521747E-3</v>
      </c>
      <c r="E30" s="109">
        <v>45326</v>
      </c>
      <c r="F30" s="137">
        <v>45331</v>
      </c>
      <c r="G30" s="138" t="s">
        <v>183</v>
      </c>
      <c r="H30" s="139" t="s">
        <v>184</v>
      </c>
      <c r="I30" s="84"/>
      <c r="J30" s="85"/>
      <c r="K30" s="85">
        <f>C30*(E30-F30)/29</f>
        <v>-7.7586206896551726</v>
      </c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4"/>
      <c r="W30" s="84"/>
      <c r="X30" s="84" t="str">
        <f t="shared" si="0"/>
        <v>OK</v>
      </c>
      <c r="Y30" s="105"/>
      <c r="Z30" s="105"/>
      <c r="AA30" s="87"/>
      <c r="AB30" s="87"/>
      <c r="AC30" s="87"/>
      <c r="AD30" s="87"/>
      <c r="AE30" s="105"/>
      <c r="AF30" s="105"/>
      <c r="AG30" s="105"/>
      <c r="AH30" s="105"/>
      <c r="AI30" s="87"/>
      <c r="AJ30" s="87"/>
      <c r="AK30" s="87"/>
      <c r="AL30" s="87"/>
      <c r="AM30" s="87">
        <f>-6/7*C30</f>
        <v>-38.571428571428569</v>
      </c>
      <c r="AN30" s="87">
        <f>-AM30/2</f>
        <v>19.285714285714285</v>
      </c>
      <c r="AO30" s="87">
        <f>-AM30-AN30</f>
        <v>19.285714285714285</v>
      </c>
      <c r="AP30" s="87"/>
      <c r="AQ30" s="87"/>
      <c r="AR30" s="87"/>
      <c r="AS30" s="87"/>
      <c r="AT30" s="87"/>
      <c r="AU30" s="87"/>
      <c r="AV30" s="87"/>
      <c r="AW30" s="87"/>
      <c r="AX30" s="87"/>
      <c r="AY30" s="87"/>
      <c r="AZ30" s="87"/>
      <c r="BA30" s="87"/>
      <c r="BB30" s="87"/>
      <c r="BC30" s="87"/>
      <c r="BD30" s="87"/>
      <c r="BE30" s="87"/>
      <c r="BF30" s="87"/>
      <c r="BG30" s="87"/>
      <c r="BH30" s="87"/>
      <c r="BI30" s="87"/>
      <c r="BJ30" s="87"/>
      <c r="BK30" s="87"/>
      <c r="BL30" s="87"/>
      <c r="BM30" s="87"/>
      <c r="BN30" s="87"/>
      <c r="BO30" s="87"/>
      <c r="BP30" s="87"/>
      <c r="BQ30" s="87"/>
      <c r="BR30" s="87"/>
      <c r="BS30" s="87"/>
      <c r="BT30" s="87"/>
      <c r="BU30" s="87"/>
      <c r="BV30" s="87"/>
      <c r="BW30" s="87"/>
      <c r="BX30" s="87"/>
      <c r="BY30" s="87"/>
      <c r="BZ30" s="87"/>
      <c r="CA30" s="87"/>
      <c r="CB30" s="87"/>
      <c r="CC30" s="87"/>
      <c r="CD30" s="87"/>
      <c r="CE30" s="87"/>
      <c r="CF30" s="87"/>
      <c r="CG30" s="87"/>
      <c r="CH30" s="87"/>
      <c r="CI30" s="87"/>
      <c r="CJ30" s="87"/>
      <c r="CK30" s="87"/>
      <c r="CL30" s="87"/>
      <c r="CM30" s="87"/>
      <c r="CN30" s="87"/>
      <c r="CO30" s="87"/>
      <c r="CP30" s="87"/>
      <c r="CQ30" s="87"/>
      <c r="CR30" s="87"/>
      <c r="CS30" s="87"/>
      <c r="CT30" s="87"/>
      <c r="CU30" s="87"/>
      <c r="CV30" s="87"/>
      <c r="CW30" s="87"/>
      <c r="CX30" s="87"/>
      <c r="CY30" s="87"/>
      <c r="CZ30" s="87"/>
      <c r="DA30" s="87"/>
      <c r="DB30" s="87"/>
      <c r="DC30" s="87"/>
      <c r="DD30" s="87"/>
      <c r="DE30" s="87"/>
      <c r="DF30" s="87"/>
      <c r="DG30" s="87"/>
      <c r="DH30" s="87"/>
      <c r="DI30" s="87"/>
      <c r="DJ30" s="87"/>
      <c r="DK30" s="87"/>
      <c r="DL30" s="87"/>
      <c r="DM30" s="87"/>
      <c r="DN30" s="87"/>
      <c r="DO30" s="87"/>
      <c r="DP30" s="87"/>
      <c r="DQ30" s="87"/>
      <c r="DR30" s="87"/>
      <c r="DS30" s="87"/>
      <c r="DT30" s="87"/>
      <c r="DU30" s="87"/>
      <c r="DV30" s="87"/>
      <c r="DW30" s="87"/>
      <c r="DX30" s="87"/>
      <c r="DY30" s="87"/>
      <c r="DZ30" s="87"/>
      <c r="EA30" s="87"/>
      <c r="EB30" s="87"/>
      <c r="EC30" s="87"/>
      <c r="ED30" s="87"/>
      <c r="EE30" s="87"/>
      <c r="EF30" s="87"/>
      <c r="EG30" s="87"/>
      <c r="EH30" s="87"/>
      <c r="EI30" s="87"/>
    </row>
    <row r="31" spans="1:139" ht="16.5" hidden="1" thickBot="1" x14ac:dyDescent="0.35">
      <c r="A31" s="140" t="s">
        <v>138</v>
      </c>
      <c r="B31" s="118">
        <v>3</v>
      </c>
      <c r="C31" s="115"/>
      <c r="D31" s="91">
        <f>C31/VLOOKUP(B31,'[2]Gas Prod per PADD'!$A$1:$C$6,2,FALSE)</f>
        <v>0</v>
      </c>
      <c r="E31" s="116">
        <v>45330</v>
      </c>
      <c r="F31" s="117">
        <v>45331</v>
      </c>
      <c r="G31" s="118" t="s">
        <v>185</v>
      </c>
      <c r="H31" s="119"/>
      <c r="I31" s="84"/>
      <c r="J31" s="85"/>
      <c r="K31" s="85">
        <f>C31*(E31-F31)/28</f>
        <v>0</v>
      </c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4"/>
      <c r="W31" s="84"/>
      <c r="X31" s="84" t="str">
        <f t="shared" si="0"/>
        <v>OK</v>
      </c>
      <c r="Y31" s="87"/>
      <c r="Z31" s="87"/>
      <c r="AA31" s="87"/>
      <c r="AB31" s="87"/>
      <c r="AC31" s="87"/>
      <c r="AD31" s="87"/>
      <c r="AE31" s="87"/>
      <c r="AF31" s="87"/>
      <c r="AG31" s="87"/>
      <c r="AH31" s="87"/>
      <c r="AI31" s="87"/>
      <c r="AJ31" s="87"/>
      <c r="AK31" s="87"/>
      <c r="AL31" s="87"/>
      <c r="AM31" s="87">
        <v>-2.1428571428571428</v>
      </c>
      <c r="AN31" s="87">
        <v>2.1428571428571428</v>
      </c>
      <c r="AO31" s="87"/>
      <c r="AP31" s="87"/>
      <c r="AQ31" s="87"/>
      <c r="AR31" s="87"/>
      <c r="AS31" s="87"/>
      <c r="AT31" s="87"/>
      <c r="AU31" s="87"/>
      <c r="AV31" s="87"/>
      <c r="AW31" s="87"/>
      <c r="AX31" s="87"/>
      <c r="AY31" s="87"/>
      <c r="AZ31" s="87"/>
      <c r="BA31" s="87"/>
      <c r="BB31" s="87"/>
      <c r="BC31" s="87"/>
      <c r="BD31" s="87"/>
      <c r="BE31" s="87"/>
      <c r="BF31" s="87"/>
      <c r="BG31" s="87"/>
      <c r="BH31" s="87"/>
      <c r="BI31" s="87"/>
      <c r="BJ31" s="87"/>
      <c r="BK31" s="87"/>
      <c r="BL31" s="87"/>
      <c r="BM31" s="87"/>
      <c r="BN31" s="87"/>
      <c r="BO31" s="87"/>
      <c r="BP31" s="87"/>
      <c r="BQ31" s="87"/>
      <c r="BR31" s="87"/>
      <c r="BS31" s="87"/>
      <c r="BT31" s="87"/>
      <c r="BU31" s="87"/>
      <c r="BV31" s="87"/>
      <c r="BW31" s="87"/>
      <c r="BX31" s="87"/>
      <c r="BY31" s="87"/>
      <c r="BZ31" s="87"/>
      <c r="CA31" s="87"/>
      <c r="CB31" s="87"/>
      <c r="CC31" s="87"/>
      <c r="CD31" s="87"/>
      <c r="CE31" s="87"/>
      <c r="CF31" s="87"/>
      <c r="CG31" s="87"/>
      <c r="CH31" s="87"/>
      <c r="CI31" s="87"/>
      <c r="CJ31" s="87"/>
      <c r="CK31" s="87"/>
      <c r="CL31" s="87"/>
      <c r="CM31" s="87"/>
      <c r="CN31" s="87"/>
      <c r="CO31" s="87"/>
      <c r="CP31" s="87"/>
      <c r="CQ31" s="87"/>
      <c r="CR31" s="87"/>
      <c r="CS31" s="87"/>
      <c r="CT31" s="87"/>
      <c r="CU31" s="87"/>
      <c r="CV31" s="87"/>
      <c r="CW31" s="87"/>
      <c r="CX31" s="87"/>
      <c r="CY31" s="87"/>
      <c r="CZ31" s="87"/>
      <c r="DA31" s="87"/>
      <c r="DB31" s="87"/>
      <c r="DC31" s="87"/>
      <c r="DD31" s="87"/>
      <c r="DE31" s="87"/>
      <c r="DF31" s="87"/>
      <c r="DG31" s="87"/>
      <c r="DH31" s="87"/>
      <c r="DI31" s="87"/>
      <c r="DJ31" s="87"/>
      <c r="DK31" s="87"/>
      <c r="DL31" s="87"/>
      <c r="DM31" s="87"/>
      <c r="DN31" s="87"/>
      <c r="DO31" s="87"/>
      <c r="DP31" s="87"/>
      <c r="DQ31" s="87"/>
      <c r="DR31" s="87"/>
      <c r="DS31" s="87"/>
      <c r="DT31" s="87"/>
      <c r="DU31" s="87"/>
      <c r="DV31" s="87"/>
      <c r="DW31" s="87"/>
      <c r="DX31" s="87"/>
      <c r="DY31" s="87"/>
      <c r="DZ31" s="87"/>
      <c r="EA31" s="87"/>
      <c r="EB31" s="87"/>
      <c r="EC31" s="87"/>
      <c r="ED31" s="87"/>
      <c r="EE31" s="87"/>
      <c r="EF31" s="87"/>
      <c r="EG31" s="87"/>
      <c r="EH31" s="87"/>
      <c r="EI31" s="87"/>
    </row>
    <row r="32" spans="1:139" ht="16.5" hidden="1" thickBot="1" x14ac:dyDescent="0.35">
      <c r="A32" s="141" t="s">
        <v>186</v>
      </c>
      <c r="B32" s="142">
        <v>4</v>
      </c>
      <c r="C32" s="143">
        <f>34*0.2+0.2</f>
        <v>7.0000000000000009</v>
      </c>
      <c r="D32" s="91">
        <f>C32/VLOOKUP(B32,'[2]Gas Prod per PADD'!$A$1:$C$6,2,FALSE)</f>
        <v>2.058823529411765E-2</v>
      </c>
      <c r="E32" s="144">
        <v>45307</v>
      </c>
      <c r="F32" s="145">
        <v>45336</v>
      </c>
      <c r="G32" s="146" t="s">
        <v>187</v>
      </c>
      <c r="H32" s="147" t="s">
        <v>145</v>
      </c>
      <c r="I32" s="84"/>
      <c r="J32" s="85">
        <f>C32*(E32-$J$1)/31</f>
        <v>-3.3870967741935489</v>
      </c>
      <c r="K32" s="85">
        <f>C32*($J$1+1-F32)/29</f>
        <v>-3.1379310344827589</v>
      </c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4"/>
      <c r="W32" s="84"/>
      <c r="X32" s="84" t="str">
        <f t="shared" si="0"/>
        <v>OK</v>
      </c>
      <c r="Y32" s="87"/>
      <c r="Z32" s="87"/>
      <c r="AA32" s="87"/>
      <c r="AB32" s="87"/>
      <c r="AC32" s="87"/>
      <c r="AD32" s="87"/>
      <c r="AE32" s="87"/>
      <c r="AF32" s="87"/>
      <c r="AG32" s="87"/>
      <c r="AH32" s="87"/>
      <c r="AI32" s="87"/>
      <c r="AJ32" s="87">
        <f>(E32-F32)/7*C32</f>
        <v>-29.000000000000007</v>
      </c>
      <c r="AK32" s="87">
        <f>-C32-AJ32</f>
        <v>22.000000000000007</v>
      </c>
      <c r="AL32" s="87"/>
      <c r="AM32" s="87"/>
      <c r="AN32" s="87"/>
      <c r="AO32" s="87">
        <f>C32</f>
        <v>7.0000000000000009</v>
      </c>
      <c r="AP32" s="87"/>
      <c r="AQ32" s="87"/>
      <c r="AR32" s="87"/>
      <c r="AS32" s="87"/>
      <c r="AT32" s="87"/>
      <c r="AU32" s="87"/>
      <c r="AV32" s="87"/>
      <c r="AW32" s="87"/>
      <c r="AX32" s="87"/>
      <c r="AY32" s="87"/>
      <c r="AZ32" s="87"/>
      <c r="BA32" s="87"/>
      <c r="BB32" s="87"/>
      <c r="BC32" s="87"/>
      <c r="BD32" s="87"/>
      <c r="BE32" s="87"/>
      <c r="BF32" s="87"/>
      <c r="BG32" s="87"/>
      <c r="BH32" s="87"/>
      <c r="BI32" s="87"/>
      <c r="BJ32" s="87"/>
      <c r="BK32" s="87"/>
      <c r="BL32" s="87"/>
      <c r="BM32" s="87"/>
      <c r="BN32" s="87"/>
      <c r="BO32" s="87"/>
      <c r="BP32" s="87"/>
      <c r="BQ32" s="87"/>
      <c r="BR32" s="87"/>
      <c r="BS32" s="87"/>
      <c r="BT32" s="87"/>
      <c r="BU32" s="87"/>
      <c r="BV32" s="87"/>
      <c r="BW32" s="87"/>
      <c r="BX32" s="87"/>
      <c r="BY32" s="87"/>
      <c r="BZ32" s="87"/>
      <c r="CA32" s="87"/>
      <c r="CB32" s="87"/>
      <c r="CC32" s="87"/>
      <c r="CD32" s="87"/>
      <c r="CE32" s="87"/>
      <c r="CF32" s="87"/>
      <c r="CG32" s="87"/>
      <c r="CH32" s="87"/>
      <c r="CI32" s="87"/>
      <c r="CJ32" s="87"/>
      <c r="CK32" s="87"/>
      <c r="CL32" s="87"/>
      <c r="CM32" s="87"/>
      <c r="CN32" s="87"/>
      <c r="CO32" s="87"/>
      <c r="CP32" s="87"/>
      <c r="CQ32" s="87"/>
      <c r="CR32" s="87"/>
      <c r="CS32" s="87"/>
      <c r="CT32" s="87"/>
      <c r="CU32" s="87"/>
      <c r="CV32" s="87"/>
      <c r="CW32" s="87"/>
      <c r="CX32" s="87"/>
      <c r="CY32" s="87"/>
      <c r="CZ32" s="87"/>
      <c r="DA32" s="87"/>
      <c r="DB32" s="87"/>
      <c r="DC32" s="87"/>
      <c r="DD32" s="87"/>
      <c r="DE32" s="87"/>
      <c r="DF32" s="87"/>
      <c r="DG32" s="87"/>
      <c r="DH32" s="87"/>
      <c r="DI32" s="87"/>
      <c r="DJ32" s="87"/>
      <c r="DK32" s="87"/>
      <c r="DL32" s="87"/>
      <c r="DM32" s="87"/>
      <c r="DN32" s="87"/>
      <c r="DO32" s="87"/>
      <c r="DP32" s="87"/>
      <c r="DQ32" s="87"/>
      <c r="DR32" s="87"/>
      <c r="DS32" s="87"/>
      <c r="DT32" s="87"/>
      <c r="DU32" s="87"/>
      <c r="DV32" s="87"/>
      <c r="DW32" s="87"/>
      <c r="DX32" s="87"/>
      <c r="DY32" s="87"/>
      <c r="DZ32" s="87"/>
      <c r="EA32" s="87"/>
      <c r="EB32" s="87"/>
      <c r="EC32" s="87"/>
      <c r="ED32" s="87"/>
      <c r="EE32" s="87"/>
      <c r="EF32" s="87"/>
      <c r="EG32" s="87"/>
      <c r="EH32" s="87"/>
      <c r="EI32" s="87"/>
    </row>
    <row r="33" spans="1:139" ht="16.5" hidden="1" thickBot="1" x14ac:dyDescent="0.35">
      <c r="A33" s="148" t="s">
        <v>188</v>
      </c>
      <c r="B33" s="149">
        <v>1</v>
      </c>
      <c r="C33" s="150"/>
      <c r="D33" s="91">
        <f>C33/VLOOKUP(B33,'[2]Gas Prod per PADD'!$A$1:$C$6,2,FALSE)</f>
        <v>0</v>
      </c>
      <c r="E33" s="151">
        <v>45328</v>
      </c>
      <c r="F33" s="152">
        <v>45336</v>
      </c>
      <c r="G33" s="149" t="s">
        <v>189</v>
      </c>
      <c r="H33" s="133"/>
      <c r="I33" s="84"/>
      <c r="J33" s="85"/>
      <c r="K33" s="85">
        <f>C33*(E33-F33)/28</f>
        <v>0</v>
      </c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4"/>
      <c r="W33" s="84"/>
      <c r="X33" s="84" t="str">
        <f t="shared" si="0"/>
        <v>OK</v>
      </c>
      <c r="Y33" s="87"/>
      <c r="Z33" s="87"/>
      <c r="AA33" s="87"/>
      <c r="AB33" s="87"/>
      <c r="AC33" s="87"/>
      <c r="AD33" s="87"/>
      <c r="AE33" s="87"/>
      <c r="AF33" s="87"/>
      <c r="AG33" s="87"/>
      <c r="AH33" s="87"/>
      <c r="AI33" s="87"/>
      <c r="AJ33" s="87"/>
      <c r="AK33" s="87"/>
      <c r="AL33" s="87"/>
      <c r="AM33" s="87">
        <v>-11.657142857142857</v>
      </c>
      <c r="AN33" s="87">
        <v>-3.8857142857142852</v>
      </c>
      <c r="AO33" s="87">
        <v>15.542857142857141</v>
      </c>
      <c r="AP33" s="87"/>
      <c r="AQ33" s="87"/>
      <c r="AR33" s="87"/>
      <c r="AS33" s="87"/>
      <c r="AT33" s="87"/>
      <c r="AU33" s="87"/>
      <c r="AV33" s="87"/>
      <c r="AW33" s="87"/>
      <c r="AX33" s="87"/>
      <c r="AY33" s="87"/>
      <c r="AZ33" s="87"/>
      <c r="BA33" s="87"/>
      <c r="BB33" s="87"/>
      <c r="BC33" s="87"/>
      <c r="BD33" s="87"/>
      <c r="BE33" s="87"/>
      <c r="BF33" s="87"/>
      <c r="BG33" s="87"/>
      <c r="BH33" s="87"/>
      <c r="BI33" s="87"/>
      <c r="BJ33" s="87"/>
      <c r="BK33" s="87"/>
      <c r="BL33" s="87"/>
      <c r="BM33" s="87"/>
      <c r="BN33" s="87"/>
      <c r="BO33" s="87"/>
      <c r="BP33" s="87"/>
      <c r="BQ33" s="87"/>
      <c r="BR33" s="87"/>
      <c r="BS33" s="87"/>
      <c r="BT33" s="87"/>
      <c r="BU33" s="87"/>
      <c r="BV33" s="87"/>
      <c r="BW33" s="87"/>
      <c r="BX33" s="87"/>
      <c r="BY33" s="87"/>
      <c r="BZ33" s="87"/>
      <c r="CA33" s="87"/>
      <c r="CB33" s="87"/>
      <c r="CC33" s="87"/>
      <c r="CD33" s="87"/>
      <c r="CE33" s="87"/>
      <c r="CF33" s="87"/>
      <c r="CG33" s="87"/>
      <c r="CH33" s="87"/>
      <c r="CI33" s="87"/>
      <c r="CJ33" s="87"/>
      <c r="CK33" s="87"/>
      <c r="CL33" s="87"/>
      <c r="CM33" s="87"/>
      <c r="CN33" s="87"/>
      <c r="CO33" s="87"/>
      <c r="CP33" s="87"/>
      <c r="CQ33" s="87"/>
      <c r="CR33" s="87"/>
      <c r="CS33" s="87"/>
      <c r="CT33" s="87"/>
      <c r="CU33" s="87"/>
      <c r="CV33" s="87"/>
      <c r="CW33" s="87"/>
      <c r="CX33" s="87"/>
      <c r="CY33" s="87"/>
      <c r="CZ33" s="87"/>
      <c r="DA33" s="87"/>
      <c r="DB33" s="87"/>
      <c r="DC33" s="87"/>
      <c r="DD33" s="87"/>
      <c r="DE33" s="87"/>
      <c r="DF33" s="87"/>
      <c r="DG33" s="87"/>
      <c r="DH33" s="87"/>
      <c r="DI33" s="87"/>
      <c r="DJ33" s="87"/>
      <c r="DK33" s="87"/>
      <c r="DL33" s="87"/>
      <c r="DM33" s="87"/>
      <c r="DN33" s="87"/>
      <c r="DO33" s="87"/>
      <c r="DP33" s="87"/>
      <c r="DQ33" s="87"/>
      <c r="DR33" s="87"/>
      <c r="DS33" s="87"/>
      <c r="DT33" s="87"/>
      <c r="DU33" s="87"/>
      <c r="DV33" s="87"/>
      <c r="DW33" s="87"/>
      <c r="DX33" s="87"/>
      <c r="DY33" s="87"/>
      <c r="DZ33" s="87"/>
      <c r="EA33" s="87"/>
      <c r="EB33" s="87"/>
      <c r="EC33" s="87"/>
      <c r="ED33" s="87"/>
      <c r="EE33" s="87"/>
      <c r="EF33" s="87"/>
      <c r="EG33" s="87"/>
      <c r="EH33" s="87"/>
      <c r="EI33" s="87"/>
    </row>
    <row r="34" spans="1:139" ht="16.5" hidden="1" thickBot="1" x14ac:dyDescent="0.35">
      <c r="A34" s="131" t="s">
        <v>190</v>
      </c>
      <c r="B34" s="118">
        <v>3</v>
      </c>
      <c r="C34" s="115"/>
      <c r="D34" s="91">
        <f>C34/VLOOKUP(B34,'[2]Gas Prod per PADD'!$A$1:$C$6,2,FALSE)</f>
        <v>0</v>
      </c>
      <c r="E34" s="116">
        <v>45299</v>
      </c>
      <c r="F34" s="117">
        <v>45339</v>
      </c>
      <c r="G34" s="118" t="s">
        <v>191</v>
      </c>
      <c r="H34" s="119"/>
      <c r="I34" s="84"/>
      <c r="J34" s="85">
        <f>C34*(E34-$J$1)/31</f>
        <v>0</v>
      </c>
      <c r="K34" s="85">
        <f>C34*($J$1+1-F34)/28</f>
        <v>0</v>
      </c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4"/>
      <c r="W34" s="84"/>
      <c r="X34" s="84" t="str">
        <f t="shared" si="0"/>
        <v>Missing</v>
      </c>
      <c r="Y34" s="87"/>
      <c r="Z34" s="87"/>
      <c r="AA34" s="87"/>
      <c r="AB34" s="87"/>
      <c r="AC34" s="87"/>
      <c r="AD34" s="87"/>
      <c r="AE34" s="87"/>
      <c r="AF34" s="87"/>
      <c r="AG34" s="87"/>
      <c r="AH34" s="87"/>
      <c r="AI34" s="87"/>
      <c r="AJ34" s="87"/>
      <c r="AK34" s="87"/>
      <c r="AL34" s="87"/>
      <c r="AM34" s="87"/>
      <c r="AN34" s="87"/>
      <c r="AO34" s="87"/>
      <c r="AP34" s="87"/>
      <c r="AQ34" s="87"/>
      <c r="AR34" s="87"/>
      <c r="AS34" s="87"/>
      <c r="AT34" s="87"/>
      <c r="AU34" s="87"/>
      <c r="AV34" s="87"/>
      <c r="AW34" s="87"/>
      <c r="AX34" s="87"/>
      <c r="AY34" s="87"/>
      <c r="AZ34" s="87"/>
      <c r="BA34" s="87"/>
      <c r="BB34" s="87"/>
      <c r="BC34" s="87"/>
      <c r="BD34" s="87"/>
      <c r="BE34" s="87"/>
      <c r="BF34" s="87"/>
      <c r="BG34" s="87"/>
      <c r="BH34" s="87"/>
      <c r="BI34" s="87"/>
      <c r="BJ34" s="87"/>
      <c r="BK34" s="87"/>
      <c r="BL34" s="87"/>
      <c r="BM34" s="87"/>
      <c r="BN34" s="87"/>
      <c r="BO34" s="87"/>
      <c r="BP34" s="87"/>
      <c r="BQ34" s="87"/>
      <c r="BR34" s="87"/>
      <c r="BS34" s="87"/>
      <c r="BT34" s="87"/>
      <c r="BU34" s="87"/>
      <c r="BV34" s="87"/>
      <c r="BW34" s="87"/>
      <c r="BX34" s="87"/>
      <c r="BY34" s="87"/>
      <c r="BZ34" s="87"/>
      <c r="CA34" s="87"/>
      <c r="CB34" s="87"/>
      <c r="CC34" s="87"/>
      <c r="CD34" s="87"/>
      <c r="CE34" s="87"/>
      <c r="CF34" s="87"/>
      <c r="CG34" s="87"/>
      <c r="CH34" s="87"/>
      <c r="CI34" s="87"/>
      <c r="CJ34" s="87"/>
      <c r="CK34" s="87"/>
      <c r="CL34" s="87"/>
      <c r="CM34" s="87"/>
      <c r="CN34" s="87"/>
      <c r="CO34" s="87"/>
      <c r="CP34" s="87"/>
      <c r="CQ34" s="87"/>
      <c r="CR34" s="87"/>
      <c r="CS34" s="87"/>
      <c r="CT34" s="87"/>
      <c r="CU34" s="87"/>
      <c r="CV34" s="87"/>
      <c r="CW34" s="87"/>
      <c r="CX34" s="87"/>
      <c r="CY34" s="87"/>
      <c r="CZ34" s="87"/>
      <c r="DA34" s="87"/>
      <c r="DB34" s="87"/>
      <c r="DC34" s="87"/>
      <c r="DD34" s="87"/>
      <c r="DE34" s="87"/>
      <c r="DF34" s="87"/>
      <c r="DG34" s="87"/>
      <c r="DH34" s="87"/>
      <c r="DI34" s="87"/>
      <c r="DJ34" s="87"/>
      <c r="DK34" s="87"/>
      <c r="DL34" s="87"/>
      <c r="DM34" s="87"/>
      <c r="DN34" s="87"/>
      <c r="DO34" s="87"/>
      <c r="DP34" s="87"/>
      <c r="DQ34" s="87"/>
      <c r="DR34" s="87"/>
      <c r="DS34" s="87"/>
      <c r="DT34" s="87"/>
      <c r="DU34" s="87"/>
      <c r="DV34" s="87"/>
      <c r="DW34" s="87"/>
      <c r="DX34" s="87"/>
      <c r="DY34" s="87"/>
      <c r="DZ34" s="87"/>
      <c r="EA34" s="87"/>
      <c r="EB34" s="87"/>
      <c r="EC34" s="87"/>
      <c r="ED34" s="87"/>
      <c r="EE34" s="87"/>
      <c r="EF34" s="87"/>
      <c r="EG34" s="87"/>
      <c r="EH34" s="87"/>
      <c r="EI34" s="87"/>
    </row>
    <row r="35" spans="1:139" ht="43.5" hidden="1" thickBot="1" x14ac:dyDescent="0.35">
      <c r="A35" s="153" t="s">
        <v>127</v>
      </c>
      <c r="B35" s="121">
        <v>3</v>
      </c>
      <c r="C35" s="122">
        <f>245*0.1+40*0.85+80*0.65+60*0.1+0.5</f>
        <v>117</v>
      </c>
      <c r="D35" s="91">
        <f>C35/VLOOKUP(B35,'[2]Gas Prod per PADD'!$A$1:$C$6,2,FALSE)</f>
        <v>2.5434782608695652E-2</v>
      </c>
      <c r="E35" s="116">
        <v>45307</v>
      </c>
      <c r="F35" s="117">
        <v>45339</v>
      </c>
      <c r="G35" s="123" t="s">
        <v>192</v>
      </c>
      <c r="H35" s="124" t="s">
        <v>193</v>
      </c>
      <c r="I35" s="84"/>
      <c r="J35" s="85">
        <f>C35*(E35-$J$1)/31</f>
        <v>-56.612903225806448</v>
      </c>
      <c r="K35" s="85">
        <f>C35*($J$1+1-F35)/29</f>
        <v>-64.551724137931032</v>
      </c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4"/>
      <c r="W35" s="84"/>
      <c r="X35" s="84" t="str">
        <f t="shared" si="0"/>
        <v>OK</v>
      </c>
      <c r="Y35" s="87"/>
      <c r="Z35" s="87"/>
      <c r="AA35" s="87"/>
      <c r="AB35" s="87"/>
      <c r="AC35" s="87"/>
      <c r="AD35" s="87"/>
      <c r="AE35" s="87"/>
      <c r="AF35" s="87"/>
      <c r="AG35" s="87"/>
      <c r="AH35" s="87"/>
      <c r="AI35" s="87"/>
      <c r="AJ35" s="87">
        <f>(E35-F35)/7*C35</f>
        <v>-534.85714285714278</v>
      </c>
      <c r="AK35" s="87">
        <f>-C35-AJ35</f>
        <v>417.85714285714278</v>
      </c>
      <c r="AL35" s="87"/>
      <c r="AM35" s="87"/>
      <c r="AN35" s="87">
        <f>80*0.65*2/3*1/7</f>
        <v>4.9523809523809517</v>
      </c>
      <c r="AO35" s="87">
        <f>$C$326/2*2/3</f>
        <v>18.608333333333334</v>
      </c>
      <c r="AP35" s="87">
        <f>$C$326-AN35-AO35-30</f>
        <v>2.2642857142857196</v>
      </c>
      <c r="AQ35" s="87">
        <f>C35-AN35-AO35-AP35</f>
        <v>91.174999999999997</v>
      </c>
      <c r="AR35" s="87"/>
      <c r="AS35" s="87"/>
      <c r="AT35" s="87"/>
      <c r="AU35" s="87"/>
      <c r="AV35" s="87"/>
      <c r="AW35" s="87"/>
      <c r="AX35" s="87"/>
      <c r="AY35" s="87"/>
      <c r="AZ35" s="87"/>
      <c r="BA35" s="87"/>
      <c r="BB35" s="87"/>
      <c r="BC35" s="87"/>
      <c r="BD35" s="87"/>
      <c r="BE35" s="87"/>
      <c r="BF35" s="87"/>
      <c r="BG35" s="87"/>
      <c r="BH35" s="87"/>
      <c r="BI35" s="87"/>
      <c r="BJ35" s="87"/>
      <c r="BK35" s="87"/>
      <c r="BL35" s="87"/>
      <c r="BM35" s="87"/>
      <c r="BN35" s="87"/>
      <c r="BO35" s="87"/>
      <c r="BP35" s="87"/>
      <c r="BQ35" s="87"/>
      <c r="BR35" s="87"/>
      <c r="BS35" s="87"/>
      <c r="BT35" s="87"/>
      <c r="BU35" s="87"/>
      <c r="BV35" s="87"/>
      <c r="BW35" s="87"/>
      <c r="BX35" s="87"/>
      <c r="BY35" s="87"/>
      <c r="BZ35" s="87"/>
      <c r="CA35" s="87"/>
      <c r="CB35" s="87"/>
      <c r="CC35" s="87"/>
      <c r="CD35" s="87"/>
      <c r="CE35" s="87"/>
      <c r="CF35" s="87"/>
      <c r="CG35" s="87"/>
      <c r="CH35" s="87"/>
      <c r="CI35" s="87"/>
      <c r="CJ35" s="87"/>
      <c r="CK35" s="87"/>
      <c r="CL35" s="87"/>
      <c r="CM35" s="87"/>
      <c r="CN35" s="87"/>
      <c r="CO35" s="87"/>
      <c r="CP35" s="87"/>
      <c r="CQ35" s="87"/>
      <c r="CR35" s="87"/>
      <c r="CS35" s="87"/>
      <c r="CT35" s="87"/>
      <c r="CU35" s="87"/>
      <c r="CV35" s="87"/>
      <c r="CW35" s="87"/>
      <c r="CX35" s="87"/>
      <c r="CY35" s="87"/>
      <c r="CZ35" s="87"/>
      <c r="DA35" s="87"/>
      <c r="DB35" s="87"/>
      <c r="DC35" s="87"/>
      <c r="DD35" s="87"/>
      <c r="DE35" s="87"/>
      <c r="DF35" s="87"/>
      <c r="DG35" s="87"/>
      <c r="DH35" s="87"/>
      <c r="DI35" s="87"/>
      <c r="DJ35" s="87"/>
      <c r="DK35" s="87"/>
      <c r="DL35" s="87"/>
      <c r="DM35" s="87"/>
      <c r="DN35" s="87"/>
      <c r="DO35" s="87"/>
      <c r="DP35" s="87"/>
      <c r="DQ35" s="87"/>
      <c r="DR35" s="87"/>
      <c r="DS35" s="87"/>
      <c r="DT35" s="87"/>
      <c r="DU35" s="87"/>
      <c r="DV35" s="87"/>
      <c r="DW35" s="87"/>
      <c r="DX35" s="87"/>
      <c r="DY35" s="87"/>
      <c r="DZ35" s="87"/>
      <c r="EA35" s="87"/>
      <c r="EB35" s="87"/>
      <c r="EC35" s="87"/>
      <c r="ED35" s="87"/>
      <c r="EE35" s="87"/>
      <c r="EF35" s="87"/>
      <c r="EG35" s="87"/>
      <c r="EH35" s="87"/>
      <c r="EI35" s="87"/>
    </row>
    <row r="36" spans="1:139" ht="16.5" hidden="1" thickBot="1" x14ac:dyDescent="0.35">
      <c r="A36" s="154" t="s">
        <v>194</v>
      </c>
      <c r="B36" s="107">
        <v>3</v>
      </c>
      <c r="C36" s="108">
        <f>105*0.75*0.22</f>
        <v>17.324999999999999</v>
      </c>
      <c r="D36" s="91">
        <f>C36/VLOOKUP(B36,'[2]Gas Prod per PADD'!$A$1:$C$6,2,FALSE)</f>
        <v>3.7663043478260868E-3</v>
      </c>
      <c r="E36" s="109">
        <v>45306</v>
      </c>
      <c r="F36" s="110">
        <v>45340</v>
      </c>
      <c r="G36" s="111" t="s">
        <v>195</v>
      </c>
      <c r="H36" s="112" t="s">
        <v>196</v>
      </c>
      <c r="I36" s="84"/>
      <c r="J36" s="85">
        <f>C36*(E36-$J$1)/31</f>
        <v>-8.9419354838709673</v>
      </c>
      <c r="K36" s="85">
        <f>C36*($J$1+1-F36)/29</f>
        <v>-10.156034482758621</v>
      </c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4"/>
      <c r="W36" s="84"/>
      <c r="X36" s="84" t="str">
        <f t="shared" si="0"/>
        <v>OK</v>
      </c>
      <c r="Y36" s="105"/>
      <c r="Z36" s="105"/>
      <c r="AA36" s="87"/>
      <c r="AB36" s="87"/>
      <c r="AC36" s="87"/>
      <c r="AD36" s="87"/>
      <c r="AE36" s="105"/>
      <c r="AF36" s="105"/>
      <c r="AG36" s="105"/>
      <c r="AH36" s="105"/>
      <c r="AI36" s="87"/>
      <c r="AJ36" s="105">
        <f>(E36-AJ28)/7*C36</f>
        <v>112132.35</v>
      </c>
      <c r="AK36" s="105">
        <f>-C36-AJ36</f>
        <v>-112149.675</v>
      </c>
      <c r="AL36" s="87"/>
      <c r="AM36" s="87"/>
      <c r="AN36" s="87"/>
      <c r="AO36" s="87">
        <f>(AO28-$F36)/7*$C36</f>
        <v>-112216.49999999999</v>
      </c>
      <c r="AP36" s="105">
        <f>$C36-AO36</f>
        <v>112233.82499999998</v>
      </c>
      <c r="AQ36" s="87"/>
      <c r="AR36" s="105"/>
      <c r="AS36" s="105"/>
      <c r="AT36" s="87"/>
      <c r="AU36" s="87"/>
      <c r="AV36" s="87"/>
      <c r="AW36" s="87"/>
      <c r="AX36" s="87"/>
      <c r="AY36" s="87"/>
      <c r="AZ36" s="87"/>
      <c r="BA36" s="87"/>
      <c r="BB36" s="87"/>
      <c r="BC36" s="87"/>
      <c r="BD36" s="87"/>
      <c r="BE36" s="87"/>
      <c r="BF36" s="87"/>
      <c r="BG36" s="87"/>
      <c r="BH36" s="87"/>
      <c r="BI36" s="87"/>
      <c r="BJ36" s="87"/>
      <c r="BK36" s="87"/>
      <c r="BL36" s="87"/>
      <c r="BM36" s="87"/>
      <c r="BN36" s="87"/>
      <c r="BO36" s="87"/>
      <c r="BP36" s="87"/>
      <c r="BQ36" s="87"/>
      <c r="BR36" s="87"/>
      <c r="BS36" s="87"/>
      <c r="BT36" s="87"/>
      <c r="BU36" s="87"/>
      <c r="BV36" s="87"/>
      <c r="BW36" s="87"/>
      <c r="BX36" s="87"/>
      <c r="BY36" s="87"/>
      <c r="BZ36" s="87"/>
      <c r="CA36" s="87"/>
      <c r="CB36" s="87"/>
      <c r="CC36" s="87"/>
      <c r="CD36" s="87"/>
      <c r="CE36" s="87"/>
      <c r="CF36" s="87"/>
      <c r="CG36" s="87"/>
      <c r="CH36" s="87"/>
      <c r="CI36" s="87"/>
      <c r="CJ36" s="87"/>
      <c r="CK36" s="87"/>
      <c r="CL36" s="87"/>
      <c r="CM36" s="87"/>
      <c r="CN36" s="87"/>
      <c r="CO36" s="87"/>
      <c r="CP36" s="87"/>
      <c r="CQ36" s="87"/>
      <c r="CR36" s="87"/>
      <c r="CS36" s="87"/>
      <c r="CT36" s="87"/>
      <c r="CU36" s="87"/>
      <c r="CV36" s="87"/>
      <c r="CW36" s="87"/>
      <c r="CX36" s="87"/>
      <c r="CY36" s="87"/>
      <c r="CZ36" s="87"/>
      <c r="DA36" s="87"/>
      <c r="DB36" s="87"/>
      <c r="DC36" s="87"/>
      <c r="DD36" s="87"/>
      <c r="DE36" s="87"/>
      <c r="DF36" s="87"/>
      <c r="DG36" s="87"/>
      <c r="DH36" s="87"/>
      <c r="DI36" s="87"/>
      <c r="DJ36" s="87"/>
      <c r="DK36" s="87"/>
      <c r="DL36" s="87"/>
      <c r="DM36" s="87"/>
      <c r="DN36" s="87"/>
      <c r="DO36" s="87"/>
      <c r="DP36" s="87"/>
      <c r="DQ36" s="87"/>
      <c r="DR36" s="87"/>
      <c r="DS36" s="87"/>
      <c r="DT36" s="87"/>
      <c r="DU36" s="87"/>
      <c r="DV36" s="87"/>
      <c r="DW36" s="87"/>
      <c r="DX36" s="87"/>
      <c r="DY36" s="87"/>
      <c r="DZ36" s="87"/>
      <c r="EA36" s="87"/>
      <c r="EB36" s="87"/>
      <c r="EC36" s="87"/>
      <c r="ED36" s="87"/>
      <c r="EE36" s="87"/>
      <c r="EF36" s="87"/>
      <c r="EG36" s="87"/>
      <c r="EH36" s="87"/>
      <c r="EI36" s="87"/>
    </row>
    <row r="37" spans="1:139" ht="16.5" hidden="1" thickBot="1" x14ac:dyDescent="0.35">
      <c r="A37" s="154" t="s">
        <v>152</v>
      </c>
      <c r="B37" s="107">
        <v>3</v>
      </c>
      <c r="C37" s="108">
        <f>60*0.85-1</f>
        <v>50</v>
      </c>
      <c r="D37" s="91">
        <f>C37/VLOOKUP(B37,'[2]Gas Prod per PADD'!$A$1:$C$6,2,FALSE)</f>
        <v>1.0869565217391304E-2</v>
      </c>
      <c r="E37" s="109">
        <v>45333</v>
      </c>
      <c r="F37" s="110">
        <v>45342</v>
      </c>
      <c r="G37" s="111" t="s">
        <v>197</v>
      </c>
      <c r="H37" s="112" t="s">
        <v>198</v>
      </c>
      <c r="I37" s="84"/>
      <c r="J37" s="85"/>
      <c r="K37" s="85">
        <f>C37*(E37-F37)/29</f>
        <v>-15.517241379310345</v>
      </c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4"/>
      <c r="W37" s="84"/>
      <c r="X37" s="84" t="str">
        <f t="shared" si="0"/>
        <v>Missing</v>
      </c>
      <c r="Y37" s="105"/>
      <c r="Z37" s="105"/>
      <c r="AA37" s="87"/>
      <c r="AB37" s="87"/>
      <c r="AC37" s="87"/>
      <c r="AD37" s="87"/>
      <c r="AE37" s="105"/>
      <c r="AF37" s="105"/>
      <c r="AG37" s="105"/>
      <c r="AH37" s="105"/>
      <c r="AI37" s="87"/>
      <c r="AJ37" s="87"/>
      <c r="AK37" s="87"/>
      <c r="AL37" s="87"/>
      <c r="AM37" s="87"/>
      <c r="AN37" s="87"/>
      <c r="AO37" s="87"/>
      <c r="AP37" s="87"/>
      <c r="AQ37" s="87"/>
      <c r="AR37" s="87"/>
      <c r="AS37" s="87"/>
      <c r="AT37" s="87"/>
      <c r="AU37" s="87"/>
      <c r="AV37" s="87"/>
      <c r="AW37" s="87"/>
      <c r="AX37" s="87"/>
      <c r="AY37" s="87"/>
      <c r="AZ37" s="87"/>
      <c r="BA37" s="87"/>
      <c r="BB37" s="87"/>
      <c r="BC37" s="87"/>
      <c r="BD37" s="87"/>
      <c r="BE37" s="87"/>
      <c r="BF37" s="87"/>
      <c r="BG37" s="87"/>
      <c r="BH37" s="87"/>
      <c r="BI37" s="87"/>
      <c r="BJ37" s="87"/>
      <c r="BK37" s="87"/>
      <c r="BL37" s="87"/>
      <c r="BM37" s="87"/>
      <c r="BN37" s="87"/>
      <c r="BO37" s="87"/>
      <c r="BP37" s="87"/>
      <c r="BQ37" s="87"/>
      <c r="BR37" s="87"/>
      <c r="BS37" s="87"/>
      <c r="BT37" s="87"/>
      <c r="BU37" s="87"/>
      <c r="BV37" s="87"/>
      <c r="BW37" s="87"/>
      <c r="BX37" s="87"/>
      <c r="BY37" s="87"/>
      <c r="BZ37" s="87"/>
      <c r="CA37" s="87"/>
      <c r="CB37" s="87"/>
      <c r="CC37" s="87"/>
      <c r="CD37" s="87"/>
      <c r="CE37" s="87"/>
      <c r="CF37" s="87"/>
      <c r="CG37" s="87"/>
      <c r="CH37" s="87"/>
      <c r="CI37" s="87"/>
      <c r="CJ37" s="87"/>
      <c r="CK37" s="87"/>
      <c r="CL37" s="87"/>
      <c r="CM37" s="87"/>
      <c r="CN37" s="87"/>
      <c r="CO37" s="87"/>
      <c r="CP37" s="87"/>
      <c r="CQ37" s="87"/>
      <c r="CR37" s="87"/>
      <c r="CS37" s="87"/>
      <c r="CT37" s="87"/>
      <c r="CU37" s="87"/>
      <c r="CV37" s="87"/>
      <c r="CW37" s="87"/>
      <c r="CX37" s="87"/>
      <c r="CY37" s="87"/>
      <c r="CZ37" s="87"/>
      <c r="DA37" s="87"/>
      <c r="DB37" s="87"/>
      <c r="DC37" s="87"/>
      <c r="DD37" s="87"/>
      <c r="DE37" s="87"/>
      <c r="DF37" s="87"/>
      <c r="DG37" s="87"/>
      <c r="DH37" s="87"/>
      <c r="DI37" s="87"/>
      <c r="DJ37" s="87"/>
      <c r="DK37" s="87"/>
      <c r="DL37" s="87"/>
      <c r="DM37" s="87"/>
      <c r="DN37" s="87"/>
      <c r="DO37" s="87"/>
      <c r="DP37" s="87"/>
      <c r="DQ37" s="87"/>
      <c r="DR37" s="87"/>
      <c r="DS37" s="87"/>
      <c r="DT37" s="87"/>
      <c r="DU37" s="87"/>
      <c r="DV37" s="87"/>
      <c r="DW37" s="87"/>
      <c r="DX37" s="87"/>
      <c r="DY37" s="87"/>
      <c r="DZ37" s="87"/>
      <c r="EA37" s="87"/>
      <c r="EB37" s="87"/>
      <c r="EC37" s="87"/>
      <c r="ED37" s="87"/>
      <c r="EE37" s="87"/>
      <c r="EF37" s="87"/>
      <c r="EG37" s="87"/>
      <c r="EH37" s="87"/>
      <c r="EI37" s="87"/>
    </row>
    <row r="38" spans="1:139" ht="16.5" hidden="1" thickBot="1" x14ac:dyDescent="0.35">
      <c r="A38" s="140" t="s">
        <v>199</v>
      </c>
      <c r="B38" s="118">
        <v>4</v>
      </c>
      <c r="C38" s="115"/>
      <c r="D38" s="91">
        <f>C38/VLOOKUP(B38,'[2]Gas Prod per PADD'!$A$1:$C$6,2,FALSE)</f>
        <v>0</v>
      </c>
      <c r="E38" s="116">
        <v>45331</v>
      </c>
      <c r="F38" s="117">
        <v>45344</v>
      </c>
      <c r="G38" s="118" t="s">
        <v>200</v>
      </c>
      <c r="H38" s="119"/>
      <c r="I38" s="84"/>
      <c r="J38" s="85"/>
      <c r="K38" s="85">
        <f>C38*(E38-F38)/28</f>
        <v>0</v>
      </c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4"/>
      <c r="W38" s="84"/>
      <c r="X38" s="84" t="str">
        <f t="shared" si="0"/>
        <v>OK</v>
      </c>
      <c r="Y38" s="87"/>
      <c r="Z38" s="87"/>
      <c r="AA38" s="87"/>
      <c r="AB38" s="87"/>
      <c r="AC38" s="87"/>
      <c r="AD38" s="87"/>
      <c r="AE38" s="87"/>
      <c r="AF38" s="87"/>
      <c r="AG38" s="87"/>
      <c r="AH38" s="87"/>
      <c r="AI38" s="87"/>
      <c r="AJ38" s="87"/>
      <c r="AK38" s="87"/>
      <c r="AL38" s="87"/>
      <c r="AM38" s="87"/>
      <c r="AN38" s="87">
        <v>-15.3</v>
      </c>
      <c r="AO38" s="87"/>
      <c r="AP38" s="87">
        <v>7</v>
      </c>
      <c r="AQ38" s="87"/>
      <c r="AR38" s="87"/>
      <c r="AS38" s="87">
        <v>4.0999999999999996</v>
      </c>
      <c r="AT38" s="87">
        <v>4.2</v>
      </c>
      <c r="AU38" s="87"/>
      <c r="AV38" s="87"/>
      <c r="AW38" s="87"/>
      <c r="AX38" s="87"/>
      <c r="AY38" s="87"/>
      <c r="AZ38" s="87"/>
      <c r="BA38" s="87"/>
      <c r="BB38" s="87"/>
      <c r="BC38" s="87"/>
      <c r="BD38" s="87"/>
      <c r="BE38" s="87"/>
      <c r="BF38" s="87"/>
      <c r="BG38" s="87"/>
      <c r="BH38" s="87"/>
      <c r="BI38" s="87"/>
      <c r="BJ38" s="87"/>
      <c r="BK38" s="87"/>
      <c r="BL38" s="87"/>
      <c r="BM38" s="87"/>
      <c r="BN38" s="87"/>
      <c r="BO38" s="87"/>
      <c r="BP38" s="87"/>
      <c r="BQ38" s="87"/>
      <c r="BR38" s="87"/>
      <c r="BS38" s="87"/>
      <c r="BT38" s="87"/>
      <c r="BU38" s="87"/>
      <c r="BV38" s="87"/>
      <c r="BW38" s="87"/>
      <c r="BX38" s="87"/>
      <c r="BY38" s="87"/>
      <c r="BZ38" s="87"/>
      <c r="CA38" s="87"/>
      <c r="CB38" s="87"/>
      <c r="CC38" s="87"/>
      <c r="CD38" s="87"/>
      <c r="CE38" s="87"/>
      <c r="CF38" s="87"/>
      <c r="CG38" s="87"/>
      <c r="CH38" s="87"/>
      <c r="CI38" s="87"/>
      <c r="CJ38" s="87"/>
      <c r="CK38" s="87"/>
      <c r="CL38" s="87"/>
      <c r="CM38" s="87"/>
      <c r="CN38" s="87"/>
      <c r="CO38" s="87"/>
      <c r="CP38" s="87"/>
      <c r="CQ38" s="87"/>
      <c r="CR38" s="87"/>
      <c r="CS38" s="87"/>
      <c r="CT38" s="87"/>
      <c r="CU38" s="87"/>
      <c r="CV38" s="87"/>
      <c r="CW38" s="87"/>
      <c r="CX38" s="87"/>
      <c r="CY38" s="87"/>
      <c r="CZ38" s="87"/>
      <c r="DA38" s="87"/>
      <c r="DB38" s="87"/>
      <c r="DC38" s="87"/>
      <c r="DD38" s="87"/>
      <c r="DE38" s="87"/>
      <c r="DF38" s="87"/>
      <c r="DG38" s="87"/>
      <c r="DH38" s="87"/>
      <c r="DI38" s="87"/>
      <c r="DJ38" s="87"/>
      <c r="DK38" s="87"/>
      <c r="DL38" s="87"/>
      <c r="DM38" s="87"/>
      <c r="DN38" s="87"/>
      <c r="DO38" s="87"/>
      <c r="DP38" s="87"/>
      <c r="DQ38" s="87"/>
      <c r="DR38" s="87"/>
      <c r="DS38" s="87"/>
      <c r="DT38" s="87"/>
      <c r="DU38" s="87"/>
      <c r="DV38" s="87"/>
      <c r="DW38" s="87"/>
      <c r="DX38" s="87"/>
      <c r="DY38" s="87"/>
      <c r="DZ38" s="87"/>
      <c r="EA38" s="87"/>
      <c r="EB38" s="87"/>
      <c r="EC38" s="87"/>
      <c r="ED38" s="87"/>
      <c r="EE38" s="87"/>
      <c r="EF38" s="87"/>
      <c r="EG38" s="87"/>
      <c r="EH38" s="87"/>
      <c r="EI38" s="87"/>
    </row>
    <row r="39" spans="1:139" ht="16.5" hidden="1" thickBot="1" x14ac:dyDescent="0.35">
      <c r="A39" s="155" t="s">
        <v>201</v>
      </c>
      <c r="B39" s="118">
        <v>5</v>
      </c>
      <c r="C39" s="115"/>
      <c r="D39" s="91">
        <f>C39/VLOOKUP(B39,'[2]Gas Prod per PADD'!$A$1:$C$6,2,FALSE)</f>
        <v>0</v>
      </c>
      <c r="E39" s="116">
        <v>45339</v>
      </c>
      <c r="F39" s="117">
        <v>45345</v>
      </c>
      <c r="G39" s="118" t="s">
        <v>202</v>
      </c>
      <c r="H39" s="119"/>
      <c r="I39" s="84"/>
      <c r="J39" s="85"/>
      <c r="K39" s="85">
        <f>C39*(E39-F39)/28</f>
        <v>0</v>
      </c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4"/>
      <c r="W39" s="84"/>
      <c r="X39" s="84" t="str">
        <f t="shared" si="0"/>
        <v>OK</v>
      </c>
      <c r="Y39" s="87"/>
      <c r="Z39" s="87"/>
      <c r="AA39" s="87"/>
      <c r="AB39" s="87"/>
      <c r="AC39" s="87"/>
      <c r="AD39" s="87"/>
      <c r="AE39" s="87"/>
      <c r="AF39" s="87"/>
      <c r="AG39" s="87"/>
      <c r="AH39" s="87"/>
      <c r="AI39" s="87"/>
      <c r="AJ39" s="87"/>
      <c r="AK39" s="87"/>
      <c r="AL39" s="87"/>
      <c r="AM39" s="87"/>
      <c r="AN39" s="87"/>
      <c r="AO39" s="87">
        <v>-13</v>
      </c>
      <c r="AP39" s="87">
        <v>-13</v>
      </c>
      <c r="AQ39" s="87">
        <v>13</v>
      </c>
      <c r="AR39" s="87">
        <v>13</v>
      </c>
      <c r="AS39" s="87"/>
      <c r="AT39" s="87"/>
      <c r="AU39" s="87"/>
      <c r="AV39" s="87"/>
      <c r="AW39" s="87"/>
      <c r="AX39" s="87"/>
      <c r="AY39" s="87"/>
      <c r="AZ39" s="87"/>
      <c r="BA39" s="87"/>
      <c r="BB39" s="87"/>
      <c r="BC39" s="87"/>
      <c r="BD39" s="87"/>
      <c r="BE39" s="87"/>
      <c r="BF39" s="87"/>
      <c r="BG39" s="87"/>
      <c r="BH39" s="87"/>
      <c r="BI39" s="87"/>
      <c r="BJ39" s="87"/>
      <c r="BK39" s="87"/>
      <c r="BL39" s="87"/>
      <c r="BM39" s="87"/>
      <c r="BN39" s="87"/>
      <c r="BO39" s="87"/>
      <c r="BP39" s="87"/>
      <c r="BQ39" s="87"/>
      <c r="BR39" s="87"/>
      <c r="BS39" s="87"/>
      <c r="BT39" s="87"/>
      <c r="BU39" s="87"/>
      <c r="BV39" s="87"/>
      <c r="BW39" s="87"/>
      <c r="BX39" s="87"/>
      <c r="BY39" s="87"/>
      <c r="BZ39" s="87"/>
      <c r="CA39" s="87"/>
      <c r="CB39" s="87"/>
      <c r="CC39" s="87"/>
      <c r="CD39" s="87"/>
      <c r="CE39" s="87"/>
      <c r="CF39" s="87"/>
      <c r="CG39" s="87"/>
      <c r="CH39" s="87"/>
      <c r="CI39" s="87"/>
      <c r="CJ39" s="87"/>
      <c r="CK39" s="87"/>
      <c r="CL39" s="87"/>
      <c r="CM39" s="87"/>
      <c r="CN39" s="87"/>
      <c r="CO39" s="87"/>
      <c r="CP39" s="87"/>
      <c r="CQ39" s="87"/>
      <c r="CR39" s="87"/>
      <c r="CS39" s="87"/>
      <c r="CT39" s="87"/>
      <c r="CU39" s="87"/>
      <c r="CV39" s="87"/>
      <c r="CW39" s="87"/>
      <c r="CX39" s="87"/>
      <c r="CY39" s="87"/>
      <c r="CZ39" s="87"/>
      <c r="DA39" s="87"/>
      <c r="DB39" s="87"/>
      <c r="DC39" s="87"/>
      <c r="DD39" s="87"/>
      <c r="DE39" s="87"/>
      <c r="DF39" s="87"/>
      <c r="DG39" s="87"/>
      <c r="DH39" s="87"/>
      <c r="DI39" s="87"/>
      <c r="DJ39" s="87"/>
      <c r="DK39" s="87"/>
      <c r="DL39" s="87"/>
      <c r="DM39" s="87"/>
      <c r="DN39" s="87"/>
      <c r="DO39" s="87"/>
      <c r="DP39" s="87"/>
      <c r="DQ39" s="87"/>
      <c r="DR39" s="87"/>
      <c r="DS39" s="87"/>
      <c r="DT39" s="87"/>
      <c r="DU39" s="87"/>
      <c r="DV39" s="87"/>
      <c r="DW39" s="87"/>
      <c r="DX39" s="87"/>
      <c r="DY39" s="87"/>
      <c r="DZ39" s="87"/>
      <c r="EA39" s="87"/>
      <c r="EB39" s="87"/>
      <c r="EC39" s="87"/>
      <c r="ED39" s="87"/>
      <c r="EE39" s="87"/>
      <c r="EF39" s="87"/>
      <c r="EG39" s="75">
        <v>46017</v>
      </c>
      <c r="EH39" s="75">
        <v>46024</v>
      </c>
      <c r="EI39" s="75">
        <v>46031</v>
      </c>
    </row>
    <row r="40" spans="1:139" ht="16.5" hidden="1" thickBot="1" x14ac:dyDescent="0.35">
      <c r="A40" s="154" t="s">
        <v>152</v>
      </c>
      <c r="B40" s="107">
        <v>3</v>
      </c>
      <c r="C40" s="108">
        <v>70</v>
      </c>
      <c r="D40" s="91">
        <f>C40/VLOOKUP(B40,'[2]Gas Prod per PADD'!$A$1:$C$6,2,FALSE)</f>
        <v>1.5217391304347827E-2</v>
      </c>
      <c r="E40" s="109">
        <v>45313</v>
      </c>
      <c r="F40" s="110">
        <v>45346</v>
      </c>
      <c r="G40" s="111" t="s">
        <v>203</v>
      </c>
      <c r="H40" s="112" t="s">
        <v>204</v>
      </c>
      <c r="I40" s="84"/>
      <c r="J40" s="85">
        <f>C40*(E40-$J$1)/31</f>
        <v>-20.322580645161292</v>
      </c>
      <c r="K40" s="85">
        <f>C40*($J$1+1-F40)/29</f>
        <v>-55.517241379310342</v>
      </c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4"/>
      <c r="W40" s="84"/>
      <c r="X40" s="84" t="str">
        <f t="shared" si="0"/>
        <v>OK</v>
      </c>
      <c r="Y40" s="105"/>
      <c r="Z40" s="105"/>
      <c r="AA40" s="87"/>
      <c r="AB40" s="87"/>
      <c r="AC40" s="87"/>
      <c r="AD40" s="87"/>
      <c r="AE40" s="105"/>
      <c r="AF40" s="105"/>
      <c r="AG40" s="105"/>
      <c r="AH40" s="105"/>
      <c r="AI40" s="87"/>
      <c r="AJ40" s="87"/>
      <c r="AK40" s="87" t="e">
        <f>(E40-#REF!)/7*70</f>
        <v>#REF!</v>
      </c>
      <c r="AL40" s="87" t="e">
        <f>-70-AK40</f>
        <v>#REF!</v>
      </c>
      <c r="AM40" s="87"/>
      <c r="AN40" s="87"/>
      <c r="AO40" s="87"/>
      <c r="AP40" s="87">
        <f>27*0.05</f>
        <v>1.35</v>
      </c>
      <c r="AQ40" s="87">
        <f>C40/2</f>
        <v>35</v>
      </c>
      <c r="AR40" s="87">
        <f>C40-AP40-AQ40</f>
        <v>33.650000000000006</v>
      </c>
      <c r="AS40" s="87"/>
      <c r="AT40" s="87"/>
      <c r="AU40" s="87"/>
      <c r="AV40" s="87"/>
      <c r="AW40" s="87"/>
      <c r="AX40" s="87"/>
      <c r="AY40" s="87"/>
      <c r="AZ40" s="87"/>
      <c r="BA40" s="87"/>
      <c r="BB40" s="87"/>
      <c r="BC40" s="87"/>
      <c r="BD40" s="87"/>
      <c r="BE40" s="87"/>
      <c r="BF40" s="87"/>
      <c r="BG40" s="87"/>
      <c r="BH40" s="87"/>
      <c r="BI40" s="87"/>
      <c r="BJ40" s="87"/>
      <c r="BK40" s="87"/>
      <c r="BL40" s="87"/>
      <c r="BM40" s="87"/>
      <c r="BN40" s="87"/>
      <c r="BO40" s="87"/>
      <c r="BP40" s="87"/>
      <c r="BQ40" s="87"/>
      <c r="BR40" s="87"/>
      <c r="BS40" s="87"/>
      <c r="BT40" s="87"/>
      <c r="BU40" s="87"/>
      <c r="BV40" s="87"/>
      <c r="BW40" s="87"/>
      <c r="BX40" s="87"/>
      <c r="BY40" s="87"/>
      <c r="BZ40" s="87"/>
      <c r="CA40" s="87"/>
      <c r="CB40" s="87"/>
      <c r="CC40" s="87"/>
      <c r="CD40" s="87"/>
      <c r="CE40" s="87"/>
      <c r="CF40" s="87"/>
      <c r="CG40" s="87"/>
      <c r="CH40" s="87"/>
      <c r="CI40" s="87"/>
      <c r="CJ40" s="87"/>
      <c r="CK40" s="87"/>
      <c r="CL40" s="87"/>
      <c r="CM40" s="87"/>
      <c r="CN40" s="87"/>
      <c r="CO40" s="87"/>
      <c r="CP40" s="87"/>
      <c r="CQ40" s="87"/>
      <c r="CR40" s="87"/>
      <c r="CS40" s="87"/>
      <c r="CT40" s="87"/>
      <c r="CU40" s="87"/>
      <c r="CV40" s="87"/>
      <c r="CW40" s="87"/>
      <c r="CX40" s="87"/>
      <c r="CY40" s="87"/>
      <c r="CZ40" s="87"/>
      <c r="DA40" s="87"/>
      <c r="DB40" s="87"/>
      <c r="DC40" s="87"/>
      <c r="DD40" s="87"/>
      <c r="DE40" s="87"/>
      <c r="DF40" s="87"/>
      <c r="DG40" s="87"/>
      <c r="DH40" s="87"/>
      <c r="DI40" s="87"/>
      <c r="DJ40" s="87"/>
      <c r="DK40" s="87"/>
      <c r="DL40" s="87"/>
      <c r="DM40" s="87"/>
      <c r="DN40" s="87"/>
      <c r="DO40" s="87"/>
      <c r="DP40" s="87"/>
      <c r="DQ40" s="87"/>
      <c r="DR40" s="87"/>
      <c r="DS40" s="87"/>
      <c r="DT40" s="87"/>
      <c r="DU40" s="87"/>
      <c r="DV40" s="87"/>
      <c r="DW40" s="87"/>
      <c r="DX40" s="87"/>
      <c r="DY40" s="87"/>
      <c r="DZ40" s="87"/>
      <c r="EA40" s="87"/>
      <c r="EB40" s="87"/>
      <c r="EC40" s="87"/>
      <c r="ED40" s="87"/>
      <c r="EE40" s="87"/>
      <c r="EF40" s="87"/>
      <c r="EG40" s="87"/>
      <c r="EH40" s="87"/>
      <c r="EI40" s="87"/>
    </row>
    <row r="41" spans="1:139" ht="29.25" hidden="1" thickBot="1" x14ac:dyDescent="0.35">
      <c r="A41" s="154" t="s">
        <v>140</v>
      </c>
      <c r="B41" s="107">
        <v>3</v>
      </c>
      <c r="C41" s="108">
        <f>220*0.26+35*0.1+114*0.05-1.4</f>
        <v>65</v>
      </c>
      <c r="D41" s="91">
        <f>C41/VLOOKUP(B41,'[2]Gas Prod per PADD'!$A$1:$C$6,2,FALSE)</f>
        <v>1.4130434782608696E-2</v>
      </c>
      <c r="E41" s="156">
        <v>45310</v>
      </c>
      <c r="F41" s="157">
        <v>45347</v>
      </c>
      <c r="G41" s="111" t="s">
        <v>205</v>
      </c>
      <c r="H41" s="158" t="s">
        <v>206</v>
      </c>
      <c r="I41" s="84"/>
      <c r="J41" s="85">
        <f>C41*(E41-$J$1)/31</f>
        <v>-25.161290322580644</v>
      </c>
      <c r="K41" s="85">
        <f>C41*($J$1+1-F41)/29</f>
        <v>-53.793103448275865</v>
      </c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4"/>
      <c r="W41" s="84"/>
      <c r="X41" s="84" t="str">
        <f t="shared" si="0"/>
        <v>OK</v>
      </c>
      <c r="Y41" s="105"/>
      <c r="Z41" s="105"/>
      <c r="AA41" s="87"/>
      <c r="AB41" s="87"/>
      <c r="AC41" s="87"/>
      <c r="AD41" s="87"/>
      <c r="AE41" s="105"/>
      <c r="AF41" s="105"/>
      <c r="AG41" s="105"/>
      <c r="AH41" s="105"/>
      <c r="AI41" s="87"/>
      <c r="AJ41" s="87"/>
      <c r="AK41" s="87">
        <f>-C41-AJ384</f>
        <v>-65</v>
      </c>
      <c r="AL41" s="87"/>
      <c r="AM41" s="87"/>
      <c r="AN41" s="87"/>
      <c r="AO41" s="87"/>
      <c r="AP41" s="87">
        <f>(AP27-F41)/7*C41/2</f>
        <v>-210539.64285714284</v>
      </c>
      <c r="AQ41" s="87">
        <f>AP41</f>
        <v>-210539.64285714284</v>
      </c>
      <c r="AR41" s="87">
        <f>C41-AP41-AQ41-AO41</f>
        <v>421144.28571428568</v>
      </c>
      <c r="AS41" s="87"/>
      <c r="AT41" s="87"/>
      <c r="AU41" s="87"/>
      <c r="AV41" s="87"/>
      <c r="AW41" s="87"/>
      <c r="AX41" s="87"/>
      <c r="AY41" s="87"/>
      <c r="AZ41" s="87"/>
      <c r="BA41" s="87"/>
      <c r="BB41" s="87"/>
      <c r="BC41" s="87"/>
      <c r="BD41" s="87"/>
      <c r="BE41" s="87"/>
      <c r="BF41" s="87"/>
      <c r="BG41" s="87"/>
      <c r="BH41" s="87"/>
      <c r="BI41" s="87"/>
      <c r="BJ41" s="87"/>
      <c r="BK41" s="87"/>
      <c r="BL41" s="87"/>
      <c r="BM41" s="87"/>
      <c r="BN41" s="87"/>
      <c r="BO41" s="87"/>
      <c r="BP41" s="87"/>
      <c r="BQ41" s="87"/>
      <c r="BR41" s="87"/>
      <c r="BS41" s="87"/>
      <c r="BT41" s="87"/>
      <c r="BU41" s="87"/>
      <c r="BV41" s="87"/>
      <c r="BW41" s="87"/>
      <c r="BX41" s="87"/>
      <c r="BY41" s="87"/>
      <c r="BZ41" s="87"/>
      <c r="CA41" s="87"/>
      <c r="CB41" s="87"/>
      <c r="CC41" s="87"/>
      <c r="CD41" s="87"/>
      <c r="CE41" s="87"/>
      <c r="CF41" s="87"/>
      <c r="CG41" s="87"/>
      <c r="CH41" s="87"/>
      <c r="CI41" s="87"/>
      <c r="CJ41" s="87"/>
      <c r="CK41" s="87"/>
      <c r="CL41" s="87"/>
      <c r="CM41" s="87"/>
      <c r="CN41" s="87"/>
      <c r="CO41" s="87"/>
      <c r="CP41" s="87"/>
      <c r="CQ41" s="87"/>
      <c r="CR41" s="87"/>
      <c r="CS41" s="87"/>
      <c r="CT41" s="87"/>
      <c r="CU41" s="87"/>
      <c r="CV41" s="87"/>
      <c r="CW41" s="87"/>
      <c r="CX41" s="87"/>
      <c r="CY41" s="87"/>
      <c r="CZ41" s="87"/>
      <c r="DA41" s="87"/>
      <c r="DB41" s="87"/>
      <c r="DC41" s="87"/>
      <c r="DD41" s="87"/>
      <c r="DE41" s="87"/>
      <c r="DF41" s="87"/>
      <c r="DG41" s="87"/>
      <c r="DH41" s="87"/>
      <c r="DI41" s="87"/>
      <c r="DJ41" s="87"/>
      <c r="DK41" s="87"/>
      <c r="DL41" s="87"/>
      <c r="DM41" s="87"/>
      <c r="DN41" s="87"/>
      <c r="DO41" s="87"/>
      <c r="DP41" s="87"/>
      <c r="DQ41" s="87"/>
      <c r="DR41" s="87"/>
      <c r="DS41" s="87"/>
      <c r="DT41" s="87"/>
      <c r="DU41" s="87"/>
      <c r="DV41" s="87"/>
      <c r="DW41" s="87"/>
      <c r="DX41" s="87"/>
      <c r="DY41" s="87"/>
      <c r="DZ41" s="87"/>
      <c r="EA41" s="87"/>
      <c r="EB41" s="87"/>
      <c r="EC41" s="87"/>
      <c r="ED41" s="87"/>
      <c r="EE41" s="87"/>
      <c r="EF41" s="87"/>
      <c r="EG41" s="87"/>
      <c r="EH41" s="87"/>
      <c r="EI41" s="87"/>
    </row>
    <row r="42" spans="1:139" ht="29.25" hidden="1" thickBot="1" x14ac:dyDescent="0.35">
      <c r="A42" s="159" t="s">
        <v>207</v>
      </c>
      <c r="B42" s="107">
        <v>5</v>
      </c>
      <c r="C42" s="108">
        <f>200*0.1+43*0.05+20*0.85+104*0.65-1.75</f>
        <v>105</v>
      </c>
      <c r="D42" s="91">
        <f>C42/VLOOKUP(B42,'[2]Gas Prod per PADD'!$A$1:$C$6,2,FALSE)</f>
        <v>7.7777777777777779E-2</v>
      </c>
      <c r="E42" s="160">
        <v>45303</v>
      </c>
      <c r="F42" s="110">
        <v>45348</v>
      </c>
      <c r="G42" s="111" t="s">
        <v>208</v>
      </c>
      <c r="H42" s="112" t="s">
        <v>209</v>
      </c>
      <c r="I42" s="84"/>
      <c r="J42" s="85">
        <f>C42*(E42-$J$1)/31</f>
        <v>-64.354838709677423</v>
      </c>
      <c r="K42" s="85">
        <f>C42*($J$1+1-F42)/29</f>
        <v>-90.517241379310349</v>
      </c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4"/>
      <c r="W42" s="84"/>
      <c r="X42" s="84" t="str">
        <f t="shared" si="0"/>
        <v>OK</v>
      </c>
      <c r="Y42" s="105"/>
      <c r="Z42" s="105"/>
      <c r="AA42" s="87"/>
      <c r="AB42" s="87"/>
      <c r="AC42" s="87"/>
      <c r="AD42" s="87"/>
      <c r="AE42" s="105"/>
      <c r="AF42" s="105"/>
      <c r="AG42" s="105"/>
      <c r="AH42" s="105"/>
      <c r="AI42" s="87"/>
      <c r="AJ42" s="87">
        <f>-C42/2</f>
        <v>-52.5</v>
      </c>
      <c r="AK42" s="87">
        <f>(-C42-AJ42)</f>
        <v>-52.5</v>
      </c>
      <c r="AL42" s="87"/>
      <c r="AM42" s="87"/>
      <c r="AN42" s="87"/>
      <c r="AO42" s="87"/>
      <c r="AP42" s="87">
        <f>$C42/3</f>
        <v>35</v>
      </c>
      <c r="AQ42" s="87">
        <f>($C42/3)+13</f>
        <v>48</v>
      </c>
      <c r="AR42" s="87">
        <f>$C42-AP42-AQ42</f>
        <v>22</v>
      </c>
      <c r="AS42" s="87"/>
      <c r="AT42" s="87"/>
      <c r="AU42" s="87"/>
      <c r="AV42" s="87"/>
      <c r="AW42" s="87"/>
      <c r="AX42" s="87"/>
      <c r="AY42" s="87"/>
      <c r="AZ42" s="87"/>
      <c r="BA42" s="87"/>
      <c r="BB42" s="87"/>
      <c r="BC42" s="87"/>
      <c r="BD42" s="87"/>
      <c r="BE42" s="87"/>
      <c r="BF42" s="87"/>
      <c r="BG42" s="87"/>
      <c r="BH42" s="87"/>
      <c r="BI42" s="87"/>
      <c r="BJ42" s="87"/>
      <c r="BK42" s="87"/>
      <c r="BL42" s="87"/>
      <c r="BM42" s="87"/>
      <c r="BN42" s="87"/>
      <c r="BO42" s="87"/>
      <c r="BP42" s="87"/>
      <c r="BQ42" s="87"/>
      <c r="BR42" s="87"/>
      <c r="BS42" s="87"/>
      <c r="BT42" s="87"/>
      <c r="BU42" s="87"/>
      <c r="BV42" s="87"/>
      <c r="BW42" s="87"/>
      <c r="BX42" s="87"/>
      <c r="BY42" s="87"/>
      <c r="BZ42" s="87"/>
      <c r="CA42" s="87"/>
      <c r="CB42" s="87"/>
      <c r="CC42" s="87"/>
      <c r="CD42" s="87"/>
      <c r="CE42" s="87"/>
      <c r="CF42" s="87"/>
      <c r="CG42" s="87"/>
      <c r="CH42" s="87"/>
      <c r="CI42" s="87"/>
      <c r="CJ42" s="87"/>
      <c r="CK42" s="87"/>
      <c r="CL42" s="87"/>
      <c r="CM42" s="87"/>
      <c r="CN42" s="87"/>
      <c r="CO42" s="87"/>
      <c r="CP42" s="87"/>
      <c r="CQ42" s="87"/>
      <c r="CR42" s="87"/>
      <c r="CS42" s="87"/>
      <c r="CT42" s="87"/>
      <c r="CU42" s="87"/>
      <c r="CV42" s="87"/>
      <c r="CW42" s="87"/>
      <c r="CX42" s="87"/>
      <c r="CY42" s="87"/>
      <c r="CZ42" s="87"/>
      <c r="DA42" s="87"/>
      <c r="DB42" s="87"/>
      <c r="DC42" s="87"/>
      <c r="DD42" s="87"/>
      <c r="DE42" s="87"/>
      <c r="DF42" s="87"/>
      <c r="DG42" s="87"/>
      <c r="DH42" s="87"/>
      <c r="DI42" s="87"/>
      <c r="DJ42" s="87"/>
      <c r="DK42" s="87"/>
      <c r="DL42" s="87"/>
      <c r="DM42" s="87"/>
      <c r="DN42" s="87"/>
      <c r="DO42" s="87"/>
      <c r="DP42" s="87"/>
      <c r="DQ42" s="87"/>
      <c r="DR42" s="87"/>
      <c r="DS42" s="87"/>
      <c r="DT42" s="87"/>
      <c r="DU42" s="87"/>
      <c r="DV42" s="87"/>
      <c r="DW42" s="87"/>
      <c r="DX42" s="87"/>
      <c r="DY42" s="87"/>
      <c r="DZ42" s="87"/>
      <c r="EA42" s="87"/>
      <c r="EB42" s="87"/>
      <c r="EC42" s="87"/>
      <c r="ED42" s="87"/>
      <c r="EE42" s="87"/>
      <c r="EF42" s="87"/>
      <c r="EG42" s="75">
        <v>46017</v>
      </c>
      <c r="EH42" s="75">
        <v>46024</v>
      </c>
      <c r="EI42" s="75">
        <v>46031</v>
      </c>
    </row>
    <row r="43" spans="1:139" ht="16.5" hidden="1" thickBot="1" x14ac:dyDescent="0.35">
      <c r="A43" s="140" t="s">
        <v>210</v>
      </c>
      <c r="B43" s="118">
        <v>3</v>
      </c>
      <c r="C43" s="115"/>
      <c r="D43" s="91">
        <f>C43/VLOOKUP(B43,'[2]Gas Prod per PADD'!$A$1:$C$6,2,FALSE)</f>
        <v>0</v>
      </c>
      <c r="E43" s="116">
        <v>45331</v>
      </c>
      <c r="F43" s="117">
        <v>45348</v>
      </c>
      <c r="G43" s="118" t="s">
        <v>211</v>
      </c>
      <c r="H43" s="119"/>
      <c r="I43" s="84"/>
      <c r="J43" s="85"/>
      <c r="K43" s="85">
        <f>C43*(E43-F43)/28</f>
        <v>0</v>
      </c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4"/>
      <c r="W43" s="84"/>
      <c r="X43" s="84" t="str">
        <f t="shared" si="0"/>
        <v>OK</v>
      </c>
      <c r="Y43" s="87"/>
      <c r="Z43" s="87"/>
      <c r="AA43" s="87"/>
      <c r="AB43" s="87"/>
      <c r="AC43" s="87"/>
      <c r="AD43" s="87"/>
      <c r="AE43" s="87"/>
      <c r="AF43" s="87"/>
      <c r="AG43" s="87"/>
      <c r="AH43" s="87"/>
      <c r="AI43" s="87"/>
      <c r="AJ43" s="105"/>
      <c r="AK43" s="105"/>
      <c r="AL43" s="105"/>
      <c r="AM43" s="87"/>
      <c r="AN43" s="87">
        <v>-3.9000000000000004</v>
      </c>
      <c r="AO43" s="87"/>
      <c r="AP43" s="87">
        <v>2.2285714285714286</v>
      </c>
      <c r="AQ43" s="87">
        <v>1.6714285714285717</v>
      </c>
      <c r="AR43" s="87"/>
      <c r="AS43" s="87"/>
      <c r="AT43" s="87"/>
      <c r="AU43" s="87"/>
      <c r="AV43" s="87"/>
      <c r="AW43" s="87"/>
      <c r="AX43" s="87"/>
      <c r="AY43" s="87"/>
      <c r="AZ43" s="87"/>
      <c r="BA43" s="87"/>
      <c r="BB43" s="87"/>
      <c r="BC43" s="87"/>
      <c r="BD43" s="87"/>
      <c r="BE43" s="87"/>
      <c r="BF43" s="87"/>
      <c r="BG43" s="87"/>
      <c r="BH43" s="87"/>
      <c r="BI43" s="87"/>
      <c r="BJ43" s="87"/>
      <c r="BK43" s="87"/>
      <c r="BL43" s="87"/>
      <c r="BM43" s="87"/>
      <c r="BN43" s="87"/>
      <c r="BO43" s="87"/>
      <c r="BP43" s="87"/>
      <c r="BQ43" s="87"/>
      <c r="BR43" s="87"/>
      <c r="BS43" s="87"/>
      <c r="BT43" s="87"/>
      <c r="BU43" s="87"/>
      <c r="BV43" s="87"/>
      <c r="BW43" s="87"/>
      <c r="BX43" s="87"/>
      <c r="BY43" s="87"/>
      <c r="BZ43" s="87"/>
      <c r="CA43" s="87"/>
      <c r="CB43" s="87"/>
      <c r="CC43" s="87"/>
      <c r="CD43" s="87"/>
      <c r="CE43" s="87"/>
      <c r="CF43" s="87"/>
      <c r="CG43" s="87"/>
      <c r="CH43" s="87"/>
      <c r="CI43" s="87"/>
      <c r="CJ43" s="87"/>
      <c r="CK43" s="87"/>
      <c r="CL43" s="87"/>
      <c r="CM43" s="87"/>
      <c r="CN43" s="87"/>
      <c r="CO43" s="87"/>
      <c r="CP43" s="87"/>
      <c r="CQ43" s="87"/>
      <c r="CR43" s="87"/>
      <c r="CS43" s="87"/>
      <c r="CT43" s="87"/>
      <c r="CU43" s="87"/>
      <c r="CV43" s="87"/>
      <c r="CW43" s="87"/>
      <c r="CX43" s="87"/>
      <c r="CY43" s="87"/>
      <c r="CZ43" s="87"/>
      <c r="DA43" s="87"/>
      <c r="DB43" s="87"/>
      <c r="DC43" s="87"/>
      <c r="DD43" s="87"/>
      <c r="DE43" s="87"/>
      <c r="DF43" s="87"/>
      <c r="DG43" s="87"/>
      <c r="DH43" s="87"/>
      <c r="DI43" s="87"/>
      <c r="DJ43" s="87"/>
      <c r="DK43" s="87"/>
      <c r="DL43" s="87"/>
      <c r="DM43" s="87"/>
      <c r="DN43" s="87"/>
      <c r="DO43" s="87"/>
      <c r="DP43" s="87"/>
      <c r="DQ43" s="87"/>
      <c r="DR43" s="87"/>
      <c r="DS43" s="87"/>
      <c r="DT43" s="87"/>
      <c r="DU43" s="87"/>
      <c r="DV43" s="87"/>
      <c r="DW43" s="87"/>
      <c r="DX43" s="87"/>
      <c r="DY43" s="87"/>
      <c r="DZ43" s="87"/>
      <c r="EA43" s="87"/>
      <c r="EB43" s="87"/>
      <c r="EC43" s="87"/>
      <c r="ED43" s="87"/>
      <c r="EE43" s="87"/>
      <c r="EF43" s="87"/>
      <c r="EG43" s="87"/>
      <c r="EH43" s="87"/>
      <c r="EI43" s="87"/>
    </row>
    <row r="44" spans="1:139" ht="16.5" hidden="1" thickBot="1" x14ac:dyDescent="0.35">
      <c r="A44" s="161" t="s">
        <v>212</v>
      </c>
      <c r="B44" s="118">
        <v>5</v>
      </c>
      <c r="C44" s="115"/>
      <c r="D44" s="91">
        <f>C44/VLOOKUP(B44,'[2]Gas Prod per PADD'!$A$1:$C$6,2,FALSE)</f>
        <v>0</v>
      </c>
      <c r="E44" s="116">
        <v>45332</v>
      </c>
      <c r="F44" s="117">
        <v>45348</v>
      </c>
      <c r="G44" s="118" t="s">
        <v>213</v>
      </c>
      <c r="H44" s="119"/>
      <c r="I44" s="84"/>
      <c r="J44" s="85"/>
      <c r="K44" s="85">
        <f>C44*(E44-F44)/28</f>
        <v>0</v>
      </c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4"/>
      <c r="W44" s="84"/>
      <c r="X44" s="84" t="str">
        <f t="shared" si="0"/>
        <v>OK</v>
      </c>
      <c r="Y44" s="87"/>
      <c r="Z44" s="87"/>
      <c r="AA44" s="87"/>
      <c r="AB44" s="87"/>
      <c r="AC44" s="87"/>
      <c r="AD44" s="87"/>
      <c r="AE44" s="87"/>
      <c r="AF44" s="87"/>
      <c r="AG44" s="87"/>
      <c r="AH44" s="87"/>
      <c r="AI44" s="87"/>
      <c r="AJ44" s="87"/>
      <c r="AK44" s="87"/>
      <c r="AL44" s="87"/>
      <c r="AM44" s="87"/>
      <c r="AN44" s="87"/>
      <c r="AO44" s="87"/>
      <c r="AP44" s="87"/>
      <c r="AQ44" s="87"/>
      <c r="AR44" s="87"/>
      <c r="AS44" s="87"/>
      <c r="AT44" s="87"/>
      <c r="AU44" s="87"/>
      <c r="AV44" s="87"/>
      <c r="AW44" s="87"/>
      <c r="AX44" s="87"/>
      <c r="AY44" s="87"/>
      <c r="AZ44" s="87"/>
      <c r="BA44" s="87"/>
      <c r="BB44" s="87"/>
      <c r="BC44" s="87"/>
      <c r="BD44" s="87"/>
      <c r="BE44" s="87"/>
      <c r="BF44" s="87"/>
      <c r="BG44" s="87"/>
      <c r="BH44" s="87"/>
      <c r="BI44" s="87"/>
      <c r="BJ44" s="87"/>
      <c r="BK44" s="87"/>
      <c r="BL44" s="87"/>
      <c r="BM44" s="87"/>
      <c r="BN44" s="87"/>
      <c r="BO44" s="87"/>
      <c r="BP44" s="87"/>
      <c r="BQ44" s="87"/>
      <c r="BR44" s="87"/>
      <c r="BS44" s="87"/>
      <c r="BT44" s="87"/>
      <c r="BU44" s="87"/>
      <c r="BV44" s="87"/>
      <c r="BW44" s="87"/>
      <c r="BX44" s="87"/>
      <c r="BY44" s="87"/>
      <c r="BZ44" s="87"/>
      <c r="CA44" s="87"/>
      <c r="CB44" s="87"/>
      <c r="CC44" s="87"/>
      <c r="CD44" s="87"/>
      <c r="CE44" s="87"/>
      <c r="CF44" s="87"/>
      <c r="CG44" s="87"/>
      <c r="CH44" s="87"/>
      <c r="CI44" s="87"/>
      <c r="CJ44" s="87"/>
      <c r="CK44" s="87"/>
      <c r="CL44" s="87"/>
      <c r="CM44" s="87"/>
      <c r="CN44" s="87"/>
      <c r="CO44" s="87"/>
      <c r="CP44" s="87"/>
      <c r="CQ44" s="87"/>
      <c r="CR44" s="87"/>
      <c r="CS44" s="87"/>
      <c r="CT44" s="87"/>
      <c r="CU44" s="87"/>
      <c r="CV44" s="87"/>
      <c r="CW44" s="87"/>
      <c r="CX44" s="87"/>
      <c r="CY44" s="87"/>
      <c r="CZ44" s="87"/>
      <c r="DA44" s="87"/>
      <c r="DB44" s="87"/>
      <c r="DC44" s="87"/>
      <c r="DD44" s="87"/>
      <c r="DE44" s="87"/>
      <c r="DF44" s="87"/>
      <c r="DG44" s="87"/>
      <c r="DH44" s="87"/>
      <c r="DI44" s="87"/>
      <c r="DJ44" s="87"/>
      <c r="DK44" s="87"/>
      <c r="DL44" s="87"/>
      <c r="DM44" s="87"/>
      <c r="DN44" s="87"/>
      <c r="DO44" s="87"/>
      <c r="DP44" s="87"/>
      <c r="DQ44" s="87"/>
      <c r="DR44" s="87"/>
      <c r="DS44" s="87"/>
      <c r="DT44" s="87"/>
      <c r="DU44" s="87"/>
      <c r="DV44" s="87"/>
      <c r="DW44" s="87"/>
      <c r="DX44" s="87"/>
      <c r="DY44" s="87"/>
      <c r="DZ44" s="87"/>
      <c r="EA44" s="87"/>
      <c r="EB44" s="87"/>
      <c r="EC44" s="87"/>
      <c r="ED44" s="87"/>
      <c r="EE44" s="87"/>
      <c r="EF44" s="87"/>
      <c r="EG44" s="75">
        <v>46017</v>
      </c>
      <c r="EH44" s="75">
        <v>46024</v>
      </c>
      <c r="EI44" s="75">
        <v>46031</v>
      </c>
    </row>
    <row r="45" spans="1:139" ht="16.5" hidden="1" thickBot="1" x14ac:dyDescent="0.35">
      <c r="A45" s="140" t="s">
        <v>214</v>
      </c>
      <c r="B45" s="162">
        <v>5</v>
      </c>
      <c r="C45" s="115"/>
      <c r="D45" s="91">
        <f>C45/VLOOKUP(B45,'[2]Gas Prod per PADD'!$A$1:$C$6,2,FALSE)</f>
        <v>0</v>
      </c>
      <c r="E45" s="116">
        <v>45307</v>
      </c>
      <c r="F45" s="117">
        <v>45349</v>
      </c>
      <c r="G45" s="118" t="s">
        <v>215</v>
      </c>
      <c r="H45" s="119"/>
      <c r="I45" s="84"/>
      <c r="J45" s="85">
        <f>C45*(E45-$J$1)/31</f>
        <v>0</v>
      </c>
      <c r="K45" s="85">
        <f>C45*($J$1+1-F45)/28</f>
        <v>0</v>
      </c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4"/>
      <c r="W45" s="84"/>
      <c r="X45" s="84" t="str">
        <f t="shared" si="0"/>
        <v>OK</v>
      </c>
      <c r="Y45" s="87"/>
      <c r="Z45" s="87"/>
      <c r="AA45" s="87"/>
      <c r="AB45" s="87"/>
      <c r="AC45" s="87"/>
      <c r="AD45" s="87"/>
      <c r="AE45" s="87"/>
      <c r="AF45" s="87"/>
      <c r="AG45" s="87"/>
      <c r="AH45" s="87"/>
      <c r="AI45" s="87"/>
      <c r="AJ45" s="105"/>
      <c r="AK45" s="105"/>
      <c r="AL45" s="105"/>
      <c r="AM45" s="87"/>
      <c r="AN45" s="87"/>
      <c r="AO45" s="87"/>
      <c r="AP45" s="87">
        <v>1.1785714285714286</v>
      </c>
      <c r="AQ45" s="87">
        <v>1.5714285714285714</v>
      </c>
      <c r="AR45" s="87"/>
      <c r="AS45" s="87"/>
      <c r="AT45" s="87"/>
      <c r="AU45" s="87"/>
      <c r="AV45" s="87"/>
      <c r="AW45" s="87"/>
      <c r="AX45" s="87"/>
      <c r="AY45" s="87"/>
      <c r="AZ45" s="87"/>
      <c r="BA45" s="87"/>
      <c r="BB45" s="87"/>
      <c r="BC45" s="87"/>
      <c r="BD45" s="87"/>
      <c r="BE45" s="87"/>
      <c r="BF45" s="87"/>
      <c r="BG45" s="87"/>
      <c r="BH45" s="87"/>
      <c r="BI45" s="87"/>
      <c r="BJ45" s="87"/>
      <c r="BK45" s="87"/>
      <c r="BL45" s="87"/>
      <c r="BM45" s="87"/>
      <c r="BN45" s="87"/>
      <c r="BO45" s="87"/>
      <c r="BP45" s="87"/>
      <c r="BQ45" s="87"/>
      <c r="BR45" s="87"/>
      <c r="BS45" s="87"/>
      <c r="BT45" s="87"/>
      <c r="BU45" s="87"/>
      <c r="BV45" s="87"/>
      <c r="BW45" s="87"/>
      <c r="BX45" s="87"/>
      <c r="BY45" s="87"/>
      <c r="BZ45" s="87"/>
      <c r="CA45" s="87"/>
      <c r="CB45" s="87"/>
      <c r="CC45" s="87"/>
      <c r="CD45" s="87"/>
      <c r="CE45" s="87"/>
      <c r="CF45" s="87"/>
      <c r="CG45" s="87"/>
      <c r="CH45" s="87"/>
      <c r="CI45" s="87"/>
      <c r="CJ45" s="87"/>
      <c r="CK45" s="87"/>
      <c r="CL45" s="87"/>
      <c r="CM45" s="87"/>
      <c r="CN45" s="87"/>
      <c r="CO45" s="87"/>
      <c r="CP45" s="87"/>
      <c r="CQ45" s="87"/>
      <c r="CR45" s="87"/>
      <c r="CS45" s="87"/>
      <c r="CT45" s="87"/>
      <c r="CU45" s="87"/>
      <c r="CV45" s="87"/>
      <c r="CW45" s="87"/>
      <c r="CX45" s="87"/>
      <c r="CY45" s="87"/>
      <c r="CZ45" s="87"/>
      <c r="DA45" s="87"/>
      <c r="DB45" s="87"/>
      <c r="DC45" s="87"/>
      <c r="DD45" s="87"/>
      <c r="DE45" s="87"/>
      <c r="DF45" s="87"/>
      <c r="DG45" s="87"/>
      <c r="DH45" s="87"/>
      <c r="DI45" s="87"/>
      <c r="DJ45" s="87"/>
      <c r="DK45" s="87"/>
      <c r="DL45" s="87"/>
      <c r="DM45" s="87"/>
      <c r="DN45" s="87"/>
      <c r="DO45" s="87"/>
      <c r="DP45" s="87"/>
      <c r="DQ45" s="87"/>
      <c r="DR45" s="87"/>
      <c r="DS45" s="87"/>
      <c r="DT45" s="87"/>
      <c r="DU45" s="87"/>
      <c r="DV45" s="87"/>
      <c r="DW45" s="87"/>
      <c r="DX45" s="87"/>
      <c r="DY45" s="87"/>
      <c r="DZ45" s="87"/>
      <c r="EA45" s="87"/>
      <c r="EB45" s="87"/>
      <c r="EC45" s="87"/>
      <c r="ED45" s="87"/>
      <c r="EE45" s="87"/>
      <c r="EF45" s="87"/>
      <c r="EG45" s="75">
        <v>46017</v>
      </c>
      <c r="EH45" s="75">
        <v>46024</v>
      </c>
      <c r="EI45" s="75">
        <v>46031</v>
      </c>
    </row>
    <row r="46" spans="1:139" ht="16.5" hidden="1" thickBot="1" x14ac:dyDescent="0.35">
      <c r="A46" s="154" t="s">
        <v>149</v>
      </c>
      <c r="B46" s="107">
        <v>3</v>
      </c>
      <c r="C46" s="108">
        <f>65*0.85</f>
        <v>55.25</v>
      </c>
      <c r="D46" s="91">
        <f>C46/VLOOKUP(B46,'[2]Gas Prod per PADD'!$A$1:$C$6,2,FALSE)</f>
        <v>1.2010869565217391E-2</v>
      </c>
      <c r="E46" s="109">
        <v>45308</v>
      </c>
      <c r="F46" s="110">
        <v>45349</v>
      </c>
      <c r="G46" s="111" t="s">
        <v>197</v>
      </c>
      <c r="H46" s="112" t="s">
        <v>216</v>
      </c>
      <c r="I46" s="84"/>
      <c r="J46" s="85">
        <f>C46*(E46-$J$1)/31</f>
        <v>-24.951612903225808</v>
      </c>
      <c r="K46" s="85">
        <f>C46*($J$1+1-F46)/29</f>
        <v>-49.53448275862069</v>
      </c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4"/>
      <c r="W46" s="84"/>
      <c r="X46" s="84" t="str">
        <f t="shared" si="0"/>
        <v>OK</v>
      </c>
      <c r="Y46" s="105"/>
      <c r="Z46" s="105"/>
      <c r="AA46" s="87"/>
      <c r="AB46" s="87"/>
      <c r="AC46" s="87"/>
      <c r="AD46" s="87"/>
      <c r="AE46" s="105"/>
      <c r="AF46" s="105"/>
      <c r="AG46" s="105"/>
      <c r="AH46" s="105"/>
      <c r="AI46" s="87"/>
      <c r="AJ46" s="87">
        <f>(E46-AJ18)/7*C46</f>
        <v>357687.37244897964</v>
      </c>
      <c r="AK46" s="105">
        <f>-C46-AJ46</f>
        <v>-357742.62244897964</v>
      </c>
      <c r="AL46" s="87"/>
      <c r="AM46" s="87"/>
      <c r="AN46" s="87"/>
      <c r="AO46" s="87"/>
      <c r="AP46" s="87">
        <f>(AP18-F46)/7*C46*2/3</f>
        <v>-238622.11904761905</v>
      </c>
      <c r="AQ46" s="105">
        <f>C46-AP46-10</f>
        <v>238667.36904761905</v>
      </c>
      <c r="AR46" s="105">
        <f>C46-AP46-AQ46</f>
        <v>10</v>
      </c>
      <c r="AS46" s="87"/>
      <c r="AT46" s="87"/>
      <c r="AU46" s="87"/>
      <c r="AV46" s="87"/>
      <c r="AW46" s="87"/>
      <c r="AX46" s="87"/>
      <c r="AY46" s="87"/>
      <c r="AZ46" s="87"/>
      <c r="BA46" s="87"/>
      <c r="BB46" s="87"/>
      <c r="BC46" s="87"/>
      <c r="BD46" s="87"/>
      <c r="BE46" s="87"/>
      <c r="BF46" s="87"/>
      <c r="BG46" s="87"/>
      <c r="BH46" s="87"/>
      <c r="BI46" s="87"/>
      <c r="BJ46" s="87"/>
      <c r="BK46" s="87"/>
      <c r="BL46" s="87"/>
      <c r="BM46" s="87"/>
      <c r="BN46" s="87"/>
      <c r="BO46" s="87"/>
      <c r="BP46" s="87"/>
      <c r="BQ46" s="87"/>
      <c r="BR46" s="87"/>
      <c r="BS46" s="87"/>
      <c r="BT46" s="87"/>
      <c r="BU46" s="87"/>
      <c r="BV46" s="87"/>
      <c r="BW46" s="87"/>
      <c r="BX46" s="87"/>
      <c r="BY46" s="87"/>
      <c r="BZ46" s="87"/>
      <c r="CA46" s="87"/>
      <c r="CB46" s="87"/>
      <c r="CC46" s="87"/>
      <c r="CD46" s="87"/>
      <c r="CE46" s="87"/>
      <c r="CF46" s="87"/>
      <c r="CG46" s="87"/>
      <c r="CH46" s="87"/>
      <c r="CI46" s="87"/>
      <c r="CJ46" s="87"/>
      <c r="CK46" s="87"/>
      <c r="CL46" s="87"/>
      <c r="CM46" s="87"/>
      <c r="CN46" s="87"/>
      <c r="CO46" s="87"/>
      <c r="CP46" s="87"/>
      <c r="CQ46" s="87"/>
      <c r="CR46" s="87"/>
      <c r="CS46" s="87"/>
      <c r="CT46" s="87"/>
      <c r="CU46" s="87"/>
      <c r="CV46" s="87"/>
      <c r="CW46" s="87"/>
      <c r="CX46" s="87"/>
      <c r="CY46" s="87"/>
      <c r="CZ46" s="87"/>
      <c r="DA46" s="87"/>
      <c r="DB46" s="87"/>
      <c r="DC46" s="87"/>
      <c r="DD46" s="87"/>
      <c r="DE46" s="87"/>
      <c r="DF46" s="87"/>
      <c r="DG46" s="87"/>
      <c r="DH46" s="87"/>
      <c r="DI46" s="87"/>
      <c r="DJ46" s="87"/>
      <c r="DK46" s="87"/>
      <c r="DL46" s="87"/>
      <c r="DM46" s="87"/>
      <c r="DN46" s="87"/>
      <c r="DO46" s="87"/>
      <c r="DP46" s="87"/>
      <c r="DQ46" s="87"/>
      <c r="DR46" s="87"/>
      <c r="DS46" s="87"/>
      <c r="DT46" s="87"/>
      <c r="DU46" s="87"/>
      <c r="DV46" s="87"/>
      <c r="DW46" s="87"/>
      <c r="DX46" s="87"/>
      <c r="DY46" s="87"/>
      <c r="DZ46" s="87"/>
      <c r="EA46" s="87"/>
      <c r="EB46" s="87"/>
      <c r="EC46" s="87"/>
      <c r="ED46" s="87"/>
      <c r="EE46" s="87"/>
      <c r="EF46" s="87"/>
      <c r="EG46" s="87"/>
      <c r="EH46" s="87"/>
      <c r="EI46" s="87"/>
    </row>
    <row r="47" spans="1:139" ht="16.5" hidden="1" thickBot="1" x14ac:dyDescent="0.35">
      <c r="A47" s="154" t="s">
        <v>217</v>
      </c>
      <c r="B47" s="107">
        <v>3</v>
      </c>
      <c r="C47" s="108">
        <f>57*0.3</f>
        <v>17.099999999999998</v>
      </c>
      <c r="D47" s="91">
        <f>C47/VLOOKUP(B47,'[2]Gas Prod per PADD'!$A$1:$C$6,2,FALSE)</f>
        <v>3.7173913043478256E-3</v>
      </c>
      <c r="E47" s="109">
        <v>45324</v>
      </c>
      <c r="F47" s="110">
        <v>45350</v>
      </c>
      <c r="G47" s="111" t="s">
        <v>218</v>
      </c>
      <c r="H47" s="112" t="s">
        <v>219</v>
      </c>
      <c r="I47" s="84"/>
      <c r="J47" s="85"/>
      <c r="K47" s="85">
        <f>C47*(E47-F47)/28</f>
        <v>-15.878571428571428</v>
      </c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4"/>
      <c r="W47" s="84"/>
      <c r="X47" s="84" t="str">
        <f t="shared" si="0"/>
        <v>OK</v>
      </c>
      <c r="Y47" s="105"/>
      <c r="Z47" s="105"/>
      <c r="AA47" s="87"/>
      <c r="AB47" s="87"/>
      <c r="AC47" s="87"/>
      <c r="AD47" s="87"/>
      <c r="AE47" s="105"/>
      <c r="AF47" s="105"/>
      <c r="AG47" s="105"/>
      <c r="AH47" s="105"/>
      <c r="AI47" s="87"/>
      <c r="AJ47" s="87"/>
      <c r="AK47" s="105"/>
      <c r="AL47" s="87"/>
      <c r="AM47" s="87">
        <f>(-7/7)*0.3*57</f>
        <v>-17.099999999999998</v>
      </c>
      <c r="AN47" s="87"/>
      <c r="AO47" s="87"/>
      <c r="AP47" s="87">
        <f>C47*1/7</f>
        <v>2.4428571428571426</v>
      </c>
      <c r="AQ47" s="105">
        <f>C47-AP47-5</f>
        <v>9.6571428571428548</v>
      </c>
      <c r="AR47" s="105">
        <f>C47-AP47-AQ47</f>
        <v>5</v>
      </c>
      <c r="AS47" s="87"/>
      <c r="AT47" s="105"/>
      <c r="AU47" s="87"/>
      <c r="AV47" s="87"/>
      <c r="AW47" s="87"/>
      <c r="AX47" s="87"/>
      <c r="AY47" s="87"/>
      <c r="AZ47" s="87"/>
      <c r="BA47" s="87"/>
      <c r="BB47" s="87"/>
      <c r="BC47" s="87"/>
      <c r="BD47" s="87"/>
      <c r="BE47" s="87"/>
      <c r="BF47" s="87"/>
      <c r="BG47" s="87"/>
      <c r="BH47" s="87"/>
      <c r="BI47" s="87"/>
      <c r="BJ47" s="87"/>
      <c r="BK47" s="87"/>
      <c r="BL47" s="87"/>
      <c r="BM47" s="87"/>
      <c r="BN47" s="87"/>
      <c r="BO47" s="87"/>
      <c r="BP47" s="87"/>
      <c r="BQ47" s="87"/>
      <c r="BR47" s="87"/>
      <c r="BS47" s="87"/>
      <c r="BT47" s="87"/>
      <c r="BU47" s="87"/>
      <c r="BV47" s="87"/>
      <c r="BW47" s="87"/>
      <c r="BX47" s="87"/>
      <c r="BY47" s="87"/>
      <c r="BZ47" s="87"/>
      <c r="CA47" s="87"/>
      <c r="CB47" s="87"/>
      <c r="CC47" s="87"/>
      <c r="CD47" s="87"/>
      <c r="CE47" s="87"/>
      <c r="CF47" s="87"/>
      <c r="CG47" s="87"/>
      <c r="CH47" s="87"/>
      <c r="CI47" s="87"/>
      <c r="CJ47" s="87"/>
      <c r="CK47" s="87"/>
      <c r="CL47" s="87"/>
      <c r="CM47" s="87"/>
      <c r="CN47" s="87"/>
      <c r="CO47" s="87"/>
      <c r="CP47" s="87"/>
      <c r="CQ47" s="87"/>
      <c r="CR47" s="87"/>
      <c r="CS47" s="87"/>
      <c r="CT47" s="87"/>
      <c r="CU47" s="87"/>
      <c r="CV47" s="87"/>
      <c r="CW47" s="87"/>
      <c r="CX47" s="87"/>
      <c r="CY47" s="87"/>
      <c r="CZ47" s="87"/>
      <c r="DA47" s="87"/>
      <c r="DB47" s="87"/>
      <c r="DC47" s="87"/>
      <c r="DD47" s="87"/>
      <c r="DE47" s="87"/>
      <c r="DF47" s="87"/>
      <c r="DG47" s="87"/>
      <c r="DH47" s="87"/>
      <c r="DI47" s="87"/>
      <c r="DJ47" s="87"/>
      <c r="DK47" s="87"/>
      <c r="DL47" s="87"/>
      <c r="DM47" s="87"/>
      <c r="DN47" s="87"/>
      <c r="DO47" s="87"/>
      <c r="DP47" s="87"/>
      <c r="DQ47" s="87"/>
      <c r="DR47" s="87"/>
      <c r="DS47" s="87"/>
      <c r="DT47" s="87"/>
      <c r="DU47" s="87"/>
      <c r="DV47" s="87"/>
      <c r="DW47" s="87"/>
      <c r="DX47" s="87"/>
      <c r="DY47" s="87"/>
      <c r="DZ47" s="87"/>
      <c r="EA47" s="87"/>
      <c r="EB47" s="87"/>
      <c r="EC47" s="87"/>
      <c r="ED47" s="87"/>
      <c r="EE47" s="87"/>
      <c r="EF47" s="87"/>
      <c r="EG47" s="87"/>
      <c r="EH47" s="87"/>
      <c r="EI47" s="87"/>
    </row>
    <row r="48" spans="1:139" ht="16.5" hidden="1" thickBot="1" x14ac:dyDescent="0.35">
      <c r="A48" s="140" t="s">
        <v>121</v>
      </c>
      <c r="B48" s="118">
        <v>3</v>
      </c>
      <c r="C48" s="115"/>
      <c r="D48" s="91">
        <f>C48/VLOOKUP(B48,'[2]Gas Prod per PADD'!$A$1:$C$6,2,FALSE)</f>
        <v>0</v>
      </c>
      <c r="E48" s="116">
        <v>45325</v>
      </c>
      <c r="F48" s="117">
        <v>45350</v>
      </c>
      <c r="G48" s="118" t="s">
        <v>220</v>
      </c>
      <c r="H48" s="119"/>
      <c r="I48" s="84"/>
      <c r="J48" s="85"/>
      <c r="K48" s="85">
        <f>C48*(E48-F48)/28</f>
        <v>0</v>
      </c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4"/>
      <c r="W48" s="84"/>
      <c r="X48" s="84" t="str">
        <f t="shared" si="0"/>
        <v>Missing</v>
      </c>
      <c r="Y48" s="87"/>
      <c r="Z48" s="87"/>
      <c r="AA48" s="87"/>
      <c r="AB48" s="87"/>
      <c r="AC48" s="87"/>
      <c r="AD48" s="87"/>
      <c r="AE48" s="87"/>
      <c r="AF48" s="87"/>
      <c r="AG48" s="87"/>
      <c r="AH48" s="87"/>
      <c r="AI48" s="87"/>
      <c r="AJ48" s="105"/>
      <c r="AK48" s="105"/>
      <c r="AL48" s="105"/>
      <c r="AM48" s="87"/>
      <c r="AN48" s="87"/>
      <c r="AO48" s="87"/>
      <c r="AP48" s="87"/>
      <c r="AQ48" s="87"/>
      <c r="AR48" s="87"/>
      <c r="AS48" s="87"/>
      <c r="AT48" s="87"/>
      <c r="AU48" s="87"/>
      <c r="AV48" s="87"/>
      <c r="AW48" s="87"/>
      <c r="AX48" s="87"/>
      <c r="AY48" s="87"/>
      <c r="AZ48" s="87"/>
      <c r="BA48" s="87"/>
      <c r="BB48" s="87"/>
      <c r="BC48" s="87"/>
      <c r="BD48" s="87"/>
      <c r="BE48" s="87"/>
      <c r="BF48" s="87"/>
      <c r="BG48" s="87"/>
      <c r="BH48" s="87"/>
      <c r="BI48" s="87"/>
      <c r="BJ48" s="87"/>
      <c r="BK48" s="87"/>
      <c r="BL48" s="87"/>
      <c r="BM48" s="87"/>
      <c r="BN48" s="87"/>
      <c r="BO48" s="87"/>
      <c r="BP48" s="87"/>
      <c r="BQ48" s="87"/>
      <c r="BR48" s="87"/>
      <c r="BS48" s="87"/>
      <c r="BT48" s="87"/>
      <c r="BU48" s="87"/>
      <c r="BV48" s="87"/>
      <c r="BW48" s="87"/>
      <c r="BX48" s="87"/>
      <c r="BY48" s="87"/>
      <c r="BZ48" s="87"/>
      <c r="CA48" s="87"/>
      <c r="CB48" s="87"/>
      <c r="CC48" s="87"/>
      <c r="CD48" s="87"/>
      <c r="CE48" s="87"/>
      <c r="CF48" s="87"/>
      <c r="CG48" s="87"/>
      <c r="CH48" s="87"/>
      <c r="CI48" s="87"/>
      <c r="CJ48" s="87"/>
      <c r="CK48" s="87"/>
      <c r="CL48" s="87"/>
      <c r="CM48" s="87"/>
      <c r="CN48" s="87"/>
      <c r="CO48" s="87"/>
      <c r="CP48" s="87"/>
      <c r="CQ48" s="87"/>
      <c r="CR48" s="87"/>
      <c r="CS48" s="87"/>
      <c r="CT48" s="87"/>
      <c r="CU48" s="87"/>
      <c r="CV48" s="87"/>
      <c r="CW48" s="87"/>
      <c r="CX48" s="87"/>
      <c r="CY48" s="87"/>
      <c r="CZ48" s="87"/>
      <c r="DA48" s="87"/>
      <c r="DB48" s="87"/>
      <c r="DC48" s="87"/>
      <c r="DD48" s="87"/>
      <c r="DE48" s="87"/>
      <c r="DF48" s="87"/>
      <c r="DG48" s="87"/>
      <c r="DH48" s="87"/>
      <c r="DI48" s="87"/>
      <c r="DJ48" s="87"/>
      <c r="DK48" s="87"/>
      <c r="DL48" s="87"/>
      <c r="DM48" s="87"/>
      <c r="DN48" s="87"/>
      <c r="DO48" s="87"/>
      <c r="DP48" s="87"/>
      <c r="DQ48" s="87"/>
      <c r="DR48" s="87"/>
      <c r="DS48" s="87"/>
      <c r="DT48" s="87"/>
      <c r="DU48" s="87"/>
      <c r="DV48" s="87"/>
      <c r="DW48" s="87"/>
      <c r="DX48" s="87"/>
      <c r="DY48" s="87"/>
      <c r="DZ48" s="87"/>
      <c r="EA48" s="87"/>
      <c r="EB48" s="87"/>
      <c r="EC48" s="87"/>
      <c r="ED48" s="87"/>
      <c r="EE48" s="87"/>
      <c r="EF48" s="87"/>
      <c r="EG48" s="87"/>
      <c r="EH48" s="87"/>
      <c r="EI48" s="87"/>
    </row>
    <row r="49" spans="1:139" ht="16.5" hidden="1" thickBot="1" x14ac:dyDescent="0.35">
      <c r="A49" s="159" t="s">
        <v>210</v>
      </c>
      <c r="B49" s="107">
        <v>3</v>
      </c>
      <c r="C49" s="108">
        <f>78*0.65-0.7</f>
        <v>50</v>
      </c>
      <c r="D49" s="163">
        <f>C49/VLOOKUP(B49,'[2]Gas Prod per PADD'!$A$1:$C$6,2,FALSE)</f>
        <v>1.0869565217391304E-2</v>
      </c>
      <c r="E49" s="109">
        <v>45331</v>
      </c>
      <c r="F49" s="110">
        <v>45350</v>
      </c>
      <c r="G49" s="111" t="s">
        <v>221</v>
      </c>
      <c r="H49" s="112" t="s">
        <v>222</v>
      </c>
      <c r="I49" s="84"/>
      <c r="J49" s="85"/>
      <c r="K49" s="85">
        <f>C49*(E49-F49)/29</f>
        <v>-32.758620689655174</v>
      </c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4"/>
      <c r="W49" s="84"/>
      <c r="X49" s="84" t="str">
        <f t="shared" si="0"/>
        <v>OK</v>
      </c>
      <c r="Y49" s="105"/>
      <c r="Z49" s="105"/>
      <c r="AA49" s="87"/>
      <c r="AB49" s="87"/>
      <c r="AC49" s="87"/>
      <c r="AD49" s="87"/>
      <c r="AE49" s="105"/>
      <c r="AF49" s="105"/>
      <c r="AG49" s="105"/>
      <c r="AH49" s="105"/>
      <c r="AI49" s="87"/>
      <c r="AJ49" s="87"/>
      <c r="AK49" s="87"/>
      <c r="AL49" s="87"/>
      <c r="AM49" s="87"/>
      <c r="AN49" s="87">
        <f>-C49/2</f>
        <v>-25</v>
      </c>
      <c r="AO49" s="87">
        <f>AN49</f>
        <v>-25</v>
      </c>
      <c r="AP49" s="87">
        <f>2/7*C49*2/3</f>
        <v>9.5238095238095237</v>
      </c>
      <c r="AQ49" s="87">
        <f>-AN49</f>
        <v>25</v>
      </c>
      <c r="AR49" s="87">
        <f>C49-AP49-AQ49</f>
        <v>15.476190476190474</v>
      </c>
      <c r="AS49" s="87"/>
      <c r="AT49" s="87"/>
      <c r="AU49" s="87"/>
      <c r="AV49" s="87"/>
      <c r="AW49" s="87"/>
      <c r="AX49" s="87"/>
      <c r="AY49" s="87"/>
      <c r="AZ49" s="87"/>
      <c r="BA49" s="87"/>
      <c r="BB49" s="87"/>
      <c r="BC49" s="87"/>
      <c r="BD49" s="87"/>
      <c r="BE49" s="87"/>
      <c r="BF49" s="87"/>
      <c r="BG49" s="87"/>
      <c r="BH49" s="87"/>
      <c r="BI49" s="87"/>
      <c r="BJ49" s="87"/>
      <c r="BK49" s="87"/>
      <c r="BL49" s="87"/>
      <c r="BM49" s="87"/>
      <c r="BN49" s="87"/>
      <c r="BO49" s="87"/>
      <c r="BP49" s="87"/>
      <c r="BQ49" s="87"/>
      <c r="BR49" s="87"/>
      <c r="BS49" s="87"/>
      <c r="BT49" s="87"/>
      <c r="BU49" s="87"/>
      <c r="BV49" s="87"/>
      <c r="BW49" s="87"/>
      <c r="BX49" s="87"/>
      <c r="BY49" s="87"/>
      <c r="BZ49" s="87"/>
      <c r="CA49" s="87"/>
      <c r="CB49" s="87"/>
      <c r="CC49" s="87"/>
      <c r="CD49" s="87"/>
      <c r="CE49" s="87"/>
      <c r="CF49" s="87"/>
      <c r="CG49" s="87"/>
      <c r="CH49" s="87"/>
      <c r="CI49" s="87"/>
      <c r="CJ49" s="87"/>
      <c r="CK49" s="87"/>
      <c r="CL49" s="87"/>
      <c r="CM49" s="87"/>
      <c r="CN49" s="87"/>
      <c r="CO49" s="87"/>
      <c r="CP49" s="87"/>
      <c r="CQ49" s="87"/>
      <c r="CR49" s="87"/>
      <c r="CS49" s="87"/>
      <c r="CT49" s="87"/>
      <c r="CU49" s="87"/>
      <c r="CV49" s="87"/>
      <c r="CW49" s="87"/>
      <c r="CX49" s="87"/>
      <c r="CY49" s="87"/>
      <c r="CZ49" s="87"/>
      <c r="DA49" s="87"/>
      <c r="DB49" s="87"/>
      <c r="DC49" s="87"/>
      <c r="DD49" s="87"/>
      <c r="DE49" s="87"/>
      <c r="DF49" s="87"/>
      <c r="DG49" s="87"/>
      <c r="DH49" s="87"/>
      <c r="DI49" s="87"/>
      <c r="DJ49" s="87"/>
      <c r="DK49" s="87"/>
      <c r="DL49" s="87"/>
      <c r="DM49" s="87"/>
      <c r="DN49" s="87"/>
      <c r="DO49" s="87"/>
      <c r="DP49" s="87"/>
      <c r="DQ49" s="87"/>
      <c r="DR49" s="87"/>
      <c r="DS49" s="87"/>
      <c r="DT49" s="87"/>
      <c r="DU49" s="87"/>
      <c r="DV49" s="87"/>
      <c r="DW49" s="87"/>
      <c r="DX49" s="87"/>
      <c r="DY49" s="87"/>
      <c r="DZ49" s="87"/>
      <c r="EA49" s="87"/>
      <c r="EB49" s="87"/>
      <c r="EC49" s="87"/>
      <c r="ED49" s="87"/>
      <c r="EE49" s="87"/>
      <c r="EF49" s="87"/>
      <c r="EG49" s="87"/>
      <c r="EH49" s="87"/>
      <c r="EI49" s="87"/>
    </row>
    <row r="50" spans="1:139" ht="16.5" hidden="1" thickBot="1" x14ac:dyDescent="0.35">
      <c r="A50" s="164" t="s">
        <v>223</v>
      </c>
      <c r="B50" s="165">
        <v>2</v>
      </c>
      <c r="C50" s="166"/>
      <c r="D50" s="167">
        <f>C50/VLOOKUP(B50,'[2]Gas Prod per PADD'!$A$1:$C$6,2,FALSE)</f>
        <v>0</v>
      </c>
      <c r="E50" s="144">
        <v>45348</v>
      </c>
      <c r="F50" s="145">
        <v>45350</v>
      </c>
      <c r="G50" s="165" t="s">
        <v>224</v>
      </c>
      <c r="H50" s="168"/>
      <c r="I50" s="84"/>
      <c r="J50" s="85"/>
      <c r="K50" s="85">
        <f>C50*(E50-F50)/28</f>
        <v>0</v>
      </c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4"/>
      <c r="W50" s="84"/>
      <c r="X50" s="84" t="str">
        <f t="shared" si="0"/>
        <v>Missing</v>
      </c>
      <c r="Y50" s="87"/>
      <c r="Z50" s="87"/>
      <c r="AA50" s="87"/>
      <c r="AB50" s="87"/>
      <c r="AC50" s="87"/>
      <c r="AD50" s="87"/>
      <c r="AE50" s="87"/>
      <c r="AF50" s="87"/>
      <c r="AG50" s="87"/>
      <c r="AH50" s="87"/>
      <c r="AI50" s="87"/>
      <c r="AJ50" s="87"/>
      <c r="AK50" s="87"/>
      <c r="AL50" s="87"/>
      <c r="AM50" s="87"/>
      <c r="AN50" s="87"/>
      <c r="AO50" s="87"/>
      <c r="AP50" s="87"/>
      <c r="AQ50" s="87"/>
      <c r="AR50" s="87"/>
      <c r="AS50" s="87"/>
      <c r="AT50" s="87"/>
      <c r="AU50" s="87"/>
      <c r="AV50" s="87"/>
      <c r="AW50" s="87"/>
      <c r="AX50" s="87"/>
      <c r="AY50" s="87"/>
      <c r="AZ50" s="87"/>
      <c r="BA50" s="87"/>
      <c r="BB50" s="87"/>
      <c r="BC50" s="87"/>
      <c r="BD50" s="87"/>
      <c r="BE50" s="87"/>
      <c r="BF50" s="87"/>
      <c r="BG50" s="87"/>
      <c r="BH50" s="87"/>
      <c r="BI50" s="87"/>
      <c r="BJ50" s="87"/>
      <c r="BK50" s="87"/>
      <c r="BL50" s="87"/>
      <c r="BM50" s="87"/>
      <c r="BN50" s="87"/>
      <c r="BO50" s="87"/>
      <c r="BP50" s="87"/>
      <c r="BQ50" s="87"/>
      <c r="BR50" s="87"/>
      <c r="BS50" s="87"/>
      <c r="BT50" s="87"/>
      <c r="BU50" s="87"/>
      <c r="BV50" s="87"/>
      <c r="BW50" s="87"/>
      <c r="BX50" s="87"/>
      <c r="BY50" s="87"/>
      <c r="BZ50" s="87"/>
      <c r="CA50" s="87"/>
      <c r="CB50" s="87"/>
      <c r="CC50" s="87"/>
      <c r="CD50" s="87"/>
      <c r="CE50" s="87"/>
      <c r="CF50" s="87"/>
      <c r="CG50" s="87"/>
      <c r="CH50" s="87"/>
      <c r="CI50" s="87"/>
      <c r="CJ50" s="87"/>
      <c r="CK50" s="87"/>
      <c r="CL50" s="87"/>
      <c r="CM50" s="87"/>
      <c r="CN50" s="87"/>
      <c r="CO50" s="87"/>
      <c r="CP50" s="87"/>
      <c r="CQ50" s="87"/>
      <c r="CR50" s="87"/>
      <c r="CS50" s="87"/>
      <c r="CT50" s="87"/>
      <c r="CU50" s="87"/>
      <c r="CV50" s="87"/>
      <c r="CW50" s="87"/>
      <c r="CX50" s="87"/>
      <c r="CY50" s="87"/>
      <c r="CZ50" s="87"/>
      <c r="DA50" s="87"/>
      <c r="DB50" s="87"/>
      <c r="DC50" s="87"/>
      <c r="DD50" s="87"/>
      <c r="DE50" s="87"/>
      <c r="DF50" s="87"/>
      <c r="DG50" s="87"/>
      <c r="DH50" s="87"/>
      <c r="DI50" s="87"/>
      <c r="DJ50" s="87"/>
      <c r="DK50" s="87"/>
      <c r="DL50" s="87"/>
      <c r="DM50" s="87"/>
      <c r="DN50" s="87"/>
      <c r="DO50" s="87"/>
      <c r="DP50" s="87"/>
      <c r="DQ50" s="87"/>
      <c r="DR50" s="87"/>
      <c r="DS50" s="87"/>
      <c r="DT50" s="87"/>
      <c r="DU50" s="87"/>
      <c r="DV50" s="87"/>
      <c r="DW50" s="87"/>
      <c r="DX50" s="87"/>
      <c r="DY50" s="87"/>
      <c r="DZ50" s="87"/>
      <c r="EA50" s="87"/>
      <c r="EB50" s="87"/>
      <c r="EC50" s="87"/>
      <c r="ED50" s="87"/>
      <c r="EE50" s="87"/>
      <c r="EF50" s="87"/>
      <c r="EG50" s="87"/>
      <c r="EH50" s="87"/>
      <c r="EI50" s="87"/>
    </row>
    <row r="51" spans="1:139" ht="29.25" hidden="1" thickBot="1" x14ac:dyDescent="0.35">
      <c r="A51" s="169" t="s">
        <v>225</v>
      </c>
      <c r="B51" s="170">
        <v>3</v>
      </c>
      <c r="C51" s="136">
        <f>335*0.26+110*0.2-9.1</f>
        <v>100.00000000000001</v>
      </c>
      <c r="D51" s="167">
        <f>C51/VLOOKUP(B51,'[2]Gas Prod per PADD'!$A$1:$C$6,2,FALSE)</f>
        <v>2.1739130434782612E-2</v>
      </c>
      <c r="E51" s="171">
        <v>45299</v>
      </c>
      <c r="F51" s="172">
        <v>45351</v>
      </c>
      <c r="G51" s="138" t="s">
        <v>226</v>
      </c>
      <c r="H51" s="173" t="s">
        <v>227</v>
      </c>
      <c r="I51" s="84"/>
      <c r="J51" s="85">
        <f>C51*(E51-$J$1)/31</f>
        <v>-74.193548387096783</v>
      </c>
      <c r="K51" s="85">
        <f>C51*($J$1+1-F51)/29</f>
        <v>-96.551724137931046</v>
      </c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4"/>
      <c r="W51" s="84"/>
      <c r="X51" s="84" t="str">
        <f t="shared" si="0"/>
        <v>OK</v>
      </c>
      <c r="Y51" s="105"/>
      <c r="Z51" s="105"/>
      <c r="AA51" s="87"/>
      <c r="AB51" s="87"/>
      <c r="AC51" s="87"/>
      <c r="AD51" s="87"/>
      <c r="AE51" s="105"/>
      <c r="AF51" s="105"/>
      <c r="AG51" s="105"/>
      <c r="AH51" s="105"/>
      <c r="AI51" s="87" t="e">
        <f>(E51-#REF!)/7*100</f>
        <v>#REF!</v>
      </c>
      <c r="AJ51" s="87" t="e">
        <f>-100-AI51</f>
        <v>#REF!</v>
      </c>
      <c r="AK51" s="87"/>
      <c r="AL51" s="87"/>
      <c r="AM51" s="87"/>
      <c r="AN51" s="87"/>
      <c r="AO51" s="87">
        <f>335*0.26/2</f>
        <v>43.550000000000004</v>
      </c>
      <c r="AP51" s="87" t="e">
        <f>(#REF!-$F51)/7*$C51</f>
        <v>#REF!</v>
      </c>
      <c r="AQ51" s="87" t="e">
        <f>C51-AP51-45</f>
        <v>#REF!</v>
      </c>
      <c r="AR51" s="87" t="e">
        <f>C51-AP51-AQ51-AO51</f>
        <v>#REF!</v>
      </c>
      <c r="AS51" s="87"/>
      <c r="AT51" s="87"/>
      <c r="AU51" s="87"/>
      <c r="AV51" s="87"/>
      <c r="AW51" s="87"/>
      <c r="AX51" s="87"/>
      <c r="AY51" s="87"/>
      <c r="AZ51" s="87"/>
      <c r="BA51" s="87"/>
      <c r="BB51" s="87"/>
      <c r="BC51" s="87"/>
      <c r="BD51" s="87"/>
      <c r="BE51" s="87"/>
      <c r="BF51" s="87"/>
      <c r="BG51" s="87"/>
      <c r="BH51" s="87"/>
      <c r="BI51" s="87"/>
      <c r="BJ51" s="87"/>
      <c r="BK51" s="87"/>
      <c r="BL51" s="87"/>
      <c r="BM51" s="87"/>
      <c r="BN51" s="87"/>
      <c r="BO51" s="87"/>
      <c r="BP51" s="87"/>
      <c r="BQ51" s="87"/>
      <c r="BR51" s="87"/>
      <c r="BS51" s="87"/>
      <c r="BT51" s="87"/>
      <c r="BU51" s="87"/>
      <c r="BV51" s="87"/>
      <c r="BW51" s="87"/>
      <c r="BX51" s="87"/>
      <c r="BY51" s="87"/>
      <c r="BZ51" s="87"/>
      <c r="CA51" s="87"/>
      <c r="CB51" s="87"/>
      <c r="CC51" s="87"/>
      <c r="CD51" s="87"/>
      <c r="CE51" s="87"/>
      <c r="CF51" s="87"/>
      <c r="CG51" s="87"/>
      <c r="CH51" s="87"/>
      <c r="CI51" s="87"/>
      <c r="CJ51" s="87"/>
      <c r="CK51" s="87"/>
      <c r="CL51" s="87"/>
      <c r="CM51" s="87"/>
      <c r="CN51" s="87"/>
      <c r="CO51" s="87"/>
      <c r="CP51" s="87"/>
      <c r="CQ51" s="87"/>
      <c r="CR51" s="87"/>
      <c r="CS51" s="87"/>
      <c r="CT51" s="87"/>
      <c r="CU51" s="87"/>
      <c r="CV51" s="87"/>
      <c r="CW51" s="87"/>
      <c r="CX51" s="87"/>
      <c r="CY51" s="87"/>
      <c r="CZ51" s="87"/>
      <c r="DA51" s="87"/>
      <c r="DB51" s="87"/>
      <c r="DC51" s="87"/>
      <c r="DD51" s="87"/>
      <c r="DE51" s="87"/>
      <c r="DF51" s="87"/>
      <c r="DG51" s="87"/>
      <c r="DH51" s="87"/>
      <c r="DI51" s="87"/>
      <c r="DJ51" s="87"/>
      <c r="DK51" s="87"/>
      <c r="DL51" s="87"/>
      <c r="DM51" s="87"/>
      <c r="DN51" s="87"/>
      <c r="DO51" s="87"/>
      <c r="DP51" s="87"/>
      <c r="DQ51" s="87"/>
      <c r="DR51" s="87"/>
      <c r="DS51" s="87"/>
      <c r="DT51" s="87"/>
      <c r="DU51" s="87"/>
      <c r="DV51" s="87"/>
      <c r="DW51" s="87"/>
      <c r="DX51" s="87"/>
      <c r="DY51" s="87"/>
      <c r="DZ51" s="87"/>
      <c r="EA51" s="87"/>
      <c r="EB51" s="87"/>
      <c r="EC51" s="87"/>
      <c r="ED51" s="87"/>
      <c r="EE51" s="87"/>
      <c r="EF51" s="87"/>
      <c r="EG51" s="87"/>
      <c r="EH51" s="87"/>
      <c r="EI51" s="87"/>
    </row>
    <row r="52" spans="1:139" ht="16.5" hidden="1" thickBot="1" x14ac:dyDescent="0.35">
      <c r="A52" s="174" t="s">
        <v>152</v>
      </c>
      <c r="B52" s="149">
        <v>3</v>
      </c>
      <c r="C52" s="150"/>
      <c r="D52" s="79">
        <f>C52/VLOOKUP(B52,'[2]Gas Prod per PADD'!$A$1:$C$6,2,FALSE)</f>
        <v>0</v>
      </c>
      <c r="E52" s="151">
        <v>45315</v>
      </c>
      <c r="F52" s="152">
        <v>45352</v>
      </c>
      <c r="G52" s="149" t="s">
        <v>228</v>
      </c>
      <c r="H52" s="133"/>
      <c r="I52" s="84"/>
      <c r="J52" s="85">
        <f>C52*(E52-$J$1)/31</f>
        <v>0</v>
      </c>
      <c r="K52" s="85"/>
      <c r="L52" s="85">
        <f t="shared" ref="L52:L62" si="2">C52*($K$1+1-F52)/31</f>
        <v>0</v>
      </c>
      <c r="M52" s="85"/>
      <c r="N52" s="85"/>
      <c r="O52" s="85"/>
      <c r="P52" s="85"/>
      <c r="Q52" s="85"/>
      <c r="R52" s="85"/>
      <c r="S52" s="85"/>
      <c r="T52" s="85"/>
      <c r="U52" s="85"/>
      <c r="V52" s="84"/>
      <c r="W52" s="84"/>
      <c r="X52" s="84" t="str">
        <f t="shared" si="0"/>
        <v>Missing</v>
      </c>
      <c r="Y52" s="87"/>
      <c r="Z52" s="87"/>
      <c r="AA52" s="87"/>
      <c r="AB52" s="87"/>
      <c r="AC52" s="87"/>
      <c r="AD52" s="87"/>
      <c r="AE52" s="87"/>
      <c r="AF52" s="87"/>
      <c r="AG52" s="87"/>
      <c r="AH52" s="87"/>
      <c r="AI52" s="87"/>
      <c r="AJ52" s="87"/>
      <c r="AK52" s="87"/>
      <c r="AL52" s="87"/>
      <c r="AM52" s="87"/>
      <c r="AN52" s="87"/>
      <c r="AO52" s="87"/>
      <c r="AP52" s="87"/>
      <c r="AQ52" s="87"/>
      <c r="AR52" s="87"/>
      <c r="AS52" s="87"/>
      <c r="AT52" s="87"/>
      <c r="AU52" s="87"/>
      <c r="AV52" s="87"/>
      <c r="AW52" s="87"/>
      <c r="AX52" s="87"/>
      <c r="AY52" s="87"/>
      <c r="AZ52" s="87"/>
      <c r="BA52" s="87"/>
      <c r="BB52" s="87"/>
      <c r="BC52" s="87"/>
      <c r="BD52" s="87"/>
      <c r="BE52" s="87"/>
      <c r="BF52" s="87"/>
      <c r="BG52" s="87"/>
      <c r="BH52" s="87"/>
      <c r="BI52" s="87"/>
      <c r="BJ52" s="87"/>
      <c r="BK52" s="87"/>
      <c r="BL52" s="87"/>
      <c r="BM52" s="87"/>
      <c r="BN52" s="87"/>
      <c r="BO52" s="87"/>
      <c r="BP52" s="87"/>
      <c r="BQ52" s="87"/>
      <c r="BR52" s="87"/>
      <c r="BS52" s="87"/>
      <c r="BT52" s="87"/>
      <c r="BU52" s="87"/>
      <c r="BV52" s="87"/>
      <c r="BW52" s="87"/>
      <c r="BX52" s="87"/>
      <c r="BY52" s="87"/>
      <c r="BZ52" s="87"/>
      <c r="CA52" s="87"/>
      <c r="CB52" s="87"/>
      <c r="CC52" s="87"/>
      <c r="CD52" s="87"/>
      <c r="CE52" s="87"/>
      <c r="CF52" s="87"/>
      <c r="CG52" s="87"/>
      <c r="CH52" s="87"/>
      <c r="CI52" s="87"/>
      <c r="CJ52" s="87"/>
      <c r="CK52" s="87"/>
      <c r="CL52" s="87"/>
      <c r="CM52" s="87"/>
      <c r="CN52" s="87"/>
      <c r="CO52" s="87"/>
      <c r="CP52" s="87"/>
      <c r="CQ52" s="87"/>
      <c r="CR52" s="87"/>
      <c r="CS52" s="87"/>
      <c r="CT52" s="87"/>
      <c r="CU52" s="87"/>
      <c r="CV52" s="87"/>
      <c r="CW52" s="87"/>
      <c r="CX52" s="87"/>
      <c r="CY52" s="87"/>
      <c r="CZ52" s="87"/>
      <c r="DA52" s="87"/>
      <c r="DB52" s="87"/>
      <c r="DC52" s="87"/>
      <c r="DD52" s="87"/>
      <c r="DE52" s="87"/>
      <c r="DF52" s="87"/>
      <c r="DG52" s="87"/>
      <c r="DH52" s="87"/>
      <c r="DI52" s="87"/>
      <c r="DJ52" s="87"/>
      <c r="DK52" s="87"/>
      <c r="DL52" s="87"/>
      <c r="DM52" s="87"/>
      <c r="DN52" s="87"/>
      <c r="DO52" s="87"/>
      <c r="DP52" s="87"/>
      <c r="DQ52" s="87"/>
      <c r="DR52" s="87"/>
      <c r="DS52" s="87"/>
      <c r="DT52" s="87"/>
      <c r="DU52" s="87"/>
      <c r="DV52" s="87"/>
      <c r="DW52" s="87"/>
      <c r="DX52" s="87"/>
      <c r="DY52" s="87"/>
      <c r="DZ52" s="87"/>
      <c r="EA52" s="87"/>
      <c r="EB52" s="87"/>
      <c r="EC52" s="87"/>
      <c r="ED52" s="87"/>
      <c r="EE52" s="87"/>
      <c r="EF52" s="87"/>
      <c r="EG52" s="87"/>
      <c r="EH52" s="87"/>
      <c r="EI52" s="87"/>
    </row>
    <row r="53" spans="1:139" ht="57.75" thickBot="1" x14ac:dyDescent="0.35">
      <c r="A53" s="175" t="s">
        <v>229</v>
      </c>
      <c r="B53" s="176">
        <v>2</v>
      </c>
      <c r="C53" s="177">
        <f>76*0.1+16*0.65+10*0.85+8*0.1</f>
        <v>27.3</v>
      </c>
      <c r="D53" s="91">
        <f>C53/VLOOKUP(B53,'[2]Gas Prod per PADD'!$A$1:$C$6,2,FALSE)</f>
        <v>1.1375E-2</v>
      </c>
      <c r="E53" s="178">
        <v>45333</v>
      </c>
      <c r="F53" s="179">
        <v>45352</v>
      </c>
      <c r="G53" s="180" t="s">
        <v>230</v>
      </c>
      <c r="H53" s="181" t="s">
        <v>216</v>
      </c>
      <c r="I53" s="84"/>
      <c r="J53" s="85"/>
      <c r="K53" s="85">
        <f>C53*(E53-$K$1)/29</f>
        <v>-16.944827586206898</v>
      </c>
      <c r="L53" s="85">
        <f t="shared" si="2"/>
        <v>0</v>
      </c>
      <c r="M53" s="85"/>
      <c r="N53" s="85"/>
      <c r="O53" s="85"/>
      <c r="P53" s="85"/>
      <c r="Q53" s="85"/>
      <c r="R53" s="85"/>
      <c r="S53" s="85"/>
      <c r="T53" s="85"/>
      <c r="U53" s="85"/>
      <c r="V53" s="84"/>
      <c r="W53" s="84"/>
      <c r="X53" s="84" t="str">
        <f t="shared" si="0"/>
        <v>OK</v>
      </c>
      <c r="Y53" s="105"/>
      <c r="Z53" s="105"/>
      <c r="AA53" s="87"/>
      <c r="AB53" s="87"/>
      <c r="AC53" s="87"/>
      <c r="AD53" s="87"/>
      <c r="AE53" s="105"/>
      <c r="AF53" s="105"/>
      <c r="AG53" s="105"/>
      <c r="AH53" s="105"/>
      <c r="AI53" s="87"/>
      <c r="AJ53" s="87"/>
      <c r="AK53" s="87"/>
      <c r="AL53" s="87"/>
      <c r="AM53" s="87"/>
      <c r="AN53" s="87">
        <f>($E53-$AN2)/7*$C53</f>
        <v>176798.7</v>
      </c>
      <c r="AO53" s="87">
        <f>(-2/7)*C53</f>
        <v>-7.8</v>
      </c>
      <c r="AP53" s="87"/>
      <c r="AQ53" s="87">
        <f>(5/7)*C53</f>
        <v>19.5</v>
      </c>
      <c r="AR53" s="105">
        <f>(2/7)*C53</f>
        <v>7.8</v>
      </c>
      <c r="AS53" s="87"/>
      <c r="AT53" s="87"/>
      <c r="AU53" s="87"/>
      <c r="AV53" s="87"/>
      <c r="AW53" s="87"/>
      <c r="AX53" s="87"/>
      <c r="AY53" s="87"/>
      <c r="AZ53" s="87"/>
      <c r="BA53" s="87"/>
      <c r="BB53" s="87"/>
      <c r="BC53" s="87"/>
      <c r="BD53" s="87"/>
      <c r="BE53" s="87"/>
      <c r="BF53" s="87"/>
      <c r="BG53" s="87"/>
      <c r="BH53" s="87"/>
      <c r="BI53" s="87"/>
      <c r="BJ53" s="87"/>
      <c r="BK53" s="87"/>
      <c r="BL53" s="87"/>
      <c r="BM53" s="87"/>
      <c r="BN53" s="87"/>
      <c r="BO53" s="87"/>
      <c r="BP53" s="87"/>
      <c r="BQ53" s="87"/>
      <c r="BR53" s="87"/>
      <c r="BS53" s="87"/>
      <c r="BT53" s="87"/>
      <c r="BU53" s="87"/>
      <c r="BV53" s="87"/>
      <c r="BW53" s="87"/>
      <c r="BX53" s="87"/>
      <c r="BY53" s="87"/>
      <c r="BZ53" s="87"/>
      <c r="CA53" s="87"/>
      <c r="CB53" s="87"/>
      <c r="CC53" s="87"/>
      <c r="CD53" s="87"/>
      <c r="CE53" s="87"/>
      <c r="CF53" s="87"/>
      <c r="CG53" s="87"/>
      <c r="CH53" s="87"/>
      <c r="CI53" s="87"/>
      <c r="CJ53" s="87"/>
      <c r="CK53" s="87"/>
      <c r="CL53" s="87"/>
      <c r="CM53" s="87"/>
      <c r="CN53" s="87"/>
      <c r="CO53" s="87"/>
      <c r="CP53" s="87"/>
      <c r="CQ53" s="87"/>
      <c r="CR53" s="87"/>
      <c r="CS53" s="87"/>
      <c r="CT53" s="87"/>
      <c r="CU53" s="87"/>
      <c r="CV53" s="87"/>
      <c r="CW53" s="87"/>
      <c r="CX53" s="87"/>
      <c r="CY53" s="87"/>
      <c r="CZ53" s="87"/>
      <c r="DA53" s="87"/>
      <c r="DB53" s="87"/>
      <c r="DC53" s="87"/>
      <c r="DD53" s="87"/>
      <c r="DE53" s="87"/>
      <c r="DF53" s="87"/>
      <c r="DG53" s="87"/>
      <c r="DH53" s="87"/>
      <c r="DI53" s="87"/>
      <c r="DJ53" s="87"/>
      <c r="DK53" s="87"/>
      <c r="DL53" s="87"/>
      <c r="DM53" s="87"/>
      <c r="DN53" s="87"/>
      <c r="DO53" s="87"/>
      <c r="DP53" s="87"/>
      <c r="DQ53" s="87"/>
      <c r="DR53" s="87"/>
      <c r="DS53" s="87"/>
      <c r="DT53" s="87"/>
      <c r="DU53" s="87"/>
      <c r="DV53" s="87"/>
      <c r="DW53" s="87"/>
      <c r="DX53" s="87"/>
      <c r="DY53" s="87"/>
      <c r="DZ53" s="87"/>
      <c r="EA53" s="87"/>
      <c r="EB53" s="87"/>
      <c r="EC53" s="87"/>
      <c r="ED53" s="87"/>
      <c r="EE53" s="87"/>
      <c r="EF53" s="87"/>
      <c r="EG53" s="87"/>
      <c r="EH53" s="87"/>
      <c r="EI53" s="87"/>
    </row>
    <row r="54" spans="1:139" ht="16.5" thickBot="1" x14ac:dyDescent="0.35">
      <c r="A54" s="161" t="s">
        <v>231</v>
      </c>
      <c r="B54" s="182">
        <v>2</v>
      </c>
      <c r="C54" s="183">
        <f>90*0.65+1.5</f>
        <v>60</v>
      </c>
      <c r="D54" s="91">
        <f>C54/VLOOKUP(B54,'[2]Gas Prod per PADD'!$A$1:$C$6,2,FALSE)</f>
        <v>2.5000000000000001E-2</v>
      </c>
      <c r="E54" s="184">
        <v>45347</v>
      </c>
      <c r="F54" s="185">
        <v>45352</v>
      </c>
      <c r="G54" s="186" t="s">
        <v>232</v>
      </c>
      <c r="H54" s="139" t="s">
        <v>233</v>
      </c>
      <c r="I54" s="84"/>
      <c r="J54" s="85"/>
      <c r="K54" s="85">
        <f t="shared" ref="K54:K59" si="3">C54*(E54-$K$1)/29</f>
        <v>-8.2758620689655178</v>
      </c>
      <c r="L54" s="85">
        <f t="shared" si="2"/>
        <v>0</v>
      </c>
      <c r="M54" s="85"/>
      <c r="N54" s="85"/>
      <c r="O54" s="85"/>
      <c r="P54" s="85"/>
      <c r="Q54" s="85"/>
      <c r="R54" s="85"/>
      <c r="S54" s="85"/>
      <c r="T54" s="85"/>
      <c r="U54" s="85"/>
      <c r="V54" s="84"/>
      <c r="W54" s="84"/>
      <c r="X54" s="84" t="str">
        <f t="shared" si="0"/>
        <v>OK</v>
      </c>
      <c r="Y54" s="105"/>
      <c r="Z54" s="105"/>
      <c r="AA54" s="87"/>
      <c r="AB54" s="87"/>
      <c r="AC54" s="87"/>
      <c r="AD54" s="87"/>
      <c r="AE54" s="105"/>
      <c r="AF54" s="105"/>
      <c r="AG54" s="105"/>
      <c r="AH54" s="87"/>
      <c r="AI54" s="87"/>
      <c r="AJ54" s="87"/>
      <c r="AK54" s="105"/>
      <c r="AL54" s="105"/>
      <c r="AM54" s="105"/>
      <c r="AN54" s="87"/>
      <c r="AO54" s="87"/>
      <c r="AP54" s="105" t="e">
        <f>(E54-#REF!)/7*C54/2</f>
        <v>#REF!</v>
      </c>
      <c r="AQ54" s="105"/>
      <c r="AR54" s="105">
        <v>21</v>
      </c>
      <c r="AS54" s="105"/>
      <c r="AT54" s="105"/>
      <c r="AU54" s="87"/>
      <c r="AV54" s="87"/>
      <c r="AW54" s="105"/>
      <c r="AX54" s="87"/>
      <c r="AY54" s="87"/>
      <c r="AZ54" s="87"/>
      <c r="BA54" s="87"/>
      <c r="BB54" s="87"/>
      <c r="BC54" s="87"/>
      <c r="BD54" s="87"/>
      <c r="BE54" s="87"/>
      <c r="BF54" s="87"/>
      <c r="BG54" s="87"/>
      <c r="BH54" s="87"/>
      <c r="BI54" s="87"/>
      <c r="BJ54" s="87"/>
      <c r="BK54" s="87"/>
      <c r="BL54" s="87"/>
      <c r="BM54" s="87"/>
      <c r="BN54" s="87"/>
      <c r="BO54" s="87"/>
      <c r="BP54" s="87"/>
      <c r="BQ54" s="87"/>
      <c r="BR54" s="87"/>
      <c r="BS54" s="87"/>
      <c r="BT54" s="87"/>
      <c r="BU54" s="87"/>
      <c r="BV54" s="87"/>
      <c r="BW54" s="87"/>
      <c r="BX54" s="87"/>
      <c r="BY54" s="87"/>
      <c r="BZ54" s="87"/>
      <c r="CA54" s="87"/>
      <c r="CB54" s="87"/>
      <c r="CC54" s="87"/>
      <c r="CD54" s="87"/>
      <c r="CE54" s="87"/>
      <c r="CF54" s="87"/>
      <c r="CG54" s="87"/>
      <c r="CH54" s="87"/>
      <c r="CI54" s="87"/>
      <c r="CJ54" s="87"/>
      <c r="CK54" s="87"/>
      <c r="CL54" s="87"/>
      <c r="CM54" s="87"/>
      <c r="CN54" s="87"/>
      <c r="CO54" s="87"/>
      <c r="CP54" s="87"/>
      <c r="CQ54" s="87"/>
      <c r="CR54" s="87"/>
      <c r="CS54" s="87"/>
      <c r="CT54" s="87"/>
      <c r="CU54" s="87"/>
      <c r="CV54" s="87"/>
      <c r="CW54" s="87"/>
      <c r="CX54" s="87"/>
      <c r="CY54" s="87"/>
      <c r="CZ54" s="87"/>
      <c r="DA54" s="87"/>
      <c r="DB54" s="87"/>
      <c r="DC54" s="87"/>
      <c r="DD54" s="87"/>
      <c r="DE54" s="87"/>
      <c r="DF54" s="87"/>
      <c r="DG54" s="87"/>
      <c r="DH54" s="87"/>
      <c r="DI54" s="87"/>
      <c r="DJ54" s="87"/>
      <c r="DK54" s="87"/>
      <c r="DL54" s="87"/>
      <c r="DM54" s="87"/>
      <c r="DN54" s="87"/>
      <c r="DO54" s="87"/>
      <c r="DP54" s="87"/>
      <c r="DQ54" s="87"/>
      <c r="DR54" s="87"/>
      <c r="DS54" s="87"/>
      <c r="DT54" s="87"/>
      <c r="DU54" s="87"/>
      <c r="DV54" s="87"/>
      <c r="DW54" s="87"/>
      <c r="DX54" s="87"/>
      <c r="DY54" s="87"/>
      <c r="DZ54" s="87"/>
      <c r="EA54" s="87"/>
      <c r="EB54" s="87"/>
      <c r="EC54" s="87"/>
      <c r="ED54" s="87"/>
      <c r="EE54" s="87"/>
      <c r="EF54" s="87"/>
      <c r="EG54" s="87"/>
      <c r="EH54" s="87"/>
      <c r="EI54" s="87"/>
    </row>
    <row r="55" spans="1:139" ht="16.5" thickBot="1" x14ac:dyDescent="0.35">
      <c r="A55" s="187" t="s">
        <v>223</v>
      </c>
      <c r="B55" s="118">
        <v>2</v>
      </c>
      <c r="C55" s="115"/>
      <c r="D55" s="91">
        <f>C55/VLOOKUP(B55,'[2]Gas Prod per PADD'!$A$1:$C$6,2,FALSE)</f>
        <v>0</v>
      </c>
      <c r="E55" s="116">
        <v>45348</v>
      </c>
      <c r="F55" s="117">
        <v>45353</v>
      </c>
      <c r="G55" s="118" t="s">
        <v>234</v>
      </c>
      <c r="H55" s="188"/>
      <c r="I55" s="84"/>
      <c r="J55" s="85"/>
      <c r="K55" s="85">
        <f t="shared" si="3"/>
        <v>0</v>
      </c>
      <c r="L55" s="85">
        <f t="shared" si="2"/>
        <v>0</v>
      </c>
      <c r="M55" s="85"/>
      <c r="N55" s="85"/>
      <c r="O55" s="85"/>
      <c r="P55" s="85"/>
      <c r="Q55" s="85"/>
      <c r="R55" s="85"/>
      <c r="S55" s="85"/>
      <c r="T55" s="85"/>
      <c r="U55" s="85"/>
      <c r="V55" s="84"/>
      <c r="W55" s="84"/>
      <c r="X55" s="84" t="str">
        <f t="shared" si="0"/>
        <v>Missing</v>
      </c>
      <c r="Y55" s="87"/>
      <c r="Z55" s="87"/>
      <c r="AA55" s="87"/>
      <c r="AB55" s="87"/>
      <c r="AC55" s="87"/>
      <c r="AD55" s="87"/>
      <c r="AE55" s="87"/>
      <c r="AF55" s="87"/>
      <c r="AG55" s="87"/>
      <c r="AH55" s="87"/>
      <c r="AI55" s="87"/>
      <c r="AJ55" s="87"/>
      <c r="AK55" s="87"/>
      <c r="AL55" s="87"/>
      <c r="AM55" s="87"/>
      <c r="AN55" s="87"/>
      <c r="AO55" s="87"/>
      <c r="AP55" s="87"/>
      <c r="AQ55" s="87"/>
      <c r="AR55" s="87"/>
      <c r="AS55" s="87"/>
      <c r="AT55" s="87"/>
      <c r="AU55" s="87"/>
      <c r="AV55" s="87"/>
      <c r="AW55" s="87"/>
      <c r="AX55" s="87"/>
      <c r="AY55" s="87"/>
      <c r="AZ55" s="87"/>
      <c r="BA55" s="87"/>
      <c r="BB55" s="87"/>
      <c r="BC55" s="87"/>
      <c r="BD55" s="87"/>
      <c r="BE55" s="87"/>
      <c r="BF55" s="87"/>
      <c r="BG55" s="87"/>
      <c r="BH55" s="87"/>
      <c r="BI55" s="87"/>
      <c r="BJ55" s="87"/>
      <c r="BK55" s="87"/>
      <c r="BL55" s="87"/>
      <c r="BM55" s="87"/>
      <c r="BN55" s="87"/>
      <c r="BO55" s="87"/>
      <c r="BP55" s="87"/>
      <c r="BQ55" s="87"/>
      <c r="BR55" s="87"/>
      <c r="BS55" s="87"/>
      <c r="BT55" s="87"/>
      <c r="BU55" s="87"/>
      <c r="BV55" s="87"/>
      <c r="BW55" s="87"/>
      <c r="BX55" s="87"/>
      <c r="BY55" s="87"/>
      <c r="BZ55" s="87"/>
      <c r="CA55" s="87"/>
      <c r="CB55" s="87"/>
      <c r="CC55" s="87"/>
      <c r="CD55" s="87"/>
      <c r="CE55" s="87"/>
      <c r="CF55" s="87"/>
      <c r="CG55" s="87"/>
      <c r="CH55" s="87"/>
      <c r="CI55" s="87"/>
      <c r="CJ55" s="87"/>
      <c r="CK55" s="87"/>
      <c r="CL55" s="87"/>
      <c r="CM55" s="87"/>
      <c r="CN55" s="87"/>
      <c r="CO55" s="87"/>
      <c r="CP55" s="87"/>
      <c r="CQ55" s="87"/>
      <c r="CR55" s="87"/>
      <c r="CS55" s="87"/>
      <c r="CT55" s="87"/>
      <c r="CU55" s="87"/>
      <c r="CV55" s="87"/>
      <c r="CW55" s="87"/>
      <c r="CX55" s="87"/>
      <c r="CY55" s="87"/>
      <c r="CZ55" s="87"/>
      <c r="DA55" s="87"/>
      <c r="DB55" s="87"/>
      <c r="DC55" s="87"/>
      <c r="DD55" s="87"/>
      <c r="DE55" s="87"/>
      <c r="DF55" s="87"/>
      <c r="DG55" s="87"/>
      <c r="DH55" s="87"/>
      <c r="DI55" s="87"/>
      <c r="DJ55" s="87"/>
      <c r="DK55" s="87"/>
      <c r="DL55" s="87"/>
      <c r="DM55" s="87"/>
      <c r="DN55" s="87"/>
      <c r="DO55" s="87"/>
      <c r="DP55" s="87"/>
      <c r="DQ55" s="87"/>
      <c r="DR55" s="87"/>
      <c r="DS55" s="87"/>
      <c r="DT55" s="87"/>
      <c r="DU55" s="87"/>
      <c r="DV55" s="87"/>
      <c r="DW55" s="87"/>
      <c r="DX55" s="87"/>
      <c r="DY55" s="87"/>
      <c r="DZ55" s="87"/>
      <c r="EA55" s="87"/>
      <c r="EB55" s="87"/>
      <c r="EC55" s="87"/>
      <c r="ED55" s="87"/>
      <c r="EE55" s="87"/>
      <c r="EF55" s="87"/>
      <c r="EG55" s="87"/>
      <c r="EH55" s="87"/>
      <c r="EI55" s="87"/>
    </row>
    <row r="56" spans="1:139" ht="16.5" thickBot="1" x14ac:dyDescent="0.35">
      <c r="A56" s="140" t="s">
        <v>235</v>
      </c>
      <c r="B56" s="118">
        <v>2</v>
      </c>
      <c r="C56" s="108"/>
      <c r="D56" s="91">
        <f>C56/VLOOKUP(B56,'[2]Gas Prod per PADD'!$A$1:$C$6,2,FALSE)</f>
        <v>0</v>
      </c>
      <c r="E56" s="116">
        <v>45349</v>
      </c>
      <c r="F56" s="117">
        <v>45353</v>
      </c>
      <c r="G56" s="118" t="s">
        <v>236</v>
      </c>
      <c r="H56" s="119"/>
      <c r="I56" s="84"/>
      <c r="J56" s="85"/>
      <c r="K56" s="85">
        <f t="shared" si="3"/>
        <v>0</v>
      </c>
      <c r="L56" s="85">
        <f t="shared" si="2"/>
        <v>0</v>
      </c>
      <c r="M56" s="85"/>
      <c r="N56" s="85"/>
      <c r="O56" s="85"/>
      <c r="P56" s="85"/>
      <c r="Q56" s="85"/>
      <c r="R56" s="85"/>
      <c r="S56" s="85"/>
      <c r="T56" s="85"/>
      <c r="U56" s="85"/>
      <c r="V56" s="84"/>
      <c r="W56" s="84"/>
      <c r="X56" s="84" t="str">
        <f t="shared" si="0"/>
        <v>Missing</v>
      </c>
      <c r="Y56" s="87"/>
      <c r="Z56" s="87"/>
      <c r="AA56" s="87"/>
      <c r="AB56" s="87"/>
      <c r="AC56" s="87"/>
      <c r="AD56" s="87"/>
      <c r="AE56" s="87"/>
      <c r="AF56" s="87"/>
      <c r="AG56" s="87"/>
      <c r="AH56" s="87"/>
      <c r="AI56" s="87"/>
      <c r="AJ56" s="87"/>
      <c r="AK56" s="87"/>
      <c r="AL56" s="87"/>
      <c r="AM56" s="87"/>
      <c r="AN56" s="87"/>
      <c r="AO56" s="87"/>
      <c r="AP56" s="87"/>
      <c r="AQ56" s="87"/>
      <c r="AR56" s="87"/>
      <c r="AS56" s="87"/>
      <c r="AT56" s="87"/>
      <c r="AU56" s="87"/>
      <c r="AV56" s="87"/>
      <c r="AW56" s="87"/>
      <c r="AX56" s="87"/>
      <c r="AY56" s="87"/>
      <c r="AZ56" s="87"/>
      <c r="BA56" s="87"/>
      <c r="BB56" s="87"/>
      <c r="BC56" s="87"/>
      <c r="BD56" s="87"/>
      <c r="BE56" s="87"/>
      <c r="BF56" s="87"/>
      <c r="BG56" s="87"/>
      <c r="BH56" s="87"/>
      <c r="BI56" s="87"/>
      <c r="BJ56" s="87"/>
      <c r="BK56" s="87"/>
      <c r="BL56" s="87"/>
      <c r="BM56" s="87"/>
      <c r="BN56" s="87"/>
      <c r="BO56" s="87"/>
      <c r="BP56" s="87"/>
      <c r="BQ56" s="87"/>
      <c r="BR56" s="87"/>
      <c r="BS56" s="87"/>
      <c r="BT56" s="87"/>
      <c r="BU56" s="87"/>
      <c r="BV56" s="87"/>
      <c r="BW56" s="87"/>
      <c r="BX56" s="87"/>
      <c r="BY56" s="87"/>
      <c r="BZ56" s="87"/>
      <c r="CA56" s="87"/>
      <c r="CB56" s="87"/>
      <c r="CC56" s="87"/>
      <c r="CD56" s="87"/>
      <c r="CE56" s="87"/>
      <c r="CF56" s="87"/>
      <c r="CG56" s="87"/>
      <c r="CH56" s="87"/>
      <c r="CI56" s="87"/>
      <c r="CJ56" s="87"/>
      <c r="CK56" s="87"/>
      <c r="CL56" s="87"/>
      <c r="CM56" s="87"/>
      <c r="CN56" s="87"/>
      <c r="CO56" s="87"/>
      <c r="CP56" s="87"/>
      <c r="CQ56" s="87"/>
      <c r="CR56" s="87"/>
      <c r="CS56" s="87"/>
      <c r="CT56" s="87"/>
      <c r="CU56" s="87"/>
      <c r="CV56" s="87"/>
      <c r="CW56" s="87"/>
      <c r="CX56" s="87"/>
      <c r="CY56" s="87"/>
      <c r="CZ56" s="87"/>
      <c r="DA56" s="87"/>
      <c r="DB56" s="87"/>
      <c r="DC56" s="87"/>
      <c r="DD56" s="87"/>
      <c r="DE56" s="87"/>
      <c r="DF56" s="87"/>
      <c r="DG56" s="87"/>
      <c r="DH56" s="87"/>
      <c r="DI56" s="87"/>
      <c r="DJ56" s="87"/>
      <c r="DK56" s="87"/>
      <c r="DL56" s="87"/>
      <c r="DM56" s="87"/>
      <c r="DN56" s="87"/>
      <c r="DO56" s="87"/>
      <c r="DP56" s="87"/>
      <c r="DQ56" s="87"/>
      <c r="DR56" s="87"/>
      <c r="DS56" s="87"/>
      <c r="DT56" s="87"/>
      <c r="DU56" s="87"/>
      <c r="DV56" s="87"/>
      <c r="DW56" s="87"/>
      <c r="DX56" s="87"/>
      <c r="DY56" s="87"/>
      <c r="DZ56" s="87"/>
      <c r="EA56" s="87"/>
      <c r="EB56" s="87"/>
      <c r="EC56" s="87"/>
      <c r="ED56" s="87"/>
      <c r="EE56" s="87"/>
      <c r="EF56" s="87"/>
      <c r="EG56" s="87"/>
      <c r="EH56" s="87"/>
      <c r="EI56" s="87"/>
    </row>
    <row r="57" spans="1:139" ht="16.5" thickBot="1" x14ac:dyDescent="0.35">
      <c r="A57" s="189" t="s">
        <v>237</v>
      </c>
      <c r="B57" s="114">
        <v>2</v>
      </c>
      <c r="C57" s="115"/>
      <c r="D57" s="91">
        <f>C57/VLOOKUP(B57,'[2]Gas Prod per PADD'!$A$1:$C$6,2,FALSE)</f>
        <v>0</v>
      </c>
      <c r="E57" s="116">
        <v>45323</v>
      </c>
      <c r="F57" s="117">
        <v>45354</v>
      </c>
      <c r="G57" s="118" t="s">
        <v>238</v>
      </c>
      <c r="H57" s="119"/>
      <c r="I57" s="84"/>
      <c r="J57" s="85"/>
      <c r="K57" s="85">
        <f t="shared" si="3"/>
        <v>0</v>
      </c>
      <c r="L57" s="85">
        <f t="shared" si="2"/>
        <v>0</v>
      </c>
      <c r="M57" s="85"/>
      <c r="N57" s="85"/>
      <c r="O57" s="85"/>
      <c r="P57" s="85"/>
      <c r="Q57" s="85"/>
      <c r="R57" s="85"/>
      <c r="S57" s="85"/>
      <c r="T57" s="85"/>
      <c r="U57" s="85"/>
      <c r="V57" s="84"/>
      <c r="W57" s="84"/>
      <c r="X57" s="84" t="str">
        <f t="shared" si="0"/>
        <v>Missing</v>
      </c>
      <c r="Y57" s="87"/>
      <c r="Z57" s="87"/>
      <c r="AA57" s="87"/>
      <c r="AB57" s="87"/>
      <c r="AC57" s="87"/>
      <c r="AD57" s="87"/>
      <c r="AE57" s="87"/>
      <c r="AF57" s="87"/>
      <c r="AG57" s="87"/>
      <c r="AH57" s="87"/>
      <c r="AI57" s="87"/>
      <c r="AJ57" s="87"/>
      <c r="AK57" s="87"/>
      <c r="AL57" s="87"/>
      <c r="AM57" s="87"/>
      <c r="AN57" s="87"/>
      <c r="AO57" s="87"/>
      <c r="AP57" s="87"/>
      <c r="AQ57" s="87"/>
      <c r="AR57" s="87"/>
      <c r="AS57" s="87"/>
      <c r="AT57" s="87"/>
      <c r="AU57" s="87"/>
      <c r="AV57" s="87"/>
      <c r="AW57" s="87"/>
      <c r="AX57" s="87"/>
      <c r="AY57" s="87"/>
      <c r="AZ57" s="87"/>
      <c r="BA57" s="87"/>
      <c r="BB57" s="87"/>
      <c r="BC57" s="87"/>
      <c r="BD57" s="87"/>
      <c r="BE57" s="87"/>
      <c r="BF57" s="87"/>
      <c r="BG57" s="87"/>
      <c r="BH57" s="87"/>
      <c r="BI57" s="87"/>
      <c r="BJ57" s="87"/>
      <c r="BK57" s="87"/>
      <c r="BL57" s="87"/>
      <c r="BM57" s="87"/>
      <c r="BN57" s="87"/>
      <c r="BO57" s="87"/>
      <c r="BP57" s="87"/>
      <c r="BQ57" s="87"/>
      <c r="BR57" s="87"/>
      <c r="BS57" s="87"/>
      <c r="BT57" s="87"/>
      <c r="BU57" s="87"/>
      <c r="BV57" s="87"/>
      <c r="BW57" s="87"/>
      <c r="BX57" s="87"/>
      <c r="BY57" s="87"/>
      <c r="BZ57" s="87"/>
      <c r="CA57" s="87"/>
      <c r="CB57" s="87"/>
      <c r="CC57" s="87"/>
      <c r="CD57" s="87"/>
      <c r="CE57" s="87"/>
      <c r="CF57" s="87"/>
      <c r="CG57" s="87"/>
      <c r="CH57" s="87"/>
      <c r="CI57" s="87"/>
      <c r="CJ57" s="87"/>
      <c r="CK57" s="87"/>
      <c r="CL57" s="87"/>
      <c r="CM57" s="87"/>
      <c r="CN57" s="87"/>
      <c r="CO57" s="87"/>
      <c r="CP57" s="87"/>
      <c r="CQ57" s="87"/>
      <c r="CR57" s="87"/>
      <c r="CS57" s="87"/>
      <c r="CT57" s="87"/>
      <c r="CU57" s="87"/>
      <c r="CV57" s="87"/>
      <c r="CW57" s="87"/>
      <c r="CX57" s="87"/>
      <c r="CY57" s="87"/>
      <c r="CZ57" s="87"/>
      <c r="DA57" s="87"/>
      <c r="DB57" s="87"/>
      <c r="DC57" s="87"/>
      <c r="DD57" s="87"/>
      <c r="DE57" s="87"/>
      <c r="DF57" s="87"/>
      <c r="DG57" s="87"/>
      <c r="DH57" s="87"/>
      <c r="DI57" s="87"/>
      <c r="DJ57" s="87"/>
      <c r="DK57" s="87"/>
      <c r="DL57" s="87"/>
      <c r="DM57" s="87"/>
      <c r="DN57" s="87"/>
      <c r="DO57" s="87"/>
      <c r="DP57" s="87"/>
      <c r="DQ57" s="87"/>
      <c r="DR57" s="87"/>
      <c r="DS57" s="87"/>
      <c r="DT57" s="87"/>
      <c r="DU57" s="87"/>
      <c r="DV57" s="87"/>
      <c r="DW57" s="87"/>
      <c r="DX57" s="87"/>
      <c r="DY57" s="87"/>
      <c r="DZ57" s="87"/>
      <c r="EA57" s="87"/>
      <c r="EB57" s="87"/>
      <c r="EC57" s="87"/>
      <c r="ED57" s="87"/>
      <c r="EE57" s="87"/>
      <c r="EF57" s="87"/>
      <c r="EG57" s="87"/>
      <c r="EH57" s="87"/>
      <c r="EI57" s="87"/>
    </row>
    <row r="58" spans="1:139" ht="16.5" thickBot="1" x14ac:dyDescent="0.35">
      <c r="A58" s="159" t="s">
        <v>239</v>
      </c>
      <c r="B58" s="107">
        <v>2</v>
      </c>
      <c r="C58" s="108">
        <v>14</v>
      </c>
      <c r="D58" s="91">
        <f>C58/VLOOKUP(B58,'[2]Gas Prod per PADD'!$A$1:$C$6,2,FALSE)</f>
        <v>5.8333333333333336E-3</v>
      </c>
      <c r="E58" s="109">
        <v>45327</v>
      </c>
      <c r="F58" s="110">
        <v>45354</v>
      </c>
      <c r="G58" s="111" t="s">
        <v>197</v>
      </c>
      <c r="H58" s="112" t="s">
        <v>216</v>
      </c>
      <c r="I58" s="84" t="s">
        <v>240</v>
      </c>
      <c r="J58" s="85"/>
      <c r="K58" s="85">
        <f t="shared" si="3"/>
        <v>-11.586206896551724</v>
      </c>
      <c r="L58" s="85">
        <f t="shared" si="2"/>
        <v>-0.90322580645161288</v>
      </c>
      <c r="M58" s="85"/>
      <c r="N58" s="85"/>
      <c r="O58" s="85"/>
      <c r="P58" s="85"/>
      <c r="Q58" s="85"/>
      <c r="R58" s="85"/>
      <c r="S58" s="85"/>
      <c r="T58" s="85"/>
      <c r="U58" s="85"/>
      <c r="V58" s="84"/>
      <c r="W58" s="84"/>
      <c r="X58" s="84" t="str">
        <f t="shared" si="0"/>
        <v>OK</v>
      </c>
      <c r="Y58" s="105"/>
      <c r="Z58" s="105"/>
      <c r="AA58" s="87"/>
      <c r="AB58" s="87"/>
      <c r="AC58" s="87"/>
      <c r="AD58" s="87"/>
      <c r="AE58" s="105"/>
      <c r="AF58" s="105"/>
      <c r="AG58" s="105"/>
      <c r="AH58" s="105"/>
      <c r="AI58" s="87"/>
      <c r="AJ58" s="87"/>
      <c r="AK58" s="87"/>
      <c r="AL58" s="87"/>
      <c r="AM58" s="87">
        <f>(-27*0.85)</f>
        <v>-22.95</v>
      </c>
      <c r="AN58" s="87"/>
      <c r="AO58" s="87"/>
      <c r="AP58" s="87"/>
      <c r="AQ58" s="87">
        <f>(5/8)*AM58*-1</f>
        <v>14.34375</v>
      </c>
      <c r="AR58" s="87">
        <f>(AM58+AQ58)*-1</f>
        <v>8.6062499999999993</v>
      </c>
      <c r="AS58" s="87"/>
      <c r="AT58" s="87"/>
      <c r="AU58" s="87"/>
      <c r="AV58" s="87"/>
      <c r="AW58" s="87"/>
      <c r="AX58" s="87"/>
      <c r="AY58" s="87"/>
      <c r="AZ58" s="87"/>
      <c r="BA58" s="87"/>
      <c r="BB58" s="87"/>
      <c r="BC58" s="87"/>
      <c r="BD58" s="87"/>
      <c r="BE58" s="87"/>
      <c r="BF58" s="87"/>
      <c r="BG58" s="87"/>
      <c r="BH58" s="87"/>
      <c r="BI58" s="87"/>
      <c r="BJ58" s="87"/>
      <c r="BK58" s="87"/>
      <c r="BL58" s="87"/>
      <c r="BM58" s="87"/>
      <c r="BN58" s="87"/>
      <c r="BO58" s="87"/>
      <c r="BP58" s="87"/>
      <c r="BQ58" s="87"/>
      <c r="BR58" s="87"/>
      <c r="BS58" s="87"/>
      <c r="BT58" s="87"/>
      <c r="BU58" s="87"/>
      <c r="BV58" s="87"/>
      <c r="BW58" s="87"/>
      <c r="BX58" s="87"/>
      <c r="BY58" s="87"/>
      <c r="BZ58" s="87"/>
      <c r="CA58" s="87"/>
      <c r="CB58" s="87"/>
      <c r="CC58" s="87"/>
      <c r="CD58" s="87"/>
      <c r="CE58" s="87"/>
      <c r="CF58" s="87"/>
      <c r="CG58" s="87"/>
      <c r="CH58" s="87"/>
      <c r="CI58" s="87"/>
      <c r="CJ58" s="87"/>
      <c r="CK58" s="87"/>
      <c r="CL58" s="87"/>
      <c r="CM58" s="87"/>
      <c r="CN58" s="87"/>
      <c r="CO58" s="87"/>
      <c r="CP58" s="87"/>
      <c r="CQ58" s="87"/>
      <c r="CR58" s="87"/>
      <c r="CS58" s="87"/>
      <c r="CT58" s="87"/>
      <c r="CU58" s="87"/>
      <c r="CV58" s="87"/>
      <c r="CW58" s="87"/>
      <c r="CX58" s="87"/>
      <c r="CY58" s="87"/>
      <c r="CZ58" s="87"/>
      <c r="DA58" s="87"/>
      <c r="DB58" s="87"/>
      <c r="DC58" s="87"/>
      <c r="DD58" s="87"/>
      <c r="DE58" s="87"/>
      <c r="DF58" s="87"/>
      <c r="DG58" s="87"/>
      <c r="DH58" s="87"/>
      <c r="DI58" s="87"/>
      <c r="DJ58" s="87"/>
      <c r="DK58" s="87"/>
      <c r="DL58" s="87"/>
      <c r="DM58" s="87"/>
      <c r="DN58" s="87"/>
      <c r="DO58" s="87"/>
      <c r="DP58" s="87"/>
      <c r="DQ58" s="87"/>
      <c r="DR58" s="87"/>
      <c r="DS58" s="87"/>
      <c r="DT58" s="87"/>
      <c r="DU58" s="87"/>
      <c r="DV58" s="87"/>
      <c r="DW58" s="87"/>
      <c r="DX58" s="87"/>
      <c r="DY58" s="87"/>
      <c r="DZ58" s="87"/>
      <c r="EA58" s="87"/>
      <c r="EB58" s="87"/>
      <c r="EC58" s="87"/>
      <c r="ED58" s="87"/>
      <c r="EE58" s="87"/>
      <c r="EF58" s="87"/>
      <c r="EG58" s="87"/>
      <c r="EH58" s="87"/>
      <c r="EI58" s="87"/>
    </row>
    <row r="59" spans="1:139" ht="16.5" thickBot="1" x14ac:dyDescent="0.35">
      <c r="A59" s="140" t="s">
        <v>241</v>
      </c>
      <c r="B59" s="118">
        <v>2</v>
      </c>
      <c r="C59" s="115"/>
      <c r="D59" s="91">
        <f>C59/VLOOKUP(B59,'[2]Gas Prod per PADD'!$A$1:$C$6,2,FALSE)</f>
        <v>0</v>
      </c>
      <c r="E59" s="116">
        <v>45333</v>
      </c>
      <c r="F59" s="117">
        <v>45354</v>
      </c>
      <c r="G59" s="118" t="s">
        <v>242</v>
      </c>
      <c r="H59" s="119"/>
      <c r="I59" s="84"/>
      <c r="J59" s="85"/>
      <c r="K59" s="85">
        <f t="shared" si="3"/>
        <v>0</v>
      </c>
      <c r="L59" s="85">
        <f t="shared" si="2"/>
        <v>0</v>
      </c>
      <c r="M59" s="85"/>
      <c r="N59" s="85"/>
      <c r="O59" s="85"/>
      <c r="P59" s="85"/>
      <c r="Q59" s="85"/>
      <c r="R59" s="85"/>
      <c r="S59" s="85"/>
      <c r="T59" s="85"/>
      <c r="U59" s="85"/>
      <c r="V59" s="84"/>
      <c r="W59" s="84"/>
      <c r="X59" s="84" t="str">
        <f t="shared" si="0"/>
        <v>Missing</v>
      </c>
      <c r="Y59" s="87"/>
      <c r="Z59" s="87"/>
      <c r="AA59" s="87"/>
      <c r="AB59" s="87"/>
      <c r="AC59" s="87"/>
      <c r="AD59" s="87"/>
      <c r="AE59" s="87"/>
      <c r="AF59" s="87"/>
      <c r="AG59" s="87"/>
      <c r="AH59" s="87"/>
      <c r="AI59" s="87"/>
      <c r="AJ59" s="87"/>
      <c r="AK59" s="87"/>
      <c r="AL59" s="87"/>
      <c r="AM59" s="87"/>
      <c r="AN59" s="87"/>
      <c r="AO59" s="87"/>
      <c r="AP59" s="87"/>
      <c r="AQ59" s="87"/>
      <c r="AR59" s="87"/>
      <c r="AS59" s="87"/>
      <c r="AT59" s="87"/>
      <c r="AU59" s="87"/>
      <c r="AV59" s="87"/>
      <c r="AW59" s="87"/>
      <c r="AX59" s="87"/>
      <c r="AY59" s="87"/>
      <c r="AZ59" s="87"/>
      <c r="BA59" s="87"/>
      <c r="BB59" s="87"/>
      <c r="BC59" s="87"/>
      <c r="BD59" s="87"/>
      <c r="BE59" s="87"/>
      <c r="BF59" s="87"/>
      <c r="BG59" s="87"/>
      <c r="BH59" s="87"/>
      <c r="BI59" s="87"/>
      <c r="BJ59" s="87"/>
      <c r="BK59" s="87"/>
      <c r="BL59" s="87"/>
      <c r="BM59" s="87"/>
      <c r="BN59" s="87"/>
      <c r="BO59" s="87"/>
      <c r="BP59" s="87"/>
      <c r="BQ59" s="87"/>
      <c r="BR59" s="87"/>
      <c r="BS59" s="87"/>
      <c r="BT59" s="87"/>
      <c r="BU59" s="87"/>
      <c r="BV59" s="87"/>
      <c r="BW59" s="87"/>
      <c r="BX59" s="87"/>
      <c r="BY59" s="87"/>
      <c r="BZ59" s="87"/>
      <c r="CA59" s="87"/>
      <c r="CB59" s="87"/>
      <c r="CC59" s="87"/>
      <c r="CD59" s="87"/>
      <c r="CE59" s="87"/>
      <c r="CF59" s="87"/>
      <c r="CG59" s="87"/>
      <c r="CH59" s="87"/>
      <c r="CI59" s="87"/>
      <c r="CJ59" s="87"/>
      <c r="CK59" s="87"/>
      <c r="CL59" s="87"/>
      <c r="CM59" s="87"/>
      <c r="CN59" s="87"/>
      <c r="CO59" s="87"/>
      <c r="CP59" s="87"/>
      <c r="CQ59" s="87"/>
      <c r="CR59" s="87"/>
      <c r="CS59" s="87"/>
      <c r="CT59" s="87"/>
      <c r="CU59" s="87"/>
      <c r="CV59" s="87"/>
      <c r="CW59" s="87"/>
      <c r="CX59" s="87"/>
      <c r="CY59" s="87"/>
      <c r="CZ59" s="87"/>
      <c r="DA59" s="87"/>
      <c r="DB59" s="87"/>
      <c r="DC59" s="87"/>
      <c r="DD59" s="87"/>
      <c r="DE59" s="87"/>
      <c r="DF59" s="87"/>
      <c r="DG59" s="87"/>
      <c r="DH59" s="87"/>
      <c r="DI59" s="87"/>
      <c r="DJ59" s="87"/>
      <c r="DK59" s="87"/>
      <c r="DL59" s="87"/>
      <c r="DM59" s="87"/>
      <c r="DN59" s="87"/>
      <c r="DO59" s="87"/>
      <c r="DP59" s="87"/>
      <c r="DQ59" s="87"/>
      <c r="DR59" s="87"/>
      <c r="DS59" s="87"/>
      <c r="DT59" s="87"/>
      <c r="DU59" s="87"/>
      <c r="DV59" s="87"/>
      <c r="DW59" s="87"/>
      <c r="DX59" s="87"/>
      <c r="DY59" s="87"/>
      <c r="DZ59" s="87"/>
      <c r="EA59" s="87"/>
      <c r="EB59" s="87"/>
      <c r="EC59" s="87"/>
      <c r="ED59" s="87"/>
      <c r="EE59" s="87"/>
      <c r="EF59" s="87"/>
      <c r="EG59" s="87"/>
      <c r="EH59" s="87"/>
      <c r="EI59" s="87"/>
    </row>
    <row r="60" spans="1:139" ht="16.5" hidden="1" thickBot="1" x14ac:dyDescent="0.35">
      <c r="A60" s="190" t="s">
        <v>243</v>
      </c>
      <c r="B60" s="191">
        <v>3</v>
      </c>
      <c r="C60" s="177">
        <f>30*0.65+0.5</f>
        <v>20</v>
      </c>
      <c r="D60" s="91">
        <f>C60/VLOOKUP(B60,'[2]Gas Prod per PADD'!$A$1:$C$6,2,FALSE)</f>
        <v>4.3478260869565218E-3</v>
      </c>
      <c r="E60" s="178">
        <v>45198</v>
      </c>
      <c r="F60" s="179">
        <v>45355</v>
      </c>
      <c r="G60" s="191" t="s">
        <v>244</v>
      </c>
      <c r="H60" s="181" t="s">
        <v>216</v>
      </c>
      <c r="I60" s="84">
        <f>30*0.6+30*0.6+7*0.8</f>
        <v>41.6</v>
      </c>
      <c r="J60" s="85"/>
      <c r="K60" s="85"/>
      <c r="L60" s="85">
        <f t="shared" si="2"/>
        <v>-1.935483870967742</v>
      </c>
      <c r="M60" s="85"/>
      <c r="N60" s="85"/>
      <c r="O60" s="85"/>
      <c r="P60" s="85"/>
      <c r="Q60" s="85"/>
      <c r="R60" s="85"/>
      <c r="S60" s="85"/>
      <c r="T60" s="85"/>
      <c r="U60" s="85"/>
      <c r="V60" s="84"/>
      <c r="W60" s="84"/>
      <c r="X60" s="84" t="str">
        <f t="shared" si="0"/>
        <v>OK</v>
      </c>
      <c r="Y60" s="87"/>
      <c r="Z60" s="87"/>
      <c r="AA60" s="87"/>
      <c r="AB60" s="87"/>
      <c r="AC60" s="87"/>
      <c r="AD60" s="87"/>
      <c r="AE60" s="87"/>
      <c r="AF60" s="87"/>
      <c r="AG60" s="87"/>
      <c r="AH60" s="87"/>
      <c r="AI60" s="105"/>
      <c r="AJ60" s="105"/>
      <c r="AK60" s="87"/>
      <c r="AL60" s="87"/>
      <c r="AM60" s="87"/>
      <c r="AN60" s="87"/>
      <c r="AO60" s="87"/>
      <c r="AP60" s="87"/>
      <c r="AQ60" s="87">
        <f>(4/7)*22</f>
        <v>12.571428571428571</v>
      </c>
      <c r="AR60" s="87">
        <f>C60-AQ60</f>
        <v>7.4285714285714288</v>
      </c>
      <c r="AS60" s="87"/>
      <c r="AT60" s="87"/>
      <c r="AU60" s="87"/>
      <c r="AV60" s="87"/>
      <c r="AW60" s="87"/>
      <c r="AX60" s="87"/>
      <c r="AY60" s="87"/>
      <c r="AZ60" s="87"/>
      <c r="BA60" s="87"/>
      <c r="BB60" s="87"/>
      <c r="BC60" s="87"/>
      <c r="BD60" s="87"/>
      <c r="BE60" s="87"/>
      <c r="BF60" s="87"/>
      <c r="BG60" s="87"/>
      <c r="BH60" s="87"/>
      <c r="BI60" s="87"/>
      <c r="BJ60" s="87"/>
      <c r="BK60" s="87"/>
      <c r="BL60" s="87"/>
      <c r="BM60" s="87"/>
      <c r="BN60" s="87"/>
      <c r="BO60" s="87"/>
      <c r="BP60" s="87"/>
      <c r="BQ60" s="87"/>
      <c r="BR60" s="87"/>
      <c r="BS60" s="87"/>
      <c r="BT60" s="87"/>
      <c r="BU60" s="87"/>
      <c r="BV60" s="87"/>
      <c r="BW60" s="87"/>
      <c r="BX60" s="87"/>
      <c r="BY60" s="87"/>
      <c r="BZ60" s="87"/>
      <c r="CA60" s="87"/>
      <c r="CB60" s="87"/>
      <c r="CC60" s="87"/>
      <c r="CD60" s="87"/>
      <c r="CE60" s="87"/>
      <c r="CF60" s="87"/>
      <c r="CG60" s="87"/>
      <c r="CH60" s="87"/>
      <c r="CI60" s="87"/>
      <c r="CJ60" s="87"/>
      <c r="CK60" s="87"/>
      <c r="CL60" s="87"/>
      <c r="CM60" s="87"/>
      <c r="CN60" s="87"/>
      <c r="CO60" s="87"/>
      <c r="CP60" s="87"/>
      <c r="CQ60" s="87"/>
      <c r="CR60" s="87"/>
      <c r="CS60" s="87"/>
      <c r="CT60" s="87"/>
      <c r="CU60" s="87"/>
      <c r="CV60" s="87"/>
      <c r="CW60" s="87"/>
      <c r="CX60" s="87"/>
      <c r="CY60" s="87"/>
      <c r="CZ60" s="87"/>
      <c r="DA60" s="87"/>
      <c r="DB60" s="87"/>
      <c r="DC60" s="87"/>
      <c r="DD60" s="87"/>
      <c r="DE60" s="87"/>
      <c r="DF60" s="87"/>
      <c r="DG60" s="87"/>
      <c r="DH60" s="87"/>
      <c r="DI60" s="87"/>
      <c r="DJ60" s="87"/>
      <c r="DK60" s="87"/>
      <c r="DL60" s="87"/>
      <c r="DM60" s="87"/>
      <c r="DN60" s="87"/>
      <c r="DO60" s="87"/>
      <c r="DP60" s="87"/>
      <c r="DQ60" s="87"/>
      <c r="DR60" s="87"/>
      <c r="DS60" s="87"/>
      <c r="DT60" s="87"/>
      <c r="DU60" s="87"/>
      <c r="DV60" s="87"/>
      <c r="DW60" s="87"/>
      <c r="DX60" s="87"/>
      <c r="DY60" s="87"/>
      <c r="DZ60" s="87"/>
      <c r="EA60" s="87"/>
      <c r="EB60" s="87"/>
      <c r="EC60" s="87"/>
      <c r="ED60" s="87"/>
      <c r="EE60" s="87"/>
      <c r="EF60" s="87"/>
      <c r="EG60" s="87"/>
      <c r="EH60" s="87"/>
      <c r="EI60" s="87"/>
    </row>
    <row r="61" spans="1:139" ht="29.25" hidden="1" thickBot="1" x14ac:dyDescent="0.35">
      <c r="A61" s="192" t="s">
        <v>162</v>
      </c>
      <c r="B61" s="182">
        <v>3</v>
      </c>
      <c r="C61" s="183">
        <f>18*0.85-0.3+5</f>
        <v>20</v>
      </c>
      <c r="D61" s="91">
        <f>C61/VLOOKUP(B61,'[2]Gas Prod per PADD'!$A$1:$C$6,2,FALSE)</f>
        <v>4.3478260869565218E-3</v>
      </c>
      <c r="E61" s="184">
        <v>45310</v>
      </c>
      <c r="F61" s="185">
        <v>45355</v>
      </c>
      <c r="G61" s="186" t="s">
        <v>245</v>
      </c>
      <c r="H61" s="139" t="s">
        <v>246</v>
      </c>
      <c r="I61" s="84"/>
      <c r="J61" s="85">
        <f>C61*(E61-$J$1)/31</f>
        <v>-7.741935483870968</v>
      </c>
      <c r="K61" s="85"/>
      <c r="L61" s="85">
        <f t="shared" si="2"/>
        <v>-1.935483870967742</v>
      </c>
      <c r="M61" s="85"/>
      <c r="N61" s="85"/>
      <c r="O61" s="85"/>
      <c r="P61" s="85"/>
      <c r="Q61" s="85"/>
      <c r="R61" s="85"/>
      <c r="S61" s="85"/>
      <c r="T61" s="85"/>
      <c r="U61" s="85"/>
      <c r="V61" s="84"/>
      <c r="W61" s="84"/>
      <c r="X61" s="84" t="str">
        <f t="shared" si="0"/>
        <v>OK</v>
      </c>
      <c r="Y61" s="105"/>
      <c r="Z61" s="105"/>
      <c r="AA61" s="87"/>
      <c r="AB61" s="87"/>
      <c r="AC61" s="87"/>
      <c r="AD61" s="87"/>
      <c r="AE61" s="105"/>
      <c r="AF61" s="105"/>
      <c r="AG61" s="105"/>
      <c r="AH61" s="105"/>
      <c r="AI61" s="87"/>
      <c r="AJ61" s="87"/>
      <c r="AK61" s="87">
        <f>-$C61</f>
        <v>-20</v>
      </c>
      <c r="AL61" s="87"/>
      <c r="AM61" s="87"/>
      <c r="AN61" s="87"/>
      <c r="AO61" s="87"/>
      <c r="AP61" s="87"/>
      <c r="AQ61" s="87">
        <f>(AQ29-$F61)/7*$C61</f>
        <v>-129585.71428571429</v>
      </c>
      <c r="AR61" s="87">
        <f>$C61-AQ61</f>
        <v>129605.71428571429</v>
      </c>
      <c r="AS61" s="87"/>
      <c r="AT61" s="87"/>
      <c r="AU61" s="87"/>
      <c r="AV61" s="87"/>
      <c r="AW61" s="87"/>
      <c r="AX61" s="87"/>
      <c r="AY61" s="87"/>
      <c r="AZ61" s="87"/>
      <c r="BA61" s="87"/>
      <c r="BB61" s="87"/>
      <c r="BC61" s="87"/>
      <c r="BD61" s="87"/>
      <c r="BE61" s="87"/>
      <c r="BF61" s="87"/>
      <c r="BG61" s="87"/>
      <c r="BH61" s="87"/>
      <c r="BI61" s="87"/>
      <c r="BJ61" s="87"/>
      <c r="BK61" s="87"/>
      <c r="BL61" s="87"/>
      <c r="BM61" s="87"/>
      <c r="BN61" s="87"/>
      <c r="BO61" s="87"/>
      <c r="BP61" s="87"/>
      <c r="BQ61" s="87"/>
      <c r="BR61" s="87"/>
      <c r="BS61" s="87"/>
      <c r="BT61" s="87"/>
      <c r="BU61" s="87"/>
      <c r="BV61" s="87"/>
      <c r="BW61" s="87"/>
      <c r="BX61" s="87"/>
      <c r="BY61" s="87"/>
      <c r="BZ61" s="87"/>
      <c r="CA61" s="87"/>
      <c r="CB61" s="87"/>
      <c r="CC61" s="87"/>
      <c r="CD61" s="87"/>
      <c r="CE61" s="87"/>
      <c r="CF61" s="87"/>
      <c r="CG61" s="87"/>
      <c r="CH61" s="87"/>
      <c r="CI61" s="87"/>
      <c r="CJ61" s="87"/>
      <c r="CK61" s="87"/>
      <c r="CL61" s="87"/>
      <c r="CM61" s="87"/>
      <c r="CN61" s="87"/>
      <c r="CO61" s="87"/>
      <c r="CP61" s="87"/>
      <c r="CQ61" s="87"/>
      <c r="CR61" s="87"/>
      <c r="CS61" s="87"/>
      <c r="CT61" s="87"/>
      <c r="CU61" s="87"/>
      <c r="CV61" s="87"/>
      <c r="CW61" s="87"/>
      <c r="CX61" s="87"/>
      <c r="CY61" s="87"/>
      <c r="CZ61" s="87"/>
      <c r="DA61" s="87"/>
      <c r="DB61" s="87"/>
      <c r="DC61" s="87"/>
      <c r="DD61" s="87"/>
      <c r="DE61" s="87"/>
      <c r="DF61" s="87"/>
      <c r="DG61" s="87"/>
      <c r="DH61" s="87"/>
      <c r="DI61" s="87"/>
      <c r="DJ61" s="87"/>
      <c r="DK61" s="87"/>
      <c r="DL61" s="87"/>
      <c r="DM61" s="87"/>
      <c r="DN61" s="87"/>
      <c r="DO61" s="87"/>
      <c r="DP61" s="87"/>
      <c r="DQ61" s="87"/>
      <c r="DR61" s="87"/>
      <c r="DS61" s="87"/>
      <c r="DT61" s="87"/>
      <c r="DU61" s="87"/>
      <c r="DV61" s="87"/>
      <c r="DW61" s="87"/>
      <c r="DX61" s="87"/>
      <c r="DY61" s="87"/>
      <c r="DZ61" s="87"/>
      <c r="EA61" s="87"/>
      <c r="EB61" s="87"/>
      <c r="EC61" s="87"/>
      <c r="ED61" s="87"/>
      <c r="EE61" s="87"/>
      <c r="EF61" s="87"/>
      <c r="EG61" s="87"/>
      <c r="EH61" s="87"/>
      <c r="EI61" s="87"/>
    </row>
    <row r="62" spans="1:139" ht="16.5" thickBot="1" x14ac:dyDescent="0.35">
      <c r="A62" s="193" t="s">
        <v>237</v>
      </c>
      <c r="B62" s="194">
        <v>2</v>
      </c>
      <c r="C62" s="195"/>
      <c r="D62" s="91">
        <f>C62/VLOOKUP(B62,'[2]Gas Prod per PADD'!$A$1:$C$6,2,FALSE)</f>
        <v>0</v>
      </c>
      <c r="E62" s="196">
        <v>45323</v>
      </c>
      <c r="F62" s="197">
        <v>45355</v>
      </c>
      <c r="G62" s="194" t="s">
        <v>247</v>
      </c>
      <c r="H62" s="198"/>
      <c r="I62" s="84"/>
      <c r="J62" s="85"/>
      <c r="K62" s="85">
        <f>C62*(E62-$K$1)/29</f>
        <v>0</v>
      </c>
      <c r="L62" s="85">
        <f t="shared" si="2"/>
        <v>0</v>
      </c>
      <c r="M62" s="85"/>
      <c r="N62" s="85"/>
      <c r="O62" s="85"/>
      <c r="P62" s="85"/>
      <c r="Q62" s="85"/>
      <c r="R62" s="85"/>
      <c r="S62" s="85"/>
      <c r="T62" s="85"/>
      <c r="U62" s="85"/>
      <c r="V62" s="84"/>
      <c r="W62" s="84"/>
      <c r="X62" s="84" t="str">
        <f t="shared" si="0"/>
        <v>Missing</v>
      </c>
      <c r="Y62" s="87"/>
      <c r="Z62" s="87"/>
      <c r="AA62" s="87"/>
      <c r="AB62" s="87"/>
      <c r="AC62" s="87"/>
      <c r="AD62" s="87"/>
      <c r="AE62" s="87"/>
      <c r="AF62" s="87"/>
      <c r="AG62" s="87"/>
      <c r="AH62" s="87"/>
      <c r="AI62" s="87"/>
      <c r="AJ62" s="87"/>
      <c r="AK62" s="87"/>
      <c r="AL62" s="87"/>
      <c r="AM62" s="87"/>
      <c r="AN62" s="87"/>
      <c r="AO62" s="87"/>
      <c r="AP62" s="87"/>
      <c r="AQ62" s="87"/>
      <c r="AR62" s="87"/>
      <c r="AS62" s="87"/>
      <c r="AT62" s="87"/>
      <c r="AU62" s="87"/>
      <c r="AV62" s="87"/>
      <c r="AW62" s="87"/>
      <c r="AX62" s="87"/>
      <c r="AY62" s="87"/>
      <c r="AZ62" s="87"/>
      <c r="BA62" s="87"/>
      <c r="BB62" s="87"/>
      <c r="BC62" s="87"/>
      <c r="BD62" s="87"/>
      <c r="BE62" s="87"/>
      <c r="BF62" s="87"/>
      <c r="BG62" s="87"/>
      <c r="BH62" s="87"/>
      <c r="BI62" s="87"/>
      <c r="BJ62" s="87"/>
      <c r="BK62" s="87"/>
      <c r="BL62" s="87"/>
      <c r="BM62" s="87"/>
      <c r="BN62" s="87"/>
      <c r="BO62" s="87"/>
      <c r="BP62" s="87"/>
      <c r="BQ62" s="87"/>
      <c r="BR62" s="87"/>
      <c r="BS62" s="87"/>
      <c r="BT62" s="87"/>
      <c r="BU62" s="87"/>
      <c r="BV62" s="87"/>
      <c r="BW62" s="87"/>
      <c r="BX62" s="87"/>
      <c r="BY62" s="87"/>
      <c r="BZ62" s="87"/>
      <c r="CA62" s="87"/>
      <c r="CB62" s="87"/>
      <c r="CC62" s="87"/>
      <c r="CD62" s="87"/>
      <c r="CE62" s="87"/>
      <c r="CF62" s="87"/>
      <c r="CG62" s="87"/>
      <c r="CH62" s="87"/>
      <c r="CI62" s="87"/>
      <c r="CJ62" s="87"/>
      <c r="CK62" s="87"/>
      <c r="CL62" s="87"/>
      <c r="CM62" s="87"/>
      <c r="CN62" s="87"/>
      <c r="CO62" s="87"/>
      <c r="CP62" s="87"/>
      <c r="CQ62" s="87"/>
      <c r="CR62" s="87"/>
      <c r="CS62" s="87"/>
      <c r="CT62" s="87"/>
      <c r="CU62" s="87"/>
      <c r="CV62" s="87"/>
      <c r="CW62" s="87"/>
      <c r="CX62" s="87"/>
      <c r="CY62" s="87"/>
      <c r="CZ62" s="87"/>
      <c r="DA62" s="87"/>
      <c r="DB62" s="87"/>
      <c r="DC62" s="87"/>
      <c r="DD62" s="87"/>
      <c r="DE62" s="87"/>
      <c r="DF62" s="87"/>
      <c r="DG62" s="87"/>
      <c r="DH62" s="87"/>
      <c r="DI62" s="87"/>
      <c r="DJ62" s="87"/>
      <c r="DK62" s="87"/>
      <c r="DL62" s="87"/>
      <c r="DM62" s="87"/>
      <c r="DN62" s="87"/>
      <c r="DO62" s="87"/>
      <c r="DP62" s="87"/>
      <c r="DQ62" s="87"/>
      <c r="DR62" s="87"/>
      <c r="DS62" s="87"/>
      <c r="DT62" s="87"/>
      <c r="DU62" s="87"/>
      <c r="DV62" s="87"/>
      <c r="DW62" s="87"/>
      <c r="DX62" s="87"/>
      <c r="DY62" s="87"/>
      <c r="DZ62" s="87"/>
      <c r="EA62" s="87"/>
      <c r="EB62" s="87"/>
      <c r="EC62" s="87"/>
      <c r="ED62" s="87"/>
      <c r="EE62" s="87"/>
      <c r="EF62" s="87"/>
      <c r="EG62" s="87"/>
      <c r="EH62" s="87"/>
      <c r="EI62" s="87"/>
    </row>
    <row r="63" spans="1:139" ht="16.5" thickBot="1" x14ac:dyDescent="0.35">
      <c r="A63" s="113" t="s">
        <v>248</v>
      </c>
      <c r="B63" s="199">
        <v>3</v>
      </c>
      <c r="C63" s="195"/>
      <c r="D63" s="91">
        <f>C63/VLOOKUP(B63,'[2]Gas Prod per PADD'!$A$1:$C$6,2,FALSE)</f>
        <v>0</v>
      </c>
      <c r="E63" s="196">
        <v>45352</v>
      </c>
      <c r="F63" s="197">
        <v>45355</v>
      </c>
      <c r="G63" s="194" t="s">
        <v>249</v>
      </c>
      <c r="H63" s="198"/>
      <c r="I63" s="84"/>
      <c r="J63" s="85"/>
      <c r="K63" s="85"/>
      <c r="L63" s="85">
        <f>C63*(E63-F63)/31</f>
        <v>0</v>
      </c>
      <c r="M63" s="85"/>
      <c r="N63" s="85"/>
      <c r="O63" s="85"/>
      <c r="P63" s="85"/>
      <c r="Q63" s="85"/>
      <c r="R63" s="85"/>
      <c r="S63" s="85"/>
      <c r="T63" s="85"/>
      <c r="U63" s="85"/>
      <c r="V63" s="84"/>
      <c r="W63" s="84"/>
      <c r="X63" s="84" t="str">
        <f t="shared" si="0"/>
        <v>OK</v>
      </c>
      <c r="Y63" s="87"/>
      <c r="Z63" s="87"/>
      <c r="AA63" s="87"/>
      <c r="AB63" s="87"/>
      <c r="AC63" s="87"/>
      <c r="AD63" s="87"/>
      <c r="AE63" s="87"/>
      <c r="AF63" s="87"/>
      <c r="AG63" s="87"/>
      <c r="AH63" s="87"/>
      <c r="AI63" s="87"/>
      <c r="AJ63" s="87"/>
      <c r="AK63" s="87"/>
      <c r="AL63" s="87"/>
      <c r="AM63" s="87"/>
      <c r="AN63" s="87"/>
      <c r="AO63" s="87"/>
      <c r="AP63" s="87"/>
      <c r="AQ63" s="87">
        <v>-10.527857142857142</v>
      </c>
      <c r="AR63" s="87">
        <v>10.527857142857142</v>
      </c>
      <c r="AS63" s="87"/>
      <c r="AT63" s="87"/>
      <c r="AU63" s="87"/>
      <c r="AV63" s="87"/>
      <c r="AW63" s="87"/>
      <c r="AX63" s="87"/>
      <c r="AY63" s="87"/>
      <c r="AZ63" s="87"/>
      <c r="BA63" s="87"/>
      <c r="BB63" s="87"/>
      <c r="BC63" s="87"/>
      <c r="BD63" s="87"/>
      <c r="BE63" s="87"/>
      <c r="BF63" s="87"/>
      <c r="BG63" s="87"/>
      <c r="BH63" s="87"/>
      <c r="BI63" s="87"/>
      <c r="BJ63" s="87"/>
      <c r="BK63" s="87"/>
      <c r="BL63" s="87"/>
      <c r="BM63" s="87"/>
      <c r="BN63" s="87"/>
      <c r="BO63" s="87"/>
      <c r="BP63" s="87"/>
      <c r="BQ63" s="87"/>
      <c r="BR63" s="87"/>
      <c r="BS63" s="87"/>
      <c r="BT63" s="87"/>
      <c r="BU63" s="87"/>
      <c r="BV63" s="87"/>
      <c r="BW63" s="87"/>
      <c r="BX63" s="87"/>
      <c r="BY63" s="87"/>
      <c r="BZ63" s="87"/>
      <c r="CA63" s="87"/>
      <c r="CB63" s="87"/>
      <c r="CC63" s="87"/>
      <c r="CD63" s="87"/>
      <c r="CE63" s="87"/>
      <c r="CF63" s="87"/>
      <c r="CG63" s="87"/>
      <c r="CH63" s="87"/>
      <c r="CI63" s="87"/>
      <c r="CJ63" s="87"/>
      <c r="CK63" s="87"/>
      <c r="CL63" s="87"/>
      <c r="CM63" s="87"/>
      <c r="CN63" s="87"/>
      <c r="CO63" s="87"/>
      <c r="CP63" s="87"/>
      <c r="CQ63" s="87"/>
      <c r="CR63" s="87"/>
      <c r="CS63" s="87"/>
      <c r="CT63" s="87"/>
      <c r="CU63" s="87"/>
      <c r="CV63" s="87"/>
      <c r="CW63" s="87"/>
      <c r="CX63" s="87"/>
      <c r="CY63" s="87"/>
      <c r="CZ63" s="87"/>
      <c r="DA63" s="87"/>
      <c r="DB63" s="87"/>
      <c r="DC63" s="87"/>
      <c r="DD63" s="87"/>
      <c r="DE63" s="87"/>
      <c r="DF63" s="87"/>
      <c r="DG63" s="87"/>
      <c r="DH63" s="87"/>
      <c r="DI63" s="87"/>
      <c r="DJ63" s="87"/>
      <c r="DK63" s="87"/>
      <c r="DL63" s="87"/>
      <c r="DM63" s="87"/>
      <c r="DN63" s="87"/>
      <c r="DO63" s="87"/>
      <c r="DP63" s="87"/>
      <c r="DQ63" s="87"/>
      <c r="DR63" s="87"/>
      <c r="DS63" s="87"/>
      <c r="DT63" s="87"/>
      <c r="DU63" s="87"/>
      <c r="DV63" s="87"/>
      <c r="DW63" s="87"/>
      <c r="DX63" s="87"/>
      <c r="DY63" s="87"/>
      <c r="DZ63" s="87"/>
      <c r="EA63" s="87"/>
      <c r="EB63" s="87"/>
      <c r="EC63" s="87"/>
      <c r="ED63" s="87"/>
      <c r="EE63" s="87"/>
      <c r="EF63" s="87"/>
      <c r="EG63" s="87"/>
      <c r="EH63" s="87"/>
      <c r="EI63" s="87"/>
    </row>
    <row r="64" spans="1:139" ht="29.25" thickBot="1" x14ac:dyDescent="0.35">
      <c r="A64" s="175" t="s">
        <v>237</v>
      </c>
      <c r="B64" s="176">
        <v>2</v>
      </c>
      <c r="C64" s="177">
        <f>(440*0.1)+(195*0.65)+(70*0.85)+(102*0.1)</f>
        <v>240.45</v>
      </c>
      <c r="D64" s="91">
        <f>C64/VLOOKUP(B64,'[2]Gas Prod per PADD'!$A$1:$C$6,2,FALSE)</f>
        <v>0.1001875</v>
      </c>
      <c r="E64" s="178">
        <v>45323</v>
      </c>
      <c r="F64" s="179">
        <v>45356</v>
      </c>
      <c r="G64" s="180" t="s">
        <v>250</v>
      </c>
      <c r="H64" s="181" t="s">
        <v>216</v>
      </c>
      <c r="I64" s="84"/>
      <c r="J64" s="85"/>
      <c r="K64" s="85">
        <f>C64*(E64-$K$1)/29</f>
        <v>-232.15862068965515</v>
      </c>
      <c r="L64" s="85">
        <f t="shared" ref="L64:L76" si="4">C64*($K$1+1-F64)/31</f>
        <v>-31.025806451612901</v>
      </c>
      <c r="M64" s="85"/>
      <c r="N64" s="85"/>
      <c r="O64" s="85"/>
      <c r="P64" s="85"/>
      <c r="Q64" s="85"/>
      <c r="R64" s="85"/>
      <c r="S64" s="85"/>
      <c r="T64" s="85"/>
      <c r="U64" s="85"/>
      <c r="V64" s="84"/>
      <c r="W64" s="84"/>
      <c r="X64" s="84" t="str">
        <f t="shared" si="0"/>
        <v>OK</v>
      </c>
      <c r="Y64" s="105"/>
      <c r="Z64" s="105"/>
      <c r="AA64" s="87"/>
      <c r="AB64" s="87"/>
      <c r="AC64" s="87"/>
      <c r="AD64" s="87"/>
      <c r="AE64" s="105"/>
      <c r="AF64" s="105"/>
      <c r="AG64" s="105"/>
      <c r="AH64" s="105"/>
      <c r="AI64" s="87"/>
      <c r="AJ64" s="87"/>
      <c r="AK64" s="87"/>
      <c r="AL64" s="87">
        <f>(1.5/7)*$C64*-1</f>
        <v>-51.524999999999991</v>
      </c>
      <c r="AM64" s="87">
        <f>(5.5/7)*$C64*-1</f>
        <v>-188.92499999999998</v>
      </c>
      <c r="AN64" s="87"/>
      <c r="AO64" s="87"/>
      <c r="AP64" s="87"/>
      <c r="AQ64" s="87" t="e">
        <f>(#REF!-F64)/7*C64*1/3</f>
        <v>#REF!</v>
      </c>
      <c r="AR64" s="105" t="e">
        <f>(C64-AQ64)*1/3</f>
        <v>#REF!</v>
      </c>
      <c r="AS64" s="105" t="e">
        <f>C64-AQ64-AR64-50</f>
        <v>#REF!</v>
      </c>
      <c r="AT64" s="105" t="e">
        <f>C64-SUM(AQ64:AS64)</f>
        <v>#REF!</v>
      </c>
      <c r="AU64" s="87"/>
      <c r="AV64" s="87"/>
      <c r="AW64" s="87"/>
      <c r="AX64" s="87"/>
      <c r="AY64" s="87"/>
      <c r="AZ64" s="87"/>
      <c r="BA64" s="87"/>
      <c r="BB64" s="87"/>
      <c r="BC64" s="87"/>
      <c r="BD64" s="87"/>
      <c r="BE64" s="87"/>
      <c r="BF64" s="87"/>
      <c r="BG64" s="87"/>
      <c r="BH64" s="87"/>
      <c r="BI64" s="87"/>
      <c r="BJ64" s="87"/>
      <c r="BK64" s="87"/>
      <c r="BL64" s="87"/>
      <c r="BM64" s="87"/>
      <c r="BN64" s="87"/>
      <c r="BO64" s="87"/>
      <c r="BP64" s="87"/>
      <c r="BQ64" s="87"/>
      <c r="BR64" s="87"/>
      <c r="BS64" s="87"/>
      <c r="BT64" s="87"/>
      <c r="BU64" s="87"/>
      <c r="BV64" s="87"/>
      <c r="BW64" s="87"/>
      <c r="BX64" s="87"/>
      <c r="BY64" s="87"/>
      <c r="BZ64" s="87"/>
      <c r="CA64" s="87"/>
      <c r="CB64" s="87"/>
      <c r="CC64" s="87"/>
      <c r="CD64" s="87"/>
      <c r="CE64" s="87"/>
      <c r="CF64" s="87"/>
      <c r="CG64" s="87"/>
      <c r="CH64" s="87"/>
      <c r="CI64" s="87"/>
      <c r="CJ64" s="87"/>
      <c r="CK64" s="87"/>
      <c r="CL64" s="87"/>
      <c r="CM64" s="87"/>
      <c r="CN64" s="87"/>
      <c r="CO64" s="87"/>
      <c r="CP64" s="87"/>
      <c r="CQ64" s="87"/>
      <c r="CR64" s="87"/>
      <c r="CS64" s="87"/>
      <c r="CT64" s="87"/>
      <c r="CU64" s="87"/>
      <c r="CV64" s="87"/>
      <c r="CW64" s="87"/>
      <c r="CX64" s="87"/>
      <c r="CY64" s="87"/>
      <c r="CZ64" s="87"/>
      <c r="DA64" s="87"/>
      <c r="DB64" s="87"/>
      <c r="DC64" s="87"/>
      <c r="DD64" s="87"/>
      <c r="DE64" s="87"/>
      <c r="DF64" s="87"/>
      <c r="DG64" s="87"/>
      <c r="DH64" s="87"/>
      <c r="DI64" s="87"/>
      <c r="DJ64" s="87"/>
      <c r="DK64" s="87"/>
      <c r="DL64" s="87"/>
      <c r="DM64" s="87"/>
      <c r="DN64" s="87"/>
      <c r="DO64" s="87"/>
      <c r="DP64" s="87"/>
      <c r="DQ64" s="87"/>
      <c r="DR64" s="87"/>
      <c r="DS64" s="87"/>
      <c r="DT64" s="87"/>
      <c r="DU64" s="87"/>
      <c r="DV64" s="87"/>
      <c r="DW64" s="87"/>
      <c r="DX64" s="87"/>
      <c r="DY64" s="87"/>
      <c r="DZ64" s="87"/>
      <c r="EA64" s="87"/>
      <c r="EB64" s="87"/>
      <c r="EC64" s="87"/>
      <c r="ED64" s="87"/>
      <c r="EE64" s="87"/>
      <c r="EF64" s="87"/>
      <c r="EG64" s="87"/>
      <c r="EH64" s="87"/>
      <c r="EI64" s="87"/>
    </row>
    <row r="65" spans="1:139" ht="16.5" thickBot="1" x14ac:dyDescent="0.35">
      <c r="A65" s="200" t="s">
        <v>251</v>
      </c>
      <c r="B65" s="194">
        <v>5</v>
      </c>
      <c r="C65" s="195"/>
      <c r="D65" s="91">
        <f>C65/VLOOKUP(B65,'[2]Gas Prod per PADD'!$A$1:$C$6,2,FALSE)</f>
        <v>0</v>
      </c>
      <c r="E65" s="196">
        <v>45334</v>
      </c>
      <c r="F65" s="197">
        <v>45357</v>
      </c>
      <c r="G65" s="194" t="s">
        <v>252</v>
      </c>
      <c r="H65" s="198"/>
      <c r="I65" s="84"/>
      <c r="J65" s="85"/>
      <c r="K65" s="85">
        <f>C65*(E65-$K$1)/29</f>
        <v>0</v>
      </c>
      <c r="L65" s="85">
        <f t="shared" si="4"/>
        <v>0</v>
      </c>
      <c r="M65" s="85"/>
      <c r="N65" s="85"/>
      <c r="O65" s="85"/>
      <c r="P65" s="85"/>
      <c r="Q65" s="85"/>
      <c r="R65" s="85"/>
      <c r="S65" s="85"/>
      <c r="T65" s="85"/>
      <c r="U65" s="85"/>
      <c r="V65" s="84"/>
      <c r="W65" s="84"/>
      <c r="X65" s="84" t="str">
        <f t="shared" si="0"/>
        <v>OK</v>
      </c>
      <c r="Y65" s="87"/>
      <c r="Z65" s="87"/>
      <c r="AA65" s="87"/>
      <c r="AB65" s="87"/>
      <c r="AC65" s="87"/>
      <c r="AD65" s="87"/>
      <c r="AE65" s="87"/>
      <c r="AF65" s="87"/>
      <c r="AG65" s="87"/>
      <c r="AH65" s="87"/>
      <c r="AI65" s="87"/>
      <c r="AJ65" s="87"/>
      <c r="AK65" s="87"/>
      <c r="AL65" s="87"/>
      <c r="AM65" s="87"/>
      <c r="AN65" s="87"/>
      <c r="AO65" s="87"/>
      <c r="AP65" s="87"/>
      <c r="AQ65" s="87">
        <v>3.375</v>
      </c>
      <c r="AR65" s="87">
        <v>3.375</v>
      </c>
      <c r="AS65" s="87"/>
      <c r="AT65" s="87"/>
      <c r="AU65" s="87"/>
      <c r="AV65" s="87"/>
      <c r="AW65" s="87"/>
      <c r="AX65" s="87"/>
      <c r="AY65" s="87"/>
      <c r="AZ65" s="87"/>
      <c r="BA65" s="87"/>
      <c r="BB65" s="87"/>
      <c r="BC65" s="87"/>
      <c r="BD65" s="87"/>
      <c r="BE65" s="87"/>
      <c r="BF65" s="87"/>
      <c r="BG65" s="87"/>
      <c r="BH65" s="87"/>
      <c r="BI65" s="87"/>
      <c r="BJ65" s="87"/>
      <c r="BK65" s="87"/>
      <c r="BL65" s="87"/>
      <c r="BM65" s="87"/>
      <c r="BN65" s="87"/>
      <c r="BO65" s="87"/>
      <c r="BP65" s="87"/>
      <c r="BQ65" s="87"/>
      <c r="BR65" s="87"/>
      <c r="BS65" s="87"/>
      <c r="BT65" s="87"/>
      <c r="BU65" s="87"/>
      <c r="BV65" s="87"/>
      <c r="BW65" s="87"/>
      <c r="BX65" s="87"/>
      <c r="BY65" s="87"/>
      <c r="BZ65" s="87"/>
      <c r="CA65" s="87"/>
      <c r="CB65" s="87"/>
      <c r="CC65" s="87"/>
      <c r="CD65" s="87"/>
      <c r="CE65" s="87"/>
      <c r="CF65" s="87"/>
      <c r="CG65" s="87"/>
      <c r="CH65" s="87"/>
      <c r="CI65" s="87"/>
      <c r="CJ65" s="87"/>
      <c r="CK65" s="87"/>
      <c r="CL65" s="87"/>
      <c r="CM65" s="87"/>
      <c r="CN65" s="87"/>
      <c r="CO65" s="87"/>
      <c r="CP65" s="87"/>
      <c r="CQ65" s="87"/>
      <c r="CR65" s="87"/>
      <c r="CS65" s="87"/>
      <c r="CT65" s="87"/>
      <c r="CU65" s="87"/>
      <c r="CV65" s="87"/>
      <c r="CW65" s="87"/>
      <c r="CX65" s="87"/>
      <c r="CY65" s="87"/>
      <c r="CZ65" s="87"/>
      <c r="DA65" s="87"/>
      <c r="DB65" s="87"/>
      <c r="DC65" s="87"/>
      <c r="DD65" s="87"/>
      <c r="DE65" s="87"/>
      <c r="DF65" s="87"/>
      <c r="DG65" s="87"/>
      <c r="DH65" s="87"/>
      <c r="DI65" s="87"/>
      <c r="DJ65" s="87"/>
      <c r="DK65" s="87"/>
      <c r="DL65" s="87"/>
      <c r="DM65" s="87"/>
      <c r="DN65" s="87"/>
      <c r="DO65" s="87"/>
      <c r="DP65" s="87"/>
      <c r="DQ65" s="87"/>
      <c r="DR65" s="87"/>
      <c r="DS65" s="87"/>
      <c r="DT65" s="87"/>
      <c r="DU65" s="87"/>
      <c r="DV65" s="87"/>
      <c r="DW65" s="87"/>
      <c r="DX65" s="87"/>
      <c r="DY65" s="87"/>
      <c r="DZ65" s="87"/>
      <c r="EA65" s="87"/>
      <c r="EB65" s="87"/>
      <c r="EC65" s="87"/>
      <c r="ED65" s="87"/>
      <c r="EE65" s="87"/>
      <c r="EF65" s="87"/>
      <c r="EG65" s="75">
        <v>46017</v>
      </c>
      <c r="EH65" s="75">
        <v>46024</v>
      </c>
      <c r="EI65" s="75">
        <v>46031</v>
      </c>
    </row>
    <row r="66" spans="1:139" ht="16.5" thickBot="1" x14ac:dyDescent="0.35">
      <c r="A66" s="192" t="s">
        <v>253</v>
      </c>
      <c r="B66" s="182">
        <v>3</v>
      </c>
      <c r="C66" s="183">
        <f>77.5*0.85+65.5*0.85-1.55</f>
        <v>120</v>
      </c>
      <c r="D66" s="91">
        <f>C66/VLOOKUP(B66,'[2]Gas Prod per PADD'!$A$1:$C$6,2,FALSE)</f>
        <v>2.6086956521739129E-2</v>
      </c>
      <c r="E66" s="184">
        <v>45349</v>
      </c>
      <c r="F66" s="185">
        <v>45357</v>
      </c>
      <c r="G66" s="186" t="s">
        <v>254</v>
      </c>
      <c r="H66" s="139" t="s">
        <v>216</v>
      </c>
      <c r="I66" s="84"/>
      <c r="J66" s="85"/>
      <c r="K66" s="85">
        <f>C66*(E66-$K$1)/29</f>
        <v>-8.2758620689655178</v>
      </c>
      <c r="L66" s="85">
        <f t="shared" si="4"/>
        <v>-19.35483870967742</v>
      </c>
      <c r="M66" s="85"/>
      <c r="N66" s="85"/>
      <c r="O66" s="85"/>
      <c r="P66" s="85"/>
      <c r="Q66" s="85"/>
      <c r="R66" s="85"/>
      <c r="S66" s="85"/>
      <c r="T66" s="85"/>
      <c r="U66" s="85"/>
      <c r="V66" s="84"/>
      <c r="W66" s="84"/>
      <c r="X66" s="84" t="str">
        <f t="shared" ref="X66:X129" si="5">IF(COUNTA(Y66:EI66)=0,"Missing","OK")</f>
        <v>OK</v>
      </c>
      <c r="Y66" s="105"/>
      <c r="Z66" s="105"/>
      <c r="AA66" s="87"/>
      <c r="AB66" s="87"/>
      <c r="AC66" s="87"/>
      <c r="AD66" s="87"/>
      <c r="AE66" s="105"/>
      <c r="AF66" s="105"/>
      <c r="AG66" s="105"/>
      <c r="AH66" s="87"/>
      <c r="AI66" s="87"/>
      <c r="AJ66" s="87"/>
      <c r="AK66" s="105"/>
      <c r="AL66" s="105"/>
      <c r="AM66" s="105"/>
      <c r="AN66" s="87"/>
      <c r="AO66" s="87"/>
      <c r="AP66" s="105" t="e">
        <f>(E66-#REF!)/7*C66+10</f>
        <v>#REF!</v>
      </c>
      <c r="AQ66" s="105" t="e">
        <f>-120-AP66</f>
        <v>#REF!</v>
      </c>
      <c r="AR66" s="105">
        <f>65*0.85</f>
        <v>55.25</v>
      </c>
      <c r="AS66" s="105">
        <f>C66-AR66-30</f>
        <v>34.75</v>
      </c>
      <c r="AT66" s="105">
        <f>C66-AR66-AS66</f>
        <v>30</v>
      </c>
      <c r="AU66" s="87"/>
      <c r="AV66" s="87"/>
      <c r="AW66" s="105"/>
      <c r="AX66" s="87"/>
      <c r="AY66" s="87"/>
      <c r="AZ66" s="87"/>
      <c r="BA66" s="87"/>
      <c r="BB66" s="87"/>
      <c r="BC66" s="87"/>
      <c r="BD66" s="87"/>
      <c r="BE66" s="87"/>
      <c r="BF66" s="87"/>
      <c r="BG66" s="87"/>
      <c r="BH66" s="87"/>
      <c r="BI66" s="87"/>
      <c r="BJ66" s="87"/>
      <c r="BK66" s="87"/>
      <c r="BL66" s="87"/>
      <c r="BM66" s="87"/>
      <c r="BN66" s="87"/>
      <c r="BO66" s="87"/>
      <c r="BP66" s="87"/>
      <c r="BQ66" s="87"/>
      <c r="BR66" s="87"/>
      <c r="BS66" s="87"/>
      <c r="BT66" s="87"/>
      <c r="BU66" s="87"/>
      <c r="BV66" s="87"/>
      <c r="BW66" s="87"/>
      <c r="BX66" s="87"/>
      <c r="BY66" s="87"/>
      <c r="BZ66" s="87"/>
      <c r="CA66" s="87"/>
      <c r="CB66" s="87"/>
      <c r="CC66" s="87"/>
      <c r="CD66" s="87"/>
      <c r="CE66" s="87"/>
      <c r="CF66" s="87"/>
      <c r="CG66" s="87"/>
      <c r="CH66" s="87"/>
      <c r="CI66" s="87"/>
      <c r="CJ66" s="87"/>
      <c r="CK66" s="87"/>
      <c r="CL66" s="87"/>
      <c r="CM66" s="87"/>
      <c r="CN66" s="87"/>
      <c r="CO66" s="87"/>
      <c r="CP66" s="87"/>
      <c r="CQ66" s="87"/>
      <c r="CR66" s="87"/>
      <c r="CS66" s="87"/>
      <c r="CT66" s="87"/>
      <c r="CU66" s="87"/>
      <c r="CV66" s="87"/>
      <c r="CW66" s="87"/>
      <c r="CX66" s="87"/>
      <c r="CY66" s="87"/>
      <c r="CZ66" s="87"/>
      <c r="DA66" s="87"/>
      <c r="DB66" s="87"/>
      <c r="DC66" s="87"/>
      <c r="DD66" s="87"/>
      <c r="DE66" s="87"/>
      <c r="DF66" s="87"/>
      <c r="DG66" s="87"/>
      <c r="DH66" s="87"/>
      <c r="DI66" s="87"/>
      <c r="DJ66" s="87"/>
      <c r="DK66" s="87"/>
      <c r="DL66" s="87"/>
      <c r="DM66" s="87"/>
      <c r="DN66" s="87"/>
      <c r="DO66" s="87"/>
      <c r="DP66" s="87"/>
      <c r="DQ66" s="87"/>
      <c r="DR66" s="87"/>
      <c r="DS66" s="87"/>
      <c r="DT66" s="87"/>
      <c r="DU66" s="87"/>
      <c r="DV66" s="87"/>
      <c r="DW66" s="87"/>
      <c r="DX66" s="87"/>
      <c r="DY66" s="87"/>
      <c r="DZ66" s="87"/>
      <c r="EA66" s="87"/>
      <c r="EB66" s="87"/>
      <c r="EC66" s="87"/>
      <c r="ED66" s="87"/>
      <c r="EE66" s="87"/>
      <c r="EF66" s="87"/>
      <c r="EG66" s="87"/>
      <c r="EH66" s="87"/>
      <c r="EI66" s="87"/>
    </row>
    <row r="67" spans="1:139" ht="16.5" hidden="1" thickBot="1" x14ac:dyDescent="0.35">
      <c r="A67" s="106" t="s">
        <v>210</v>
      </c>
      <c r="B67" s="107">
        <v>3</v>
      </c>
      <c r="C67" s="108">
        <f>35*0.85+0.25</f>
        <v>30</v>
      </c>
      <c r="D67" s="91">
        <f>C67/VLOOKUP(B67,'[2]Gas Prod per PADD'!$A$1:$C$6,2,FALSE)</f>
        <v>6.5217391304347823E-3</v>
      </c>
      <c r="E67" s="109">
        <v>45317</v>
      </c>
      <c r="F67" s="110">
        <v>45358</v>
      </c>
      <c r="G67" s="111" t="s">
        <v>197</v>
      </c>
      <c r="H67" s="112" t="s">
        <v>255</v>
      </c>
      <c r="I67" s="84"/>
      <c r="J67" s="85">
        <f>C67*(E67-$J$1)/31</f>
        <v>-4.838709677419355</v>
      </c>
      <c r="K67" s="85"/>
      <c r="L67" s="85">
        <f t="shared" si="4"/>
        <v>-5.806451612903226</v>
      </c>
      <c r="M67" s="85"/>
      <c r="N67" s="85"/>
      <c r="O67" s="85"/>
      <c r="P67" s="85"/>
      <c r="Q67" s="85"/>
      <c r="R67" s="85"/>
      <c r="S67" s="85"/>
      <c r="T67" s="85"/>
      <c r="U67" s="85"/>
      <c r="V67" s="84"/>
      <c r="W67" s="84"/>
      <c r="X67" s="84" t="str">
        <f t="shared" si="5"/>
        <v>OK</v>
      </c>
      <c r="Y67" s="105"/>
      <c r="Z67" s="105"/>
      <c r="AA67" s="87"/>
      <c r="AB67" s="87"/>
      <c r="AC67" s="87"/>
      <c r="AD67" s="87"/>
      <c r="AE67" s="105"/>
      <c r="AF67" s="105"/>
      <c r="AG67" s="105"/>
      <c r="AH67" s="105"/>
      <c r="AI67" s="87"/>
      <c r="AJ67" s="87"/>
      <c r="AK67" s="105"/>
      <c r="AL67" s="87"/>
      <c r="AM67" s="105"/>
      <c r="AN67" s="105"/>
      <c r="AO67" s="87"/>
      <c r="AP67" s="87"/>
      <c r="AQ67" s="105"/>
      <c r="AR67" s="105"/>
      <c r="AS67" s="87">
        <f>-30*2/3</f>
        <v>-20</v>
      </c>
      <c r="AT67" s="105">
        <f>-C67-AS67</f>
        <v>-10</v>
      </c>
      <c r="AU67" s="87"/>
      <c r="AV67" s="87"/>
      <c r="AW67" s="105"/>
      <c r="AX67" s="105"/>
      <c r="AY67" s="87"/>
      <c r="AZ67" s="87"/>
      <c r="BA67" s="87"/>
      <c r="BB67" s="87"/>
      <c r="BC67" s="87"/>
      <c r="BD67" s="87"/>
      <c r="BE67" s="87"/>
      <c r="BF67" s="87"/>
      <c r="BG67" s="87"/>
      <c r="BH67" s="87"/>
      <c r="BI67" s="87"/>
      <c r="BJ67" s="87"/>
      <c r="BK67" s="87"/>
      <c r="BL67" s="87"/>
      <c r="BM67" s="87"/>
      <c r="BN67" s="87"/>
      <c r="BO67" s="87"/>
      <c r="BP67" s="87"/>
      <c r="BQ67" s="87"/>
      <c r="BR67" s="87"/>
      <c r="BS67" s="87"/>
      <c r="BT67" s="87"/>
      <c r="BU67" s="87"/>
      <c r="BV67" s="87"/>
      <c r="BW67" s="87"/>
      <c r="BX67" s="87"/>
      <c r="BY67" s="87"/>
      <c r="BZ67" s="87"/>
      <c r="CA67" s="87"/>
      <c r="CB67" s="87"/>
      <c r="CC67" s="87"/>
      <c r="CD67" s="87"/>
      <c r="CE67" s="87"/>
      <c r="CF67" s="87"/>
      <c r="CG67" s="87"/>
      <c r="CH67" s="87"/>
      <c r="CI67" s="87"/>
      <c r="CJ67" s="87"/>
      <c r="CK67" s="87"/>
      <c r="CL67" s="87"/>
      <c r="CM67" s="87"/>
      <c r="CN67" s="87"/>
      <c r="CO67" s="87"/>
      <c r="CP67" s="87"/>
      <c r="CQ67" s="87"/>
      <c r="CR67" s="87"/>
      <c r="CS67" s="87"/>
      <c r="CT67" s="87"/>
      <c r="CU67" s="87"/>
      <c r="CV67" s="87"/>
      <c r="CW67" s="87"/>
      <c r="CX67" s="87"/>
      <c r="CY67" s="87"/>
      <c r="CZ67" s="87"/>
      <c r="DA67" s="87"/>
      <c r="DB67" s="87"/>
      <c r="DC67" s="87"/>
      <c r="DD67" s="87"/>
      <c r="DE67" s="87"/>
      <c r="DF67" s="87"/>
      <c r="DG67" s="87"/>
      <c r="DH67" s="87"/>
      <c r="DI67" s="87"/>
      <c r="DJ67" s="87"/>
      <c r="DK67" s="87"/>
      <c r="DL67" s="87"/>
      <c r="DM67" s="87"/>
      <c r="DN67" s="87"/>
      <c r="DO67" s="87"/>
      <c r="DP67" s="87"/>
      <c r="DQ67" s="87"/>
      <c r="DR67" s="87"/>
      <c r="DS67" s="87"/>
      <c r="DT67" s="87"/>
      <c r="DU67" s="87"/>
      <c r="DV67" s="87"/>
      <c r="DW67" s="87"/>
      <c r="DX67" s="87"/>
      <c r="DY67" s="87"/>
      <c r="DZ67" s="87"/>
      <c r="EA67" s="87"/>
      <c r="EB67" s="87"/>
      <c r="EC67" s="87"/>
      <c r="ED67" s="87"/>
      <c r="EE67" s="87"/>
      <c r="EF67" s="87"/>
      <c r="EG67" s="87"/>
      <c r="EH67" s="87"/>
      <c r="EI67" s="87"/>
    </row>
    <row r="68" spans="1:139" ht="43.5" hidden="1" thickBot="1" x14ac:dyDescent="0.35">
      <c r="A68" s="98" t="s">
        <v>256</v>
      </c>
      <c r="B68" s="107">
        <v>1</v>
      </c>
      <c r="C68" s="108">
        <f>131*0.45*0.65-3.3</f>
        <v>35.017500000000005</v>
      </c>
      <c r="D68" s="91">
        <f>C68/VLOOKUP(B68,'[2]Gas Prod per PADD'!$A$1:$C$6,2,FALSE)</f>
        <v>7.2953125000000008E-2</v>
      </c>
      <c r="E68" s="109">
        <v>45306</v>
      </c>
      <c r="F68" s="110">
        <v>45359</v>
      </c>
      <c r="G68" s="138" t="s">
        <v>257</v>
      </c>
      <c r="H68" s="112"/>
      <c r="I68" s="84"/>
      <c r="J68" s="85">
        <f>C68*(E68-$J$1)/31</f>
        <v>-18.073548387096778</v>
      </c>
      <c r="K68" s="85"/>
      <c r="L68" s="85">
        <f t="shared" si="4"/>
        <v>-7.9071774193548396</v>
      </c>
      <c r="M68" s="85"/>
      <c r="N68" s="85"/>
      <c r="O68" s="85"/>
      <c r="P68" s="85"/>
      <c r="Q68" s="85"/>
      <c r="R68" s="85"/>
      <c r="S68" s="85"/>
      <c r="T68" s="85"/>
      <c r="U68" s="85"/>
      <c r="V68" s="84"/>
      <c r="W68" s="84"/>
      <c r="X68" s="84" t="str">
        <f t="shared" si="5"/>
        <v>OK</v>
      </c>
      <c r="Y68" s="105"/>
      <c r="Z68" s="105"/>
      <c r="AA68" s="87"/>
      <c r="AB68" s="87"/>
      <c r="AC68" s="87"/>
      <c r="AD68" s="87"/>
      <c r="AE68" s="105"/>
      <c r="AF68" s="105"/>
      <c r="AG68" s="105"/>
      <c r="AH68" s="105"/>
      <c r="AI68" s="87"/>
      <c r="AJ68" s="87"/>
      <c r="AK68" s="105"/>
      <c r="AL68" s="87"/>
      <c r="AM68" s="87"/>
      <c r="AN68" s="87"/>
      <c r="AO68" s="87"/>
      <c r="AP68" s="87"/>
      <c r="AQ68" s="105"/>
      <c r="AR68" s="87">
        <f>C68/2</f>
        <v>17.508750000000003</v>
      </c>
      <c r="AS68" s="87"/>
      <c r="AT68" s="87"/>
      <c r="AU68" s="87"/>
      <c r="AV68" s="87"/>
      <c r="AW68" s="87"/>
      <c r="AX68" s="87"/>
      <c r="AY68" s="87"/>
      <c r="AZ68" s="87"/>
      <c r="BA68" s="87"/>
      <c r="BB68" s="87"/>
      <c r="BC68" s="87"/>
      <c r="BD68" s="87"/>
      <c r="BE68" s="87"/>
      <c r="BF68" s="87"/>
      <c r="BG68" s="87"/>
      <c r="BH68" s="87"/>
      <c r="BI68" s="87"/>
      <c r="BJ68" s="87"/>
      <c r="BK68" s="87"/>
      <c r="BL68" s="87"/>
      <c r="BM68" s="87"/>
      <c r="BN68" s="87"/>
      <c r="BO68" s="87"/>
      <c r="BP68" s="87"/>
      <c r="BQ68" s="87"/>
      <c r="BR68" s="87"/>
      <c r="BS68" s="87"/>
      <c r="BT68" s="87"/>
      <c r="BU68" s="87"/>
      <c r="BV68" s="87"/>
      <c r="BW68" s="87"/>
      <c r="BX68" s="87"/>
      <c r="BY68" s="87"/>
      <c r="BZ68" s="87"/>
      <c r="CA68" s="87"/>
      <c r="CB68" s="87"/>
      <c r="CC68" s="87"/>
      <c r="CD68" s="87"/>
      <c r="CE68" s="87"/>
      <c r="CF68" s="87"/>
      <c r="CG68" s="87"/>
      <c r="CH68" s="87"/>
      <c r="CI68" s="87"/>
      <c r="CJ68" s="87"/>
      <c r="CK68" s="87"/>
      <c r="CL68" s="87"/>
      <c r="CM68" s="87"/>
      <c r="CN68" s="87"/>
      <c r="CO68" s="87"/>
      <c r="CP68" s="87"/>
      <c r="CQ68" s="87"/>
      <c r="CR68" s="87"/>
      <c r="CS68" s="87"/>
      <c r="CT68" s="87"/>
      <c r="CU68" s="87"/>
      <c r="CV68" s="87"/>
      <c r="CW68" s="87"/>
      <c r="CX68" s="87"/>
      <c r="CY68" s="87"/>
      <c r="CZ68" s="87"/>
      <c r="DA68" s="87"/>
      <c r="DB68" s="87"/>
      <c r="DC68" s="87"/>
      <c r="DD68" s="87"/>
      <c r="DE68" s="87"/>
      <c r="DF68" s="87"/>
      <c r="DG68" s="87"/>
      <c r="DH68" s="87"/>
      <c r="DI68" s="87"/>
      <c r="DJ68" s="87"/>
      <c r="DK68" s="87"/>
      <c r="DL68" s="87"/>
      <c r="DM68" s="87"/>
      <c r="DN68" s="87"/>
      <c r="DO68" s="87"/>
      <c r="DP68" s="87"/>
      <c r="DQ68" s="87"/>
      <c r="DR68" s="87"/>
      <c r="DS68" s="87"/>
      <c r="DT68" s="87"/>
      <c r="DU68" s="87"/>
      <c r="DV68" s="87"/>
      <c r="DW68" s="87"/>
      <c r="DX68" s="87"/>
      <c r="DY68" s="87"/>
      <c r="DZ68" s="87"/>
      <c r="EA68" s="87"/>
      <c r="EB68" s="87"/>
      <c r="EC68" s="87"/>
      <c r="ED68" s="87"/>
      <c r="EE68" s="87"/>
      <c r="EF68" s="87"/>
      <c r="EG68" s="87"/>
      <c r="EH68" s="87"/>
      <c r="EI68" s="87"/>
    </row>
    <row r="69" spans="1:139" ht="16.5" thickBot="1" x14ac:dyDescent="0.35">
      <c r="A69" s="96" t="s">
        <v>258</v>
      </c>
      <c r="B69" s="114">
        <v>4</v>
      </c>
      <c r="C69" s="115"/>
      <c r="D69" s="91">
        <f>C69/VLOOKUP(B69,'[2]Gas Prod per PADD'!$A$1:$C$6,2,FALSE)</f>
        <v>0</v>
      </c>
      <c r="E69" s="116">
        <v>45330</v>
      </c>
      <c r="F69" s="117">
        <v>45359</v>
      </c>
      <c r="G69" s="201" t="s">
        <v>259</v>
      </c>
      <c r="H69" s="119"/>
      <c r="I69" s="84"/>
      <c r="J69" s="85"/>
      <c r="K69" s="85">
        <f>C69*(E69-$K$1)/29</f>
        <v>0</v>
      </c>
      <c r="L69" s="85">
        <f t="shared" si="4"/>
        <v>0</v>
      </c>
      <c r="M69" s="85"/>
      <c r="N69" s="85"/>
      <c r="O69" s="85"/>
      <c r="P69" s="85"/>
      <c r="Q69" s="85"/>
      <c r="R69" s="85"/>
      <c r="S69" s="85"/>
      <c r="T69" s="85"/>
      <c r="U69" s="85"/>
      <c r="V69" s="84"/>
      <c r="W69" s="84"/>
      <c r="X69" s="84" t="str">
        <f t="shared" si="5"/>
        <v>Missing</v>
      </c>
      <c r="Y69" s="87"/>
      <c r="Z69" s="87"/>
      <c r="AA69" s="87"/>
      <c r="AB69" s="87"/>
      <c r="AC69" s="87"/>
      <c r="AD69" s="87"/>
      <c r="AE69" s="87"/>
      <c r="AF69" s="87"/>
      <c r="AG69" s="87"/>
      <c r="AH69" s="87"/>
      <c r="AI69" s="87"/>
      <c r="AJ69" s="87"/>
      <c r="AK69" s="87"/>
      <c r="AL69" s="87"/>
      <c r="AM69" s="87"/>
      <c r="AN69" s="87"/>
      <c r="AO69" s="87"/>
      <c r="AP69" s="87"/>
      <c r="AQ69" s="87"/>
      <c r="AR69" s="87"/>
      <c r="AS69" s="87"/>
      <c r="AT69" s="87"/>
      <c r="AU69" s="87"/>
      <c r="AV69" s="87"/>
      <c r="AW69" s="87"/>
      <c r="AX69" s="87"/>
      <c r="AY69" s="87"/>
      <c r="AZ69" s="87"/>
      <c r="BA69" s="87"/>
      <c r="BB69" s="87"/>
      <c r="BC69" s="87"/>
      <c r="BD69" s="87"/>
      <c r="BE69" s="87"/>
      <c r="BF69" s="87"/>
      <c r="BG69" s="87"/>
      <c r="BH69" s="87"/>
      <c r="BI69" s="87"/>
      <c r="BJ69" s="87"/>
      <c r="BK69" s="87"/>
      <c r="BL69" s="87"/>
      <c r="BM69" s="87"/>
      <c r="BN69" s="87"/>
      <c r="BO69" s="87"/>
      <c r="BP69" s="87"/>
      <c r="BQ69" s="87"/>
      <c r="BR69" s="87"/>
      <c r="BS69" s="87"/>
      <c r="BT69" s="87"/>
      <c r="BU69" s="87"/>
      <c r="BV69" s="87"/>
      <c r="BW69" s="87"/>
      <c r="BX69" s="87"/>
      <c r="BY69" s="87"/>
      <c r="BZ69" s="87"/>
      <c r="CA69" s="87"/>
      <c r="CB69" s="87"/>
      <c r="CC69" s="87"/>
      <c r="CD69" s="87"/>
      <c r="CE69" s="87"/>
      <c r="CF69" s="87"/>
      <c r="CG69" s="87"/>
      <c r="CH69" s="87"/>
      <c r="CI69" s="87"/>
      <c r="CJ69" s="87"/>
      <c r="CK69" s="87"/>
      <c r="CL69" s="87"/>
      <c r="CM69" s="87"/>
      <c r="CN69" s="87"/>
      <c r="CO69" s="87"/>
      <c r="CP69" s="87"/>
      <c r="CQ69" s="87"/>
      <c r="CR69" s="87"/>
      <c r="CS69" s="87"/>
      <c r="CT69" s="87"/>
      <c r="CU69" s="87"/>
      <c r="CV69" s="87"/>
      <c r="CW69" s="87"/>
      <c r="CX69" s="87"/>
      <c r="CY69" s="87"/>
      <c r="CZ69" s="87"/>
      <c r="DA69" s="87"/>
      <c r="DB69" s="87"/>
      <c r="DC69" s="87"/>
      <c r="DD69" s="87"/>
      <c r="DE69" s="87"/>
      <c r="DF69" s="87"/>
      <c r="DG69" s="87"/>
      <c r="DH69" s="87"/>
      <c r="DI69" s="87"/>
      <c r="DJ69" s="87"/>
      <c r="DK69" s="87"/>
      <c r="DL69" s="87"/>
      <c r="DM69" s="87"/>
      <c r="DN69" s="87"/>
      <c r="DO69" s="87"/>
      <c r="DP69" s="87"/>
      <c r="DQ69" s="87"/>
      <c r="DR69" s="87"/>
      <c r="DS69" s="87"/>
      <c r="DT69" s="87"/>
      <c r="DU69" s="87"/>
      <c r="DV69" s="87"/>
      <c r="DW69" s="87"/>
      <c r="DX69" s="87"/>
      <c r="DY69" s="87"/>
      <c r="DZ69" s="87"/>
      <c r="EA69" s="87"/>
      <c r="EB69" s="87"/>
      <c r="EC69" s="87"/>
      <c r="ED69" s="87"/>
      <c r="EE69" s="87"/>
      <c r="EF69" s="87"/>
      <c r="EG69" s="87"/>
      <c r="EH69" s="87"/>
      <c r="EI69" s="87"/>
    </row>
    <row r="70" spans="1:139" ht="29.25" thickBot="1" x14ac:dyDescent="0.35">
      <c r="A70" s="175" t="s">
        <v>260</v>
      </c>
      <c r="B70" s="107">
        <v>4</v>
      </c>
      <c r="C70" s="108">
        <f>10*0.85+31*0.1+11.5*0.65+0.925</f>
        <v>20</v>
      </c>
      <c r="D70" s="91">
        <f>C70/VLOOKUP(B70,'[2]Gas Prod per PADD'!$A$1:$C$6,2,FALSE)</f>
        <v>5.8823529411764705E-2</v>
      </c>
      <c r="E70" s="109">
        <v>45330</v>
      </c>
      <c r="F70" s="110">
        <v>45359</v>
      </c>
      <c r="G70" s="111" t="s">
        <v>261</v>
      </c>
      <c r="H70" s="112" t="s">
        <v>262</v>
      </c>
      <c r="I70" s="84"/>
      <c r="J70" s="85"/>
      <c r="K70" s="85">
        <f>C70*(E70-$K$1)/29</f>
        <v>-14.482758620689655</v>
      </c>
      <c r="L70" s="85">
        <f t="shared" si="4"/>
        <v>-4.5161290322580649</v>
      </c>
      <c r="M70" s="85"/>
      <c r="N70" s="85"/>
      <c r="O70" s="85"/>
      <c r="P70" s="85"/>
      <c r="Q70" s="85"/>
      <c r="R70" s="85"/>
      <c r="S70" s="85"/>
      <c r="T70" s="85"/>
      <c r="U70" s="85"/>
      <c r="V70" s="84"/>
      <c r="W70" s="84"/>
      <c r="X70" s="84" t="str">
        <f t="shared" si="5"/>
        <v>OK</v>
      </c>
      <c r="Y70" s="105"/>
      <c r="Z70" s="105"/>
      <c r="AA70" s="87"/>
      <c r="AB70" s="87"/>
      <c r="AC70" s="87"/>
      <c r="AD70" s="87"/>
      <c r="AE70" s="105"/>
      <c r="AF70" s="105"/>
      <c r="AG70" s="105"/>
      <c r="AH70" s="105"/>
      <c r="AI70" s="87"/>
      <c r="AJ70" s="87"/>
      <c r="AK70" s="87"/>
      <c r="AL70" s="87"/>
      <c r="AM70" s="87"/>
      <c r="AN70" s="87">
        <f>-C70/2</f>
        <v>-10</v>
      </c>
      <c r="AO70" s="87">
        <f>AN70</f>
        <v>-10</v>
      </c>
      <c r="AP70" s="87"/>
      <c r="AQ70" s="87"/>
      <c r="AR70" s="87">
        <f>C70*2/3</f>
        <v>13.333333333333334</v>
      </c>
      <c r="AS70" s="87">
        <f>C70-AR70</f>
        <v>6.6666666666666661</v>
      </c>
      <c r="AT70" s="87"/>
      <c r="AU70" s="87"/>
      <c r="AV70" s="87"/>
      <c r="AW70" s="87"/>
      <c r="AX70" s="87"/>
      <c r="AY70" s="87"/>
      <c r="AZ70" s="87"/>
      <c r="BA70" s="87"/>
      <c r="BB70" s="87"/>
      <c r="BC70" s="87"/>
      <c r="BD70" s="87"/>
      <c r="BE70" s="87"/>
      <c r="BF70" s="87"/>
      <c r="BG70" s="87"/>
      <c r="BH70" s="87"/>
      <c r="BI70" s="87"/>
      <c r="BJ70" s="87"/>
      <c r="BK70" s="87"/>
      <c r="BL70" s="87"/>
      <c r="BM70" s="87"/>
      <c r="BN70" s="87"/>
      <c r="BO70" s="87"/>
      <c r="BP70" s="87"/>
      <c r="BQ70" s="87"/>
      <c r="BR70" s="87"/>
      <c r="BS70" s="87"/>
      <c r="BT70" s="87"/>
      <c r="BU70" s="87"/>
      <c r="BV70" s="87"/>
      <c r="BW70" s="87"/>
      <c r="BX70" s="87"/>
      <c r="BY70" s="87"/>
      <c r="BZ70" s="87"/>
      <c r="CA70" s="87"/>
      <c r="CB70" s="87"/>
      <c r="CC70" s="87"/>
      <c r="CD70" s="87"/>
      <c r="CE70" s="87"/>
      <c r="CF70" s="87"/>
      <c r="CG70" s="87"/>
      <c r="CH70" s="87"/>
      <c r="CI70" s="87"/>
      <c r="CJ70" s="87"/>
      <c r="CK70" s="87"/>
      <c r="CL70" s="87"/>
      <c r="CM70" s="87"/>
      <c r="CN70" s="87"/>
      <c r="CO70" s="87"/>
      <c r="CP70" s="87"/>
      <c r="CQ70" s="75"/>
      <c r="CR70" s="87"/>
      <c r="CS70" s="87"/>
      <c r="CT70" s="87"/>
      <c r="CU70" s="87"/>
      <c r="CV70" s="87"/>
      <c r="CW70" s="87"/>
      <c r="CX70" s="87"/>
      <c r="CY70" s="87"/>
      <c r="CZ70" s="87"/>
      <c r="DA70" s="87"/>
      <c r="DB70" s="87"/>
      <c r="DC70" s="87"/>
      <c r="DD70" s="87"/>
      <c r="DE70" s="87"/>
      <c r="DF70" s="87"/>
      <c r="DG70" s="87"/>
      <c r="DH70" s="87"/>
      <c r="DI70" s="87"/>
      <c r="DJ70" s="87"/>
      <c r="DK70" s="87"/>
      <c r="DL70" s="87"/>
      <c r="DM70" s="87"/>
      <c r="DN70" s="87"/>
      <c r="DO70" s="87"/>
      <c r="DP70" s="87"/>
      <c r="DQ70" s="87"/>
      <c r="DR70" s="87"/>
      <c r="DS70" s="87"/>
      <c r="DT70" s="87"/>
      <c r="DU70" s="87"/>
      <c r="DV70" s="87"/>
      <c r="DW70" s="87"/>
      <c r="DX70" s="87"/>
      <c r="DY70" s="87"/>
      <c r="DZ70" s="87"/>
      <c r="EA70" s="87"/>
      <c r="EB70" s="87"/>
      <c r="EC70" s="87"/>
      <c r="ED70" s="87"/>
      <c r="EE70" s="87"/>
      <c r="EF70" s="87"/>
      <c r="EG70" s="87"/>
      <c r="EH70" s="87"/>
      <c r="EI70" s="87"/>
    </row>
    <row r="71" spans="1:139" ht="16.5" thickBot="1" x14ac:dyDescent="0.35">
      <c r="A71" s="106" t="s">
        <v>243</v>
      </c>
      <c r="B71" s="118">
        <v>3</v>
      </c>
      <c r="C71" s="115">
        <v>17</v>
      </c>
      <c r="D71" s="91">
        <f>C71/VLOOKUP(B71,'[2]Gas Prod per PADD'!$A$1:$C$6,2,FALSE)</f>
        <v>3.6956521739130435E-3</v>
      </c>
      <c r="E71" s="116">
        <v>45347</v>
      </c>
      <c r="F71" s="117">
        <v>45359</v>
      </c>
      <c r="G71" s="118" t="s">
        <v>263</v>
      </c>
      <c r="H71" s="119"/>
      <c r="I71" s="84"/>
      <c r="J71" s="85"/>
      <c r="K71" s="85">
        <f>C71*(E71-$K$1)/29</f>
        <v>-2.3448275862068964</v>
      </c>
      <c r="L71" s="85">
        <f t="shared" si="4"/>
        <v>-3.838709677419355</v>
      </c>
      <c r="M71" s="85"/>
      <c r="N71" s="85"/>
      <c r="O71" s="85"/>
      <c r="P71" s="85"/>
      <c r="Q71" s="85"/>
      <c r="R71" s="85"/>
      <c r="S71" s="85"/>
      <c r="T71" s="85"/>
      <c r="U71" s="85"/>
      <c r="V71" s="84"/>
      <c r="W71" s="84"/>
      <c r="X71" s="84" t="str">
        <f t="shared" si="5"/>
        <v>Missing</v>
      </c>
      <c r="Y71" s="87"/>
      <c r="Z71" s="87"/>
      <c r="AA71" s="87"/>
      <c r="AB71" s="87"/>
      <c r="AC71" s="87"/>
      <c r="AD71" s="87"/>
      <c r="AE71" s="87"/>
      <c r="AF71" s="87"/>
      <c r="AG71" s="87"/>
      <c r="AH71" s="87"/>
      <c r="AI71" s="87"/>
      <c r="AJ71" s="87"/>
      <c r="AK71" s="87"/>
      <c r="AL71" s="87"/>
      <c r="AM71" s="87"/>
      <c r="AN71" s="87"/>
      <c r="AO71" s="87"/>
      <c r="AP71" s="87"/>
      <c r="AQ71" s="87"/>
      <c r="AR71" s="87"/>
      <c r="AS71" s="87"/>
      <c r="AT71" s="87"/>
      <c r="AU71" s="87"/>
      <c r="AV71" s="87"/>
      <c r="AW71" s="87"/>
      <c r="AX71" s="87"/>
      <c r="AY71" s="87"/>
      <c r="AZ71" s="87"/>
      <c r="BA71" s="87"/>
      <c r="BB71" s="87"/>
      <c r="BC71" s="87"/>
      <c r="BD71" s="87"/>
      <c r="BE71" s="87"/>
      <c r="BF71" s="87"/>
      <c r="BG71" s="87"/>
      <c r="BH71" s="87"/>
      <c r="BI71" s="87"/>
      <c r="BJ71" s="87"/>
      <c r="BK71" s="87"/>
      <c r="BL71" s="87"/>
      <c r="BM71" s="87"/>
      <c r="BN71" s="87"/>
      <c r="BO71" s="87"/>
      <c r="BP71" s="87"/>
      <c r="BQ71" s="87"/>
      <c r="BR71" s="87"/>
      <c r="BS71" s="87"/>
      <c r="BT71" s="87"/>
      <c r="BU71" s="87"/>
      <c r="BV71" s="87"/>
      <c r="BW71" s="87"/>
      <c r="BX71" s="87"/>
      <c r="BY71" s="87"/>
      <c r="BZ71" s="87"/>
      <c r="CA71" s="87"/>
      <c r="CB71" s="87"/>
      <c r="CC71" s="87"/>
      <c r="CD71" s="87"/>
      <c r="CE71" s="87"/>
      <c r="CF71" s="87"/>
      <c r="CG71" s="87"/>
      <c r="CH71" s="87"/>
      <c r="CI71" s="87"/>
      <c r="CJ71" s="87"/>
      <c r="CK71" s="87"/>
      <c r="CL71" s="87"/>
      <c r="CM71" s="87"/>
      <c r="CN71" s="87"/>
      <c r="CO71" s="87"/>
      <c r="CP71" s="87"/>
      <c r="CQ71" s="87"/>
      <c r="CR71" s="87"/>
      <c r="CS71" s="87"/>
      <c r="CT71" s="87"/>
      <c r="CU71" s="87"/>
      <c r="CV71" s="87"/>
      <c r="CW71" s="87"/>
      <c r="CX71" s="87"/>
      <c r="CY71" s="87"/>
      <c r="CZ71" s="87"/>
      <c r="DA71" s="87"/>
      <c r="DB71" s="87"/>
      <c r="DC71" s="87"/>
      <c r="DD71" s="87"/>
      <c r="DE71" s="87"/>
      <c r="DF71" s="87"/>
      <c r="DG71" s="87"/>
      <c r="DH71" s="87"/>
      <c r="DI71" s="87"/>
      <c r="DJ71" s="87"/>
      <c r="DK71" s="87"/>
      <c r="DL71" s="87"/>
      <c r="DM71" s="87"/>
      <c r="DN71" s="87"/>
      <c r="DO71" s="87"/>
      <c r="DP71" s="87"/>
      <c r="DQ71" s="87"/>
      <c r="DR71" s="87"/>
      <c r="DS71" s="87"/>
      <c r="DT71" s="87"/>
      <c r="DU71" s="87"/>
      <c r="DV71" s="87"/>
      <c r="DW71" s="87"/>
      <c r="DX71" s="87"/>
      <c r="DY71" s="87"/>
      <c r="DZ71" s="87"/>
      <c r="EA71" s="87"/>
      <c r="EB71" s="87"/>
      <c r="EC71" s="87"/>
      <c r="ED71" s="87"/>
      <c r="EE71" s="87"/>
      <c r="EF71" s="87"/>
      <c r="EG71" s="87"/>
      <c r="EH71" s="87"/>
      <c r="EI71" s="87"/>
    </row>
    <row r="72" spans="1:139" ht="16.5" thickBot="1" x14ac:dyDescent="0.35">
      <c r="A72" s="140" t="s">
        <v>264</v>
      </c>
      <c r="B72" s="118">
        <v>2</v>
      </c>
      <c r="C72" s="115"/>
      <c r="D72" s="91">
        <f>C72/VLOOKUP(B72,'[2]Gas Prod per PADD'!$A$1:$C$6,2,FALSE)</f>
        <v>0</v>
      </c>
      <c r="E72" s="116">
        <v>45323</v>
      </c>
      <c r="F72" s="117">
        <v>45360</v>
      </c>
      <c r="G72" s="118" t="s">
        <v>265</v>
      </c>
      <c r="H72" s="119"/>
      <c r="I72" s="84"/>
      <c r="J72" s="85"/>
      <c r="K72" s="85">
        <f>C72*(E72-$K$1)/29</f>
        <v>0</v>
      </c>
      <c r="L72" s="85">
        <f t="shared" si="4"/>
        <v>0</v>
      </c>
      <c r="M72" s="85"/>
      <c r="N72" s="85"/>
      <c r="O72" s="85"/>
      <c r="P72" s="85"/>
      <c r="Q72" s="85"/>
      <c r="R72" s="85"/>
      <c r="S72" s="85"/>
      <c r="T72" s="85"/>
      <c r="U72" s="85"/>
      <c r="V72" s="84"/>
      <c r="W72" s="84"/>
      <c r="X72" s="84" t="str">
        <f t="shared" si="5"/>
        <v>Missing</v>
      </c>
      <c r="Y72" s="87"/>
      <c r="Z72" s="87"/>
      <c r="AA72" s="87"/>
      <c r="AB72" s="87"/>
      <c r="AC72" s="87"/>
      <c r="AD72" s="87"/>
      <c r="AE72" s="87"/>
      <c r="AF72" s="87"/>
      <c r="AG72" s="87"/>
      <c r="AH72" s="87"/>
      <c r="AI72" s="87"/>
      <c r="AJ72" s="87"/>
      <c r="AK72" s="87"/>
      <c r="AL72" s="87"/>
      <c r="AM72" s="87"/>
      <c r="AN72" s="87"/>
      <c r="AO72" s="87"/>
      <c r="AP72" s="87"/>
      <c r="AQ72" s="87"/>
      <c r="AR72" s="87"/>
      <c r="AS72" s="87"/>
      <c r="AT72" s="87"/>
      <c r="AU72" s="87"/>
      <c r="AV72" s="87"/>
      <c r="AW72" s="87"/>
      <c r="AX72" s="87"/>
      <c r="AY72" s="87"/>
      <c r="AZ72" s="87"/>
      <c r="BA72" s="87"/>
      <c r="BB72" s="87"/>
      <c r="BC72" s="87"/>
      <c r="BD72" s="87"/>
      <c r="BE72" s="87"/>
      <c r="BF72" s="87"/>
      <c r="BG72" s="87"/>
      <c r="BH72" s="87"/>
      <c r="BI72" s="87"/>
      <c r="BJ72" s="87"/>
      <c r="BK72" s="87"/>
      <c r="BL72" s="87"/>
      <c r="BM72" s="87"/>
      <c r="BN72" s="87"/>
      <c r="BO72" s="87"/>
      <c r="BP72" s="87"/>
      <c r="BQ72" s="87"/>
      <c r="BR72" s="87"/>
      <c r="BS72" s="87"/>
      <c r="BT72" s="87"/>
      <c r="BU72" s="87"/>
      <c r="BV72" s="87"/>
      <c r="BW72" s="87"/>
      <c r="BX72" s="87"/>
      <c r="BY72" s="87"/>
      <c r="BZ72" s="87"/>
      <c r="CA72" s="87"/>
      <c r="CB72" s="87"/>
      <c r="CC72" s="87"/>
      <c r="CD72" s="87"/>
      <c r="CE72" s="87"/>
      <c r="CF72" s="87"/>
      <c r="CG72" s="87"/>
      <c r="CH72" s="87"/>
      <c r="CI72" s="87"/>
      <c r="CJ72" s="87"/>
      <c r="CK72" s="87"/>
      <c r="CL72" s="87"/>
      <c r="CM72" s="87"/>
      <c r="CN72" s="87"/>
      <c r="CO72" s="87"/>
      <c r="CP72" s="87"/>
      <c r="CQ72" s="87"/>
      <c r="CR72" s="87"/>
      <c r="CS72" s="87"/>
      <c r="CT72" s="87"/>
      <c r="CU72" s="87"/>
      <c r="CV72" s="87"/>
      <c r="CW72" s="87"/>
      <c r="CX72" s="87"/>
      <c r="CY72" s="87"/>
      <c r="CZ72" s="87"/>
      <c r="DA72" s="87"/>
      <c r="DB72" s="87"/>
      <c r="DC72" s="87"/>
      <c r="DD72" s="87"/>
      <c r="DE72" s="87"/>
      <c r="DF72" s="87"/>
      <c r="DG72" s="87"/>
      <c r="DH72" s="87"/>
      <c r="DI72" s="87"/>
      <c r="DJ72" s="87"/>
      <c r="DK72" s="87"/>
      <c r="DL72" s="87"/>
      <c r="DM72" s="87"/>
      <c r="DN72" s="87"/>
      <c r="DO72" s="87"/>
      <c r="DP72" s="87"/>
      <c r="DQ72" s="87"/>
      <c r="DR72" s="87"/>
      <c r="DS72" s="87"/>
      <c r="DT72" s="87"/>
      <c r="DU72" s="87"/>
      <c r="DV72" s="87"/>
      <c r="DW72" s="87"/>
      <c r="DX72" s="87"/>
      <c r="DY72" s="87"/>
      <c r="DZ72" s="87"/>
      <c r="EA72" s="87"/>
      <c r="EB72" s="87"/>
      <c r="EC72" s="87"/>
      <c r="ED72" s="87"/>
      <c r="EE72" s="87"/>
      <c r="EF72" s="87"/>
      <c r="EG72" s="87"/>
      <c r="EH72" s="87"/>
      <c r="EI72" s="87"/>
    </row>
    <row r="73" spans="1:139" ht="29.25" hidden="1" thickBot="1" x14ac:dyDescent="0.35">
      <c r="A73" s="190" t="s">
        <v>266</v>
      </c>
      <c r="B73" s="176">
        <v>3</v>
      </c>
      <c r="C73" s="177">
        <f>200*0.26+80*0.15+1+60*0.05</f>
        <v>68</v>
      </c>
      <c r="D73" s="91">
        <f>C73/VLOOKUP(B73,'[2]Gas Prod per PADD'!$A$1:$C$6,2,FALSE)</f>
        <v>1.4782608695652174E-2</v>
      </c>
      <c r="E73" s="178">
        <v>45315</v>
      </c>
      <c r="F73" s="179">
        <v>45361</v>
      </c>
      <c r="G73" s="180" t="s">
        <v>205</v>
      </c>
      <c r="H73" s="181" t="s">
        <v>267</v>
      </c>
      <c r="I73" s="84"/>
      <c r="J73" s="85">
        <f>C73*(E73-$J$1)/31</f>
        <v>-15.35483870967742</v>
      </c>
      <c r="K73" s="85"/>
      <c r="L73" s="85">
        <f t="shared" si="4"/>
        <v>-19.741935483870968</v>
      </c>
      <c r="M73" s="85"/>
      <c r="N73" s="85"/>
      <c r="O73" s="85"/>
      <c r="P73" s="85"/>
      <c r="Q73" s="85"/>
      <c r="R73" s="85"/>
      <c r="S73" s="85"/>
      <c r="T73" s="85"/>
      <c r="U73" s="85"/>
      <c r="V73" s="84"/>
      <c r="W73" s="84"/>
      <c r="X73" s="84" t="str">
        <f t="shared" si="5"/>
        <v>OK</v>
      </c>
      <c r="Y73" s="105"/>
      <c r="Z73" s="105"/>
      <c r="AA73" s="87"/>
      <c r="AB73" s="87"/>
      <c r="AC73" s="87"/>
      <c r="AD73" s="87"/>
      <c r="AE73" s="105"/>
      <c r="AF73" s="105"/>
      <c r="AG73" s="105"/>
      <c r="AH73" s="87"/>
      <c r="AI73" s="87"/>
      <c r="AJ73" s="87"/>
      <c r="AK73" s="105">
        <f>(E73-F73)/7*C73</f>
        <v>-446.85714285714283</v>
      </c>
      <c r="AL73" s="105">
        <f>(-C73-AK73)/2</f>
        <v>189.42857142857142</v>
      </c>
      <c r="AM73" s="105">
        <f>-C73-AK73-AL73</f>
        <v>189.42857142857142</v>
      </c>
      <c r="AN73" s="87"/>
      <c r="AO73" s="87"/>
      <c r="AP73" s="105"/>
      <c r="AQ73" s="105"/>
      <c r="AR73" s="87">
        <f>(AR$1-$F73)/7*$C73/2</f>
        <v>24.285714285714285</v>
      </c>
      <c r="AS73" s="105">
        <f>$C73-AR73-20</f>
        <v>23.714285714285715</v>
      </c>
      <c r="AT73" s="105">
        <f>C73-AR73-AS73</f>
        <v>20</v>
      </c>
      <c r="AU73" s="87"/>
      <c r="AV73" s="87"/>
      <c r="AW73" s="105"/>
      <c r="AX73" s="87"/>
      <c r="AY73" s="87"/>
      <c r="AZ73" s="87"/>
      <c r="BA73" s="87"/>
      <c r="BB73" s="87"/>
      <c r="BC73" s="87"/>
      <c r="BD73" s="87"/>
      <c r="BE73" s="87"/>
      <c r="BF73" s="87"/>
      <c r="BG73" s="87"/>
      <c r="BH73" s="87"/>
      <c r="BI73" s="87"/>
      <c r="BJ73" s="87"/>
      <c r="BK73" s="87"/>
      <c r="BL73" s="87"/>
      <c r="BM73" s="87"/>
      <c r="BN73" s="87"/>
      <c r="BO73" s="87"/>
      <c r="BP73" s="87"/>
      <c r="BQ73" s="87"/>
      <c r="BR73" s="87"/>
      <c r="BS73" s="87"/>
      <c r="BT73" s="87"/>
      <c r="BU73" s="87"/>
      <c r="BV73" s="87"/>
      <c r="BW73" s="87"/>
      <c r="BX73" s="87"/>
      <c r="BY73" s="87"/>
      <c r="BZ73" s="87"/>
      <c r="CA73" s="87"/>
      <c r="CB73" s="87"/>
      <c r="CC73" s="87"/>
      <c r="CD73" s="87"/>
      <c r="CE73" s="87"/>
      <c r="CF73" s="87"/>
      <c r="CG73" s="87"/>
      <c r="CH73" s="87"/>
      <c r="CI73" s="87"/>
      <c r="CJ73" s="87"/>
      <c r="CK73" s="87"/>
      <c r="CL73" s="87"/>
      <c r="CM73" s="87"/>
      <c r="CN73" s="87"/>
      <c r="CO73" s="87"/>
      <c r="CP73" s="87"/>
      <c r="CQ73" s="87"/>
      <c r="CR73" s="87"/>
      <c r="CS73" s="87"/>
      <c r="CT73" s="87"/>
      <c r="CU73" s="87"/>
      <c r="CV73" s="87"/>
      <c r="CW73" s="87"/>
      <c r="CX73" s="87"/>
      <c r="CY73" s="87"/>
      <c r="CZ73" s="87"/>
      <c r="DA73" s="87"/>
      <c r="DB73" s="87"/>
      <c r="DC73" s="87"/>
      <c r="DD73" s="87"/>
      <c r="DE73" s="87"/>
      <c r="DF73" s="87"/>
      <c r="DG73" s="87"/>
      <c r="DH73" s="87"/>
      <c r="DI73" s="87"/>
      <c r="DJ73" s="87"/>
      <c r="DK73" s="87"/>
      <c r="DL73" s="87"/>
      <c r="DM73" s="87"/>
      <c r="DN73" s="87"/>
      <c r="DO73" s="87"/>
      <c r="DP73" s="87"/>
      <c r="DQ73" s="87"/>
      <c r="DR73" s="87"/>
      <c r="DS73" s="87"/>
      <c r="DT73" s="87"/>
      <c r="DU73" s="87"/>
      <c r="DV73" s="87"/>
      <c r="DW73" s="87"/>
      <c r="DX73" s="87"/>
      <c r="DY73" s="87"/>
      <c r="DZ73" s="87"/>
      <c r="EA73" s="87"/>
      <c r="EB73" s="87"/>
      <c r="EC73" s="87"/>
      <c r="ED73" s="87"/>
      <c r="EE73" s="87"/>
      <c r="EF73" s="87"/>
      <c r="EG73" s="87"/>
      <c r="EH73" s="87"/>
      <c r="EI73" s="87"/>
    </row>
    <row r="74" spans="1:139" ht="16.5" hidden="1" thickBot="1" x14ac:dyDescent="0.35">
      <c r="A74" s="202" t="s">
        <v>268</v>
      </c>
      <c r="B74" s="182">
        <v>3</v>
      </c>
      <c r="C74" s="183">
        <f>40*0.2+49*0.05</f>
        <v>10.45</v>
      </c>
      <c r="D74" s="91">
        <f>C74/VLOOKUP(B74,'[2]Gas Prod per PADD'!$A$1:$C$6,2,FALSE)</f>
        <v>2.2717391304347824E-3</v>
      </c>
      <c r="E74" s="184">
        <v>45305</v>
      </c>
      <c r="F74" s="185">
        <v>45363</v>
      </c>
      <c r="G74" s="186" t="s">
        <v>269</v>
      </c>
      <c r="H74" s="139" t="s">
        <v>216</v>
      </c>
      <c r="I74" s="84"/>
      <c r="J74" s="85">
        <f>C74*(E74-$J$1)/31</f>
        <v>-5.7306451612903215</v>
      </c>
      <c r="K74" s="85"/>
      <c r="L74" s="85">
        <f t="shared" si="4"/>
        <v>-3.7080645161290318</v>
      </c>
      <c r="M74" s="85"/>
      <c r="N74" s="85"/>
      <c r="O74" s="85"/>
      <c r="P74" s="85"/>
      <c r="Q74" s="85"/>
      <c r="R74" s="85"/>
      <c r="S74" s="85"/>
      <c r="T74" s="85"/>
      <c r="U74" s="85"/>
      <c r="V74" s="84"/>
      <c r="W74" s="84"/>
      <c r="X74" s="84" t="str">
        <f t="shared" si="5"/>
        <v>OK</v>
      </c>
      <c r="Y74" s="105"/>
      <c r="Z74" s="105"/>
      <c r="AA74" s="87"/>
      <c r="AB74" s="87"/>
      <c r="AC74" s="87"/>
      <c r="AD74" s="87"/>
      <c r="AE74" s="105"/>
      <c r="AF74" s="105"/>
      <c r="AG74" s="105"/>
      <c r="AH74" s="105"/>
      <c r="AI74" s="87"/>
      <c r="AJ74" s="87" t="e">
        <f>(E74-#REF!)/7*C74</f>
        <v>#REF!</v>
      </c>
      <c r="AK74" s="105" t="e">
        <f>-C74-AJ74</f>
        <v>#REF!</v>
      </c>
      <c r="AL74" s="87"/>
      <c r="AM74" s="87"/>
      <c r="AN74" s="87"/>
      <c r="AO74" s="87"/>
      <c r="AP74" s="87"/>
      <c r="AQ74" s="87"/>
      <c r="AR74" s="87">
        <f>(AR$1-$F74)/7*$C74</f>
        <v>4.4785714285714278</v>
      </c>
      <c r="AS74" s="105">
        <f>$C74-AR74</f>
        <v>5.9714285714285715</v>
      </c>
      <c r="AT74" s="87"/>
      <c r="AU74" s="87"/>
      <c r="AV74" s="87"/>
      <c r="AW74" s="87"/>
      <c r="AX74" s="87"/>
      <c r="AY74" s="87"/>
      <c r="AZ74" s="87"/>
      <c r="BA74" s="87"/>
      <c r="BB74" s="87"/>
      <c r="BC74" s="87"/>
      <c r="BD74" s="87"/>
      <c r="BE74" s="87"/>
      <c r="BF74" s="87"/>
      <c r="BG74" s="87"/>
      <c r="BH74" s="87"/>
      <c r="BI74" s="87"/>
      <c r="BJ74" s="87"/>
      <c r="BK74" s="87"/>
      <c r="BL74" s="87"/>
      <c r="BM74" s="87"/>
      <c r="BN74" s="87"/>
      <c r="BO74" s="87"/>
      <c r="BP74" s="87"/>
      <c r="BQ74" s="87"/>
      <c r="BR74" s="87"/>
      <c r="BS74" s="87"/>
      <c r="BT74" s="87"/>
      <c r="BU74" s="87"/>
      <c r="BV74" s="87"/>
      <c r="BW74" s="87"/>
      <c r="BX74" s="87"/>
      <c r="BY74" s="87"/>
      <c r="BZ74" s="87"/>
      <c r="CA74" s="87"/>
      <c r="CB74" s="87"/>
      <c r="CC74" s="87"/>
      <c r="CD74" s="87"/>
      <c r="CE74" s="87"/>
      <c r="CF74" s="87"/>
      <c r="CG74" s="87"/>
      <c r="CH74" s="87"/>
      <c r="CI74" s="87"/>
      <c r="CJ74" s="87"/>
      <c r="CK74" s="87"/>
      <c r="CL74" s="87"/>
      <c r="CM74" s="87"/>
      <c r="CN74" s="87"/>
      <c r="CO74" s="87"/>
      <c r="CP74" s="87"/>
      <c r="CQ74" s="87"/>
      <c r="CR74" s="87"/>
      <c r="CS74" s="87"/>
      <c r="CT74" s="87"/>
      <c r="CU74" s="87"/>
      <c r="CV74" s="87"/>
      <c r="CW74" s="87"/>
      <c r="CX74" s="87"/>
      <c r="CY74" s="87"/>
      <c r="CZ74" s="87"/>
      <c r="DA74" s="87"/>
      <c r="DB74" s="87"/>
      <c r="DC74" s="87"/>
      <c r="DD74" s="87"/>
      <c r="DE74" s="87"/>
      <c r="DF74" s="87"/>
      <c r="DG74" s="87"/>
      <c r="DH74" s="87"/>
      <c r="DI74" s="87"/>
      <c r="DJ74" s="87"/>
      <c r="DK74" s="87"/>
      <c r="DL74" s="87"/>
      <c r="DM74" s="87"/>
      <c r="DN74" s="87"/>
      <c r="DO74" s="87"/>
      <c r="DP74" s="87"/>
      <c r="DQ74" s="87"/>
      <c r="DR74" s="87"/>
      <c r="DS74" s="87"/>
      <c r="DT74" s="87"/>
      <c r="DU74" s="87"/>
      <c r="DV74" s="87"/>
      <c r="DW74" s="87"/>
      <c r="DX74" s="87"/>
      <c r="DY74" s="87"/>
      <c r="DZ74" s="87"/>
      <c r="EA74" s="87"/>
      <c r="EB74" s="87"/>
      <c r="EC74" s="87"/>
      <c r="ED74" s="87"/>
      <c r="EE74" s="87"/>
      <c r="EF74" s="87"/>
      <c r="EG74" s="87"/>
      <c r="EH74" s="87"/>
      <c r="EI74" s="87"/>
    </row>
    <row r="75" spans="1:139" ht="16.5" thickBot="1" x14ac:dyDescent="0.35">
      <c r="A75" s="202" t="s">
        <v>270</v>
      </c>
      <c r="B75" s="182">
        <v>3</v>
      </c>
      <c r="C75" s="183">
        <f>29*0.65+5+72*0.1-1</f>
        <v>30.05</v>
      </c>
      <c r="D75" s="91">
        <f>C75/VLOOKUP(B75,'[2]Gas Prod per PADD'!$A$1:$C$6,2,FALSE)</f>
        <v>6.5326086956521744E-3</v>
      </c>
      <c r="E75" s="184">
        <v>45334</v>
      </c>
      <c r="F75" s="185">
        <v>45363</v>
      </c>
      <c r="G75" s="186" t="s">
        <v>271</v>
      </c>
      <c r="H75" s="139" t="s">
        <v>272</v>
      </c>
      <c r="I75" s="84"/>
      <c r="J75" s="85"/>
      <c r="K75" s="85">
        <f>C75*(E75-$K$1)/29</f>
        <v>-17.615517241379312</v>
      </c>
      <c r="L75" s="85">
        <f t="shared" si="4"/>
        <v>-10.662903225806453</v>
      </c>
      <c r="M75" s="85"/>
      <c r="N75" s="85"/>
      <c r="O75" s="85"/>
      <c r="P75" s="85"/>
      <c r="Q75" s="85"/>
      <c r="R75" s="85"/>
      <c r="S75" s="85"/>
      <c r="T75" s="85"/>
      <c r="U75" s="85"/>
      <c r="V75" s="84"/>
      <c r="W75" s="84"/>
      <c r="X75" s="84" t="str">
        <f t="shared" si="5"/>
        <v>OK</v>
      </c>
      <c r="Y75" s="105"/>
      <c r="Z75" s="105"/>
      <c r="AA75" s="87"/>
      <c r="AB75" s="87"/>
      <c r="AC75" s="87"/>
      <c r="AD75" s="87"/>
      <c r="AE75" s="105"/>
      <c r="AF75" s="105"/>
      <c r="AG75" s="105"/>
      <c r="AH75" s="105"/>
      <c r="AI75" s="87"/>
      <c r="AJ75" s="87"/>
      <c r="AK75" s="87"/>
      <c r="AL75" s="87"/>
      <c r="AM75" s="87"/>
      <c r="AN75" s="87">
        <f>($E75-AN7)/7*$C75</f>
        <v>194612.38571428575</v>
      </c>
      <c r="AO75" s="105">
        <f>-$C75-AN75</f>
        <v>-194642.43571428573</v>
      </c>
      <c r="AP75" s="87"/>
      <c r="AQ75" s="105"/>
      <c r="AR75" s="87">
        <f>(AR$1-$F75)/7*$C75</f>
        <v>12.878571428571428</v>
      </c>
      <c r="AS75" s="105">
        <f>$C75-AR75</f>
        <v>17.171428571428571</v>
      </c>
      <c r="AT75" s="87"/>
      <c r="AU75" s="87"/>
      <c r="AV75" s="87"/>
      <c r="AW75" s="87"/>
      <c r="AX75" s="87"/>
      <c r="AY75" s="87"/>
      <c r="AZ75" s="87"/>
      <c r="BA75" s="87"/>
      <c r="BB75" s="87"/>
      <c r="BC75" s="87"/>
      <c r="BD75" s="87"/>
      <c r="BE75" s="87"/>
      <c r="BF75" s="87"/>
      <c r="BG75" s="87"/>
      <c r="BH75" s="87"/>
      <c r="BI75" s="87"/>
      <c r="BJ75" s="87"/>
      <c r="BK75" s="87"/>
      <c r="BL75" s="87"/>
      <c r="BM75" s="87"/>
      <c r="BN75" s="87"/>
      <c r="BO75" s="87"/>
      <c r="BP75" s="87"/>
      <c r="BQ75" s="87"/>
      <c r="BR75" s="87"/>
      <c r="BS75" s="87"/>
      <c r="BT75" s="87"/>
      <c r="BU75" s="87"/>
      <c r="BV75" s="87"/>
      <c r="BW75" s="87"/>
      <c r="BX75" s="87"/>
      <c r="BY75" s="87"/>
      <c r="BZ75" s="87"/>
      <c r="CA75" s="87"/>
      <c r="CB75" s="87"/>
      <c r="CC75" s="87"/>
      <c r="CD75" s="87"/>
      <c r="CE75" s="87"/>
      <c r="CF75" s="87"/>
      <c r="CG75" s="87"/>
      <c r="CH75" s="87"/>
      <c r="CI75" s="87"/>
      <c r="CJ75" s="87"/>
      <c r="CK75" s="87"/>
      <c r="CL75" s="87"/>
      <c r="CM75" s="87"/>
      <c r="CN75" s="87"/>
      <c r="CO75" s="87"/>
      <c r="CP75" s="87"/>
      <c r="CQ75" s="87"/>
      <c r="CR75" s="87"/>
      <c r="CS75" s="87"/>
      <c r="CT75" s="87"/>
      <c r="CU75" s="87"/>
      <c r="CV75" s="87"/>
      <c r="CW75" s="87"/>
      <c r="CX75" s="87"/>
      <c r="CY75" s="87"/>
      <c r="CZ75" s="87"/>
      <c r="DA75" s="87"/>
      <c r="DB75" s="87"/>
      <c r="DC75" s="87"/>
      <c r="DD75" s="87"/>
      <c r="DE75" s="87"/>
      <c r="DF75" s="87"/>
      <c r="DG75" s="87"/>
      <c r="DH75" s="87"/>
      <c r="DI75" s="87"/>
      <c r="DJ75" s="87"/>
      <c r="DK75" s="87"/>
      <c r="DL75" s="87"/>
      <c r="DM75" s="87"/>
      <c r="DN75" s="87"/>
      <c r="DO75" s="87"/>
      <c r="DP75" s="87"/>
      <c r="DQ75" s="87"/>
      <c r="DR75" s="87"/>
      <c r="DS75" s="87"/>
      <c r="DT75" s="87"/>
      <c r="DU75" s="87"/>
      <c r="DV75" s="87"/>
      <c r="DW75" s="87"/>
      <c r="DX75" s="87"/>
      <c r="DY75" s="87"/>
      <c r="DZ75" s="87"/>
      <c r="EA75" s="87"/>
      <c r="EB75" s="87"/>
      <c r="EC75" s="87"/>
      <c r="ED75" s="87"/>
      <c r="EE75" s="87"/>
      <c r="EF75" s="87"/>
      <c r="EG75" s="87"/>
      <c r="EH75" s="87"/>
      <c r="EI75" s="87"/>
    </row>
    <row r="76" spans="1:139" ht="16.5" thickBot="1" x14ac:dyDescent="0.35">
      <c r="A76" s="202" t="s">
        <v>146</v>
      </c>
      <c r="B76" s="182">
        <v>3</v>
      </c>
      <c r="C76" s="183">
        <f>45*0.65+0.75</f>
        <v>30</v>
      </c>
      <c r="D76" s="91">
        <f>C76/VLOOKUP(B76,'[2]Gas Prod per PADD'!$A$1:$C$6,2,FALSE)</f>
        <v>6.5217391304347823E-3</v>
      </c>
      <c r="E76" s="184">
        <v>45350</v>
      </c>
      <c r="F76" s="185">
        <v>45363</v>
      </c>
      <c r="G76" s="186" t="s">
        <v>221</v>
      </c>
      <c r="H76" s="139" t="s">
        <v>216</v>
      </c>
      <c r="I76" s="84"/>
      <c r="J76" s="85"/>
      <c r="K76" s="85">
        <f>C76*(E76-$K$1)/29</f>
        <v>-1.0344827586206897</v>
      </c>
      <c r="L76" s="85">
        <f t="shared" si="4"/>
        <v>-10.64516129032258</v>
      </c>
      <c r="M76" s="85"/>
      <c r="N76" s="85"/>
      <c r="O76" s="85"/>
      <c r="P76" s="85"/>
      <c r="Q76" s="85"/>
      <c r="R76" s="85"/>
      <c r="S76" s="85"/>
      <c r="T76" s="85"/>
      <c r="U76" s="85"/>
      <c r="V76" s="84"/>
      <c r="W76" s="84"/>
      <c r="X76" s="84" t="str">
        <f t="shared" si="5"/>
        <v>OK</v>
      </c>
      <c r="Y76" s="105"/>
      <c r="Z76" s="105"/>
      <c r="AA76" s="87"/>
      <c r="AB76" s="87"/>
      <c r="AC76" s="87"/>
      <c r="AD76" s="87"/>
      <c r="AE76" s="105"/>
      <c r="AF76" s="105"/>
      <c r="AG76" s="105"/>
      <c r="AH76" s="87"/>
      <c r="AI76" s="87"/>
      <c r="AJ76" s="87"/>
      <c r="AK76" s="105"/>
      <c r="AL76" s="105"/>
      <c r="AM76" s="105"/>
      <c r="AN76" s="87"/>
      <c r="AO76" s="87"/>
      <c r="AP76" s="105">
        <f>-3/7*C76</f>
        <v>-12.857142857142856</v>
      </c>
      <c r="AQ76" s="105">
        <f>-C76-AP76</f>
        <v>-17.142857142857146</v>
      </c>
      <c r="AR76" s="105">
        <f>-AP76*2/3</f>
        <v>8.5714285714285712</v>
      </c>
      <c r="AS76" s="105">
        <f>C76-AR76</f>
        <v>21.428571428571431</v>
      </c>
      <c r="AT76" s="105"/>
      <c r="AU76" s="87"/>
      <c r="AV76" s="87"/>
      <c r="AW76" s="105"/>
      <c r="AX76" s="87"/>
      <c r="AY76" s="87"/>
      <c r="AZ76" s="105"/>
      <c r="BA76" s="105"/>
      <c r="BB76" s="87"/>
      <c r="BC76" s="87"/>
      <c r="BD76" s="87"/>
      <c r="BE76" s="87"/>
      <c r="BF76" s="87"/>
      <c r="BG76" s="87"/>
      <c r="BH76" s="105"/>
      <c r="BI76" s="105"/>
      <c r="BJ76" s="87"/>
      <c r="BK76" s="87"/>
      <c r="BL76" s="87"/>
      <c r="BM76" s="87"/>
      <c r="BN76" s="87"/>
      <c r="BO76" s="87"/>
      <c r="BP76" s="87"/>
      <c r="BQ76" s="87"/>
      <c r="BR76" s="87"/>
      <c r="BS76" s="87"/>
      <c r="BT76" s="87"/>
      <c r="BU76" s="87"/>
      <c r="BV76" s="87"/>
      <c r="BW76" s="87"/>
      <c r="BX76" s="87"/>
      <c r="BY76" s="87"/>
      <c r="BZ76" s="87"/>
      <c r="CA76" s="87"/>
      <c r="CB76" s="87"/>
      <c r="CC76" s="87"/>
      <c r="CD76" s="87"/>
      <c r="CE76" s="87"/>
      <c r="CF76" s="87"/>
      <c r="CG76" s="87"/>
      <c r="CH76" s="87"/>
      <c r="CI76" s="87"/>
      <c r="CJ76" s="87"/>
      <c r="CK76" s="87"/>
      <c r="CL76" s="87"/>
      <c r="CM76" s="87"/>
      <c r="CN76" s="87"/>
      <c r="CO76" s="87"/>
      <c r="CP76" s="87"/>
      <c r="CQ76" s="87"/>
      <c r="CR76" s="87"/>
      <c r="CS76" s="87"/>
      <c r="CT76" s="87"/>
      <c r="CU76" s="87"/>
      <c r="CV76" s="87"/>
      <c r="CW76" s="87"/>
      <c r="CX76" s="87"/>
      <c r="CY76" s="87"/>
      <c r="CZ76" s="87"/>
      <c r="DA76" s="87"/>
      <c r="DB76" s="87"/>
      <c r="DC76" s="87"/>
      <c r="DD76" s="87"/>
      <c r="DE76" s="87"/>
      <c r="DF76" s="87"/>
      <c r="DG76" s="87"/>
      <c r="DH76" s="87"/>
      <c r="DI76" s="87"/>
      <c r="DJ76" s="87"/>
      <c r="DK76" s="87"/>
      <c r="DL76" s="87"/>
      <c r="DM76" s="87"/>
      <c r="DN76" s="87"/>
      <c r="DO76" s="87"/>
      <c r="DP76" s="87"/>
      <c r="DQ76" s="87"/>
      <c r="DR76" s="87"/>
      <c r="DS76" s="87"/>
      <c r="DT76" s="87"/>
      <c r="DU76" s="87"/>
      <c r="DV76" s="87"/>
      <c r="DW76" s="87"/>
      <c r="DX76" s="87"/>
      <c r="DY76" s="87"/>
      <c r="DZ76" s="87"/>
      <c r="EA76" s="87"/>
      <c r="EB76" s="87"/>
      <c r="EC76" s="87"/>
      <c r="ED76" s="87"/>
      <c r="EE76" s="87"/>
      <c r="EF76" s="87"/>
      <c r="EG76" s="87"/>
      <c r="EH76" s="87"/>
      <c r="EI76" s="87"/>
    </row>
    <row r="77" spans="1:139" ht="16.5" thickBot="1" x14ac:dyDescent="0.35">
      <c r="A77" s="203" t="s">
        <v>273</v>
      </c>
      <c r="B77" s="149">
        <v>3</v>
      </c>
      <c r="C77" s="150"/>
      <c r="D77" s="91">
        <f>C77/VLOOKUP(B77,'[2]Gas Prod per PADD'!$A$1:$C$6,2,FALSE)</f>
        <v>0</v>
      </c>
      <c r="E77" s="151">
        <v>45356</v>
      </c>
      <c r="F77" s="152">
        <v>45363</v>
      </c>
      <c r="G77" s="149"/>
      <c r="H77" s="133"/>
      <c r="I77" s="84"/>
      <c r="J77" s="85"/>
      <c r="K77" s="85"/>
      <c r="L77" s="85">
        <f>C77*(E77-F77)/31</f>
        <v>0</v>
      </c>
      <c r="M77" s="85"/>
      <c r="N77" s="85"/>
      <c r="O77" s="85"/>
      <c r="P77" s="85"/>
      <c r="Q77" s="85"/>
      <c r="R77" s="85"/>
      <c r="S77" s="85"/>
      <c r="T77" s="85"/>
      <c r="U77" s="85"/>
      <c r="V77" s="84"/>
      <c r="W77" s="84"/>
      <c r="X77" s="84" t="str">
        <f t="shared" si="5"/>
        <v>Missing</v>
      </c>
      <c r="Y77" s="87"/>
      <c r="Z77" s="87"/>
      <c r="AA77" s="87"/>
      <c r="AB77" s="87"/>
      <c r="AC77" s="87"/>
      <c r="AD77" s="87"/>
      <c r="AE77" s="87"/>
      <c r="AF77" s="87"/>
      <c r="AG77" s="87"/>
      <c r="AH77" s="87"/>
      <c r="AI77" s="87"/>
      <c r="AJ77" s="87"/>
      <c r="AK77" s="87"/>
      <c r="AL77" s="87"/>
      <c r="AM77" s="87"/>
      <c r="AN77" s="87"/>
      <c r="AO77" s="87"/>
      <c r="AP77" s="87"/>
      <c r="AQ77" s="87"/>
      <c r="AR77" s="87"/>
      <c r="AS77" s="87"/>
      <c r="AT77" s="87"/>
      <c r="AU77" s="87"/>
      <c r="AV77" s="87"/>
      <c r="AW77" s="87"/>
      <c r="AX77" s="87"/>
      <c r="AY77" s="87"/>
      <c r="AZ77" s="87"/>
      <c r="BA77" s="87"/>
      <c r="BB77" s="87"/>
      <c r="BC77" s="87"/>
      <c r="BD77" s="87"/>
      <c r="BE77" s="87"/>
      <c r="BF77" s="87"/>
      <c r="BG77" s="87"/>
      <c r="BH77" s="87"/>
      <c r="BI77" s="87"/>
      <c r="BJ77" s="87"/>
      <c r="BK77" s="87"/>
      <c r="BL77" s="87"/>
      <c r="BM77" s="87"/>
      <c r="BN77" s="87"/>
      <c r="BO77" s="87"/>
      <c r="BP77" s="87"/>
      <c r="BQ77" s="87"/>
      <c r="BR77" s="87"/>
      <c r="BS77" s="87"/>
      <c r="BT77" s="87"/>
      <c r="BU77" s="87"/>
      <c r="BV77" s="87"/>
      <c r="BW77" s="87"/>
      <c r="BX77" s="87"/>
      <c r="BY77" s="87"/>
      <c r="BZ77" s="87"/>
      <c r="CA77" s="87"/>
      <c r="CB77" s="87"/>
      <c r="CC77" s="87"/>
      <c r="CD77" s="87"/>
      <c r="CE77" s="87"/>
      <c r="CF77" s="87"/>
      <c r="CG77" s="87"/>
      <c r="CH77" s="87"/>
      <c r="CI77" s="87"/>
      <c r="CJ77" s="87"/>
      <c r="CK77" s="87"/>
      <c r="CL77" s="87"/>
      <c r="CM77" s="87"/>
      <c r="CN77" s="87"/>
      <c r="CO77" s="87"/>
      <c r="CP77" s="87"/>
      <c r="CQ77" s="87"/>
      <c r="CR77" s="87"/>
      <c r="CS77" s="87"/>
      <c r="CT77" s="87"/>
      <c r="CU77" s="87"/>
      <c r="CV77" s="87"/>
      <c r="CW77" s="87"/>
      <c r="CX77" s="87"/>
      <c r="CY77" s="87"/>
      <c r="CZ77" s="87"/>
      <c r="DA77" s="87"/>
      <c r="DB77" s="87"/>
      <c r="DC77" s="87"/>
      <c r="DD77" s="87"/>
      <c r="DE77" s="87"/>
      <c r="DF77" s="87"/>
      <c r="DG77" s="87"/>
      <c r="DH77" s="87"/>
      <c r="DI77" s="87"/>
      <c r="DJ77" s="87"/>
      <c r="DK77" s="87"/>
      <c r="DL77" s="87"/>
      <c r="DM77" s="87"/>
      <c r="DN77" s="87"/>
      <c r="DO77" s="87"/>
      <c r="DP77" s="87"/>
      <c r="DQ77" s="87"/>
      <c r="DR77" s="87"/>
      <c r="DS77" s="87"/>
      <c r="DT77" s="87"/>
      <c r="DU77" s="87"/>
      <c r="DV77" s="87"/>
      <c r="DW77" s="87"/>
      <c r="DX77" s="87"/>
      <c r="DY77" s="87"/>
      <c r="DZ77" s="87"/>
      <c r="EA77" s="87"/>
      <c r="EB77" s="87"/>
      <c r="EC77" s="87"/>
      <c r="ED77" s="87"/>
      <c r="EE77" s="87"/>
      <c r="EF77" s="87"/>
      <c r="EG77" s="87"/>
      <c r="EH77" s="87"/>
      <c r="EI77" s="87"/>
    </row>
    <row r="78" spans="1:139" ht="16.5" thickBot="1" x14ac:dyDescent="0.35">
      <c r="A78" s="203" t="s">
        <v>168</v>
      </c>
      <c r="B78" s="149">
        <v>2</v>
      </c>
      <c r="C78" s="150"/>
      <c r="D78" s="91">
        <f>C78/VLOOKUP(B78,'[2]Gas Prod per PADD'!$A$1:$C$6,2,FALSE)</f>
        <v>0</v>
      </c>
      <c r="E78" s="151">
        <v>45357</v>
      </c>
      <c r="F78" s="152">
        <v>45364</v>
      </c>
      <c r="G78" s="149" t="s">
        <v>274</v>
      </c>
      <c r="H78" s="133" t="s">
        <v>275</v>
      </c>
      <c r="I78" s="84"/>
      <c r="J78" s="85"/>
      <c r="K78" s="85"/>
      <c r="L78" s="85">
        <f>C78*(E78-F78)/31</f>
        <v>0</v>
      </c>
      <c r="M78" s="85"/>
      <c r="N78" s="85"/>
      <c r="O78" s="85"/>
      <c r="P78" s="85"/>
      <c r="Q78" s="85"/>
      <c r="R78" s="85"/>
      <c r="S78" s="85"/>
      <c r="T78" s="85"/>
      <c r="U78" s="85"/>
      <c r="V78" s="84"/>
      <c r="W78" s="84"/>
      <c r="X78" s="84" t="str">
        <f t="shared" si="5"/>
        <v>OK</v>
      </c>
      <c r="Y78" s="87"/>
      <c r="Z78" s="87"/>
      <c r="AA78" s="87"/>
      <c r="AB78" s="87"/>
      <c r="AC78" s="87"/>
      <c r="AD78" s="87"/>
      <c r="AE78" s="87"/>
      <c r="AF78" s="87"/>
      <c r="AG78" s="87"/>
      <c r="AH78" s="87"/>
      <c r="AI78" s="87"/>
      <c r="AJ78" s="87"/>
      <c r="AK78" s="87"/>
      <c r="AL78" s="87"/>
      <c r="AM78" s="87"/>
      <c r="AN78" s="87"/>
      <c r="AO78" s="87"/>
      <c r="AP78" s="87"/>
      <c r="AQ78" s="87">
        <v>-2.6828571428571424</v>
      </c>
      <c r="AR78" s="87">
        <v>-4.0242857142857149</v>
      </c>
      <c r="AS78" s="87">
        <v>6.7071428571428573</v>
      </c>
      <c r="AT78" s="87"/>
      <c r="AU78" s="87"/>
      <c r="AV78" s="87"/>
      <c r="AW78" s="87"/>
      <c r="AX78" s="87"/>
      <c r="AY78" s="87"/>
      <c r="AZ78" s="87"/>
      <c r="BA78" s="87"/>
      <c r="BB78" s="87"/>
      <c r="BC78" s="87"/>
      <c r="BD78" s="87"/>
      <c r="BE78" s="87"/>
      <c r="BF78" s="87"/>
      <c r="BG78" s="87"/>
      <c r="BH78" s="87"/>
      <c r="BI78" s="87"/>
      <c r="BJ78" s="87"/>
      <c r="BK78" s="87"/>
      <c r="BL78" s="87"/>
      <c r="BM78" s="87"/>
      <c r="BN78" s="87"/>
      <c r="BO78" s="87"/>
      <c r="BP78" s="87"/>
      <c r="BQ78" s="87"/>
      <c r="BR78" s="87"/>
      <c r="BS78" s="87"/>
      <c r="BT78" s="87"/>
      <c r="BU78" s="87"/>
      <c r="BV78" s="87"/>
      <c r="BW78" s="87"/>
      <c r="BX78" s="87"/>
      <c r="BY78" s="87"/>
      <c r="BZ78" s="87"/>
      <c r="CA78" s="87"/>
      <c r="CB78" s="87"/>
      <c r="CC78" s="87"/>
      <c r="CD78" s="87"/>
      <c r="CE78" s="87"/>
      <c r="CF78" s="87"/>
      <c r="CG78" s="87"/>
      <c r="CH78" s="87"/>
      <c r="CI78" s="87"/>
      <c r="CJ78" s="87"/>
      <c r="CK78" s="87"/>
      <c r="CL78" s="87"/>
      <c r="CM78" s="87"/>
      <c r="CN78" s="87"/>
      <c r="CO78" s="87"/>
      <c r="CP78" s="87"/>
      <c r="CQ78" s="87"/>
      <c r="CR78" s="87"/>
      <c r="CS78" s="87"/>
      <c r="CT78" s="87"/>
      <c r="CU78" s="87"/>
      <c r="CV78" s="87"/>
      <c r="CW78" s="87"/>
      <c r="CX78" s="87"/>
      <c r="CY78" s="87"/>
      <c r="CZ78" s="87"/>
      <c r="DA78" s="87"/>
      <c r="DB78" s="87"/>
      <c r="DC78" s="87"/>
      <c r="DD78" s="87"/>
      <c r="DE78" s="87"/>
      <c r="DF78" s="87"/>
      <c r="DG78" s="87"/>
      <c r="DH78" s="87"/>
      <c r="DI78" s="87"/>
      <c r="DJ78" s="87"/>
      <c r="DK78" s="87"/>
      <c r="DL78" s="87"/>
      <c r="DM78" s="87"/>
      <c r="DN78" s="87"/>
      <c r="DO78" s="87"/>
      <c r="DP78" s="87"/>
      <c r="DQ78" s="87"/>
      <c r="DR78" s="87"/>
      <c r="DS78" s="87"/>
      <c r="DT78" s="87"/>
      <c r="DU78" s="87"/>
      <c r="DV78" s="87"/>
      <c r="DW78" s="87"/>
      <c r="DX78" s="87"/>
      <c r="DY78" s="87"/>
      <c r="DZ78" s="87"/>
      <c r="EA78" s="87"/>
      <c r="EB78" s="87"/>
      <c r="EC78" s="87"/>
      <c r="ED78" s="87"/>
      <c r="EE78" s="87"/>
      <c r="EF78" s="87"/>
      <c r="EG78" s="87"/>
      <c r="EH78" s="87"/>
      <c r="EI78" s="87"/>
    </row>
    <row r="79" spans="1:139" ht="16.5" thickBot="1" x14ac:dyDescent="0.35">
      <c r="A79" s="203" t="s">
        <v>276</v>
      </c>
      <c r="B79" s="149">
        <v>1</v>
      </c>
      <c r="C79" s="150"/>
      <c r="D79" s="91">
        <f>C79/VLOOKUP(B79,'[2]Gas Prod per PADD'!$A$1:$C$6,2,FALSE)</f>
        <v>0</v>
      </c>
      <c r="E79" s="151">
        <v>45356</v>
      </c>
      <c r="F79" s="152">
        <v>45365</v>
      </c>
      <c r="G79" s="149" t="s">
        <v>277</v>
      </c>
      <c r="H79" s="133"/>
      <c r="I79" s="84"/>
      <c r="J79" s="85"/>
      <c r="K79" s="85"/>
      <c r="L79" s="85">
        <f>C79*(E79-F79)/31</f>
        <v>0</v>
      </c>
      <c r="M79" s="85"/>
      <c r="N79" s="85"/>
      <c r="O79" s="85"/>
      <c r="P79" s="85"/>
      <c r="Q79" s="85"/>
      <c r="R79" s="85"/>
      <c r="S79" s="85"/>
      <c r="T79" s="85"/>
      <c r="U79" s="85"/>
      <c r="V79" s="84"/>
      <c r="W79" s="84"/>
      <c r="X79" s="84" t="str">
        <f t="shared" si="5"/>
        <v>OK</v>
      </c>
      <c r="Y79" s="87"/>
      <c r="Z79" s="87"/>
      <c r="AA79" s="87"/>
      <c r="AB79" s="87"/>
      <c r="AC79" s="87"/>
      <c r="AD79" s="87"/>
      <c r="AE79" s="87"/>
      <c r="AF79" s="87"/>
      <c r="AG79" s="87"/>
      <c r="AH79" s="87"/>
      <c r="AI79" s="87"/>
      <c r="AJ79" s="87"/>
      <c r="AK79" s="87"/>
      <c r="AL79" s="87"/>
      <c r="AM79" s="87"/>
      <c r="AN79" s="87"/>
      <c r="AO79" s="87"/>
      <c r="AP79" s="87"/>
      <c r="AQ79" s="87">
        <v>-6.9642857142857144</v>
      </c>
      <c r="AR79" s="87">
        <v>6.9642857142857144</v>
      </c>
      <c r="AS79" s="87"/>
      <c r="AT79" s="87"/>
      <c r="AU79" s="87"/>
      <c r="AV79" s="87"/>
      <c r="AW79" s="87"/>
      <c r="AX79" s="87"/>
      <c r="AY79" s="87"/>
      <c r="AZ79" s="87"/>
      <c r="BA79" s="87"/>
      <c r="BB79" s="87"/>
      <c r="BC79" s="87"/>
      <c r="BD79" s="87"/>
      <c r="BE79" s="87"/>
      <c r="BF79" s="87"/>
      <c r="BG79" s="87"/>
      <c r="BH79" s="87"/>
      <c r="BI79" s="87"/>
      <c r="BJ79" s="87"/>
      <c r="BK79" s="87"/>
      <c r="BL79" s="87"/>
      <c r="BM79" s="87"/>
      <c r="BN79" s="87"/>
      <c r="BO79" s="87"/>
      <c r="BP79" s="87"/>
      <c r="BQ79" s="87"/>
      <c r="BR79" s="87"/>
      <c r="BS79" s="87"/>
      <c r="BT79" s="87"/>
      <c r="BU79" s="87"/>
      <c r="BV79" s="87"/>
      <c r="BW79" s="87"/>
      <c r="BX79" s="87"/>
      <c r="BY79" s="87"/>
      <c r="BZ79" s="87"/>
      <c r="CA79" s="87"/>
      <c r="CB79" s="87"/>
      <c r="CC79" s="87"/>
      <c r="CD79" s="87"/>
      <c r="CE79" s="87"/>
      <c r="CF79" s="87"/>
      <c r="CG79" s="87"/>
      <c r="CH79" s="87"/>
      <c r="CI79" s="87"/>
      <c r="CJ79" s="87"/>
      <c r="CK79" s="87"/>
      <c r="CL79" s="87"/>
      <c r="CM79" s="87"/>
      <c r="CN79" s="87"/>
      <c r="CO79" s="87"/>
      <c r="CP79" s="87"/>
      <c r="CQ79" s="87"/>
      <c r="CR79" s="87"/>
      <c r="CS79" s="87"/>
      <c r="CT79" s="87"/>
      <c r="CU79" s="87"/>
      <c r="CV79" s="87"/>
      <c r="CW79" s="87"/>
      <c r="CX79" s="87"/>
      <c r="CY79" s="87"/>
      <c r="CZ79" s="87"/>
      <c r="DA79" s="87"/>
      <c r="DB79" s="87"/>
      <c r="DC79" s="87"/>
      <c r="DD79" s="87"/>
      <c r="DE79" s="87"/>
      <c r="DF79" s="87"/>
      <c r="DG79" s="87"/>
      <c r="DH79" s="87"/>
      <c r="DI79" s="87"/>
      <c r="DJ79" s="87"/>
      <c r="DK79" s="87"/>
      <c r="DL79" s="87"/>
      <c r="DM79" s="87"/>
      <c r="DN79" s="87"/>
      <c r="DO79" s="87"/>
      <c r="DP79" s="87"/>
      <c r="DQ79" s="87"/>
      <c r="DR79" s="87"/>
      <c r="DS79" s="87"/>
      <c r="DT79" s="87"/>
      <c r="DU79" s="87"/>
      <c r="DV79" s="87"/>
      <c r="DW79" s="87"/>
      <c r="DX79" s="87"/>
      <c r="DY79" s="87"/>
      <c r="DZ79" s="87"/>
      <c r="EA79" s="87"/>
      <c r="EB79" s="87"/>
      <c r="EC79" s="87"/>
      <c r="ED79" s="87"/>
      <c r="EE79" s="87"/>
      <c r="EF79" s="87"/>
      <c r="EG79" s="87"/>
      <c r="EH79" s="87"/>
      <c r="EI79" s="87"/>
    </row>
    <row r="80" spans="1:139" ht="29.25" thickBot="1" x14ac:dyDescent="0.35">
      <c r="A80" s="202" t="s">
        <v>140</v>
      </c>
      <c r="B80" s="182">
        <v>3</v>
      </c>
      <c r="C80" s="183">
        <v>35</v>
      </c>
      <c r="D80" s="91">
        <f>C80/VLOOKUP(B80,'[2]Gas Prod per PADD'!$A$1:$C$6,2,FALSE)</f>
        <v>7.6086956521739134E-3</v>
      </c>
      <c r="E80" s="151">
        <v>45359</v>
      </c>
      <c r="F80" s="152">
        <v>45366</v>
      </c>
      <c r="G80" s="186" t="s">
        <v>278</v>
      </c>
      <c r="H80" s="204" t="s">
        <v>279</v>
      </c>
      <c r="I80" s="84"/>
      <c r="J80" s="85"/>
      <c r="K80" s="85"/>
      <c r="L80" s="85">
        <f>C80*(E80-F80)/31</f>
        <v>-7.903225806451613</v>
      </c>
      <c r="M80" s="85"/>
      <c r="N80" s="85"/>
      <c r="O80" s="85"/>
      <c r="P80" s="85"/>
      <c r="Q80" s="85"/>
      <c r="R80" s="85"/>
      <c r="S80" s="85"/>
      <c r="T80" s="85"/>
      <c r="U80" s="85"/>
      <c r="V80" s="84"/>
      <c r="W80" s="84"/>
      <c r="X80" s="84" t="str">
        <f t="shared" si="5"/>
        <v>OK</v>
      </c>
      <c r="Y80" s="87"/>
      <c r="Z80" s="87"/>
      <c r="AA80" s="87"/>
      <c r="AB80" s="87"/>
      <c r="AC80" s="87"/>
      <c r="AD80" s="87"/>
      <c r="AE80" s="87"/>
      <c r="AF80" s="87"/>
      <c r="AG80" s="87"/>
      <c r="AH80" s="87"/>
      <c r="AI80" s="87"/>
      <c r="AJ80" s="87"/>
      <c r="AK80" s="87"/>
      <c r="AL80" s="87"/>
      <c r="AM80" s="87"/>
      <c r="AN80" s="87"/>
      <c r="AO80" s="87"/>
      <c r="AP80" s="87"/>
      <c r="AQ80" s="87"/>
      <c r="AR80" s="87">
        <v>-35</v>
      </c>
      <c r="AS80" s="87">
        <v>35</v>
      </c>
      <c r="AT80" s="87"/>
      <c r="AU80" s="87"/>
      <c r="AV80" s="87"/>
      <c r="AW80" s="87"/>
      <c r="AX80" s="87"/>
      <c r="AY80" s="87"/>
      <c r="AZ80" s="87"/>
      <c r="BA80" s="87"/>
      <c r="BB80" s="87"/>
      <c r="BC80" s="87"/>
      <c r="BD80" s="87"/>
      <c r="BE80" s="87"/>
      <c r="BF80" s="87"/>
      <c r="BG80" s="87"/>
      <c r="BH80" s="87"/>
      <c r="BI80" s="87"/>
      <c r="BJ80" s="87"/>
      <c r="BK80" s="87"/>
      <c r="BL80" s="87"/>
      <c r="BM80" s="87"/>
      <c r="BN80" s="87"/>
      <c r="BO80" s="87"/>
      <c r="BP80" s="87"/>
      <c r="BQ80" s="87"/>
      <c r="BR80" s="87"/>
      <c r="BS80" s="87"/>
      <c r="BT80" s="87"/>
      <c r="BU80" s="87"/>
      <c r="BV80" s="87"/>
      <c r="BW80" s="87"/>
      <c r="BX80" s="87"/>
      <c r="BY80" s="87"/>
      <c r="BZ80" s="87"/>
      <c r="CA80" s="87"/>
      <c r="CB80" s="87"/>
      <c r="CC80" s="87"/>
      <c r="CD80" s="87"/>
      <c r="CE80" s="87"/>
      <c r="CF80" s="87"/>
      <c r="CG80" s="87"/>
      <c r="CH80" s="87"/>
      <c r="CI80" s="87"/>
      <c r="CJ80" s="87"/>
      <c r="CK80" s="87"/>
      <c r="CL80" s="87"/>
      <c r="CM80" s="87"/>
      <c r="CN80" s="87"/>
      <c r="CO80" s="87"/>
      <c r="CP80" s="87"/>
      <c r="CQ80" s="87"/>
      <c r="CR80" s="87"/>
      <c r="CS80" s="87"/>
      <c r="CT80" s="87"/>
      <c r="CU80" s="87"/>
      <c r="CV80" s="87"/>
      <c r="CW80" s="87"/>
      <c r="CX80" s="87"/>
      <c r="CY80" s="87"/>
      <c r="CZ80" s="87"/>
      <c r="DA80" s="87"/>
      <c r="DB80" s="87"/>
      <c r="DC80" s="87"/>
      <c r="DD80" s="87"/>
      <c r="DE80" s="87"/>
      <c r="DF80" s="87"/>
      <c r="DG80" s="87"/>
      <c r="DH80" s="87"/>
      <c r="DI80" s="87"/>
      <c r="DJ80" s="87"/>
      <c r="DK80" s="87"/>
      <c r="DL80" s="87"/>
      <c r="DM80" s="87"/>
      <c r="DN80" s="87"/>
      <c r="DO80" s="87"/>
      <c r="DP80" s="87"/>
      <c r="DQ80" s="87"/>
      <c r="DR80" s="87"/>
      <c r="DS80" s="87"/>
      <c r="DT80" s="87"/>
      <c r="DU80" s="87"/>
      <c r="DV80" s="87"/>
      <c r="DW80" s="87"/>
      <c r="DX80" s="87"/>
      <c r="DY80" s="87"/>
      <c r="DZ80" s="87"/>
      <c r="EA80" s="87"/>
      <c r="EB80" s="87"/>
      <c r="EC80" s="87"/>
      <c r="ED80" s="87"/>
      <c r="EE80" s="87"/>
      <c r="EF80" s="87"/>
      <c r="EG80" s="87"/>
      <c r="EH80" s="87"/>
      <c r="EI80" s="87"/>
    </row>
    <row r="81" spans="1:139" ht="29.25" hidden="1" thickBot="1" x14ac:dyDescent="0.35">
      <c r="A81" s="202" t="s">
        <v>280</v>
      </c>
      <c r="B81" s="182">
        <v>3</v>
      </c>
      <c r="C81" s="205">
        <f>100*0.1+50*0.85+210*0.1+1.5</f>
        <v>75</v>
      </c>
      <c r="D81" s="91">
        <f>C81/VLOOKUP(B81,'[2]Gas Prod per PADD'!$A$1:$C$6,2,FALSE)</f>
        <v>1.6304347826086956E-2</v>
      </c>
      <c r="E81" s="184">
        <v>45306</v>
      </c>
      <c r="F81" s="185">
        <v>45367</v>
      </c>
      <c r="G81" s="186" t="s">
        <v>281</v>
      </c>
      <c r="H81" s="139" t="s">
        <v>282</v>
      </c>
      <c r="I81" s="84"/>
      <c r="J81" s="85">
        <f>C81*(E81-$J$1)/31</f>
        <v>-38.70967741935484</v>
      </c>
      <c r="K81" s="85"/>
      <c r="L81" s="85">
        <f t="shared" ref="L81:L86" si="6">C81*($K$1+1-F81)/31</f>
        <v>-36.29032258064516</v>
      </c>
      <c r="M81" s="85"/>
      <c r="N81" s="85"/>
      <c r="O81" s="85"/>
      <c r="P81" s="85"/>
      <c r="Q81" s="85"/>
      <c r="R81" s="85"/>
      <c r="S81" s="85"/>
      <c r="T81" s="85"/>
      <c r="U81" s="85"/>
      <c r="V81" s="84"/>
      <c r="W81" s="84"/>
      <c r="X81" s="84" t="str">
        <f t="shared" si="5"/>
        <v>OK</v>
      </c>
      <c r="Y81" s="105"/>
      <c r="Z81" s="105"/>
      <c r="AA81" s="87"/>
      <c r="AB81" s="87"/>
      <c r="AC81" s="87"/>
      <c r="AD81" s="87"/>
      <c r="AE81" s="105"/>
      <c r="AF81" s="105"/>
      <c r="AG81" s="105"/>
      <c r="AH81" s="105"/>
      <c r="AI81" s="87"/>
      <c r="AJ81" s="105">
        <f>(E81-AJ73)/7*C81</f>
        <v>485421.42857142858</v>
      </c>
      <c r="AK81" s="105">
        <f>-C81-AJ81</f>
        <v>-485496.42857142858</v>
      </c>
      <c r="AL81" s="87"/>
      <c r="AM81" s="87"/>
      <c r="AN81" s="87"/>
      <c r="AO81" s="87"/>
      <c r="AP81" s="87"/>
      <c r="AQ81" s="105"/>
      <c r="AR81" s="105"/>
      <c r="AS81" s="105">
        <v>40</v>
      </c>
      <c r="AT81" s="105">
        <v>20</v>
      </c>
      <c r="AU81" s="105">
        <v>15</v>
      </c>
      <c r="AV81" s="87"/>
      <c r="AW81" s="87"/>
      <c r="AX81" s="87"/>
      <c r="AY81" s="87"/>
      <c r="AZ81" s="87"/>
      <c r="BA81" s="87"/>
      <c r="BB81" s="87"/>
      <c r="BC81" s="87"/>
      <c r="BD81" s="87"/>
      <c r="BE81" s="87"/>
      <c r="BF81" s="87"/>
      <c r="BG81" s="87"/>
      <c r="BH81" s="87"/>
      <c r="BI81" s="87"/>
      <c r="BJ81" s="87"/>
      <c r="BK81" s="87"/>
      <c r="BL81" s="87"/>
      <c r="BM81" s="87"/>
      <c r="BN81" s="87"/>
      <c r="BO81" s="87"/>
      <c r="BP81" s="87"/>
      <c r="BQ81" s="87"/>
      <c r="BR81" s="87"/>
      <c r="BS81" s="87"/>
      <c r="BT81" s="87"/>
      <c r="BU81" s="87"/>
      <c r="BV81" s="87"/>
      <c r="BW81" s="87"/>
      <c r="BX81" s="87"/>
      <c r="BY81" s="87"/>
      <c r="BZ81" s="87"/>
      <c r="CA81" s="87"/>
      <c r="CB81" s="87"/>
      <c r="CC81" s="87"/>
      <c r="CD81" s="87"/>
      <c r="CE81" s="87"/>
      <c r="CF81" s="87"/>
      <c r="CG81" s="87"/>
      <c r="CH81" s="87"/>
      <c r="CI81" s="87"/>
      <c r="CJ81" s="87"/>
      <c r="CK81" s="87"/>
      <c r="CL81" s="87"/>
      <c r="CM81" s="87"/>
      <c r="CN81" s="87"/>
      <c r="CO81" s="87"/>
      <c r="CP81" s="87"/>
      <c r="CQ81" s="87"/>
      <c r="CR81" s="87"/>
      <c r="CS81" s="87"/>
      <c r="CT81" s="87"/>
      <c r="CU81" s="87"/>
      <c r="CV81" s="87"/>
      <c r="CW81" s="87"/>
      <c r="CX81" s="87"/>
      <c r="CY81" s="87"/>
      <c r="CZ81" s="87"/>
      <c r="DA81" s="87"/>
      <c r="DB81" s="87"/>
      <c r="DC81" s="87"/>
      <c r="DD81" s="87"/>
      <c r="DE81" s="87"/>
      <c r="DF81" s="87"/>
      <c r="DG81" s="87"/>
      <c r="DH81" s="87"/>
      <c r="DI81" s="87"/>
      <c r="DJ81" s="87"/>
      <c r="DK81" s="87"/>
      <c r="DL81" s="87"/>
      <c r="DM81" s="87"/>
      <c r="DN81" s="87"/>
      <c r="DO81" s="87"/>
      <c r="DP81" s="87"/>
      <c r="DQ81" s="87"/>
      <c r="DR81" s="87"/>
      <c r="DS81" s="87"/>
      <c r="DT81" s="87"/>
      <c r="DU81" s="87"/>
      <c r="DV81" s="87"/>
      <c r="DW81" s="87"/>
      <c r="DX81" s="87"/>
      <c r="DY81" s="87"/>
      <c r="DZ81" s="87"/>
      <c r="EA81" s="87"/>
      <c r="EB81" s="87"/>
      <c r="EC81" s="87"/>
      <c r="ED81" s="87"/>
      <c r="EE81" s="87"/>
      <c r="EF81" s="87"/>
      <c r="EG81" s="87"/>
      <c r="EH81" s="87"/>
      <c r="EI81" s="87"/>
    </row>
    <row r="82" spans="1:139" ht="16.5" thickBot="1" x14ac:dyDescent="0.35">
      <c r="A82" s="203" t="s">
        <v>207</v>
      </c>
      <c r="B82" s="206">
        <v>5</v>
      </c>
      <c r="C82" s="150"/>
      <c r="D82" s="91">
        <f>C82/VLOOKUP(B82,'[2]Gas Prod per PADD'!$A$1:$C$6,2,FALSE)</f>
        <v>0</v>
      </c>
      <c r="E82" s="151">
        <v>45351</v>
      </c>
      <c r="F82" s="152">
        <v>45367</v>
      </c>
      <c r="G82" s="149" t="s">
        <v>283</v>
      </c>
      <c r="H82" s="133" t="s">
        <v>284</v>
      </c>
      <c r="I82" s="84"/>
      <c r="J82" s="85"/>
      <c r="K82" s="85">
        <f>C82*(E82-$K$1)/29</f>
        <v>0</v>
      </c>
      <c r="L82" s="85">
        <f t="shared" si="6"/>
        <v>0</v>
      </c>
      <c r="M82" s="85"/>
      <c r="N82" s="85"/>
      <c r="O82" s="85"/>
      <c r="P82" s="85"/>
      <c r="Q82" s="85"/>
      <c r="R82" s="85"/>
      <c r="S82" s="85"/>
      <c r="T82" s="85"/>
      <c r="U82" s="85"/>
      <c r="V82" s="84"/>
      <c r="W82" s="84"/>
      <c r="X82" s="84" t="str">
        <f t="shared" si="5"/>
        <v>OK</v>
      </c>
      <c r="Y82" s="87"/>
      <c r="Z82" s="87"/>
      <c r="AA82" s="87"/>
      <c r="AB82" s="87"/>
      <c r="AC82" s="87"/>
      <c r="AD82" s="87"/>
      <c r="AE82" s="87"/>
      <c r="AF82" s="87"/>
      <c r="AG82" s="87"/>
      <c r="AH82" s="87"/>
      <c r="AI82" s="87"/>
      <c r="AJ82" s="87"/>
      <c r="AK82" s="87"/>
      <c r="AL82" s="87"/>
      <c r="AM82" s="87"/>
      <c r="AN82" s="87"/>
      <c r="AO82" s="87"/>
      <c r="AP82" s="87"/>
      <c r="AQ82" s="87"/>
      <c r="AR82" s="87"/>
      <c r="AS82" s="87">
        <f>0.35*65*0.5</f>
        <v>11.375</v>
      </c>
      <c r="AT82" s="87">
        <f>AS82</f>
        <v>11.375</v>
      </c>
      <c r="AU82" s="87"/>
      <c r="AV82" s="87"/>
      <c r="AW82" s="87"/>
      <c r="AX82" s="87"/>
      <c r="AY82" s="87"/>
      <c r="AZ82" s="87"/>
      <c r="BA82" s="87"/>
      <c r="BB82" s="87"/>
      <c r="BC82" s="87"/>
      <c r="BD82" s="87"/>
      <c r="BE82" s="87"/>
      <c r="BF82" s="87"/>
      <c r="BG82" s="87"/>
      <c r="BH82" s="87"/>
      <c r="BI82" s="87"/>
      <c r="BJ82" s="87"/>
      <c r="BK82" s="87"/>
      <c r="BL82" s="87"/>
      <c r="BM82" s="87"/>
      <c r="BN82" s="87"/>
      <c r="BO82" s="87"/>
      <c r="BP82" s="87"/>
      <c r="BQ82" s="87"/>
      <c r="BR82" s="87"/>
      <c r="BS82" s="87"/>
      <c r="BT82" s="87"/>
      <c r="BU82" s="87"/>
      <c r="BV82" s="87"/>
      <c r="BW82" s="87"/>
      <c r="BX82" s="87"/>
      <c r="BY82" s="87"/>
      <c r="BZ82" s="87"/>
      <c r="CA82" s="87"/>
      <c r="CB82" s="87"/>
      <c r="CC82" s="87"/>
      <c r="CD82" s="87"/>
      <c r="CE82" s="87"/>
      <c r="CF82" s="87"/>
      <c r="CG82" s="87"/>
      <c r="CH82" s="87"/>
      <c r="CI82" s="87"/>
      <c r="CJ82" s="87"/>
      <c r="CK82" s="87"/>
      <c r="CL82" s="87"/>
      <c r="CM82" s="87"/>
      <c r="CN82" s="87"/>
      <c r="CO82" s="87"/>
      <c r="CP82" s="87"/>
      <c r="CQ82" s="87"/>
      <c r="CR82" s="87"/>
      <c r="CS82" s="87"/>
      <c r="CT82" s="87"/>
      <c r="CU82" s="87"/>
      <c r="CV82" s="87"/>
      <c r="CW82" s="87"/>
      <c r="CX82" s="87"/>
      <c r="CY82" s="87"/>
      <c r="CZ82" s="87"/>
      <c r="DA82" s="87"/>
      <c r="DB82" s="87"/>
      <c r="DC82" s="87"/>
      <c r="DD82" s="87"/>
      <c r="DE82" s="87"/>
      <c r="DF82" s="87"/>
      <c r="DG82" s="87"/>
      <c r="DH82" s="87"/>
      <c r="DI82" s="87"/>
      <c r="DJ82" s="87"/>
      <c r="DK82" s="87"/>
      <c r="DL82" s="87"/>
      <c r="DM82" s="87"/>
      <c r="DN82" s="87"/>
      <c r="DO82" s="87"/>
      <c r="DP82" s="87"/>
      <c r="DQ82" s="87"/>
      <c r="DR82" s="87"/>
      <c r="DS82" s="87"/>
      <c r="DT82" s="87"/>
      <c r="DU82" s="87"/>
      <c r="DV82" s="87"/>
      <c r="DW82" s="87"/>
      <c r="DX82" s="87"/>
      <c r="DY82" s="87"/>
      <c r="DZ82" s="87"/>
      <c r="EA82" s="87"/>
      <c r="EB82" s="87"/>
      <c r="EC82" s="87"/>
      <c r="ED82" s="87"/>
      <c r="EE82" s="87"/>
      <c r="EF82" s="87"/>
      <c r="EG82" s="75">
        <v>46017</v>
      </c>
      <c r="EH82" s="75">
        <v>46024</v>
      </c>
      <c r="EI82" s="75">
        <v>46031</v>
      </c>
    </row>
    <row r="83" spans="1:139" ht="16.5" hidden="1" thickBot="1" x14ac:dyDescent="0.35">
      <c r="A83" s="96" t="s">
        <v>285</v>
      </c>
      <c r="B83" s="118">
        <v>5</v>
      </c>
      <c r="C83" s="115">
        <f>0.85*28</f>
        <v>23.8</v>
      </c>
      <c r="D83" s="91">
        <f>C83/VLOOKUP(B83,'[2]Gas Prod per PADD'!$A$1:$C$6,2,FALSE)</f>
        <v>1.7629629629629631E-2</v>
      </c>
      <c r="E83" s="116">
        <v>45309</v>
      </c>
      <c r="F83" s="117">
        <v>45368</v>
      </c>
      <c r="G83" s="118" t="s">
        <v>286</v>
      </c>
      <c r="H83" s="119"/>
      <c r="I83" s="84"/>
      <c r="J83" s="85">
        <f>C83*(E83-$J$1)/31</f>
        <v>-9.9806451612903242</v>
      </c>
      <c r="K83" s="85"/>
      <c r="L83" s="85">
        <f t="shared" si="6"/>
        <v>-12.283870967741937</v>
      </c>
      <c r="M83" s="85"/>
      <c r="N83" s="85"/>
      <c r="O83" s="85"/>
      <c r="P83" s="85"/>
      <c r="Q83" s="85"/>
      <c r="R83" s="85"/>
      <c r="S83" s="85"/>
      <c r="T83" s="85"/>
      <c r="U83" s="85"/>
      <c r="V83" s="84"/>
      <c r="W83" s="84"/>
      <c r="X83" s="84" t="str">
        <f t="shared" si="5"/>
        <v>OK</v>
      </c>
      <c r="Y83" s="87"/>
      <c r="Z83" s="87"/>
      <c r="AA83" s="87"/>
      <c r="AB83" s="87"/>
      <c r="AC83" s="87"/>
      <c r="AD83" s="87"/>
      <c r="AE83" s="87"/>
      <c r="AF83" s="87"/>
      <c r="AG83" s="87"/>
      <c r="AH83" s="87"/>
      <c r="AI83" s="87"/>
      <c r="AJ83" s="87"/>
      <c r="AK83" s="87"/>
      <c r="AL83" s="87"/>
      <c r="AM83" s="87"/>
      <c r="AN83" s="87"/>
      <c r="AO83" s="87"/>
      <c r="AP83" s="87"/>
      <c r="AQ83" s="87"/>
      <c r="AR83" s="87"/>
      <c r="AS83" s="87">
        <f>(2/3)*C83</f>
        <v>15.866666666666667</v>
      </c>
      <c r="AT83" s="87">
        <f>$C83-AS83</f>
        <v>7.9333333333333336</v>
      </c>
      <c r="AU83" s="87"/>
      <c r="AV83" s="87"/>
      <c r="AW83" s="87"/>
      <c r="AX83" s="87"/>
      <c r="AY83" s="87"/>
      <c r="AZ83" s="87"/>
      <c r="BA83" s="87"/>
      <c r="BB83" s="87"/>
      <c r="BC83" s="87"/>
      <c r="BD83" s="87"/>
      <c r="BE83" s="87"/>
      <c r="BF83" s="87"/>
      <c r="BG83" s="87"/>
      <c r="BH83" s="87"/>
      <c r="BI83" s="87"/>
      <c r="BJ83" s="87"/>
      <c r="BK83" s="87"/>
      <c r="BL83" s="87"/>
      <c r="BM83" s="87"/>
      <c r="BN83" s="87"/>
      <c r="BO83" s="87"/>
      <c r="BP83" s="87"/>
      <c r="BQ83" s="87"/>
      <c r="BR83" s="87"/>
      <c r="BS83" s="87"/>
      <c r="BT83" s="87"/>
      <c r="BU83" s="87"/>
      <c r="BV83" s="87"/>
      <c r="BW83" s="87"/>
      <c r="BX83" s="87"/>
      <c r="BY83" s="87"/>
      <c r="BZ83" s="87"/>
      <c r="CA83" s="87"/>
      <c r="CB83" s="87"/>
      <c r="CC83" s="87"/>
      <c r="CD83" s="87"/>
      <c r="CE83" s="87"/>
      <c r="CF83" s="87"/>
      <c r="CG83" s="87"/>
      <c r="CH83" s="87"/>
      <c r="CI83" s="87"/>
      <c r="CJ83" s="87"/>
      <c r="CK83" s="87"/>
      <c r="CL83" s="87"/>
      <c r="CM83" s="87"/>
      <c r="CN83" s="87"/>
      <c r="CO83" s="87"/>
      <c r="CP83" s="87"/>
      <c r="CQ83" s="87"/>
      <c r="CR83" s="87"/>
      <c r="CS83" s="87"/>
      <c r="CT83" s="87"/>
      <c r="CU83" s="87"/>
      <c r="CV83" s="87"/>
      <c r="CW83" s="87"/>
      <c r="CX83" s="87"/>
      <c r="CY83" s="87"/>
      <c r="CZ83" s="87"/>
      <c r="DA83" s="87"/>
      <c r="DB83" s="87"/>
      <c r="DC83" s="87"/>
      <c r="DD83" s="87"/>
      <c r="DE83" s="87"/>
      <c r="DF83" s="87"/>
      <c r="DG83" s="87"/>
      <c r="DH83" s="87"/>
      <c r="DI83" s="87"/>
      <c r="DJ83" s="87"/>
      <c r="DK83" s="87"/>
      <c r="DL83" s="87"/>
      <c r="DM83" s="87"/>
      <c r="DN83" s="87"/>
      <c r="DO83" s="87"/>
      <c r="DP83" s="87"/>
      <c r="DQ83" s="87"/>
      <c r="DR83" s="87"/>
      <c r="DS83" s="87"/>
      <c r="DT83" s="87"/>
      <c r="DU83" s="87"/>
      <c r="DV83" s="87"/>
      <c r="DW83" s="87"/>
      <c r="DX83" s="87"/>
      <c r="DY83" s="87"/>
      <c r="DZ83" s="87"/>
      <c r="EA83" s="87"/>
      <c r="EB83" s="87"/>
      <c r="EC83" s="87"/>
      <c r="ED83" s="87"/>
      <c r="EE83" s="87"/>
      <c r="EF83" s="87"/>
      <c r="EG83" s="75">
        <v>46017</v>
      </c>
      <c r="EH83" s="75">
        <v>46024</v>
      </c>
      <c r="EI83" s="75">
        <v>46031</v>
      </c>
    </row>
    <row r="84" spans="1:139" ht="16.5" hidden="1" thickBot="1" x14ac:dyDescent="0.35">
      <c r="A84" s="106" t="s">
        <v>287</v>
      </c>
      <c r="B84" s="107">
        <v>3</v>
      </c>
      <c r="C84" s="108">
        <f>50*0.65+67*0.26</f>
        <v>49.92</v>
      </c>
      <c r="D84" s="91">
        <f>C84/VLOOKUP(B84,'[2]Gas Prod per PADD'!$A$1:$C$6,2,FALSE)</f>
        <v>1.0852173913043479E-2</v>
      </c>
      <c r="E84" s="109">
        <v>45303</v>
      </c>
      <c r="F84" s="110">
        <v>45370</v>
      </c>
      <c r="G84" s="111" t="s">
        <v>288</v>
      </c>
      <c r="H84" s="112" t="s">
        <v>216</v>
      </c>
      <c r="I84" s="84">
        <f>F84-E84</f>
        <v>67</v>
      </c>
      <c r="J84" s="85">
        <f>C84*(E84-$J$1)/31</f>
        <v>-30.596129032258066</v>
      </c>
      <c r="K84" s="85"/>
      <c r="L84" s="85">
        <f t="shared" si="6"/>
        <v>-28.985806451612905</v>
      </c>
      <c r="M84" s="85"/>
      <c r="N84" s="85"/>
      <c r="O84" s="85"/>
      <c r="P84" s="85"/>
      <c r="Q84" s="85"/>
      <c r="R84" s="85"/>
      <c r="S84" s="85"/>
      <c r="T84" s="85"/>
      <c r="U84" s="85"/>
      <c r="V84" s="84"/>
      <c r="W84" s="84"/>
      <c r="X84" s="84" t="str">
        <f t="shared" si="5"/>
        <v>OK</v>
      </c>
      <c r="Y84" s="105"/>
      <c r="Z84" s="105"/>
      <c r="AA84" s="87"/>
      <c r="AB84" s="87"/>
      <c r="AC84" s="87"/>
      <c r="AD84" s="87"/>
      <c r="AE84" s="105"/>
      <c r="AF84" s="105"/>
      <c r="AG84" s="105"/>
      <c r="AH84" s="105"/>
      <c r="AI84" s="87"/>
      <c r="AJ84" s="105">
        <f>(E84-AJ$1)*C84/7</f>
        <v>-49.92</v>
      </c>
      <c r="AK84" s="105">
        <f>-C84-AJ84</f>
        <v>0</v>
      </c>
      <c r="AL84" s="87"/>
      <c r="AM84" s="87"/>
      <c r="AN84" s="87"/>
      <c r="AO84" s="105"/>
      <c r="AP84" s="105"/>
      <c r="AQ84" s="105"/>
      <c r="AR84" s="105"/>
      <c r="AS84" s="105">
        <f>(AS73-$F84)/7*$C84</f>
        <v>-323383.79755102046</v>
      </c>
      <c r="AT84" s="105">
        <f>$C84-AS84-15</f>
        <v>323418.71755102044</v>
      </c>
      <c r="AU84" s="105">
        <f>$C84-AT84-AS84</f>
        <v>15</v>
      </c>
      <c r="AV84" s="87"/>
      <c r="AW84" s="87"/>
      <c r="AX84" s="87"/>
      <c r="AY84" s="87"/>
      <c r="AZ84" s="87"/>
      <c r="BA84" s="87"/>
      <c r="BB84" s="87"/>
      <c r="BC84" s="87"/>
      <c r="BD84" s="87"/>
      <c r="BE84" s="87"/>
      <c r="BF84" s="87"/>
      <c r="BG84" s="87"/>
      <c r="BH84" s="87"/>
      <c r="BI84" s="87"/>
      <c r="BJ84" s="87"/>
      <c r="BK84" s="87"/>
      <c r="BL84" s="87"/>
      <c r="BM84" s="87"/>
      <c r="BN84" s="87"/>
      <c r="BO84" s="87"/>
      <c r="BP84" s="87"/>
      <c r="BQ84" s="87"/>
      <c r="BR84" s="87"/>
      <c r="BS84" s="87"/>
      <c r="BT84" s="87"/>
      <c r="BU84" s="87"/>
      <c r="BV84" s="87"/>
      <c r="BW84" s="87"/>
      <c r="BX84" s="87"/>
      <c r="BY84" s="87"/>
      <c r="BZ84" s="87"/>
      <c r="CA84" s="87"/>
      <c r="CB84" s="87"/>
      <c r="CC84" s="87"/>
      <c r="CD84" s="87"/>
      <c r="CE84" s="87"/>
      <c r="CF84" s="87"/>
      <c r="CG84" s="87"/>
      <c r="CH84" s="87"/>
      <c r="CI84" s="87"/>
      <c r="CJ84" s="87"/>
      <c r="CK84" s="87"/>
      <c r="CL84" s="87"/>
      <c r="CM84" s="87"/>
      <c r="CN84" s="87"/>
      <c r="CO84" s="87"/>
      <c r="CP84" s="87"/>
      <c r="CQ84" s="87"/>
      <c r="CR84" s="87"/>
      <c r="CS84" s="87"/>
      <c r="CT84" s="87"/>
      <c r="CU84" s="87"/>
      <c r="CV84" s="87"/>
      <c r="CW84" s="87"/>
      <c r="CX84" s="87"/>
      <c r="CY84" s="87"/>
      <c r="CZ84" s="87"/>
      <c r="DA84" s="87"/>
      <c r="DB84" s="87"/>
      <c r="DC84" s="87"/>
      <c r="DD84" s="87"/>
      <c r="DE84" s="87"/>
      <c r="DF84" s="87"/>
      <c r="DG84" s="87"/>
      <c r="DH84" s="87"/>
      <c r="DI84" s="87"/>
      <c r="DJ84" s="87"/>
      <c r="DK84" s="87"/>
      <c r="DL84" s="87"/>
      <c r="DM84" s="87"/>
      <c r="DN84" s="87"/>
      <c r="DO84" s="87"/>
      <c r="DP84" s="87"/>
      <c r="DQ84" s="87"/>
      <c r="DR84" s="87"/>
      <c r="DS84" s="87"/>
      <c r="DT84" s="87"/>
      <c r="DU84" s="87"/>
      <c r="DV84" s="87"/>
      <c r="DW84" s="87"/>
      <c r="DX84" s="87"/>
      <c r="DY84" s="87"/>
      <c r="DZ84" s="87"/>
      <c r="EA84" s="87"/>
      <c r="EB84" s="87"/>
      <c r="EC84" s="87"/>
      <c r="ED84" s="87"/>
      <c r="EE84" s="87"/>
      <c r="EF84" s="87"/>
      <c r="EG84" s="87"/>
      <c r="EH84" s="87"/>
      <c r="EI84" s="87"/>
    </row>
    <row r="85" spans="1:139" ht="29.25" hidden="1" thickBot="1" x14ac:dyDescent="0.35">
      <c r="A85" s="106" t="s">
        <v>289</v>
      </c>
      <c r="B85" s="107">
        <v>3</v>
      </c>
      <c r="C85" s="108">
        <f>67*0.1+58.5*0.5+13+11*0.85+2</f>
        <v>60.300000000000004</v>
      </c>
      <c r="D85" s="91">
        <f>C85/VLOOKUP(B85,'[2]Gas Prod per PADD'!$A$1:$C$6,2,FALSE)</f>
        <v>1.3108695652173914E-2</v>
      </c>
      <c r="E85" s="109">
        <v>45305</v>
      </c>
      <c r="F85" s="110">
        <v>45370</v>
      </c>
      <c r="G85" s="111" t="s">
        <v>290</v>
      </c>
      <c r="H85" s="112" t="s">
        <v>216</v>
      </c>
      <c r="I85" s="84"/>
      <c r="J85" s="85">
        <f>C85*(E85-$J$1)/31</f>
        <v>-33.067741935483873</v>
      </c>
      <c r="K85" s="85"/>
      <c r="L85" s="85">
        <f t="shared" si="6"/>
        <v>-35.012903225806454</v>
      </c>
      <c r="M85" s="85"/>
      <c r="N85" s="85"/>
      <c r="O85" s="85"/>
      <c r="P85" s="85"/>
      <c r="Q85" s="85"/>
      <c r="R85" s="85"/>
      <c r="S85" s="85"/>
      <c r="T85" s="85"/>
      <c r="U85" s="85"/>
      <c r="V85" s="84"/>
      <c r="W85" s="84"/>
      <c r="X85" s="84" t="str">
        <f t="shared" si="5"/>
        <v>OK</v>
      </c>
      <c r="Y85" s="105"/>
      <c r="Z85" s="105"/>
      <c r="AA85" s="87"/>
      <c r="AB85" s="87"/>
      <c r="AC85" s="87"/>
      <c r="AD85" s="87"/>
      <c r="AE85" s="105"/>
      <c r="AF85" s="105"/>
      <c r="AG85" s="105"/>
      <c r="AH85" s="105"/>
      <c r="AI85" s="87"/>
      <c r="AJ85" s="87" t="e">
        <f>(E85-#REF!)/7*C85</f>
        <v>#REF!</v>
      </c>
      <c r="AK85" s="105" t="e">
        <f>-C85-AJ85</f>
        <v>#REF!</v>
      </c>
      <c r="AL85" s="87"/>
      <c r="AM85" s="87"/>
      <c r="AN85" s="87"/>
      <c r="AO85" s="105"/>
      <c r="AP85" s="87"/>
      <c r="AQ85" s="87"/>
      <c r="AR85" s="87"/>
      <c r="AS85" s="87">
        <f>$C85/2*(1/2)</f>
        <v>15.075000000000001</v>
      </c>
      <c r="AT85" s="105">
        <f>$C85-AS85-30</f>
        <v>15.225000000000001</v>
      </c>
      <c r="AU85" s="105">
        <f>C85-AS85-AT85</f>
        <v>30</v>
      </c>
      <c r="AV85" s="87"/>
      <c r="AW85" s="87"/>
      <c r="AX85" s="87"/>
      <c r="AY85" s="87"/>
      <c r="AZ85" s="87"/>
      <c r="BA85" s="87"/>
      <c r="BB85" s="87"/>
      <c r="BC85" s="87"/>
      <c r="BD85" s="87"/>
      <c r="BE85" s="87"/>
      <c r="BF85" s="87"/>
      <c r="BG85" s="87"/>
      <c r="BH85" s="87"/>
      <c r="BI85" s="87"/>
      <c r="BJ85" s="87"/>
      <c r="BK85" s="87"/>
      <c r="BL85" s="87"/>
      <c r="BM85" s="87"/>
      <c r="BN85" s="87"/>
      <c r="BO85" s="87"/>
      <c r="BP85" s="87"/>
      <c r="BQ85" s="87"/>
      <c r="BR85" s="87"/>
      <c r="BS85" s="87"/>
      <c r="BT85" s="87"/>
      <c r="BU85" s="87"/>
      <c r="BV85" s="87"/>
      <c r="BW85" s="87"/>
      <c r="BX85" s="87"/>
      <c r="BY85" s="87"/>
      <c r="BZ85" s="87"/>
      <c r="CA85" s="87"/>
      <c r="CB85" s="87"/>
      <c r="CC85" s="87"/>
      <c r="CD85" s="87"/>
      <c r="CE85" s="87"/>
      <c r="CF85" s="87"/>
      <c r="CG85" s="87"/>
      <c r="CH85" s="87"/>
      <c r="CI85" s="87"/>
      <c r="CJ85" s="87"/>
      <c r="CK85" s="87"/>
      <c r="CL85" s="87"/>
      <c r="CM85" s="87"/>
      <c r="CN85" s="87"/>
      <c r="CO85" s="87"/>
      <c r="CP85" s="87"/>
      <c r="CQ85" s="87"/>
      <c r="CR85" s="87"/>
      <c r="CS85" s="87"/>
      <c r="CT85" s="87"/>
      <c r="CU85" s="87"/>
      <c r="CV85" s="87"/>
      <c r="CW85" s="87"/>
      <c r="CX85" s="87"/>
      <c r="CY85" s="87"/>
      <c r="CZ85" s="87"/>
      <c r="DA85" s="87"/>
      <c r="DB85" s="87"/>
      <c r="DC85" s="87"/>
      <c r="DD85" s="87"/>
      <c r="DE85" s="87"/>
      <c r="DF85" s="87"/>
      <c r="DG85" s="87"/>
      <c r="DH85" s="87"/>
      <c r="DI85" s="87"/>
      <c r="DJ85" s="87"/>
      <c r="DK85" s="87"/>
      <c r="DL85" s="87"/>
      <c r="DM85" s="87"/>
      <c r="DN85" s="87"/>
      <c r="DO85" s="87"/>
      <c r="DP85" s="87"/>
      <c r="DQ85" s="87"/>
      <c r="DR85" s="87"/>
      <c r="DS85" s="87"/>
      <c r="DT85" s="87"/>
      <c r="DU85" s="87"/>
      <c r="DV85" s="87"/>
      <c r="DW85" s="87"/>
      <c r="DX85" s="87"/>
      <c r="DY85" s="87"/>
      <c r="DZ85" s="87"/>
      <c r="EA85" s="87"/>
      <c r="EB85" s="87"/>
      <c r="EC85" s="87"/>
      <c r="ED85" s="87"/>
      <c r="EE85" s="87"/>
      <c r="EF85" s="87"/>
      <c r="EG85" s="87"/>
      <c r="EH85" s="87"/>
      <c r="EI85" s="87"/>
    </row>
    <row r="86" spans="1:139" ht="15.75" hidden="1" x14ac:dyDescent="0.3">
      <c r="A86" s="154" t="s">
        <v>154</v>
      </c>
      <c r="B86" s="107">
        <v>3</v>
      </c>
      <c r="C86" s="108">
        <f>85*0.56+12-4.6</f>
        <v>55</v>
      </c>
      <c r="D86" s="163">
        <f>C86/VLOOKUP(B86,'[2]Gas Prod per PADD'!$A$1:$C$6,2,FALSE)</f>
        <v>1.1956521739130435E-2</v>
      </c>
      <c r="E86" s="109">
        <v>45316</v>
      </c>
      <c r="F86" s="110">
        <v>45370</v>
      </c>
      <c r="G86" s="111" t="s">
        <v>291</v>
      </c>
      <c r="H86" s="112" t="s">
        <v>216</v>
      </c>
      <c r="I86" s="84"/>
      <c r="J86" s="85">
        <f>C86*(E86-$J$1)/31</f>
        <v>-10.64516129032258</v>
      </c>
      <c r="K86" s="85"/>
      <c r="L86" s="85">
        <f t="shared" si="6"/>
        <v>-31.93548387096774</v>
      </c>
      <c r="M86" s="85"/>
      <c r="N86" s="85"/>
      <c r="O86" s="85"/>
      <c r="P86" s="85"/>
      <c r="Q86" s="85"/>
      <c r="R86" s="85"/>
      <c r="S86" s="85"/>
      <c r="T86" s="85"/>
      <c r="U86" s="85"/>
      <c r="V86" s="84"/>
      <c r="W86" s="84"/>
      <c r="X86" s="84" t="str">
        <f t="shared" si="5"/>
        <v>OK</v>
      </c>
      <c r="Y86" s="105"/>
      <c r="Z86" s="105"/>
      <c r="AA86" s="87"/>
      <c r="AB86" s="87"/>
      <c r="AC86" s="87"/>
      <c r="AD86" s="87"/>
      <c r="AE86" s="105"/>
      <c r="AF86" s="105"/>
      <c r="AG86" s="105"/>
      <c r="AH86" s="105"/>
      <c r="AI86" s="87"/>
      <c r="AJ86" s="87"/>
      <c r="AK86" s="105">
        <f>C86*(E86-AK77)/7</f>
        <v>356054.28571428574</v>
      </c>
      <c r="AL86" s="105">
        <f>-C86-AK86</f>
        <v>-356109.28571428574</v>
      </c>
      <c r="AM86" s="87"/>
      <c r="AN86" s="87"/>
      <c r="AO86" s="87"/>
      <c r="AP86" s="87"/>
      <c r="AQ86" s="87"/>
      <c r="AR86" s="87"/>
      <c r="AS86" s="87">
        <v>23.571428571428573</v>
      </c>
      <c r="AT86" s="87">
        <v>21.428571428571427</v>
      </c>
      <c r="AU86" s="87">
        <v>10</v>
      </c>
      <c r="AV86" s="87"/>
      <c r="AW86" s="87"/>
      <c r="AX86" s="87"/>
      <c r="AY86" s="87"/>
      <c r="AZ86" s="87"/>
      <c r="BA86" s="87"/>
      <c r="BB86" s="87"/>
      <c r="BC86" s="87"/>
      <c r="BD86" s="87"/>
      <c r="BE86" s="87"/>
      <c r="BF86" s="87"/>
      <c r="BG86" s="87"/>
      <c r="BH86" s="87"/>
      <c r="BI86" s="87"/>
      <c r="BJ86" s="87"/>
      <c r="BK86" s="87"/>
      <c r="BL86" s="87"/>
      <c r="BM86" s="87"/>
      <c r="BN86" s="87"/>
      <c r="BO86" s="87"/>
      <c r="BP86" s="87"/>
      <c r="BQ86" s="87"/>
      <c r="BR86" s="87"/>
      <c r="BS86" s="87"/>
      <c r="BT86" s="87"/>
      <c r="BU86" s="87"/>
      <c r="BV86" s="87"/>
      <c r="BW86" s="87"/>
      <c r="BX86" s="87"/>
      <c r="BY86" s="87"/>
      <c r="BZ86" s="87"/>
      <c r="CA86" s="87"/>
      <c r="CB86" s="87"/>
      <c r="CC86" s="87"/>
      <c r="CD86" s="87"/>
      <c r="CE86" s="87"/>
      <c r="CF86" s="87"/>
      <c r="CG86" s="87"/>
      <c r="CH86" s="87"/>
      <c r="CI86" s="87"/>
      <c r="CJ86" s="87"/>
      <c r="CK86" s="87"/>
      <c r="CL86" s="87"/>
      <c r="CM86" s="87"/>
      <c r="CN86" s="87"/>
      <c r="CO86" s="87"/>
      <c r="CP86" s="87"/>
      <c r="CQ86" s="87"/>
      <c r="CR86" s="87"/>
      <c r="CS86" s="87"/>
      <c r="CT86" s="87"/>
      <c r="CU86" s="87"/>
      <c r="CV86" s="87"/>
      <c r="CW86" s="87"/>
      <c r="CX86" s="87"/>
      <c r="CY86" s="87"/>
      <c r="CZ86" s="87"/>
      <c r="DA86" s="87"/>
      <c r="DB86" s="87"/>
      <c r="DC86" s="87"/>
      <c r="DD86" s="87"/>
      <c r="DE86" s="87"/>
      <c r="DF86" s="87"/>
      <c r="DG86" s="87"/>
      <c r="DH86" s="87"/>
      <c r="DI86" s="87"/>
      <c r="DJ86" s="87"/>
      <c r="DK86" s="87"/>
      <c r="DL86" s="87"/>
      <c r="DM86" s="87"/>
      <c r="DN86" s="87"/>
      <c r="DO86" s="87"/>
      <c r="DP86" s="87"/>
      <c r="DQ86" s="87"/>
      <c r="DR86" s="87"/>
      <c r="DS86" s="87"/>
      <c r="DT86" s="87"/>
      <c r="DU86" s="87"/>
      <c r="DV86" s="87"/>
      <c r="DW86" s="87"/>
      <c r="DX86" s="87"/>
      <c r="DY86" s="87"/>
      <c r="DZ86" s="87"/>
      <c r="EA86" s="87"/>
      <c r="EB86" s="87"/>
      <c r="EC86" s="87"/>
      <c r="ED86" s="87"/>
      <c r="EE86" s="87"/>
      <c r="EF86" s="87"/>
      <c r="EG86" s="87"/>
      <c r="EH86" s="87"/>
      <c r="EI86" s="87"/>
    </row>
    <row r="87" spans="1:139" ht="15.75" x14ac:dyDescent="0.3">
      <c r="A87" s="207" t="s">
        <v>225</v>
      </c>
      <c r="B87" s="208">
        <v>3</v>
      </c>
      <c r="C87" s="209"/>
      <c r="D87" s="167">
        <f>C87/VLOOKUP(B87,'[2]Gas Prod per PADD'!$A$1:$C$6,2,FALSE)</f>
        <v>0</v>
      </c>
      <c r="E87" s="210">
        <v>45357</v>
      </c>
      <c r="F87" s="211">
        <v>45370</v>
      </c>
      <c r="G87" s="212" t="s">
        <v>292</v>
      </c>
      <c r="H87" s="213" t="s">
        <v>293</v>
      </c>
      <c r="I87" s="84"/>
      <c r="J87" s="85"/>
      <c r="K87" s="85"/>
      <c r="L87" s="85">
        <f>C87*(E87-F87)/31</f>
        <v>0</v>
      </c>
      <c r="M87" s="85"/>
      <c r="N87" s="85"/>
      <c r="O87" s="85"/>
      <c r="P87" s="85"/>
      <c r="Q87" s="85"/>
      <c r="R87" s="85"/>
      <c r="S87" s="85"/>
      <c r="T87" s="85"/>
      <c r="U87" s="85"/>
      <c r="V87" s="84"/>
      <c r="W87" s="84"/>
      <c r="X87" s="84" t="str">
        <f t="shared" si="5"/>
        <v>OK</v>
      </c>
      <c r="Y87" s="105"/>
      <c r="Z87" s="105"/>
      <c r="AA87" s="87"/>
      <c r="AB87" s="87"/>
      <c r="AC87" s="87"/>
      <c r="AD87" s="87"/>
      <c r="AE87" s="105"/>
      <c r="AF87" s="105"/>
      <c r="AG87" s="105"/>
      <c r="AH87" s="105"/>
      <c r="AI87" s="87"/>
      <c r="AJ87" s="87"/>
      <c r="AK87" s="87"/>
      <c r="AL87" s="87"/>
      <c r="AM87" s="87"/>
      <c r="AN87" s="87"/>
      <c r="AO87" s="87"/>
      <c r="AP87" s="87"/>
      <c r="AQ87" s="87">
        <f>(-2/7)*210*0.25</f>
        <v>-15</v>
      </c>
      <c r="AR87" s="87">
        <f>((-5/7)*210*0.25)+((2/7)*210*0.25)</f>
        <v>-22.5</v>
      </c>
      <c r="AS87" s="87">
        <f>-1*(SUM(AQ87:AR87))</f>
        <v>37.5</v>
      </c>
      <c r="AT87" s="87"/>
      <c r="AU87" s="87"/>
      <c r="AV87" s="87"/>
      <c r="AW87" s="87"/>
      <c r="AX87" s="87"/>
      <c r="AY87" s="87"/>
      <c r="AZ87" s="87"/>
      <c r="BA87" s="87"/>
      <c r="BB87" s="87"/>
      <c r="BC87" s="87"/>
      <c r="BD87" s="87"/>
      <c r="BE87" s="87"/>
      <c r="BF87" s="87"/>
      <c r="BG87" s="87"/>
      <c r="BH87" s="87"/>
      <c r="BI87" s="87"/>
      <c r="BJ87" s="87"/>
      <c r="BK87" s="87"/>
      <c r="BL87" s="87"/>
      <c r="BM87" s="87"/>
      <c r="BN87" s="87"/>
      <c r="BO87" s="87"/>
      <c r="BP87" s="87"/>
      <c r="BQ87" s="87"/>
      <c r="BR87" s="87"/>
      <c r="BS87" s="87"/>
      <c r="BT87" s="87"/>
      <c r="BU87" s="87"/>
      <c r="BV87" s="87"/>
      <c r="BW87" s="87"/>
      <c r="BX87" s="87"/>
      <c r="BY87" s="87"/>
      <c r="BZ87" s="87"/>
      <c r="CA87" s="87"/>
      <c r="CB87" s="87"/>
      <c r="CC87" s="87"/>
      <c r="CD87" s="87"/>
      <c r="CE87" s="87"/>
      <c r="CF87" s="87"/>
      <c r="CG87" s="87"/>
      <c r="CH87" s="87"/>
      <c r="CI87" s="87"/>
      <c r="CJ87" s="87"/>
      <c r="CK87" s="87"/>
      <c r="CL87" s="87"/>
      <c r="CM87" s="87"/>
      <c r="CN87" s="87"/>
      <c r="CO87" s="87"/>
      <c r="CP87" s="87"/>
      <c r="CQ87" s="87"/>
      <c r="CR87" s="87"/>
      <c r="CS87" s="87"/>
      <c r="CT87" s="87"/>
      <c r="CU87" s="87"/>
      <c r="CV87" s="87"/>
      <c r="CW87" s="87"/>
      <c r="CX87" s="87"/>
      <c r="CY87" s="87"/>
      <c r="CZ87" s="87"/>
      <c r="DA87" s="87"/>
      <c r="DB87" s="87"/>
      <c r="DC87" s="87"/>
      <c r="DD87" s="87"/>
      <c r="DE87" s="87"/>
      <c r="DF87" s="87"/>
      <c r="DG87" s="87"/>
      <c r="DH87" s="87"/>
      <c r="DI87" s="87"/>
      <c r="DJ87" s="87"/>
      <c r="DK87" s="87"/>
      <c r="DL87" s="87"/>
      <c r="DM87" s="87"/>
      <c r="DN87" s="87"/>
      <c r="DO87" s="87"/>
      <c r="DP87" s="87"/>
      <c r="DQ87" s="87"/>
      <c r="DR87" s="87"/>
      <c r="DS87" s="87"/>
      <c r="DT87" s="87"/>
      <c r="DU87" s="87"/>
      <c r="DV87" s="87"/>
      <c r="DW87" s="87"/>
      <c r="DX87" s="87"/>
      <c r="DY87" s="87"/>
      <c r="DZ87" s="87"/>
      <c r="EA87" s="87"/>
      <c r="EB87" s="87"/>
      <c r="EC87" s="87"/>
      <c r="ED87" s="87"/>
      <c r="EE87" s="87"/>
      <c r="EF87" s="87"/>
      <c r="EG87" s="87"/>
      <c r="EH87" s="87"/>
      <c r="EI87" s="87"/>
    </row>
    <row r="88" spans="1:139" ht="15.75" x14ac:dyDescent="0.3">
      <c r="A88" s="207" t="s">
        <v>294</v>
      </c>
      <c r="B88" s="208">
        <v>3</v>
      </c>
      <c r="C88" s="209">
        <f>65*0.85+10</f>
        <v>65.25</v>
      </c>
      <c r="D88" s="167">
        <f>C88/VLOOKUP(B88,'[2]Gas Prod per PADD'!$A$1:$C$6,2,FALSE)</f>
        <v>1.4184782608695653E-2</v>
      </c>
      <c r="E88" s="210">
        <v>45341</v>
      </c>
      <c r="F88" s="211">
        <v>45371</v>
      </c>
      <c r="G88" s="212" t="s">
        <v>295</v>
      </c>
      <c r="H88" s="213" t="s">
        <v>216</v>
      </c>
      <c r="I88" s="84"/>
      <c r="J88" s="85"/>
      <c r="K88" s="85">
        <f>C88*(E88-$K$1)/29</f>
        <v>-22.5</v>
      </c>
      <c r="L88" s="85">
        <f>C88*($K$1+1-F88)/31</f>
        <v>-39.991935483870968</v>
      </c>
      <c r="M88" s="85"/>
      <c r="N88" s="85"/>
      <c r="O88" s="85"/>
      <c r="P88" s="85"/>
      <c r="Q88" s="85"/>
      <c r="R88" s="85"/>
      <c r="S88" s="85"/>
      <c r="T88" s="85"/>
      <c r="U88" s="85"/>
      <c r="V88" s="84"/>
      <c r="W88" s="84"/>
      <c r="X88" s="84" t="str">
        <f t="shared" si="5"/>
        <v>OK</v>
      </c>
      <c r="Y88" s="105"/>
      <c r="Z88" s="105"/>
      <c r="AA88" s="87"/>
      <c r="AB88" s="87"/>
      <c r="AC88" s="87"/>
      <c r="AD88" s="87"/>
      <c r="AE88" s="105"/>
      <c r="AF88" s="105"/>
      <c r="AG88" s="105"/>
      <c r="AH88" s="105"/>
      <c r="AI88" s="87"/>
      <c r="AJ88" s="87"/>
      <c r="AK88" s="87"/>
      <c r="AL88" s="87"/>
      <c r="AM88" s="87"/>
      <c r="AN88" s="87"/>
      <c r="AO88" s="87" t="e">
        <f>(E88-#REF!)/7*C88</f>
        <v>#REF!</v>
      </c>
      <c r="AP88" s="87"/>
      <c r="AQ88" s="105" t="e">
        <f>-C88-AO88</f>
        <v>#REF!</v>
      </c>
      <c r="AR88" s="87"/>
      <c r="AS88" s="87">
        <v>5</v>
      </c>
      <c r="AT88" s="87">
        <v>40</v>
      </c>
      <c r="AU88" s="87">
        <v>20</v>
      </c>
      <c r="AV88" s="87"/>
      <c r="AW88" s="87"/>
      <c r="AX88" s="87"/>
      <c r="AY88" s="87"/>
      <c r="AZ88" s="87"/>
      <c r="BA88" s="87"/>
      <c r="BB88" s="87"/>
      <c r="BC88" s="87"/>
      <c r="BD88" s="87"/>
      <c r="BE88" s="87"/>
      <c r="BF88" s="87"/>
      <c r="BG88" s="87"/>
      <c r="BH88" s="87"/>
      <c r="BI88" s="87"/>
      <c r="BJ88" s="87"/>
      <c r="BK88" s="87"/>
      <c r="BL88" s="87"/>
      <c r="BM88" s="87"/>
      <c r="BN88" s="87"/>
      <c r="BO88" s="87"/>
      <c r="BP88" s="87"/>
      <c r="BQ88" s="87"/>
      <c r="BR88" s="87"/>
      <c r="BS88" s="87"/>
      <c r="BT88" s="87"/>
      <c r="BU88" s="87"/>
      <c r="BV88" s="87"/>
      <c r="BW88" s="87"/>
      <c r="BX88" s="87"/>
      <c r="BY88" s="87"/>
      <c r="BZ88" s="87"/>
      <c r="CA88" s="87"/>
      <c r="CB88" s="87"/>
      <c r="CC88" s="87"/>
      <c r="CD88" s="87"/>
      <c r="CE88" s="87"/>
      <c r="CF88" s="87"/>
      <c r="CG88" s="87"/>
      <c r="CH88" s="87"/>
      <c r="CI88" s="87"/>
      <c r="CJ88" s="87"/>
      <c r="CK88" s="87"/>
      <c r="CL88" s="87"/>
      <c r="CM88" s="87"/>
      <c r="CN88" s="87"/>
      <c r="CO88" s="87"/>
      <c r="CP88" s="87"/>
      <c r="CQ88" s="87"/>
      <c r="CR88" s="87"/>
      <c r="CS88" s="87"/>
      <c r="CT88" s="87"/>
      <c r="CU88" s="87"/>
      <c r="CV88" s="87"/>
      <c r="CW88" s="87"/>
      <c r="CX88" s="87"/>
      <c r="CY88" s="87"/>
      <c r="CZ88" s="87"/>
      <c r="DA88" s="87"/>
      <c r="DB88" s="87"/>
      <c r="DC88" s="87"/>
      <c r="DD88" s="87"/>
      <c r="DE88" s="87"/>
      <c r="DF88" s="87"/>
      <c r="DG88" s="87"/>
      <c r="DH88" s="87"/>
      <c r="DI88" s="87"/>
      <c r="DJ88" s="87"/>
      <c r="DK88" s="87"/>
      <c r="DL88" s="87"/>
      <c r="DM88" s="87"/>
      <c r="DN88" s="87"/>
      <c r="DO88" s="87"/>
      <c r="DP88" s="87"/>
      <c r="DQ88" s="87"/>
      <c r="DR88" s="87"/>
      <c r="DS88" s="87"/>
      <c r="DT88" s="87"/>
      <c r="DU88" s="87"/>
      <c r="DV88" s="87"/>
      <c r="DW88" s="87"/>
      <c r="DX88" s="87"/>
      <c r="DY88" s="87"/>
      <c r="DZ88" s="87"/>
      <c r="EA88" s="87"/>
      <c r="EB88" s="87"/>
      <c r="EC88" s="87"/>
      <c r="ED88" s="87"/>
      <c r="EE88" s="87"/>
      <c r="EF88" s="87"/>
      <c r="EG88" s="87"/>
      <c r="EH88" s="87"/>
      <c r="EI88" s="87"/>
    </row>
    <row r="89" spans="1:139" ht="28.5" x14ac:dyDescent="0.3">
      <c r="A89" s="207" t="s">
        <v>253</v>
      </c>
      <c r="B89" s="208">
        <v>3</v>
      </c>
      <c r="C89" s="209">
        <f>70*0.2</f>
        <v>14</v>
      </c>
      <c r="D89" s="167">
        <f>C89/VLOOKUP(B89,'[2]Gas Prod per PADD'!$A$1:$C$6,2,FALSE)</f>
        <v>3.0434782608695652E-3</v>
      </c>
      <c r="E89" s="210">
        <v>45365</v>
      </c>
      <c r="F89" s="211">
        <v>45372</v>
      </c>
      <c r="G89" s="212" t="s">
        <v>296</v>
      </c>
      <c r="H89" s="213" t="s">
        <v>297</v>
      </c>
      <c r="I89" s="84"/>
      <c r="J89" s="85"/>
      <c r="K89" s="85"/>
      <c r="L89" s="85">
        <f>C89*(E89-F89)/31</f>
        <v>-3.161290322580645</v>
      </c>
      <c r="M89" s="85"/>
      <c r="N89" s="85"/>
      <c r="O89" s="85"/>
      <c r="P89" s="85"/>
      <c r="Q89" s="85"/>
      <c r="R89" s="85"/>
      <c r="S89" s="85"/>
      <c r="T89" s="85"/>
      <c r="U89" s="85"/>
      <c r="V89" s="84"/>
      <c r="W89" s="84"/>
      <c r="X89" s="84" t="str">
        <f t="shared" si="5"/>
        <v>OK</v>
      </c>
      <c r="Y89" s="105"/>
      <c r="Z89" s="105"/>
      <c r="AA89" s="87"/>
      <c r="AB89" s="87"/>
      <c r="AC89" s="87"/>
      <c r="AD89" s="87"/>
      <c r="AE89" s="105"/>
      <c r="AF89" s="105"/>
      <c r="AG89" s="105"/>
      <c r="AH89" s="87"/>
      <c r="AI89" s="87"/>
      <c r="AJ89" s="87"/>
      <c r="AK89" s="105"/>
      <c r="AL89" s="105"/>
      <c r="AM89" s="105"/>
      <c r="AN89" s="87"/>
      <c r="AO89" s="87"/>
      <c r="AP89" s="105"/>
      <c r="AQ89" s="105"/>
      <c r="AR89" s="105">
        <f>(2/5)*-70*0.2</f>
        <v>-5.6000000000000005</v>
      </c>
      <c r="AS89" s="105">
        <f>AR89*-1</f>
        <v>5.6000000000000005</v>
      </c>
      <c r="AT89" s="105"/>
      <c r="AU89" s="87"/>
      <c r="AV89" s="87"/>
      <c r="AW89" s="105"/>
      <c r="AX89" s="87"/>
      <c r="AY89" s="87"/>
      <c r="AZ89" s="87"/>
      <c r="BA89" s="87"/>
      <c r="BB89" s="87"/>
      <c r="BC89" s="87"/>
      <c r="BD89" s="87"/>
      <c r="BE89" s="87"/>
      <c r="BF89" s="87"/>
      <c r="BG89" s="87"/>
      <c r="BH89" s="87"/>
      <c r="BI89" s="87"/>
      <c r="BJ89" s="87"/>
      <c r="BK89" s="87"/>
      <c r="BL89" s="87"/>
      <c r="BM89" s="87"/>
      <c r="BN89" s="87"/>
      <c r="BO89" s="87"/>
      <c r="BP89" s="87"/>
      <c r="BQ89" s="87"/>
      <c r="BR89" s="87"/>
      <c r="BS89" s="87"/>
      <c r="BT89" s="87"/>
      <c r="BU89" s="87"/>
      <c r="BV89" s="87"/>
      <c r="BW89" s="87"/>
      <c r="BX89" s="87"/>
      <c r="BY89" s="87"/>
      <c r="BZ89" s="87"/>
      <c r="CA89" s="87"/>
      <c r="CB89" s="87"/>
      <c r="CC89" s="87"/>
      <c r="CD89" s="87"/>
      <c r="CE89" s="87"/>
      <c r="CF89" s="87"/>
      <c r="CG89" s="87"/>
      <c r="CH89" s="87"/>
      <c r="CI89" s="87"/>
      <c r="CJ89" s="87"/>
      <c r="CK89" s="87"/>
      <c r="CL89" s="87"/>
      <c r="CM89" s="87"/>
      <c r="CN89" s="87"/>
      <c r="CO89" s="87"/>
      <c r="CP89" s="87"/>
      <c r="CQ89" s="87"/>
      <c r="CR89" s="87"/>
      <c r="CS89" s="87"/>
      <c r="CT89" s="87"/>
      <c r="CU89" s="87"/>
      <c r="CV89" s="87"/>
      <c r="CW89" s="87"/>
      <c r="CX89" s="87"/>
      <c r="CY89" s="87"/>
      <c r="CZ89" s="87"/>
      <c r="DA89" s="87"/>
      <c r="DB89" s="87"/>
      <c r="DC89" s="87"/>
      <c r="DD89" s="87"/>
      <c r="DE89" s="87"/>
      <c r="DF89" s="87"/>
      <c r="DG89" s="87"/>
      <c r="DH89" s="87"/>
      <c r="DI89" s="87"/>
      <c r="DJ89" s="87"/>
      <c r="DK89" s="87"/>
      <c r="DL89" s="87"/>
      <c r="DM89" s="87"/>
      <c r="DN89" s="87"/>
      <c r="DO89" s="87"/>
      <c r="DP89" s="87"/>
      <c r="DQ89" s="87"/>
      <c r="DR89" s="87"/>
      <c r="DS89" s="87"/>
      <c r="DT89" s="87"/>
      <c r="DU89" s="87"/>
      <c r="DV89" s="87"/>
      <c r="DW89" s="87"/>
      <c r="DX89" s="87"/>
      <c r="DY89" s="87"/>
      <c r="DZ89" s="87"/>
      <c r="EA89" s="87"/>
      <c r="EB89" s="87"/>
      <c r="EC89" s="87"/>
      <c r="ED89" s="87"/>
      <c r="EE89" s="87"/>
      <c r="EF89" s="87"/>
      <c r="EG89" s="87"/>
      <c r="EH89" s="87"/>
      <c r="EI89" s="87"/>
    </row>
    <row r="90" spans="1:139" ht="16.5" thickBot="1" x14ac:dyDescent="0.35">
      <c r="A90" s="203" t="s">
        <v>298</v>
      </c>
      <c r="B90" s="214">
        <v>4</v>
      </c>
      <c r="C90" s="150">
        <f>0.5*26</f>
        <v>13</v>
      </c>
      <c r="D90" s="79">
        <f>C90/VLOOKUP(B90,'[2]Gas Prod per PADD'!$A$1:$C$6,2,FALSE)</f>
        <v>3.8235294117647062E-2</v>
      </c>
      <c r="E90" s="151">
        <v>45360</v>
      </c>
      <c r="F90" s="152">
        <v>45373</v>
      </c>
      <c r="G90" s="215" t="s">
        <v>299</v>
      </c>
      <c r="H90" s="133" t="s">
        <v>300</v>
      </c>
      <c r="I90" s="84"/>
      <c r="J90" s="85"/>
      <c r="K90" s="85"/>
      <c r="L90" s="85">
        <f>C90*(E90-F90)/31</f>
        <v>-5.4516129032258061</v>
      </c>
      <c r="M90" s="85"/>
      <c r="N90" s="85"/>
      <c r="O90" s="85"/>
      <c r="P90" s="85"/>
      <c r="Q90" s="85"/>
      <c r="R90" s="85"/>
      <c r="S90" s="85"/>
      <c r="T90" s="85"/>
      <c r="U90" s="85"/>
      <c r="V90" s="84"/>
      <c r="W90" s="84"/>
      <c r="X90" s="84" t="str">
        <f t="shared" si="5"/>
        <v>OK</v>
      </c>
      <c r="Y90" s="87"/>
      <c r="Z90" s="87"/>
      <c r="AA90" s="87"/>
      <c r="AB90" s="87"/>
      <c r="AC90" s="87"/>
      <c r="AD90" s="87"/>
      <c r="AE90" s="87"/>
      <c r="AF90" s="87"/>
      <c r="AG90" s="87"/>
      <c r="AH90" s="87"/>
      <c r="AI90" s="87"/>
      <c r="AJ90" s="87"/>
      <c r="AK90" s="87"/>
      <c r="AL90" s="87"/>
      <c r="AM90" s="87"/>
      <c r="AN90" s="87"/>
      <c r="AO90" s="87"/>
      <c r="AP90" s="87"/>
      <c r="AQ90" s="87"/>
      <c r="AR90" s="87">
        <f>C90*(2/-3)</f>
        <v>-8.6666666666666661</v>
      </c>
      <c r="AS90" s="87">
        <f>(-1/3)*C90</f>
        <v>-4.333333333333333</v>
      </c>
      <c r="AT90" s="87">
        <f>AR90*-1</f>
        <v>8.6666666666666661</v>
      </c>
      <c r="AU90" s="87">
        <f>AS90*-1</f>
        <v>4.333333333333333</v>
      </c>
      <c r="AV90" s="87"/>
      <c r="AW90" s="87"/>
      <c r="AX90" s="87"/>
      <c r="AY90" s="87"/>
      <c r="AZ90" s="87"/>
      <c r="BA90" s="87"/>
      <c r="BB90" s="87"/>
      <c r="BC90" s="87"/>
      <c r="BD90" s="87"/>
      <c r="BE90" s="87"/>
      <c r="BF90" s="87"/>
      <c r="BG90" s="87"/>
      <c r="BH90" s="87"/>
      <c r="BI90" s="87"/>
      <c r="BJ90" s="87"/>
      <c r="BK90" s="87"/>
      <c r="BL90" s="87"/>
      <c r="BM90" s="87"/>
      <c r="BN90" s="87"/>
      <c r="BO90" s="87"/>
      <c r="BP90" s="87"/>
      <c r="BQ90" s="87"/>
      <c r="BR90" s="87"/>
      <c r="BS90" s="87"/>
      <c r="BT90" s="87"/>
      <c r="BU90" s="87"/>
      <c r="BV90" s="87"/>
      <c r="BW90" s="87"/>
      <c r="BX90" s="87"/>
      <c r="BY90" s="87"/>
      <c r="BZ90" s="87"/>
      <c r="CA90" s="87"/>
      <c r="CB90" s="87"/>
      <c r="CC90" s="87"/>
      <c r="CD90" s="87"/>
      <c r="CE90" s="87"/>
      <c r="CF90" s="87"/>
      <c r="CG90" s="87"/>
      <c r="CH90" s="87"/>
      <c r="CI90" s="87"/>
      <c r="CJ90" s="87"/>
      <c r="CK90" s="87"/>
      <c r="CL90" s="87"/>
      <c r="CM90" s="87"/>
      <c r="CN90" s="87"/>
      <c r="CO90" s="87"/>
      <c r="CP90" s="87"/>
      <c r="CQ90" s="87"/>
      <c r="CR90" s="87"/>
      <c r="CS90" s="87"/>
      <c r="CT90" s="87"/>
      <c r="CU90" s="87"/>
      <c r="CV90" s="87"/>
      <c r="CW90" s="87"/>
      <c r="CX90" s="87"/>
      <c r="CY90" s="87"/>
      <c r="CZ90" s="87"/>
      <c r="DA90" s="87"/>
      <c r="DB90" s="87"/>
      <c r="DC90" s="87"/>
      <c r="DD90" s="87"/>
      <c r="DE90" s="87"/>
      <c r="DF90" s="87"/>
      <c r="DG90" s="87"/>
      <c r="DH90" s="87"/>
      <c r="DI90" s="87"/>
      <c r="DJ90" s="87"/>
      <c r="DK90" s="87"/>
      <c r="DL90" s="87"/>
      <c r="DM90" s="87"/>
      <c r="DN90" s="87"/>
      <c r="DO90" s="87"/>
      <c r="DP90" s="87"/>
      <c r="DQ90" s="87"/>
      <c r="DR90" s="87"/>
      <c r="DS90" s="87"/>
      <c r="DT90" s="87"/>
      <c r="DU90" s="87"/>
      <c r="DV90" s="87"/>
      <c r="DW90" s="87"/>
      <c r="DX90" s="87"/>
      <c r="DY90" s="87"/>
      <c r="DZ90" s="87"/>
      <c r="EA90" s="87"/>
      <c r="EB90" s="87"/>
      <c r="EC90" s="87"/>
      <c r="ED90" s="87"/>
      <c r="EE90" s="87"/>
      <c r="EF90" s="87"/>
      <c r="EG90" s="87"/>
      <c r="EH90" s="87"/>
      <c r="EI90" s="87"/>
    </row>
    <row r="91" spans="1:139" ht="16.5" thickBot="1" x14ac:dyDescent="0.35">
      <c r="A91" s="159" t="s">
        <v>156</v>
      </c>
      <c r="B91" s="107">
        <v>2</v>
      </c>
      <c r="C91" s="108">
        <f>67.5*0.25</f>
        <v>16.875</v>
      </c>
      <c r="D91" s="91">
        <f>C91/VLOOKUP(B91,'[2]Gas Prod per PADD'!$A$1:$C$6,2,FALSE)</f>
        <v>7.0312500000000002E-3</v>
      </c>
      <c r="E91" s="109">
        <v>45350</v>
      </c>
      <c r="F91" s="110">
        <v>45374</v>
      </c>
      <c r="G91" s="111" t="s">
        <v>301</v>
      </c>
      <c r="H91" s="112" t="s">
        <v>216</v>
      </c>
      <c r="I91" s="84"/>
      <c r="J91" s="85"/>
      <c r="K91" s="85">
        <f>C91*(E91-$K$1)/29</f>
        <v>-0.5818965517241379</v>
      </c>
      <c r="L91" s="85">
        <f>C91*($K$1+1-F91)/31</f>
        <v>-11.975806451612904</v>
      </c>
      <c r="M91" s="85"/>
      <c r="N91" s="85"/>
      <c r="O91" s="85"/>
      <c r="P91" s="85"/>
      <c r="Q91" s="85"/>
      <c r="R91" s="85"/>
      <c r="S91" s="85"/>
      <c r="T91" s="85"/>
      <c r="U91" s="85"/>
      <c r="V91" s="84"/>
      <c r="W91" s="84"/>
      <c r="X91" s="84" t="str">
        <f t="shared" si="5"/>
        <v>OK</v>
      </c>
      <c r="Y91" s="105"/>
      <c r="Z91" s="105"/>
      <c r="AA91" s="87"/>
      <c r="AB91" s="87"/>
      <c r="AC91" s="87"/>
      <c r="AD91" s="87"/>
      <c r="AE91" s="105"/>
      <c r="AF91" s="105"/>
      <c r="AG91" s="105"/>
      <c r="AH91" s="87"/>
      <c r="AI91" s="87"/>
      <c r="AJ91" s="87"/>
      <c r="AK91" s="105"/>
      <c r="AL91" s="105"/>
      <c r="AM91" s="105"/>
      <c r="AN91" s="87"/>
      <c r="AO91" s="87"/>
      <c r="AP91" s="105" t="e">
        <f>(E91-#REF!)/7*C91</f>
        <v>#REF!</v>
      </c>
      <c r="AQ91" s="105" t="e">
        <f>-C91-AP91</f>
        <v>#REF!</v>
      </c>
      <c r="AR91" s="105"/>
      <c r="AS91" s="105"/>
      <c r="AT91" s="105"/>
      <c r="AU91" s="87">
        <f>C91/2</f>
        <v>8.4375</v>
      </c>
      <c r="AV91" s="105">
        <f>AU91</f>
        <v>8.4375</v>
      </c>
      <c r="AW91" s="105"/>
      <c r="AX91" s="87"/>
      <c r="AY91" s="87"/>
      <c r="AZ91" s="87"/>
      <c r="BA91" s="87"/>
      <c r="BB91" s="87"/>
      <c r="BC91" s="87"/>
      <c r="BD91" s="87"/>
      <c r="BE91" s="87"/>
      <c r="BF91" s="87"/>
      <c r="BG91" s="87"/>
      <c r="BH91" s="87"/>
      <c r="BI91" s="87"/>
      <c r="BJ91" s="87"/>
      <c r="BK91" s="87"/>
      <c r="BL91" s="87"/>
      <c r="BM91" s="87"/>
      <c r="BN91" s="87"/>
      <c r="BO91" s="87"/>
      <c r="BP91" s="87"/>
      <c r="BQ91" s="87"/>
      <c r="BR91" s="87"/>
      <c r="BS91" s="87"/>
      <c r="BT91" s="87"/>
      <c r="BU91" s="87"/>
      <c r="BV91" s="87"/>
      <c r="BW91" s="87"/>
      <c r="BX91" s="87"/>
      <c r="BY91" s="87"/>
      <c r="BZ91" s="87"/>
      <c r="CA91" s="87"/>
      <c r="CB91" s="87"/>
      <c r="CC91" s="87"/>
      <c r="CD91" s="87"/>
      <c r="CE91" s="87"/>
      <c r="CF91" s="87"/>
      <c r="CG91" s="87"/>
      <c r="CH91" s="87"/>
      <c r="CI91" s="87"/>
      <c r="CJ91" s="87"/>
      <c r="CK91" s="87"/>
      <c r="CL91" s="87"/>
      <c r="CM91" s="87"/>
      <c r="CN91" s="87"/>
      <c r="CO91" s="87"/>
      <c r="CP91" s="87"/>
      <c r="CQ91" s="87"/>
      <c r="CR91" s="87"/>
      <c r="CS91" s="87"/>
      <c r="CT91" s="87"/>
      <c r="CU91" s="87"/>
      <c r="CV91" s="87"/>
      <c r="CW91" s="87"/>
      <c r="CX91" s="87"/>
      <c r="CY91" s="87"/>
      <c r="CZ91" s="87"/>
      <c r="DA91" s="87"/>
      <c r="DB91" s="87"/>
      <c r="DC91" s="87"/>
      <c r="DD91" s="87"/>
      <c r="DE91" s="87"/>
      <c r="DF91" s="87"/>
      <c r="DG91" s="87"/>
      <c r="DH91" s="87"/>
      <c r="DI91" s="87"/>
      <c r="DJ91" s="87"/>
      <c r="DK91" s="87"/>
      <c r="DL91" s="87"/>
      <c r="DM91" s="87"/>
      <c r="DN91" s="87"/>
      <c r="DO91" s="87"/>
      <c r="DP91" s="87"/>
      <c r="DQ91" s="87"/>
      <c r="DR91" s="87"/>
      <c r="DS91" s="87"/>
      <c r="DT91" s="87"/>
      <c r="DU91" s="87"/>
      <c r="DV91" s="87"/>
      <c r="DW91" s="87"/>
      <c r="DX91" s="87"/>
      <c r="DY91" s="87"/>
      <c r="DZ91" s="87"/>
      <c r="EA91" s="87"/>
      <c r="EB91" s="87"/>
      <c r="EC91" s="87"/>
      <c r="ED91" s="87"/>
      <c r="EE91" s="87"/>
      <c r="EF91" s="87"/>
      <c r="EG91" s="87"/>
      <c r="EH91" s="87"/>
      <c r="EI91" s="87"/>
    </row>
    <row r="92" spans="1:139" ht="16.5" thickBot="1" x14ac:dyDescent="0.35">
      <c r="A92" s="113" t="s">
        <v>302</v>
      </c>
      <c r="B92" s="199">
        <v>3</v>
      </c>
      <c r="C92" s="195"/>
      <c r="D92" s="91">
        <f>C92/VLOOKUP(B92,'[2]Gas Prod per PADD'!$A$1:$C$6,2,FALSE)</f>
        <v>0</v>
      </c>
      <c r="E92" s="196">
        <v>45366</v>
      </c>
      <c r="F92" s="197">
        <v>45374</v>
      </c>
      <c r="G92" s="194" t="s">
        <v>303</v>
      </c>
      <c r="H92" s="198"/>
      <c r="I92" s="84"/>
      <c r="J92" s="85"/>
      <c r="K92" s="85"/>
      <c r="L92" s="85">
        <f>C92*(E92-F92)/31</f>
        <v>0</v>
      </c>
      <c r="M92" s="85"/>
      <c r="N92" s="85"/>
      <c r="O92" s="85"/>
      <c r="P92" s="85"/>
      <c r="Q92" s="85"/>
      <c r="R92" s="85"/>
      <c r="S92" s="85"/>
      <c r="T92" s="85"/>
      <c r="U92" s="85"/>
      <c r="V92" s="84"/>
      <c r="W92" s="84"/>
      <c r="X92" s="84" t="str">
        <f t="shared" si="5"/>
        <v>OK</v>
      </c>
      <c r="Y92" s="87"/>
      <c r="Z92" s="87"/>
      <c r="AA92" s="87"/>
      <c r="AB92" s="87"/>
      <c r="AC92" s="87"/>
      <c r="AD92" s="87"/>
      <c r="AE92" s="87"/>
      <c r="AF92" s="87"/>
      <c r="AG92" s="87"/>
      <c r="AH92" s="87"/>
      <c r="AI92" s="87"/>
      <c r="AJ92" s="87"/>
      <c r="AK92" s="87"/>
      <c r="AL92" s="87"/>
      <c r="AM92" s="87"/>
      <c r="AN92" s="87"/>
      <c r="AO92" s="87"/>
      <c r="AP92" s="87"/>
      <c r="AQ92" s="87"/>
      <c r="AR92" s="87"/>
      <c r="AS92" s="87">
        <v>-4</v>
      </c>
      <c r="AT92" s="87">
        <v>4</v>
      </c>
      <c r="AU92" s="87"/>
      <c r="AV92" s="87"/>
      <c r="AW92" s="87"/>
      <c r="AX92" s="87"/>
      <c r="AY92" s="87"/>
      <c r="AZ92" s="87"/>
      <c r="BA92" s="87"/>
      <c r="BB92" s="87"/>
      <c r="BC92" s="87"/>
      <c r="BD92" s="87"/>
      <c r="BE92" s="87"/>
      <c r="BF92" s="87"/>
      <c r="BG92" s="87"/>
      <c r="BH92" s="87"/>
      <c r="BI92" s="87"/>
      <c r="BJ92" s="87"/>
      <c r="BK92" s="87"/>
      <c r="BL92" s="87"/>
      <c r="BM92" s="87"/>
      <c r="BN92" s="87"/>
      <c r="BO92" s="87"/>
      <c r="BP92" s="87"/>
      <c r="BQ92" s="87"/>
      <c r="BR92" s="87"/>
      <c r="BS92" s="87"/>
      <c r="BT92" s="87"/>
      <c r="BU92" s="87"/>
      <c r="BV92" s="87"/>
      <c r="BW92" s="87"/>
      <c r="BX92" s="87"/>
      <c r="BY92" s="87"/>
      <c r="BZ92" s="87"/>
      <c r="CA92" s="87"/>
      <c r="CB92" s="87"/>
      <c r="CC92" s="87"/>
      <c r="CD92" s="87"/>
      <c r="CE92" s="87"/>
      <c r="CF92" s="87"/>
      <c r="CG92" s="87"/>
      <c r="CH92" s="87"/>
      <c r="CI92" s="87"/>
      <c r="CJ92" s="87"/>
      <c r="CK92" s="87"/>
      <c r="CL92" s="87"/>
      <c r="CM92" s="87"/>
      <c r="CN92" s="87"/>
      <c r="CO92" s="87"/>
      <c r="CP92" s="87"/>
      <c r="CQ92" s="87"/>
      <c r="CR92" s="87"/>
      <c r="CS92" s="87"/>
      <c r="CT92" s="87"/>
      <c r="CU92" s="87"/>
      <c r="CV92" s="87"/>
      <c r="CW92" s="87"/>
      <c r="CX92" s="87"/>
      <c r="CY92" s="87"/>
      <c r="CZ92" s="87"/>
      <c r="DA92" s="87"/>
      <c r="DB92" s="87"/>
      <c r="DC92" s="87"/>
      <c r="DD92" s="87"/>
      <c r="DE92" s="87"/>
      <c r="DF92" s="87"/>
      <c r="DG92" s="87"/>
      <c r="DH92" s="87"/>
      <c r="DI92" s="87"/>
      <c r="DJ92" s="87"/>
      <c r="DK92" s="87"/>
      <c r="DL92" s="87"/>
      <c r="DM92" s="87"/>
      <c r="DN92" s="87"/>
      <c r="DO92" s="87"/>
      <c r="DP92" s="87"/>
      <c r="DQ92" s="87"/>
      <c r="DR92" s="87"/>
      <c r="DS92" s="87"/>
      <c r="DT92" s="87"/>
      <c r="DU92" s="87"/>
      <c r="DV92" s="87"/>
      <c r="DW92" s="87"/>
      <c r="DX92" s="87"/>
      <c r="DY92" s="87"/>
      <c r="DZ92" s="87"/>
      <c r="EA92" s="87"/>
      <c r="EB92" s="87"/>
      <c r="EC92" s="87"/>
      <c r="ED92" s="87"/>
      <c r="EE92" s="87"/>
      <c r="EF92" s="87"/>
      <c r="EG92" s="87"/>
      <c r="EH92" s="87"/>
      <c r="EI92" s="87"/>
    </row>
    <row r="93" spans="1:139" ht="16.5" hidden="1" thickBot="1" x14ac:dyDescent="0.35">
      <c r="A93" s="148" t="s">
        <v>156</v>
      </c>
      <c r="B93" s="149">
        <v>2</v>
      </c>
      <c r="C93" s="150">
        <f>67.5*0.25</f>
        <v>16.875</v>
      </c>
      <c r="D93" s="91">
        <f>C93/VLOOKUP(B93,'[2]Gas Prod per PADD'!$A$1:$C$6,2,FALSE)</f>
        <v>7.0312500000000002E-3</v>
      </c>
      <c r="E93" s="184">
        <v>45448</v>
      </c>
      <c r="F93" s="185">
        <v>45374</v>
      </c>
      <c r="G93" s="186" t="s">
        <v>301</v>
      </c>
      <c r="H93" s="139" t="s">
        <v>216</v>
      </c>
      <c r="I93" s="84"/>
      <c r="J93" s="85"/>
      <c r="K93" s="85"/>
      <c r="L93" s="85">
        <f>C93*($K$1+1-F93)/31</f>
        <v>-11.975806451612904</v>
      </c>
      <c r="M93" s="85"/>
      <c r="N93" s="85"/>
      <c r="O93" s="85"/>
      <c r="P93" s="85"/>
      <c r="Q93" s="85"/>
      <c r="R93" s="85"/>
      <c r="S93" s="85"/>
      <c r="T93" s="85"/>
      <c r="U93" s="85"/>
      <c r="V93" s="84"/>
      <c r="W93" s="84"/>
      <c r="X93" s="84" t="str">
        <f t="shared" si="5"/>
        <v>Missing</v>
      </c>
      <c r="Y93" s="87"/>
      <c r="Z93" s="87"/>
      <c r="AA93" s="87"/>
      <c r="AB93" s="87"/>
      <c r="AC93" s="87"/>
      <c r="AD93" s="87"/>
      <c r="AE93" s="87"/>
      <c r="AF93" s="87"/>
      <c r="AG93" s="87"/>
      <c r="AH93" s="87"/>
      <c r="AI93" s="87"/>
      <c r="AJ93" s="87"/>
      <c r="AK93" s="87"/>
      <c r="AL93" s="87"/>
      <c r="AM93" s="87"/>
      <c r="AN93" s="87"/>
      <c r="AO93" s="87"/>
      <c r="AP93" s="87"/>
      <c r="AQ93" s="87"/>
      <c r="AR93" s="87"/>
      <c r="AS93" s="87"/>
      <c r="AT93" s="87"/>
      <c r="AU93" s="87"/>
      <c r="AV93" s="87"/>
      <c r="AW93" s="87"/>
      <c r="AX93" s="87"/>
      <c r="AY93" s="87"/>
      <c r="AZ93" s="87"/>
      <c r="BA93" s="87"/>
      <c r="BB93" s="87"/>
      <c r="BC93" s="87"/>
      <c r="BD93" s="87"/>
      <c r="BE93" s="87"/>
      <c r="BF93" s="87"/>
      <c r="BG93" s="87"/>
      <c r="BH93" s="87"/>
      <c r="BI93" s="87"/>
      <c r="BJ93" s="87"/>
      <c r="BK93" s="87"/>
      <c r="BL93" s="87"/>
      <c r="BM93" s="87"/>
      <c r="BN93" s="87"/>
      <c r="BO93" s="87"/>
      <c r="BP93" s="87"/>
      <c r="BQ93" s="87"/>
      <c r="BR93" s="87"/>
      <c r="BS93" s="87"/>
      <c r="BT93" s="87"/>
      <c r="BU93" s="87"/>
      <c r="BV93" s="87"/>
      <c r="BW93" s="87"/>
      <c r="BX93" s="87"/>
      <c r="BY93" s="87"/>
      <c r="BZ93" s="87"/>
      <c r="CA93" s="87"/>
      <c r="CB93" s="87"/>
      <c r="CC93" s="87"/>
      <c r="CD93" s="87"/>
      <c r="CE93" s="87"/>
      <c r="CF93" s="87"/>
      <c r="CG93" s="87"/>
      <c r="CH93" s="87"/>
      <c r="CI93" s="87"/>
      <c r="CJ93" s="87"/>
      <c r="CK93" s="87"/>
      <c r="CL93" s="87"/>
      <c r="CM93" s="87"/>
      <c r="CN93" s="87"/>
      <c r="CO93" s="87"/>
      <c r="CP93" s="87"/>
      <c r="CQ93" s="87"/>
      <c r="CR93" s="87"/>
      <c r="CS93" s="87"/>
      <c r="CT93" s="87"/>
      <c r="CU93" s="87"/>
      <c r="CV93" s="87"/>
      <c r="CW93" s="87"/>
      <c r="CX93" s="87"/>
      <c r="CY93" s="87"/>
      <c r="CZ93" s="87"/>
      <c r="DA93" s="87"/>
      <c r="DB93" s="87"/>
      <c r="DC93" s="87"/>
      <c r="DD93" s="87"/>
      <c r="DE93" s="87"/>
      <c r="DF93" s="87"/>
      <c r="DG93" s="87"/>
      <c r="DH93" s="87"/>
      <c r="DI93" s="87"/>
      <c r="DJ93" s="87"/>
      <c r="DK93" s="87"/>
      <c r="DL93" s="87"/>
      <c r="DM93" s="87"/>
      <c r="DN93" s="87"/>
      <c r="DO93" s="87"/>
      <c r="DP93" s="87"/>
      <c r="DQ93" s="87"/>
      <c r="DR93" s="87"/>
      <c r="DS93" s="87"/>
      <c r="DT93" s="87"/>
      <c r="DU93" s="87"/>
      <c r="DV93" s="87"/>
      <c r="DW93" s="87"/>
      <c r="DX93" s="87"/>
      <c r="DY93" s="87"/>
      <c r="DZ93" s="87"/>
      <c r="EA93" s="87"/>
      <c r="EB93" s="87"/>
      <c r="EC93" s="87"/>
      <c r="ED93" s="87"/>
      <c r="EE93" s="87"/>
      <c r="EF93" s="87"/>
      <c r="EG93" s="87"/>
      <c r="EH93" s="87"/>
      <c r="EI93" s="87"/>
    </row>
    <row r="94" spans="1:139" ht="29.25" thickBot="1" x14ac:dyDescent="0.35">
      <c r="A94" s="202" t="s">
        <v>304</v>
      </c>
      <c r="B94" s="182">
        <v>3</v>
      </c>
      <c r="C94" s="183">
        <f>0.3*65</f>
        <v>19.5</v>
      </c>
      <c r="D94" s="91">
        <f>C94/VLOOKUP(B94,'[2]Gas Prod per PADD'!$A$1:$C$6,2,FALSE)</f>
        <v>4.239130434782609E-3</v>
      </c>
      <c r="E94" s="184">
        <v>45367</v>
      </c>
      <c r="F94" s="185">
        <v>45375</v>
      </c>
      <c r="G94" s="186" t="s">
        <v>305</v>
      </c>
      <c r="H94" s="139" t="s">
        <v>216</v>
      </c>
      <c r="I94" s="216"/>
      <c r="J94" s="85"/>
      <c r="K94" s="85"/>
      <c r="L94" s="85">
        <f>C94*(E94-F94)/31</f>
        <v>-5.032258064516129</v>
      </c>
      <c r="M94" s="85"/>
      <c r="N94" s="85"/>
      <c r="O94" s="85"/>
      <c r="P94" s="85"/>
      <c r="Q94" s="85"/>
      <c r="R94" s="85"/>
      <c r="S94" s="85"/>
      <c r="T94" s="85"/>
      <c r="U94" s="85"/>
      <c r="V94" s="84"/>
      <c r="W94" s="84"/>
      <c r="X94" s="84" t="str">
        <f t="shared" si="5"/>
        <v>OK</v>
      </c>
      <c r="Y94" s="105"/>
      <c r="Z94" s="105"/>
      <c r="AA94" s="87"/>
      <c r="AB94" s="87"/>
      <c r="AC94" s="87"/>
      <c r="AD94" s="87"/>
      <c r="AE94" s="105"/>
      <c r="AF94" s="105"/>
      <c r="AG94" s="105"/>
      <c r="AH94" s="105"/>
      <c r="AI94" s="87"/>
      <c r="AJ94" s="87"/>
      <c r="AK94" s="87"/>
      <c r="AL94" s="87"/>
      <c r="AM94" s="87"/>
      <c r="AN94" s="87"/>
      <c r="AO94" s="87"/>
      <c r="AP94" s="87"/>
      <c r="AQ94" s="87"/>
      <c r="AR94" s="87"/>
      <c r="AS94" s="87">
        <f>-0.6*C94</f>
        <v>-11.7</v>
      </c>
      <c r="AT94" s="87"/>
      <c r="AU94" s="87">
        <f>(0.6*$C94)</f>
        <v>11.7</v>
      </c>
      <c r="AV94" s="87"/>
      <c r="AW94" s="87"/>
      <c r="AX94" s="87"/>
      <c r="AY94" s="87"/>
      <c r="AZ94" s="87"/>
      <c r="BA94" s="87"/>
      <c r="BB94" s="87"/>
      <c r="BC94" s="87"/>
      <c r="BD94" s="87"/>
      <c r="BE94" s="87"/>
      <c r="BF94" s="87"/>
      <c r="BG94" s="87"/>
      <c r="BH94" s="87"/>
      <c r="BI94" s="87"/>
      <c r="BJ94" s="87"/>
      <c r="BK94" s="87"/>
      <c r="BL94" s="87"/>
      <c r="BM94" s="87"/>
      <c r="BN94" s="87"/>
      <c r="BO94" s="87"/>
      <c r="BP94" s="87"/>
      <c r="BQ94" s="87"/>
      <c r="BR94" s="87"/>
      <c r="BS94" s="87"/>
      <c r="BT94" s="87"/>
      <c r="BU94" s="87"/>
      <c r="BV94" s="87"/>
      <c r="BW94" s="87"/>
      <c r="BX94" s="87"/>
      <c r="BY94" s="87"/>
      <c r="BZ94" s="87"/>
      <c r="CA94" s="87"/>
      <c r="CB94" s="87"/>
      <c r="CC94" s="87"/>
      <c r="CD94" s="87"/>
      <c r="CE94" s="87"/>
      <c r="CF94" s="87"/>
      <c r="CG94" s="87"/>
      <c r="CH94" s="87"/>
      <c r="CI94" s="87"/>
      <c r="CJ94" s="87"/>
      <c r="CK94" s="87"/>
      <c r="CL94" s="87"/>
      <c r="CM94" s="87"/>
      <c r="CN94" s="87"/>
      <c r="CO94" s="87"/>
      <c r="CP94" s="87"/>
      <c r="CQ94" s="87"/>
      <c r="CR94" s="87"/>
      <c r="CS94" s="87"/>
      <c r="CT94" s="87"/>
      <c r="CU94" s="87"/>
      <c r="CV94" s="87"/>
      <c r="CW94" s="87"/>
      <c r="CX94" s="87"/>
      <c r="CY94" s="87"/>
      <c r="CZ94" s="87"/>
      <c r="DA94" s="87"/>
      <c r="DB94" s="87"/>
      <c r="DC94" s="87"/>
      <c r="DD94" s="87"/>
      <c r="DE94" s="87"/>
      <c r="DF94" s="87"/>
      <c r="DG94" s="87"/>
      <c r="DH94" s="87"/>
      <c r="DI94" s="87"/>
      <c r="DJ94" s="87"/>
      <c r="DK94" s="87"/>
      <c r="DL94" s="87"/>
      <c r="DM94" s="87"/>
      <c r="DN94" s="87"/>
      <c r="DO94" s="87"/>
      <c r="DP94" s="87"/>
      <c r="DQ94" s="87"/>
      <c r="DR94" s="87"/>
      <c r="DS94" s="87"/>
      <c r="DT94" s="87"/>
      <c r="DU94" s="87"/>
      <c r="DV94" s="87"/>
      <c r="DW94" s="87"/>
      <c r="DX94" s="87"/>
      <c r="DY94" s="87"/>
      <c r="DZ94" s="87"/>
      <c r="EA94" s="87"/>
      <c r="EB94" s="87"/>
      <c r="EC94" s="87"/>
      <c r="ED94" s="87"/>
      <c r="EE94" s="87"/>
      <c r="EF94" s="87"/>
      <c r="EG94" s="87"/>
      <c r="EH94" s="87"/>
      <c r="EI94" s="87"/>
    </row>
    <row r="95" spans="1:139" ht="16.5" thickBot="1" x14ac:dyDescent="0.35">
      <c r="A95" s="130" t="s">
        <v>302</v>
      </c>
      <c r="B95" s="114">
        <v>3</v>
      </c>
      <c r="C95" s="115"/>
      <c r="D95" s="91">
        <f>C95/VLOOKUP(B95,'[2]Gas Prod per PADD'!$A$1:$C$6,2,FALSE)</f>
        <v>0</v>
      </c>
      <c r="E95" s="116">
        <v>45352</v>
      </c>
      <c r="F95" s="117">
        <v>45376</v>
      </c>
      <c r="G95" s="118" t="s">
        <v>306</v>
      </c>
      <c r="H95" s="119"/>
      <c r="I95" s="84"/>
      <c r="J95" s="85"/>
      <c r="K95" s="85"/>
      <c r="L95" s="85">
        <f>C95*(E95-F95)/31</f>
        <v>0</v>
      </c>
      <c r="M95" s="85"/>
      <c r="N95" s="85"/>
      <c r="O95" s="85"/>
      <c r="P95" s="85"/>
      <c r="Q95" s="85"/>
      <c r="R95" s="85"/>
      <c r="S95" s="85"/>
      <c r="T95" s="85"/>
      <c r="U95" s="85"/>
      <c r="V95" s="84"/>
      <c r="W95" s="84"/>
      <c r="X95" s="84" t="str">
        <f t="shared" si="5"/>
        <v>OK</v>
      </c>
      <c r="Y95" s="87"/>
      <c r="Z95" s="87"/>
      <c r="AA95" s="87"/>
      <c r="AB95" s="87"/>
      <c r="AC95" s="87"/>
      <c r="AD95" s="87"/>
      <c r="AE95" s="87"/>
      <c r="AF95" s="87"/>
      <c r="AG95" s="87"/>
      <c r="AH95" s="87"/>
      <c r="AI95" s="87"/>
      <c r="AJ95" s="87"/>
      <c r="AK95" s="87"/>
      <c r="AL95" s="87"/>
      <c r="AM95" s="87"/>
      <c r="AN95" s="87"/>
      <c r="AO95" s="87"/>
      <c r="AP95" s="87"/>
      <c r="AQ95" s="87">
        <v>-5.7374999999999998</v>
      </c>
      <c r="AR95" s="87">
        <v>-5.7374999999999998</v>
      </c>
      <c r="AS95" s="87"/>
      <c r="AT95" s="87"/>
      <c r="AU95" s="87"/>
      <c r="AV95" s="87">
        <v>5.7374999999999998</v>
      </c>
      <c r="AW95" s="87">
        <v>5.7374999999999998</v>
      </c>
      <c r="AX95" s="87"/>
      <c r="AY95" s="87"/>
      <c r="AZ95" s="87"/>
      <c r="BA95" s="87"/>
      <c r="BB95" s="87"/>
      <c r="BC95" s="87"/>
      <c r="BD95" s="87"/>
      <c r="BE95" s="87"/>
      <c r="BF95" s="87"/>
      <c r="BG95" s="87"/>
      <c r="BH95" s="87"/>
      <c r="BI95" s="87"/>
      <c r="BJ95" s="87"/>
      <c r="BK95" s="87"/>
      <c r="BL95" s="87"/>
      <c r="BM95" s="87"/>
      <c r="BN95" s="87"/>
      <c r="BO95" s="87"/>
      <c r="BP95" s="87"/>
      <c r="BQ95" s="87"/>
      <c r="BR95" s="87"/>
      <c r="BS95" s="87"/>
      <c r="BT95" s="87"/>
      <c r="BU95" s="87"/>
      <c r="BV95" s="87"/>
      <c r="BW95" s="87"/>
      <c r="BX95" s="87"/>
      <c r="BY95" s="87"/>
      <c r="BZ95" s="87"/>
      <c r="CA95" s="87"/>
      <c r="CB95" s="87"/>
      <c r="CC95" s="87"/>
      <c r="CD95" s="87"/>
      <c r="CE95" s="87"/>
      <c r="CF95" s="87"/>
      <c r="CG95" s="87"/>
      <c r="CH95" s="87"/>
      <c r="CI95" s="87"/>
      <c r="CJ95" s="87"/>
      <c r="CK95" s="87"/>
      <c r="CL95" s="87"/>
      <c r="CM95" s="87"/>
      <c r="CN95" s="87"/>
      <c r="CO95" s="87"/>
      <c r="CP95" s="87"/>
      <c r="CQ95" s="87"/>
      <c r="CR95" s="87"/>
      <c r="CS95" s="87"/>
      <c r="CT95" s="87"/>
      <c r="CU95" s="87"/>
      <c r="CV95" s="87"/>
      <c r="CW95" s="87"/>
      <c r="CX95" s="87"/>
      <c r="CY95" s="87"/>
      <c r="CZ95" s="87"/>
      <c r="DA95" s="87"/>
      <c r="DB95" s="87"/>
      <c r="DC95" s="87"/>
      <c r="DD95" s="87"/>
      <c r="DE95" s="87"/>
      <c r="DF95" s="87"/>
      <c r="DG95" s="87"/>
      <c r="DH95" s="87"/>
      <c r="DI95" s="87"/>
      <c r="DJ95" s="87"/>
      <c r="DK95" s="87"/>
      <c r="DL95" s="87"/>
      <c r="DM95" s="87"/>
      <c r="DN95" s="87"/>
      <c r="DO95" s="87"/>
      <c r="DP95" s="87"/>
      <c r="DQ95" s="87"/>
      <c r="DR95" s="87"/>
      <c r="DS95" s="87"/>
      <c r="DT95" s="87"/>
      <c r="DU95" s="87"/>
      <c r="DV95" s="87"/>
      <c r="DW95" s="87"/>
      <c r="DX95" s="87"/>
      <c r="DY95" s="87"/>
      <c r="DZ95" s="87"/>
      <c r="EA95" s="87"/>
      <c r="EB95" s="87"/>
      <c r="EC95" s="87"/>
      <c r="ED95" s="87"/>
      <c r="EE95" s="87"/>
      <c r="EF95" s="87"/>
      <c r="EG95" s="87"/>
      <c r="EH95" s="87"/>
      <c r="EI95" s="87"/>
    </row>
    <row r="96" spans="1:139" ht="29.25" thickBot="1" x14ac:dyDescent="0.35">
      <c r="A96" s="154" t="s">
        <v>127</v>
      </c>
      <c r="B96" s="107">
        <v>3</v>
      </c>
      <c r="C96" s="108">
        <f>(0.5*80*0.6)+((245-180)*0.1)-0.5</f>
        <v>30</v>
      </c>
      <c r="D96" s="91">
        <f>C96/VLOOKUP(B96,'[2]Gas Prod per PADD'!$A$1:$C$6,2,FALSE)</f>
        <v>6.5217391304347823E-3</v>
      </c>
      <c r="E96" s="116">
        <v>45361</v>
      </c>
      <c r="F96" s="117">
        <v>45376</v>
      </c>
      <c r="G96" s="111" t="s">
        <v>128</v>
      </c>
      <c r="H96" s="112" t="s">
        <v>307</v>
      </c>
      <c r="I96" s="84"/>
      <c r="J96" s="85"/>
      <c r="K96" s="85"/>
      <c r="L96" s="85">
        <f>C96*(E96-F96)/31</f>
        <v>-14.516129032258064</v>
      </c>
      <c r="M96" s="85"/>
      <c r="N96" s="85"/>
      <c r="O96" s="85"/>
      <c r="P96" s="85"/>
      <c r="Q96" s="85"/>
      <c r="R96" s="85"/>
      <c r="S96" s="85"/>
      <c r="T96" s="85"/>
      <c r="U96" s="85"/>
      <c r="V96" s="84"/>
      <c r="W96" s="84"/>
      <c r="X96" s="84" t="str">
        <f t="shared" si="5"/>
        <v>OK</v>
      </c>
      <c r="Y96" s="105"/>
      <c r="Z96" s="105"/>
      <c r="AA96" s="87"/>
      <c r="AB96" s="87"/>
      <c r="AC96" s="87"/>
      <c r="AD96" s="87"/>
      <c r="AE96" s="105"/>
      <c r="AF96" s="105"/>
      <c r="AG96" s="105"/>
      <c r="AH96" s="105"/>
      <c r="AI96" s="87"/>
      <c r="AJ96" s="87"/>
      <c r="AK96" s="105"/>
      <c r="AL96" s="87"/>
      <c r="AM96" s="105"/>
      <c r="AN96" s="105"/>
      <c r="AO96" s="87"/>
      <c r="AP96" s="87"/>
      <c r="AQ96" s="105"/>
      <c r="AR96" s="105">
        <f>(5/7)*C96*-1</f>
        <v>-21.428571428571431</v>
      </c>
      <c r="AS96" s="87">
        <f>(-2/7)*C96</f>
        <v>-8.5714285714285712</v>
      </c>
      <c r="AT96" s="105">
        <f>AR96*-0.5</f>
        <v>10.714285714285715</v>
      </c>
      <c r="AU96" s="105">
        <f>C96-AT96</f>
        <v>19.285714285714285</v>
      </c>
      <c r="AV96" s="87"/>
      <c r="AW96" s="105"/>
      <c r="AX96" s="105"/>
      <c r="AY96" s="87"/>
      <c r="AZ96" s="105"/>
      <c r="BA96" s="105"/>
      <c r="BB96" s="105"/>
      <c r="BC96" s="87"/>
      <c r="BD96" s="87"/>
      <c r="BE96" s="87"/>
      <c r="BF96" s="105"/>
      <c r="BG96" s="105"/>
      <c r="BH96" s="105"/>
      <c r="BI96" s="105"/>
      <c r="BJ96" s="87"/>
      <c r="BK96" s="87"/>
      <c r="BL96" s="87"/>
      <c r="BM96" s="87"/>
      <c r="BN96" s="87"/>
      <c r="BO96" s="87"/>
      <c r="BP96" s="87"/>
      <c r="BQ96" s="87"/>
      <c r="BR96" s="87"/>
      <c r="BS96" s="87"/>
      <c r="BT96" s="87"/>
      <c r="BU96" s="87"/>
      <c r="BV96" s="87"/>
      <c r="BW96" s="87"/>
      <c r="BX96" s="87"/>
      <c r="BY96" s="87"/>
      <c r="BZ96" s="87"/>
      <c r="CA96" s="87"/>
      <c r="CB96" s="87"/>
      <c r="CC96" s="87"/>
      <c r="CD96" s="87"/>
      <c r="CE96" s="87"/>
      <c r="CF96" s="87"/>
      <c r="CG96" s="87"/>
      <c r="CH96" s="87"/>
      <c r="CI96" s="87"/>
      <c r="CJ96" s="87"/>
      <c r="CK96" s="87"/>
      <c r="CL96" s="87"/>
      <c r="CM96" s="87"/>
      <c r="CN96" s="87"/>
      <c r="CO96" s="87"/>
      <c r="CP96" s="87"/>
      <c r="CQ96" s="87"/>
      <c r="CR96" s="87"/>
      <c r="CS96" s="87"/>
      <c r="CT96" s="87"/>
      <c r="CU96" s="87"/>
      <c r="CV96" s="87"/>
      <c r="CW96" s="87"/>
      <c r="CX96" s="87"/>
      <c r="CY96" s="87"/>
      <c r="CZ96" s="87"/>
      <c r="DA96" s="87"/>
      <c r="DB96" s="87"/>
      <c r="DC96" s="87"/>
      <c r="DD96" s="87"/>
      <c r="DE96" s="87"/>
      <c r="DF96" s="87"/>
      <c r="DG96" s="87"/>
      <c r="DH96" s="87"/>
      <c r="DI96" s="87"/>
      <c r="DJ96" s="87"/>
      <c r="DK96" s="87"/>
      <c r="DL96" s="87"/>
      <c r="DM96" s="87"/>
      <c r="DN96" s="87"/>
      <c r="DO96" s="87"/>
      <c r="DP96" s="87"/>
      <c r="DQ96" s="87"/>
      <c r="DR96" s="87"/>
      <c r="DS96" s="87"/>
      <c r="DT96" s="87"/>
      <c r="DU96" s="87"/>
      <c r="DV96" s="87"/>
      <c r="DW96" s="87"/>
      <c r="DX96" s="87"/>
      <c r="DY96" s="87"/>
      <c r="DZ96" s="87"/>
      <c r="EA96" s="87"/>
      <c r="EB96" s="87"/>
      <c r="EC96" s="87"/>
      <c r="ED96" s="87"/>
      <c r="EE96" s="87"/>
      <c r="EF96" s="87"/>
      <c r="EG96" s="87"/>
      <c r="EH96" s="87"/>
      <c r="EI96" s="87"/>
    </row>
    <row r="97" spans="1:139" ht="16.5" thickBot="1" x14ac:dyDescent="0.35">
      <c r="A97" s="113" t="s">
        <v>186</v>
      </c>
      <c r="B97" s="118">
        <v>4</v>
      </c>
      <c r="C97" s="115"/>
      <c r="D97" s="91">
        <f>C97/VLOOKUP(B97,'[2]Gas Prod per PADD'!$A$1:$C$6,2,FALSE)</f>
        <v>0</v>
      </c>
      <c r="E97" s="116">
        <v>45355</v>
      </c>
      <c r="F97" s="117">
        <v>45377</v>
      </c>
      <c r="G97" s="118" t="s">
        <v>308</v>
      </c>
      <c r="H97" s="119"/>
      <c r="I97" s="84"/>
      <c r="J97" s="85"/>
      <c r="K97" s="85"/>
      <c r="L97" s="85">
        <f>C97*(E97-F97)/31</f>
        <v>0</v>
      </c>
      <c r="M97" s="85"/>
      <c r="N97" s="85"/>
      <c r="O97" s="85"/>
      <c r="P97" s="85"/>
      <c r="Q97" s="85"/>
      <c r="R97" s="85"/>
      <c r="S97" s="85"/>
      <c r="T97" s="85"/>
      <c r="U97" s="85"/>
      <c r="V97" s="84"/>
      <c r="W97" s="84"/>
      <c r="X97" s="84" t="str">
        <f t="shared" si="5"/>
        <v>OK</v>
      </c>
      <c r="Y97" s="87"/>
      <c r="Z97" s="87"/>
      <c r="AA97" s="87"/>
      <c r="AB97" s="87"/>
      <c r="AC97" s="87"/>
      <c r="AD97" s="87"/>
      <c r="AE97" s="87"/>
      <c r="AF97" s="87"/>
      <c r="AG97" s="87"/>
      <c r="AH97" s="87"/>
      <c r="AI97" s="87"/>
      <c r="AJ97" s="87"/>
      <c r="AK97" s="87"/>
      <c r="AL97" s="87"/>
      <c r="AM97" s="87"/>
      <c r="AN97" s="87"/>
      <c r="AO97" s="87"/>
      <c r="AP97" s="87"/>
      <c r="AQ97" s="87">
        <v>-6.6857142857142851</v>
      </c>
      <c r="AR97" s="87"/>
      <c r="AS97" s="87"/>
      <c r="AT97" s="87">
        <f>AQ97/-2</f>
        <v>3.3428571428571425</v>
      </c>
      <c r="AU97" s="87">
        <f>AT97</f>
        <v>3.3428571428571425</v>
      </c>
      <c r="AV97" s="87"/>
      <c r="AW97" s="87"/>
      <c r="AX97" s="87"/>
      <c r="AY97" s="87"/>
      <c r="AZ97" s="87"/>
      <c r="BA97" s="87"/>
      <c r="BB97" s="87"/>
      <c r="BC97" s="87"/>
      <c r="BD97" s="87"/>
      <c r="BE97" s="87"/>
      <c r="BF97" s="87"/>
      <c r="BG97" s="87"/>
      <c r="BH97" s="87"/>
      <c r="BI97" s="87"/>
      <c r="BJ97" s="87"/>
      <c r="BK97" s="87"/>
      <c r="BL97" s="87"/>
      <c r="BM97" s="87"/>
      <c r="BN97" s="87"/>
      <c r="BO97" s="87"/>
      <c r="BP97" s="87"/>
      <c r="BQ97" s="87"/>
      <c r="BR97" s="87"/>
      <c r="BS97" s="87"/>
      <c r="BT97" s="87"/>
      <c r="BU97" s="87"/>
      <c r="BV97" s="87"/>
      <c r="BW97" s="87"/>
      <c r="BX97" s="87"/>
      <c r="BY97" s="87"/>
      <c r="BZ97" s="87"/>
      <c r="CA97" s="87"/>
      <c r="CB97" s="87"/>
      <c r="CC97" s="87"/>
      <c r="CD97" s="87"/>
      <c r="CE97" s="87"/>
      <c r="CF97" s="87"/>
      <c r="CG97" s="87"/>
      <c r="CH97" s="87"/>
      <c r="CI97" s="87"/>
      <c r="CJ97" s="87"/>
      <c r="CK97" s="87"/>
      <c r="CL97" s="87"/>
      <c r="CM97" s="87"/>
      <c r="CN97" s="87"/>
      <c r="CO97" s="87"/>
      <c r="CP97" s="87"/>
      <c r="CQ97" s="87"/>
      <c r="CR97" s="87"/>
      <c r="CS97" s="87"/>
      <c r="CT97" s="87"/>
      <c r="CU97" s="87"/>
      <c r="CV97" s="87"/>
      <c r="CW97" s="87"/>
      <c r="CX97" s="87"/>
      <c r="CY97" s="87"/>
      <c r="CZ97" s="87"/>
      <c r="DA97" s="87"/>
      <c r="DB97" s="87"/>
      <c r="DC97" s="87"/>
      <c r="DD97" s="87"/>
      <c r="DE97" s="87"/>
      <c r="DF97" s="87"/>
      <c r="DG97" s="87"/>
      <c r="DH97" s="87"/>
      <c r="DI97" s="87"/>
      <c r="DJ97" s="87"/>
      <c r="DK97" s="87"/>
      <c r="DL97" s="87"/>
      <c r="DM97" s="87"/>
      <c r="DN97" s="87"/>
      <c r="DO97" s="87"/>
      <c r="DP97" s="87"/>
      <c r="DQ97" s="87"/>
      <c r="DR97" s="87"/>
      <c r="DS97" s="87"/>
      <c r="DT97" s="87"/>
      <c r="DU97" s="87"/>
      <c r="DV97" s="87"/>
      <c r="DW97" s="87"/>
      <c r="DX97" s="87"/>
      <c r="DY97" s="87"/>
      <c r="DZ97" s="87"/>
      <c r="EA97" s="87"/>
      <c r="EB97" s="87"/>
      <c r="EC97" s="87"/>
      <c r="ED97" s="87"/>
      <c r="EE97" s="87"/>
      <c r="EF97" s="87"/>
      <c r="EG97" s="87"/>
      <c r="EH97" s="87"/>
      <c r="EI97" s="87"/>
    </row>
    <row r="98" spans="1:139" ht="16.5" thickBot="1" x14ac:dyDescent="0.35">
      <c r="A98" s="140" t="s">
        <v>194</v>
      </c>
      <c r="B98" s="118">
        <v>3</v>
      </c>
      <c r="C98" s="115">
        <f>19*0.85</f>
        <v>16.149999999999999</v>
      </c>
      <c r="D98" s="91">
        <f>C98/VLOOKUP(B98,'[2]Gas Prod per PADD'!$A$1:$C$6,2,FALSE)</f>
        <v>3.5108695652173909E-3</v>
      </c>
      <c r="E98" s="116">
        <v>45376</v>
      </c>
      <c r="F98" s="117">
        <v>45377</v>
      </c>
      <c r="G98" s="118" t="s">
        <v>309</v>
      </c>
      <c r="H98" s="119"/>
      <c r="I98" s="84"/>
      <c r="J98" s="85"/>
      <c r="K98" s="85"/>
      <c r="L98" s="85">
        <f>C98*(E98-F98)/31</f>
        <v>-0.52096774193548379</v>
      </c>
      <c r="M98" s="85"/>
      <c r="N98" s="85"/>
      <c r="O98" s="85"/>
      <c r="P98" s="85"/>
      <c r="Q98" s="85"/>
      <c r="R98" s="85"/>
      <c r="S98" s="85"/>
      <c r="T98" s="85"/>
      <c r="U98" s="85"/>
      <c r="V98" s="84"/>
      <c r="W98" s="84"/>
      <c r="X98" s="84" t="str">
        <f t="shared" si="5"/>
        <v>OK</v>
      </c>
      <c r="Y98" s="87"/>
      <c r="Z98" s="87"/>
      <c r="AA98" s="87"/>
      <c r="AB98" s="87"/>
      <c r="AC98" s="87"/>
      <c r="AD98" s="87"/>
      <c r="AE98" s="87"/>
      <c r="AF98" s="87"/>
      <c r="AG98" s="87"/>
      <c r="AH98" s="87"/>
      <c r="AI98" s="87"/>
      <c r="AJ98" s="87"/>
      <c r="AK98" s="87"/>
      <c r="AL98" s="87"/>
      <c r="AM98" s="87"/>
      <c r="AN98" s="87"/>
      <c r="AO98" s="87"/>
      <c r="AP98" s="87"/>
      <c r="AQ98" s="87"/>
      <c r="AR98" s="87"/>
      <c r="AS98" s="87"/>
      <c r="AT98" s="87">
        <f>(2/7)*C98*-1</f>
        <v>-4.6142857142857139</v>
      </c>
      <c r="AU98" s="87">
        <f>AT98*-1</f>
        <v>4.6142857142857139</v>
      </c>
      <c r="AV98" s="87"/>
      <c r="AW98" s="87"/>
      <c r="AX98" s="87"/>
      <c r="AY98" s="87"/>
      <c r="AZ98" s="87"/>
      <c r="BA98" s="87"/>
      <c r="BB98" s="87"/>
      <c r="BC98" s="87"/>
      <c r="BD98" s="87"/>
      <c r="BE98" s="87"/>
      <c r="BF98" s="87"/>
      <c r="BG98" s="87"/>
      <c r="BH98" s="87"/>
      <c r="BI98" s="87"/>
      <c r="BJ98" s="87"/>
      <c r="BK98" s="87"/>
      <c r="BL98" s="87"/>
      <c r="BM98" s="87"/>
      <c r="BN98" s="87"/>
      <c r="BO98" s="87"/>
      <c r="BP98" s="87"/>
      <c r="BQ98" s="87"/>
      <c r="BR98" s="87"/>
      <c r="BS98" s="87"/>
      <c r="BT98" s="87"/>
      <c r="BU98" s="87"/>
      <c r="BV98" s="87"/>
      <c r="BW98" s="87"/>
      <c r="BX98" s="87"/>
      <c r="BY98" s="87"/>
      <c r="BZ98" s="87"/>
      <c r="CA98" s="87"/>
      <c r="CB98" s="87"/>
      <c r="CC98" s="87"/>
      <c r="CD98" s="87"/>
      <c r="CE98" s="87"/>
      <c r="CF98" s="87"/>
      <c r="CG98" s="87"/>
      <c r="CH98" s="87"/>
      <c r="CI98" s="87"/>
      <c r="CJ98" s="87"/>
      <c r="CK98" s="87"/>
      <c r="CL98" s="87"/>
      <c r="CM98" s="87"/>
      <c r="CN98" s="87"/>
      <c r="CO98" s="87"/>
      <c r="CP98" s="87"/>
      <c r="CQ98" s="87"/>
      <c r="CR98" s="87"/>
      <c r="CS98" s="87"/>
      <c r="CT98" s="87"/>
      <c r="CU98" s="87"/>
      <c r="CV98" s="87"/>
      <c r="CW98" s="87"/>
      <c r="CX98" s="87"/>
      <c r="CY98" s="87"/>
      <c r="CZ98" s="87"/>
      <c r="DA98" s="87"/>
      <c r="DB98" s="87"/>
      <c r="DC98" s="87"/>
      <c r="DD98" s="87"/>
      <c r="DE98" s="87"/>
      <c r="DF98" s="87"/>
      <c r="DG98" s="87"/>
      <c r="DH98" s="87"/>
      <c r="DI98" s="87"/>
      <c r="DJ98" s="87"/>
      <c r="DK98" s="87"/>
      <c r="DL98" s="87"/>
      <c r="DM98" s="87"/>
      <c r="DN98" s="87"/>
      <c r="DO98" s="87"/>
      <c r="DP98" s="87"/>
      <c r="DQ98" s="87"/>
      <c r="DR98" s="87"/>
      <c r="DS98" s="87"/>
      <c r="DT98" s="87"/>
      <c r="DU98" s="87"/>
      <c r="DV98" s="87"/>
      <c r="DW98" s="87"/>
      <c r="DX98" s="87"/>
      <c r="DY98" s="87"/>
      <c r="DZ98" s="87"/>
      <c r="EA98" s="87"/>
      <c r="EB98" s="87"/>
      <c r="EC98" s="87"/>
      <c r="ED98" s="87"/>
      <c r="EE98" s="87"/>
      <c r="EF98" s="87"/>
      <c r="EG98" s="87"/>
      <c r="EH98" s="87"/>
      <c r="EI98" s="87"/>
    </row>
    <row r="99" spans="1:139" ht="29.25" thickBot="1" x14ac:dyDescent="0.35">
      <c r="A99" s="159" t="s">
        <v>310</v>
      </c>
      <c r="B99" s="107">
        <v>4</v>
      </c>
      <c r="C99" s="108">
        <v>30</v>
      </c>
      <c r="D99" s="91">
        <f>C99/VLOOKUP(B99,'[2]Gas Prod per PADD'!$A$1:$C$6,2,FALSE)</f>
        <v>8.8235294117647065E-2</v>
      </c>
      <c r="E99" s="109">
        <v>45334</v>
      </c>
      <c r="F99" s="110">
        <v>45378</v>
      </c>
      <c r="G99" s="111" t="s">
        <v>290</v>
      </c>
      <c r="H99" s="112" t="s">
        <v>300</v>
      </c>
      <c r="I99" s="84" t="s">
        <v>311</v>
      </c>
      <c r="J99" s="85"/>
      <c r="K99" s="85">
        <f>C99*(E99-$K$1)/29</f>
        <v>-17.586206896551722</v>
      </c>
      <c r="L99" s="85">
        <f>C99*($K$1+1-F99)/31</f>
        <v>-25.161290322580644</v>
      </c>
      <c r="M99" s="85"/>
      <c r="N99" s="85"/>
      <c r="O99" s="85"/>
      <c r="P99" s="85"/>
      <c r="Q99" s="85"/>
      <c r="R99" s="85"/>
      <c r="S99" s="85"/>
      <c r="T99" s="85"/>
      <c r="U99" s="85"/>
      <c r="V99" s="84"/>
      <c r="W99" s="84"/>
      <c r="X99" s="84" t="str">
        <f t="shared" si="5"/>
        <v>OK</v>
      </c>
      <c r="Y99" s="105"/>
      <c r="Z99" s="105"/>
      <c r="AA99" s="87"/>
      <c r="AB99" s="87"/>
      <c r="AC99" s="87"/>
      <c r="AD99" s="87"/>
      <c r="AE99" s="105"/>
      <c r="AF99" s="105"/>
      <c r="AG99" s="105"/>
      <c r="AH99" s="105"/>
      <c r="AI99" s="87"/>
      <c r="AJ99" s="87"/>
      <c r="AK99" s="87"/>
      <c r="AL99" s="87"/>
      <c r="AM99" s="87"/>
      <c r="AN99" s="87">
        <v>-15</v>
      </c>
      <c r="AO99" s="87">
        <v>-15</v>
      </c>
      <c r="AP99" s="87"/>
      <c r="AQ99" s="87"/>
      <c r="AR99" s="87"/>
      <c r="AS99" s="87"/>
      <c r="AT99" s="87">
        <f>(AT43-$F99)/7*$C99</f>
        <v>-194477.14285714284</v>
      </c>
      <c r="AU99" s="105">
        <f>$C99-AT99</f>
        <v>194507.14285714284</v>
      </c>
      <c r="AV99" s="87"/>
      <c r="AW99" s="87"/>
      <c r="AX99" s="105"/>
      <c r="AY99" s="87"/>
      <c r="AZ99" s="87"/>
      <c r="BA99" s="87"/>
      <c r="BB99" s="87"/>
      <c r="BC99" s="87"/>
      <c r="BD99" s="87"/>
      <c r="BE99" s="87"/>
      <c r="BF99" s="87"/>
      <c r="BG99" s="87"/>
      <c r="BH99" s="87"/>
      <c r="BI99" s="87"/>
      <c r="BJ99" s="87"/>
      <c r="BK99" s="87"/>
      <c r="BL99" s="87"/>
      <c r="BM99" s="87"/>
      <c r="BN99" s="87"/>
      <c r="BO99" s="87"/>
      <c r="BP99" s="87"/>
      <c r="BQ99" s="87"/>
      <c r="BR99" s="87"/>
      <c r="BS99" s="87"/>
      <c r="BT99" s="87"/>
      <c r="BU99" s="87"/>
      <c r="BV99" s="87"/>
      <c r="BW99" s="87"/>
      <c r="BX99" s="87"/>
      <c r="BY99" s="87"/>
      <c r="BZ99" s="87"/>
      <c r="CA99" s="87"/>
      <c r="CB99" s="87"/>
      <c r="CC99" s="87"/>
      <c r="CD99" s="87"/>
      <c r="CE99" s="87"/>
      <c r="CF99" s="87"/>
      <c r="CG99" s="87"/>
      <c r="CH99" s="87"/>
      <c r="CI99" s="87"/>
      <c r="CJ99" s="87"/>
      <c r="CK99" s="87"/>
      <c r="CL99" s="87"/>
      <c r="CM99" s="87"/>
      <c r="CN99" s="87"/>
      <c r="CO99" s="87"/>
      <c r="CP99" s="87"/>
      <c r="CQ99" s="75"/>
      <c r="CR99" s="87"/>
      <c r="CS99" s="87"/>
      <c r="CT99" s="87"/>
      <c r="CU99" s="87"/>
      <c r="CV99" s="87"/>
      <c r="CW99" s="87"/>
      <c r="CX99" s="87"/>
      <c r="CY99" s="87"/>
      <c r="CZ99" s="87"/>
      <c r="DA99" s="87"/>
      <c r="DB99" s="87"/>
      <c r="DC99" s="87"/>
      <c r="DD99" s="87"/>
      <c r="DE99" s="87"/>
      <c r="DF99" s="87"/>
      <c r="DG99" s="87"/>
      <c r="DH99" s="87"/>
      <c r="DI99" s="87"/>
      <c r="DJ99" s="87"/>
      <c r="DK99" s="87"/>
      <c r="DL99" s="87"/>
      <c r="DM99" s="87"/>
      <c r="DN99" s="87"/>
      <c r="DO99" s="87"/>
      <c r="DP99" s="87"/>
      <c r="DQ99" s="87"/>
      <c r="DR99" s="87"/>
      <c r="DS99" s="87"/>
      <c r="DT99" s="87"/>
      <c r="DU99" s="87"/>
      <c r="DV99" s="87"/>
      <c r="DW99" s="87"/>
      <c r="DX99" s="87"/>
      <c r="DY99" s="87"/>
      <c r="DZ99" s="87"/>
      <c r="EA99" s="87"/>
      <c r="EB99" s="87"/>
      <c r="EC99" s="87"/>
      <c r="ED99" s="87"/>
      <c r="EE99" s="87"/>
      <c r="EF99" s="87"/>
      <c r="EG99" s="87"/>
      <c r="EH99" s="87"/>
      <c r="EI99" s="87"/>
    </row>
    <row r="100" spans="1:139" ht="16.5" thickBot="1" x14ac:dyDescent="0.35">
      <c r="A100" s="140" t="s">
        <v>312</v>
      </c>
      <c r="B100" s="118">
        <v>4</v>
      </c>
      <c r="C100" s="115">
        <f>(0.6*26.4)+(66.5*0.12)</f>
        <v>23.819999999999997</v>
      </c>
      <c r="D100" s="163">
        <f>C100/VLOOKUP(B100,'[2]Gas Prod per PADD'!$A$1:$C$6,2,FALSE)</f>
        <v>7.0058823529411757E-2</v>
      </c>
      <c r="E100" s="116">
        <v>45336</v>
      </c>
      <c r="F100" s="117">
        <v>45378</v>
      </c>
      <c r="G100" s="118" t="s">
        <v>313</v>
      </c>
      <c r="H100" s="119"/>
      <c r="I100" s="84"/>
      <c r="J100" s="85"/>
      <c r="K100" s="85">
        <f>C100*(E100-$K$1)/29</f>
        <v>-12.320689655172412</v>
      </c>
      <c r="L100" s="85">
        <f>C100*($K$1+1-F100)/31</f>
        <v>-19.978064516129031</v>
      </c>
      <c r="M100" s="85"/>
      <c r="N100" s="85"/>
      <c r="O100" s="85"/>
      <c r="P100" s="85"/>
      <c r="Q100" s="85"/>
      <c r="R100" s="85"/>
      <c r="S100" s="85"/>
      <c r="T100" s="85"/>
      <c r="U100" s="85"/>
      <c r="V100" s="84"/>
      <c r="W100" s="84"/>
      <c r="X100" s="84" t="str">
        <f t="shared" si="5"/>
        <v>OK</v>
      </c>
      <c r="Y100" s="87"/>
      <c r="Z100" s="87"/>
      <c r="AA100" s="87"/>
      <c r="AB100" s="87"/>
      <c r="AC100" s="87"/>
      <c r="AD100" s="87"/>
      <c r="AE100" s="87"/>
      <c r="AF100" s="87"/>
      <c r="AG100" s="87"/>
      <c r="AH100" s="87"/>
      <c r="AI100" s="87"/>
      <c r="AJ100" s="87"/>
      <c r="AK100" s="87"/>
      <c r="AL100" s="87"/>
      <c r="AM100" s="87"/>
      <c r="AN100" s="87"/>
      <c r="AO100" s="87"/>
      <c r="AP100" s="87"/>
      <c r="AQ100" s="87"/>
      <c r="AR100" s="87"/>
      <c r="AS100" s="87"/>
      <c r="AT100" s="87">
        <f>0.2*C100</f>
        <v>4.7639999999999993</v>
      </c>
      <c r="AU100" s="87">
        <f>0.7*C100</f>
        <v>16.673999999999996</v>
      </c>
      <c r="AV100" s="87">
        <f>C100-(SUM(AT100:AU100))</f>
        <v>2.3820000000000014</v>
      </c>
      <c r="AW100" s="87"/>
      <c r="AX100" s="87"/>
      <c r="AY100" s="87"/>
      <c r="AZ100" s="87"/>
      <c r="BA100" s="87"/>
      <c r="BB100" s="87"/>
      <c r="BC100" s="87"/>
      <c r="BD100" s="87"/>
      <c r="BE100" s="87"/>
      <c r="BF100" s="87"/>
      <c r="BG100" s="87"/>
      <c r="BH100" s="87"/>
      <c r="BI100" s="87"/>
      <c r="BJ100" s="87"/>
      <c r="BK100" s="87"/>
      <c r="BL100" s="87"/>
      <c r="BM100" s="87"/>
      <c r="BN100" s="87"/>
      <c r="BO100" s="87"/>
      <c r="BP100" s="87"/>
      <c r="BQ100" s="87"/>
      <c r="BR100" s="87"/>
      <c r="BS100" s="87"/>
      <c r="BT100" s="87"/>
      <c r="BU100" s="87"/>
      <c r="BV100" s="87"/>
      <c r="BW100" s="87"/>
      <c r="BX100" s="87"/>
      <c r="BY100" s="87"/>
      <c r="BZ100" s="87"/>
      <c r="CA100" s="87"/>
      <c r="CB100" s="87"/>
      <c r="CC100" s="87"/>
      <c r="CD100" s="87"/>
      <c r="CE100" s="87"/>
      <c r="CF100" s="87"/>
      <c r="CG100" s="87"/>
      <c r="CH100" s="87"/>
      <c r="CI100" s="87"/>
      <c r="CJ100" s="87"/>
      <c r="CK100" s="87"/>
      <c r="CL100" s="87"/>
      <c r="CM100" s="87"/>
      <c r="CN100" s="87"/>
      <c r="CO100" s="87"/>
      <c r="CP100" s="87"/>
      <c r="CQ100" s="87"/>
      <c r="CR100" s="87"/>
      <c r="CS100" s="87"/>
      <c r="CT100" s="87"/>
      <c r="CU100" s="87"/>
      <c r="CV100" s="87"/>
      <c r="CW100" s="87"/>
      <c r="CX100" s="87"/>
      <c r="CY100" s="87"/>
      <c r="CZ100" s="87"/>
      <c r="DA100" s="87"/>
      <c r="DB100" s="87"/>
      <c r="DC100" s="87"/>
      <c r="DD100" s="87"/>
      <c r="DE100" s="87"/>
      <c r="DF100" s="87"/>
      <c r="DG100" s="87"/>
      <c r="DH100" s="87"/>
      <c r="DI100" s="87"/>
      <c r="DJ100" s="87"/>
      <c r="DK100" s="87"/>
      <c r="DL100" s="87"/>
      <c r="DM100" s="87"/>
      <c r="DN100" s="87"/>
      <c r="DO100" s="87"/>
      <c r="DP100" s="87"/>
      <c r="DQ100" s="87"/>
      <c r="DR100" s="87"/>
      <c r="DS100" s="87"/>
      <c r="DT100" s="87"/>
      <c r="DU100" s="87"/>
      <c r="DV100" s="87"/>
      <c r="DW100" s="87"/>
      <c r="DX100" s="87"/>
      <c r="DY100" s="87"/>
      <c r="DZ100" s="87"/>
      <c r="EA100" s="87"/>
      <c r="EB100" s="87"/>
      <c r="EC100" s="87"/>
      <c r="ED100" s="87"/>
      <c r="EE100" s="87"/>
      <c r="EF100" s="87"/>
      <c r="EG100" s="87"/>
      <c r="EH100" s="87"/>
      <c r="EI100" s="87"/>
    </row>
    <row r="101" spans="1:139" ht="29.25" thickBot="1" x14ac:dyDescent="0.35">
      <c r="A101" s="175" t="s">
        <v>314</v>
      </c>
      <c r="B101" s="176">
        <v>2</v>
      </c>
      <c r="C101" s="177">
        <v>35</v>
      </c>
      <c r="D101" s="217">
        <f>C101/VLOOKUP(B101,'[2]Gas Prod per PADD'!$A$1:$C$6,2,FALSE)</f>
        <v>1.4583333333333334E-2</v>
      </c>
      <c r="E101" s="178">
        <v>45343</v>
      </c>
      <c r="F101" s="179">
        <v>45378</v>
      </c>
      <c r="G101" s="180" t="s">
        <v>315</v>
      </c>
      <c r="H101" s="181" t="s">
        <v>316</v>
      </c>
      <c r="I101" s="84"/>
      <c r="J101" s="85"/>
      <c r="K101" s="85">
        <f>C101*(E101-$K$1)/29</f>
        <v>-9.6551724137931032</v>
      </c>
      <c r="L101" s="85">
        <f>C101*($K$1+1-F101)/31</f>
        <v>-29.35483870967742</v>
      </c>
      <c r="M101" s="85"/>
      <c r="N101" s="85"/>
      <c r="O101" s="85"/>
      <c r="P101" s="85"/>
      <c r="Q101" s="85"/>
      <c r="R101" s="85"/>
      <c r="S101" s="85"/>
      <c r="T101" s="85"/>
      <c r="U101" s="85"/>
      <c r="V101" s="84"/>
      <c r="W101" s="84"/>
      <c r="X101" s="84" t="str">
        <f t="shared" si="5"/>
        <v>OK</v>
      </c>
      <c r="Y101" s="105"/>
      <c r="Z101" s="105"/>
      <c r="AA101" s="87"/>
      <c r="AB101" s="87"/>
      <c r="AC101" s="87"/>
      <c r="AD101" s="87"/>
      <c r="AE101" s="105"/>
      <c r="AF101" s="105"/>
      <c r="AG101" s="105"/>
      <c r="AH101" s="105"/>
      <c r="AI101" s="87"/>
      <c r="AJ101" s="87"/>
      <c r="AK101" s="105"/>
      <c r="AL101" s="87"/>
      <c r="AM101" s="105"/>
      <c r="AN101" s="105"/>
      <c r="AO101" s="87"/>
      <c r="AP101" s="87">
        <f>-C101+20</f>
        <v>-15</v>
      </c>
      <c r="AQ101" s="105">
        <f>-C101-AP101</f>
        <v>-20</v>
      </c>
      <c r="AR101" s="105"/>
      <c r="AS101" s="87"/>
      <c r="AT101" s="105">
        <f>(1/7)*$C101</f>
        <v>5</v>
      </c>
      <c r="AU101" s="105">
        <f>(5/7)*$C101</f>
        <v>25</v>
      </c>
      <c r="AV101" s="105">
        <f>(1/7)*$C101</f>
        <v>5</v>
      </c>
      <c r="AW101" s="87"/>
      <c r="AX101" s="105"/>
      <c r="AY101" s="87"/>
      <c r="AZ101" s="87"/>
      <c r="BA101" s="87"/>
      <c r="BB101" s="87"/>
      <c r="BC101" s="87"/>
      <c r="BD101" s="87"/>
      <c r="BE101" s="87"/>
      <c r="BF101" s="87"/>
      <c r="BG101" s="87"/>
      <c r="BH101" s="87"/>
      <c r="BI101" s="87"/>
      <c r="BJ101" s="87"/>
      <c r="BK101" s="87"/>
      <c r="BL101" s="87"/>
      <c r="BM101" s="87"/>
      <c r="BN101" s="87"/>
      <c r="BO101" s="87"/>
      <c r="BP101" s="87"/>
      <c r="BQ101" s="87"/>
      <c r="BR101" s="87"/>
      <c r="BS101" s="87"/>
      <c r="BT101" s="87"/>
      <c r="BU101" s="87"/>
      <c r="BV101" s="87"/>
      <c r="BW101" s="87"/>
      <c r="BX101" s="87"/>
      <c r="BY101" s="87"/>
      <c r="BZ101" s="87"/>
      <c r="CA101" s="87"/>
      <c r="CB101" s="87"/>
      <c r="CC101" s="87"/>
      <c r="CD101" s="87"/>
      <c r="CE101" s="87"/>
      <c r="CF101" s="87"/>
      <c r="CG101" s="87"/>
      <c r="CH101" s="87"/>
      <c r="CI101" s="87"/>
      <c r="CJ101" s="87"/>
      <c r="CK101" s="87"/>
      <c r="CL101" s="87"/>
      <c r="CM101" s="87"/>
      <c r="CN101" s="87"/>
      <c r="CO101" s="87"/>
      <c r="CP101" s="87"/>
      <c r="CQ101" s="87"/>
      <c r="CR101" s="87"/>
      <c r="CS101" s="87"/>
      <c r="CT101" s="87"/>
      <c r="CU101" s="87"/>
      <c r="CV101" s="87"/>
      <c r="CW101" s="87"/>
      <c r="CX101" s="87"/>
      <c r="CY101" s="87"/>
      <c r="CZ101" s="87"/>
      <c r="DA101" s="87"/>
      <c r="DB101" s="87"/>
      <c r="DC101" s="87"/>
      <c r="DD101" s="87"/>
      <c r="DE101" s="87"/>
      <c r="DF101" s="87"/>
      <c r="DG101" s="87"/>
      <c r="DH101" s="87"/>
      <c r="DI101" s="87"/>
      <c r="DJ101" s="87"/>
      <c r="DK101" s="87"/>
      <c r="DL101" s="87"/>
      <c r="DM101" s="87"/>
      <c r="DN101" s="87"/>
      <c r="DO101" s="87"/>
      <c r="DP101" s="87"/>
      <c r="DQ101" s="87"/>
      <c r="DR101" s="87"/>
      <c r="DS101" s="87"/>
      <c r="DT101" s="87"/>
      <c r="DU101" s="87"/>
      <c r="DV101" s="87"/>
      <c r="DW101" s="87"/>
      <c r="DX101" s="87"/>
      <c r="DY101" s="87"/>
      <c r="DZ101" s="87"/>
      <c r="EA101" s="87"/>
      <c r="EB101" s="87"/>
      <c r="EC101" s="87"/>
      <c r="ED101" s="87"/>
      <c r="EE101" s="87"/>
      <c r="EF101" s="87"/>
      <c r="EG101" s="87"/>
      <c r="EH101" s="87"/>
      <c r="EI101" s="87"/>
    </row>
    <row r="102" spans="1:139" ht="16.5" thickBot="1" x14ac:dyDescent="0.35">
      <c r="A102" s="218" t="s">
        <v>317</v>
      </c>
      <c r="B102" s="194">
        <v>1</v>
      </c>
      <c r="C102" s="195"/>
      <c r="D102" s="217">
        <f>C102/VLOOKUP(B102,'[2]Gas Prod per PADD'!$A$1:$C$6,2,FALSE)</f>
        <v>0</v>
      </c>
      <c r="E102" s="196">
        <v>45373</v>
      </c>
      <c r="F102" s="197">
        <v>45378</v>
      </c>
      <c r="G102" s="194" t="s">
        <v>277</v>
      </c>
      <c r="H102" s="198"/>
      <c r="I102" s="84"/>
      <c r="J102" s="85"/>
      <c r="K102" s="85"/>
      <c r="L102" s="85">
        <f>C102*(E102-F102)/31</f>
        <v>0</v>
      </c>
      <c r="M102" s="85"/>
      <c r="N102" s="85"/>
      <c r="O102" s="85"/>
      <c r="P102" s="85"/>
      <c r="Q102" s="85"/>
      <c r="R102" s="85"/>
      <c r="S102" s="85"/>
      <c r="T102" s="85"/>
      <c r="U102" s="85"/>
      <c r="V102" s="84"/>
      <c r="W102" s="84"/>
      <c r="X102" s="84" t="str">
        <f t="shared" si="5"/>
        <v>OK</v>
      </c>
      <c r="Y102" s="87"/>
      <c r="Z102" s="87"/>
      <c r="AA102" s="87"/>
      <c r="AB102" s="87"/>
      <c r="AC102" s="87"/>
      <c r="AD102" s="87"/>
      <c r="AE102" s="87"/>
      <c r="AF102" s="87"/>
      <c r="AG102" s="87"/>
      <c r="AH102" s="87"/>
      <c r="AI102" s="87"/>
      <c r="AJ102" s="87"/>
      <c r="AK102" s="87"/>
      <c r="AL102" s="87"/>
      <c r="AM102" s="87"/>
      <c r="AN102" s="87"/>
      <c r="AO102" s="87"/>
      <c r="AP102" s="87"/>
      <c r="AQ102" s="87"/>
      <c r="AR102" s="87"/>
      <c r="AS102" s="87">
        <f>(5/7)*(0.65*25)*-1</f>
        <v>-11.607142857142858</v>
      </c>
      <c r="AT102" s="87">
        <v>5</v>
      </c>
      <c r="AU102" s="87">
        <f>(AS102+AT102)*-1</f>
        <v>6.6071428571428577</v>
      </c>
      <c r="AV102" s="87"/>
      <c r="AW102" s="87"/>
      <c r="AX102" s="87"/>
      <c r="AY102" s="87"/>
      <c r="AZ102" s="87"/>
      <c r="BA102" s="87"/>
      <c r="BB102" s="87"/>
      <c r="BC102" s="87"/>
      <c r="BD102" s="87"/>
      <c r="BE102" s="87"/>
      <c r="BF102" s="87"/>
      <c r="BG102" s="87"/>
      <c r="BH102" s="87"/>
      <c r="BI102" s="87"/>
      <c r="BJ102" s="87"/>
      <c r="BK102" s="87"/>
      <c r="BL102" s="87"/>
      <c r="BM102" s="87"/>
      <c r="BN102" s="87"/>
      <c r="BO102" s="87"/>
      <c r="BP102" s="87"/>
      <c r="BQ102" s="87"/>
      <c r="BR102" s="87"/>
      <c r="BS102" s="87"/>
      <c r="BT102" s="87"/>
      <c r="BU102" s="87"/>
      <c r="BV102" s="87"/>
      <c r="BW102" s="87"/>
      <c r="BX102" s="87"/>
      <c r="BY102" s="87"/>
      <c r="BZ102" s="87"/>
      <c r="CA102" s="87"/>
      <c r="CB102" s="87"/>
      <c r="CC102" s="87"/>
      <c r="CD102" s="87"/>
      <c r="CE102" s="87"/>
      <c r="CF102" s="87"/>
      <c r="CG102" s="87"/>
      <c r="CH102" s="87"/>
      <c r="CI102" s="87"/>
      <c r="CJ102" s="87"/>
      <c r="CK102" s="87"/>
      <c r="CL102" s="87"/>
      <c r="CM102" s="87"/>
      <c r="CN102" s="87"/>
      <c r="CO102" s="87"/>
      <c r="CP102" s="87"/>
      <c r="CQ102" s="87"/>
      <c r="CR102" s="87"/>
      <c r="CS102" s="87"/>
      <c r="CT102" s="87"/>
      <c r="CU102" s="87"/>
      <c r="CV102" s="87"/>
      <c r="CW102" s="87"/>
      <c r="CX102" s="87"/>
      <c r="CY102" s="87"/>
      <c r="CZ102" s="87"/>
      <c r="DA102" s="87"/>
      <c r="DB102" s="87"/>
      <c r="DC102" s="87"/>
      <c r="DD102" s="87"/>
      <c r="DE102" s="87"/>
      <c r="DF102" s="87"/>
      <c r="DG102" s="87"/>
      <c r="DH102" s="87"/>
      <c r="DI102" s="87"/>
      <c r="DJ102" s="87"/>
      <c r="DK102" s="87"/>
      <c r="DL102" s="87"/>
      <c r="DM102" s="87"/>
      <c r="DN102" s="87"/>
      <c r="DO102" s="87"/>
      <c r="DP102" s="87"/>
      <c r="DQ102" s="87"/>
      <c r="DR102" s="87"/>
      <c r="DS102" s="87"/>
      <c r="DT102" s="87"/>
      <c r="DU102" s="87"/>
      <c r="DV102" s="87"/>
      <c r="DW102" s="87"/>
      <c r="DX102" s="87"/>
      <c r="DY102" s="87"/>
      <c r="DZ102" s="87"/>
      <c r="EA102" s="87"/>
      <c r="EB102" s="87"/>
      <c r="EC102" s="87"/>
      <c r="ED102" s="87"/>
      <c r="EE102" s="87"/>
      <c r="EF102" s="87"/>
      <c r="EG102" s="87"/>
      <c r="EH102" s="87"/>
      <c r="EI102" s="87"/>
    </row>
    <row r="103" spans="1:139" ht="16.5" thickBot="1" x14ac:dyDescent="0.35">
      <c r="A103" s="219" t="s">
        <v>318</v>
      </c>
      <c r="B103" s="194">
        <v>3</v>
      </c>
      <c r="C103" s="195">
        <f>0.85*10</f>
        <v>8.5</v>
      </c>
      <c r="D103" s="217">
        <f>C103/VLOOKUP(B103,'[2]Gas Prod per PADD'!$A$1:$C$6,2,FALSE)</f>
        <v>1.8478260869565217E-3</v>
      </c>
      <c r="E103" s="196">
        <v>45365</v>
      </c>
      <c r="F103" s="197">
        <v>45380</v>
      </c>
      <c r="G103" s="194" t="s">
        <v>319</v>
      </c>
      <c r="H103" s="198"/>
      <c r="I103" s="84"/>
      <c r="J103" s="85"/>
      <c r="K103" s="85"/>
      <c r="L103" s="85">
        <f>C103*(E103-F103)/31</f>
        <v>-4.112903225806452</v>
      </c>
      <c r="M103" s="85"/>
      <c r="N103" s="85"/>
      <c r="O103" s="85"/>
      <c r="P103" s="85"/>
      <c r="Q103" s="85"/>
      <c r="R103" s="85"/>
      <c r="S103" s="85"/>
      <c r="T103" s="85"/>
      <c r="U103" s="85"/>
      <c r="V103" s="84"/>
      <c r="W103" s="84"/>
      <c r="X103" s="84" t="str">
        <f t="shared" si="5"/>
        <v>OK</v>
      </c>
      <c r="Y103" s="87"/>
      <c r="Z103" s="87"/>
      <c r="AA103" s="87"/>
      <c r="AB103" s="87"/>
      <c r="AC103" s="87"/>
      <c r="AD103" s="87"/>
      <c r="AE103" s="87"/>
      <c r="AF103" s="87"/>
      <c r="AG103" s="87"/>
      <c r="AH103" s="87"/>
      <c r="AI103" s="87"/>
      <c r="AJ103" s="87"/>
      <c r="AK103" s="87"/>
      <c r="AL103" s="87"/>
      <c r="AM103" s="87"/>
      <c r="AN103" s="87"/>
      <c r="AO103" s="87"/>
      <c r="AP103" s="87"/>
      <c r="AQ103" s="87"/>
      <c r="AR103" s="87"/>
      <c r="AS103" s="87">
        <f>2/3*C103*-1</f>
        <v>-5.6666666666666661</v>
      </c>
      <c r="AT103" s="87">
        <f>(1/3)*C103*-1</f>
        <v>-2.833333333333333</v>
      </c>
      <c r="AU103" s="87">
        <f>C103</f>
        <v>8.5</v>
      </c>
      <c r="AV103" s="87"/>
      <c r="AW103" s="87"/>
      <c r="AX103" s="87"/>
      <c r="AY103" s="87"/>
      <c r="AZ103" s="87"/>
      <c r="BA103" s="87"/>
      <c r="BB103" s="87"/>
      <c r="BC103" s="87"/>
      <c r="BD103" s="87"/>
      <c r="BE103" s="87"/>
      <c r="BF103" s="87"/>
      <c r="BG103" s="87"/>
      <c r="BH103" s="87"/>
      <c r="BI103" s="87"/>
      <c r="BJ103" s="87"/>
      <c r="BK103" s="87"/>
      <c r="BL103" s="87"/>
      <c r="BM103" s="87"/>
      <c r="BN103" s="87"/>
      <c r="BO103" s="87"/>
      <c r="BP103" s="87"/>
      <c r="BQ103" s="87"/>
      <c r="BR103" s="87"/>
      <c r="BS103" s="87"/>
      <c r="BT103" s="87"/>
      <c r="BU103" s="87"/>
      <c r="BV103" s="87"/>
      <c r="BW103" s="87"/>
      <c r="BX103" s="87"/>
      <c r="BY103" s="87"/>
      <c r="BZ103" s="87"/>
      <c r="CA103" s="87"/>
      <c r="CB103" s="87"/>
      <c r="CC103" s="87"/>
      <c r="CD103" s="87"/>
      <c r="CE103" s="87"/>
      <c r="CF103" s="87"/>
      <c r="CG103" s="87"/>
      <c r="CH103" s="87"/>
      <c r="CI103" s="87"/>
      <c r="CJ103" s="87"/>
      <c r="CK103" s="87"/>
      <c r="CL103" s="87"/>
      <c r="CM103" s="87"/>
      <c r="CN103" s="87"/>
      <c r="CO103" s="87"/>
      <c r="CP103" s="87"/>
      <c r="CQ103" s="87"/>
      <c r="CR103" s="87"/>
      <c r="CS103" s="87"/>
      <c r="CT103" s="87"/>
      <c r="CU103" s="87"/>
      <c r="CV103" s="87"/>
      <c r="CW103" s="87"/>
      <c r="CX103" s="87"/>
      <c r="CY103" s="87"/>
      <c r="CZ103" s="87"/>
      <c r="DA103" s="87"/>
      <c r="DB103" s="87"/>
      <c r="DC103" s="87"/>
      <c r="DD103" s="87"/>
      <c r="DE103" s="87"/>
      <c r="DF103" s="87"/>
      <c r="DG103" s="87"/>
      <c r="DH103" s="87"/>
      <c r="DI103" s="87"/>
      <c r="DJ103" s="87"/>
      <c r="DK103" s="87"/>
      <c r="DL103" s="87"/>
      <c r="DM103" s="87"/>
      <c r="DN103" s="87"/>
      <c r="DO103" s="87"/>
      <c r="DP103" s="87"/>
      <c r="DQ103" s="87"/>
      <c r="DR103" s="87"/>
      <c r="DS103" s="87"/>
      <c r="DT103" s="87"/>
      <c r="DU103" s="87"/>
      <c r="DV103" s="87"/>
      <c r="DW103" s="87"/>
      <c r="DX103" s="87"/>
      <c r="DY103" s="87"/>
      <c r="DZ103" s="87"/>
      <c r="EA103" s="87"/>
      <c r="EB103" s="87"/>
      <c r="EC103" s="87"/>
      <c r="ED103" s="87"/>
      <c r="EE103" s="87"/>
      <c r="EF103" s="87"/>
      <c r="EG103" s="87"/>
      <c r="EH103" s="87"/>
      <c r="EI103" s="87"/>
    </row>
    <row r="104" spans="1:139" ht="16.5" thickBot="1" x14ac:dyDescent="0.35">
      <c r="A104" s="113" t="s">
        <v>320</v>
      </c>
      <c r="B104" s="194">
        <v>3</v>
      </c>
      <c r="C104" s="195"/>
      <c r="D104" s="217">
        <f>C104/VLOOKUP(B104,'[2]Gas Prod per PADD'!$A$1:$C$6,2,FALSE)</f>
        <v>0</v>
      </c>
      <c r="E104" s="196">
        <v>45355</v>
      </c>
      <c r="F104" s="197">
        <v>45381</v>
      </c>
      <c r="G104" s="194" t="s">
        <v>321</v>
      </c>
      <c r="H104" s="198"/>
      <c r="I104" s="84"/>
      <c r="J104" s="85"/>
      <c r="K104" s="85"/>
      <c r="L104" s="85">
        <f>C104*(E104-F104)/31</f>
        <v>0</v>
      </c>
      <c r="M104" s="85"/>
      <c r="N104" s="85"/>
      <c r="O104" s="85"/>
      <c r="P104" s="85"/>
      <c r="Q104" s="85"/>
      <c r="R104" s="85"/>
      <c r="S104" s="85"/>
      <c r="T104" s="85"/>
      <c r="U104" s="85"/>
      <c r="V104" s="84"/>
      <c r="W104" s="84"/>
      <c r="X104" s="84" t="str">
        <f t="shared" si="5"/>
        <v>Missing</v>
      </c>
      <c r="Y104" s="87"/>
      <c r="Z104" s="87"/>
      <c r="AA104" s="87"/>
      <c r="AB104" s="87"/>
      <c r="AC104" s="87"/>
      <c r="AD104" s="87"/>
      <c r="AE104" s="87"/>
      <c r="AF104" s="87"/>
      <c r="AG104" s="87"/>
      <c r="AH104" s="87"/>
      <c r="AI104" s="87"/>
      <c r="AJ104" s="87"/>
      <c r="AK104" s="87"/>
      <c r="AL104" s="87"/>
      <c r="AM104" s="87"/>
      <c r="AN104" s="87"/>
      <c r="AO104" s="87"/>
      <c r="AP104" s="87"/>
      <c r="AQ104" s="87"/>
      <c r="AR104" s="87"/>
      <c r="AS104" s="87"/>
      <c r="AT104" s="87"/>
      <c r="AU104" s="87"/>
      <c r="AV104" s="87"/>
      <c r="AW104" s="87"/>
      <c r="AX104" s="87"/>
      <c r="AY104" s="87"/>
      <c r="AZ104" s="87"/>
      <c r="BA104" s="87"/>
      <c r="BB104" s="87"/>
      <c r="BC104" s="87"/>
      <c r="BD104" s="87"/>
      <c r="BE104" s="87"/>
      <c r="BF104" s="87"/>
      <c r="BG104" s="87"/>
      <c r="BH104" s="87"/>
      <c r="BI104" s="87"/>
      <c r="BJ104" s="87"/>
      <c r="BK104" s="87"/>
      <c r="BL104" s="87"/>
      <c r="BM104" s="87"/>
      <c r="BN104" s="87"/>
      <c r="BO104" s="87"/>
      <c r="BP104" s="87"/>
      <c r="BQ104" s="87"/>
      <c r="BR104" s="87"/>
      <c r="BS104" s="87"/>
      <c r="BT104" s="87"/>
      <c r="BU104" s="87"/>
      <c r="BV104" s="87"/>
      <c r="BW104" s="87"/>
      <c r="BX104" s="87"/>
      <c r="BY104" s="87"/>
      <c r="BZ104" s="87"/>
      <c r="CA104" s="87"/>
      <c r="CB104" s="87"/>
      <c r="CC104" s="87"/>
      <c r="CD104" s="87"/>
      <c r="CE104" s="87"/>
      <c r="CF104" s="87"/>
      <c r="CG104" s="87"/>
      <c r="CH104" s="87"/>
      <c r="CI104" s="87"/>
      <c r="CJ104" s="87"/>
      <c r="CK104" s="87"/>
      <c r="CL104" s="87"/>
      <c r="CM104" s="87"/>
      <c r="CN104" s="87"/>
      <c r="CO104" s="87"/>
      <c r="CP104" s="87"/>
      <c r="CQ104" s="87"/>
      <c r="CR104" s="87"/>
      <c r="CS104" s="87"/>
      <c r="CT104" s="87"/>
      <c r="CU104" s="87"/>
      <c r="CV104" s="87"/>
      <c r="CW104" s="87"/>
      <c r="CX104" s="87"/>
      <c r="CY104" s="87"/>
      <c r="CZ104" s="87"/>
      <c r="DA104" s="87"/>
      <c r="DB104" s="87"/>
      <c r="DC104" s="87"/>
      <c r="DD104" s="87"/>
      <c r="DE104" s="87"/>
      <c r="DF104" s="87"/>
      <c r="DG104" s="87"/>
      <c r="DH104" s="87"/>
      <c r="DI104" s="87"/>
      <c r="DJ104" s="87"/>
      <c r="DK104" s="87"/>
      <c r="DL104" s="87"/>
      <c r="DM104" s="87"/>
      <c r="DN104" s="87"/>
      <c r="DO104" s="87"/>
      <c r="DP104" s="87"/>
      <c r="DQ104" s="87"/>
      <c r="DR104" s="87"/>
      <c r="DS104" s="87"/>
      <c r="DT104" s="87"/>
      <c r="DU104" s="87"/>
      <c r="DV104" s="87"/>
      <c r="DW104" s="87"/>
      <c r="DX104" s="87"/>
      <c r="DY104" s="87"/>
      <c r="DZ104" s="87"/>
      <c r="EA104" s="87"/>
      <c r="EB104" s="87"/>
      <c r="EC104" s="87"/>
      <c r="ED104" s="87"/>
      <c r="EE104" s="87"/>
      <c r="EF104" s="87"/>
      <c r="EG104" s="87"/>
      <c r="EH104" s="87"/>
      <c r="EI104" s="87"/>
    </row>
    <row r="105" spans="1:139" ht="16.5" thickBot="1" x14ac:dyDescent="0.35">
      <c r="A105" s="218" t="s">
        <v>322</v>
      </c>
      <c r="B105" s="194">
        <v>3</v>
      </c>
      <c r="C105" s="195">
        <f>0.2*44</f>
        <v>8.8000000000000007</v>
      </c>
      <c r="D105" s="217">
        <f>C105/VLOOKUP(B105,'[2]Gas Prod per PADD'!$A$1:$C$6,2,FALSE)</f>
        <v>1.9130434782608696E-3</v>
      </c>
      <c r="E105" s="196">
        <v>45368</v>
      </c>
      <c r="F105" s="197">
        <v>45381</v>
      </c>
      <c r="G105" s="194" t="s">
        <v>323</v>
      </c>
      <c r="H105" s="198"/>
      <c r="I105" s="84"/>
      <c r="J105" s="85"/>
      <c r="K105" s="85"/>
      <c r="L105" s="85">
        <f>C105*(E105-F105)/31</f>
        <v>-3.6903225806451614</v>
      </c>
      <c r="M105" s="85"/>
      <c r="N105" s="85"/>
      <c r="O105" s="85"/>
      <c r="P105" s="85"/>
      <c r="Q105" s="85"/>
      <c r="R105" s="85"/>
      <c r="S105" s="85"/>
      <c r="T105" s="85"/>
      <c r="U105" s="85"/>
      <c r="V105" s="84"/>
      <c r="W105" s="84"/>
      <c r="X105" s="84" t="str">
        <f t="shared" si="5"/>
        <v>OK</v>
      </c>
      <c r="Y105" s="87"/>
      <c r="Z105" s="87"/>
      <c r="AA105" s="87"/>
      <c r="AB105" s="87"/>
      <c r="AC105" s="87"/>
      <c r="AD105" s="87"/>
      <c r="AE105" s="87"/>
      <c r="AF105" s="87"/>
      <c r="AG105" s="87"/>
      <c r="AH105" s="87"/>
      <c r="AI105" s="87"/>
      <c r="AJ105" s="87"/>
      <c r="AK105" s="87"/>
      <c r="AL105" s="87"/>
      <c r="AM105" s="87"/>
      <c r="AN105" s="87"/>
      <c r="AO105" s="87"/>
      <c r="AP105" s="87"/>
      <c r="AQ105" s="87"/>
      <c r="AR105" s="87"/>
      <c r="AS105" s="87">
        <f>(6/7)*-1*C105</f>
        <v>-7.5428571428571427</v>
      </c>
      <c r="AT105" s="87">
        <f>-8.8-AS105</f>
        <v>-1.257142857142858</v>
      </c>
      <c r="AU105" s="87">
        <f>C105</f>
        <v>8.8000000000000007</v>
      </c>
      <c r="AV105" s="87"/>
      <c r="AW105" s="87"/>
      <c r="AX105" s="87"/>
      <c r="AY105" s="87"/>
      <c r="AZ105" s="87"/>
      <c r="BA105" s="87"/>
      <c r="BB105" s="87"/>
      <c r="BC105" s="87"/>
      <c r="BD105" s="87"/>
      <c r="BE105" s="87"/>
      <c r="BF105" s="87"/>
      <c r="BG105" s="87"/>
      <c r="BH105" s="87"/>
      <c r="BI105" s="87"/>
      <c r="BJ105" s="87"/>
      <c r="BK105" s="87"/>
      <c r="BL105" s="87"/>
      <c r="BM105" s="87"/>
      <c r="BN105" s="87"/>
      <c r="BO105" s="87"/>
      <c r="BP105" s="87"/>
      <c r="BQ105" s="87"/>
      <c r="BR105" s="87"/>
      <c r="BS105" s="87"/>
      <c r="BT105" s="87"/>
      <c r="BU105" s="87"/>
      <c r="BV105" s="87"/>
      <c r="BW105" s="87"/>
      <c r="BX105" s="87"/>
      <c r="BY105" s="87"/>
      <c r="BZ105" s="87"/>
      <c r="CA105" s="87"/>
      <c r="CB105" s="87"/>
      <c r="CC105" s="87"/>
      <c r="CD105" s="87"/>
      <c r="CE105" s="87"/>
      <c r="CF105" s="87"/>
      <c r="CG105" s="87"/>
      <c r="CH105" s="87"/>
      <c r="CI105" s="87"/>
      <c r="CJ105" s="87"/>
      <c r="CK105" s="87"/>
      <c r="CL105" s="87"/>
      <c r="CM105" s="87"/>
      <c r="CN105" s="87"/>
      <c r="CO105" s="87"/>
      <c r="CP105" s="87"/>
      <c r="CQ105" s="87"/>
      <c r="CR105" s="87"/>
      <c r="CS105" s="87"/>
      <c r="CT105" s="87"/>
      <c r="CU105" s="87"/>
      <c r="CV105" s="87"/>
      <c r="CW105" s="87"/>
      <c r="CX105" s="87"/>
      <c r="CY105" s="87"/>
      <c r="CZ105" s="87"/>
      <c r="DA105" s="87"/>
      <c r="DB105" s="87"/>
      <c r="DC105" s="87"/>
      <c r="DD105" s="87"/>
      <c r="DE105" s="87"/>
      <c r="DF105" s="87"/>
      <c r="DG105" s="87"/>
      <c r="DH105" s="87"/>
      <c r="DI105" s="87"/>
      <c r="DJ105" s="87"/>
      <c r="DK105" s="87"/>
      <c r="DL105" s="87"/>
      <c r="DM105" s="87"/>
      <c r="DN105" s="87"/>
      <c r="DO105" s="87"/>
      <c r="DP105" s="87"/>
      <c r="DQ105" s="87"/>
      <c r="DR105" s="87"/>
      <c r="DS105" s="87"/>
      <c r="DT105" s="87"/>
      <c r="DU105" s="87"/>
      <c r="DV105" s="87"/>
      <c r="DW105" s="87"/>
      <c r="DX105" s="87"/>
      <c r="DY105" s="87"/>
      <c r="DZ105" s="87"/>
      <c r="EA105" s="87"/>
      <c r="EB105" s="87"/>
      <c r="EC105" s="87"/>
      <c r="ED105" s="87"/>
      <c r="EE105" s="87"/>
      <c r="EF105" s="87"/>
      <c r="EG105" s="87"/>
      <c r="EH105" s="87"/>
      <c r="EI105" s="87"/>
    </row>
    <row r="106" spans="1:139" ht="16.5" thickBot="1" x14ac:dyDescent="0.35">
      <c r="A106" s="175" t="s">
        <v>324</v>
      </c>
      <c r="B106" s="176">
        <v>5</v>
      </c>
      <c r="C106" s="205">
        <f>50*0.65+20*0.85+0.5</f>
        <v>50</v>
      </c>
      <c r="D106" s="217">
        <f>C106/VLOOKUP(B106,'[2]Gas Prod per PADD'!$A$1:$C$6,2,FALSE)</f>
        <v>3.7037037037037035E-2</v>
      </c>
      <c r="E106" s="220">
        <v>45332</v>
      </c>
      <c r="F106" s="179">
        <v>45382</v>
      </c>
      <c r="G106" s="180" t="s">
        <v>325</v>
      </c>
      <c r="H106" s="181" t="s">
        <v>300</v>
      </c>
      <c r="I106" s="84"/>
      <c r="J106" s="85"/>
      <c r="K106" s="85">
        <f>C106*(E106-$K$1)/29</f>
        <v>-32.758620689655174</v>
      </c>
      <c r="L106" s="85">
        <f>C106*($K$1+1-F106)/31</f>
        <v>-48.387096774193552</v>
      </c>
      <c r="M106" s="85"/>
      <c r="N106" s="85"/>
      <c r="O106" s="85"/>
      <c r="P106" s="85"/>
      <c r="Q106" s="85"/>
      <c r="R106" s="85"/>
      <c r="S106" s="85"/>
      <c r="T106" s="85"/>
      <c r="U106" s="85"/>
      <c r="V106" s="84"/>
      <c r="W106" s="84"/>
      <c r="X106" s="84" t="str">
        <f t="shared" si="5"/>
        <v>OK</v>
      </c>
      <c r="Y106" s="105"/>
      <c r="Z106" s="105"/>
      <c r="AA106" s="87"/>
      <c r="AB106" s="87"/>
      <c r="AC106" s="87"/>
      <c r="AD106" s="87"/>
      <c r="AE106" s="105"/>
      <c r="AF106" s="105"/>
      <c r="AG106" s="105"/>
      <c r="AH106" s="105"/>
      <c r="AI106" s="87"/>
      <c r="AJ106" s="87"/>
      <c r="AK106" s="87"/>
      <c r="AL106" s="87"/>
      <c r="AM106" s="87"/>
      <c r="AN106" s="87">
        <f>-C106/2</f>
        <v>-25</v>
      </c>
      <c r="AO106" s="87">
        <f>-C106-AN106</f>
        <v>-25</v>
      </c>
      <c r="AP106" s="87"/>
      <c r="AQ106" s="87"/>
      <c r="AR106" s="87"/>
      <c r="AS106" s="87"/>
      <c r="AT106" s="87"/>
      <c r="AU106" s="87">
        <f>-AN106*2/3</f>
        <v>16.666666666666668</v>
      </c>
      <c r="AV106" s="87">
        <f>(C106-AU106)-10</f>
        <v>23.333333333333329</v>
      </c>
      <c r="AW106" s="87">
        <f>C106-AU106-AV106</f>
        <v>10</v>
      </c>
      <c r="AX106" s="87"/>
      <c r="AY106" s="87"/>
      <c r="AZ106" s="87"/>
      <c r="BA106" s="87"/>
      <c r="BB106" s="87"/>
      <c r="BC106" s="87"/>
      <c r="BD106" s="87"/>
      <c r="BE106" s="87"/>
      <c r="BF106" s="87"/>
      <c r="BG106" s="87"/>
      <c r="BH106" s="87"/>
      <c r="BI106" s="87"/>
      <c r="BJ106" s="87"/>
      <c r="BK106" s="87"/>
      <c r="BL106" s="87"/>
      <c r="BM106" s="87"/>
      <c r="BN106" s="87"/>
      <c r="BO106" s="87"/>
      <c r="BP106" s="87"/>
      <c r="BQ106" s="87"/>
      <c r="BR106" s="87"/>
      <c r="BS106" s="87"/>
      <c r="BT106" s="87"/>
      <c r="BU106" s="87"/>
      <c r="BV106" s="87"/>
      <c r="BW106" s="87"/>
      <c r="BX106" s="87"/>
      <c r="BY106" s="87"/>
      <c r="BZ106" s="87"/>
      <c r="CA106" s="87"/>
      <c r="CB106" s="87"/>
      <c r="CC106" s="87"/>
      <c r="CD106" s="87"/>
      <c r="CE106" s="87"/>
      <c r="CF106" s="87"/>
      <c r="CG106" s="87"/>
      <c r="CH106" s="87"/>
      <c r="CI106" s="87"/>
      <c r="CJ106" s="87"/>
      <c r="CK106" s="87"/>
      <c r="CL106" s="87"/>
      <c r="CM106" s="87"/>
      <c r="CN106" s="87"/>
      <c r="CO106" s="87"/>
      <c r="CP106" s="87"/>
      <c r="CQ106" s="87"/>
      <c r="CR106" s="87"/>
      <c r="CS106" s="87"/>
      <c r="CT106" s="87"/>
      <c r="CU106" s="87"/>
      <c r="CV106" s="87"/>
      <c r="CW106" s="87"/>
      <c r="CX106" s="87"/>
      <c r="CY106" s="87"/>
      <c r="CZ106" s="87"/>
      <c r="DA106" s="87"/>
      <c r="DB106" s="87"/>
      <c r="DC106" s="87"/>
      <c r="DD106" s="87"/>
      <c r="DE106" s="87"/>
      <c r="DF106" s="87"/>
      <c r="DG106" s="87"/>
      <c r="DH106" s="87"/>
      <c r="DI106" s="87"/>
      <c r="DJ106" s="87"/>
      <c r="DK106" s="87"/>
      <c r="DL106" s="87"/>
      <c r="DM106" s="87"/>
      <c r="DN106" s="87"/>
      <c r="DO106" s="87"/>
      <c r="DP106" s="87"/>
      <c r="DQ106" s="87"/>
      <c r="DR106" s="87"/>
      <c r="DS106" s="87"/>
      <c r="DT106" s="87"/>
      <c r="DU106" s="87"/>
      <c r="DV106" s="87"/>
      <c r="DW106" s="87"/>
      <c r="DX106" s="87"/>
      <c r="DY106" s="87"/>
      <c r="DZ106" s="87"/>
      <c r="EA106" s="87"/>
      <c r="EB106" s="87"/>
      <c r="EC106" s="87"/>
      <c r="ED106" s="87"/>
      <c r="EE106" s="87"/>
      <c r="EF106" s="87"/>
      <c r="EG106" s="75">
        <v>46017</v>
      </c>
      <c r="EH106" s="75">
        <v>46024</v>
      </c>
      <c r="EI106" s="75">
        <v>46031</v>
      </c>
    </row>
    <row r="107" spans="1:139" ht="16.5" thickBot="1" x14ac:dyDescent="0.35">
      <c r="A107" s="190" t="s">
        <v>162</v>
      </c>
      <c r="B107" s="176">
        <v>3</v>
      </c>
      <c r="C107" s="177">
        <f>50*0.65-2.5</f>
        <v>30</v>
      </c>
      <c r="D107" s="217">
        <f>C107/VLOOKUP(B107,'[2]Gas Prod per PADD'!$A$1:$C$6,2,FALSE)</f>
        <v>6.5217391304347823E-3</v>
      </c>
      <c r="E107" s="178">
        <v>45352</v>
      </c>
      <c r="F107" s="179">
        <f>E107+30</f>
        <v>45382</v>
      </c>
      <c r="G107" s="180" t="s">
        <v>221</v>
      </c>
      <c r="H107" s="181" t="s">
        <v>326</v>
      </c>
      <c r="I107" s="216"/>
      <c r="J107" s="85"/>
      <c r="K107" s="85"/>
      <c r="L107" s="85">
        <f>C107*(E107-F107)/31</f>
        <v>-29.032258064516128</v>
      </c>
      <c r="M107" s="85"/>
      <c r="N107" s="85"/>
      <c r="O107" s="85"/>
      <c r="P107" s="85"/>
      <c r="Q107" s="85"/>
      <c r="R107" s="85"/>
      <c r="S107" s="85"/>
      <c r="T107" s="85"/>
      <c r="U107" s="85"/>
      <c r="V107" s="84"/>
      <c r="W107" s="84"/>
      <c r="X107" s="84" t="str">
        <f t="shared" si="5"/>
        <v>Missing</v>
      </c>
      <c r="Y107" s="105"/>
      <c r="Z107" s="105"/>
      <c r="AA107" s="87"/>
      <c r="AB107" s="87"/>
      <c r="AC107" s="87"/>
      <c r="AD107" s="87"/>
      <c r="AE107" s="105"/>
      <c r="AF107" s="105"/>
      <c r="AG107" s="105"/>
      <c r="AH107" s="105"/>
      <c r="AI107" s="87"/>
      <c r="AJ107" s="87"/>
      <c r="AK107" s="105"/>
      <c r="AL107" s="87"/>
      <c r="AM107" s="87"/>
      <c r="AN107" s="87"/>
      <c r="AO107" s="87"/>
      <c r="AP107" s="87"/>
      <c r="AQ107" s="105"/>
      <c r="AR107" s="105"/>
      <c r="AS107" s="87"/>
      <c r="AT107" s="105"/>
      <c r="AU107" s="87"/>
      <c r="AV107" s="87"/>
      <c r="AW107" s="87"/>
      <c r="AX107" s="87"/>
      <c r="AY107" s="87"/>
      <c r="AZ107" s="87"/>
      <c r="BA107" s="87"/>
      <c r="BB107" s="87"/>
      <c r="BC107" s="87"/>
      <c r="BD107" s="87"/>
      <c r="BE107" s="87"/>
      <c r="BF107" s="87"/>
      <c r="BG107" s="87"/>
      <c r="BH107" s="87"/>
      <c r="BI107" s="87"/>
      <c r="BJ107" s="87"/>
      <c r="BK107" s="87"/>
      <c r="BL107" s="87"/>
      <c r="BM107" s="87"/>
      <c r="BN107" s="87"/>
      <c r="BO107" s="87"/>
      <c r="BP107" s="87"/>
      <c r="BQ107" s="87"/>
      <c r="BR107" s="87"/>
      <c r="BS107" s="87"/>
      <c r="BT107" s="87"/>
      <c r="BU107" s="87"/>
      <c r="BV107" s="87"/>
      <c r="BW107" s="87"/>
      <c r="BX107" s="87"/>
      <c r="BY107" s="87"/>
      <c r="BZ107" s="87"/>
      <c r="CA107" s="87"/>
      <c r="CB107" s="87"/>
      <c r="CC107" s="87"/>
      <c r="CD107" s="87"/>
      <c r="CE107" s="87"/>
      <c r="CF107" s="87"/>
      <c r="CG107" s="87"/>
      <c r="CH107" s="87"/>
      <c r="CI107" s="87"/>
      <c r="CJ107" s="87"/>
      <c r="CK107" s="87"/>
      <c r="CL107" s="87"/>
      <c r="CM107" s="87"/>
      <c r="CN107" s="87"/>
      <c r="CO107" s="87"/>
      <c r="CP107" s="87"/>
      <c r="CQ107" s="87"/>
      <c r="CR107" s="87"/>
      <c r="CS107" s="87"/>
      <c r="CT107" s="87"/>
      <c r="CU107" s="87"/>
      <c r="CV107" s="87"/>
      <c r="CW107" s="87"/>
      <c r="CX107" s="87"/>
      <c r="CY107" s="87"/>
      <c r="CZ107" s="87"/>
      <c r="DA107" s="87"/>
      <c r="DB107" s="87"/>
      <c r="DC107" s="87"/>
      <c r="DD107" s="87"/>
      <c r="DE107" s="87"/>
      <c r="DF107" s="87"/>
      <c r="DG107" s="87"/>
      <c r="DH107" s="87"/>
      <c r="DI107" s="87"/>
      <c r="DJ107" s="87"/>
      <c r="DK107" s="87"/>
      <c r="DL107" s="87"/>
      <c r="DM107" s="87"/>
      <c r="DN107" s="87"/>
      <c r="DO107" s="87"/>
      <c r="DP107" s="87"/>
      <c r="DQ107" s="87"/>
      <c r="DR107" s="87"/>
      <c r="DS107" s="87"/>
      <c r="DT107" s="87"/>
      <c r="DU107" s="87"/>
      <c r="DV107" s="87"/>
      <c r="DW107" s="87"/>
      <c r="DX107" s="87"/>
      <c r="DY107" s="87"/>
      <c r="DZ107" s="87"/>
      <c r="EA107" s="87"/>
      <c r="EB107" s="87"/>
      <c r="EC107" s="87"/>
      <c r="ED107" s="87"/>
      <c r="EE107" s="87"/>
      <c r="EF107" s="87"/>
      <c r="EG107" s="87"/>
      <c r="EH107" s="87"/>
      <c r="EI107" s="87"/>
    </row>
    <row r="108" spans="1:139" ht="16.5" thickBot="1" x14ac:dyDescent="0.35">
      <c r="A108" s="175" t="s">
        <v>156</v>
      </c>
      <c r="B108" s="199">
        <v>2</v>
      </c>
      <c r="C108" s="195"/>
      <c r="D108" s="217">
        <f>C108/VLOOKUP(B108,'[2]Gas Prod per PADD'!$A$1:$C$6,2,FALSE)</f>
        <v>0</v>
      </c>
      <c r="E108" s="196">
        <v>45355</v>
      </c>
      <c r="F108" s="197">
        <v>45382</v>
      </c>
      <c r="G108" s="194" t="s">
        <v>327</v>
      </c>
      <c r="H108" s="198"/>
      <c r="I108" s="84"/>
      <c r="J108" s="85"/>
      <c r="K108" s="85"/>
      <c r="L108" s="85">
        <f>C108*(E108-F108)/31</f>
        <v>0</v>
      </c>
      <c r="M108" s="85"/>
      <c r="N108" s="85"/>
      <c r="O108" s="85"/>
      <c r="P108" s="85"/>
      <c r="Q108" s="85"/>
      <c r="R108" s="85"/>
      <c r="S108" s="85"/>
      <c r="T108" s="85"/>
      <c r="U108" s="85"/>
      <c r="V108" s="84"/>
      <c r="W108" s="84"/>
      <c r="X108" s="84" t="str">
        <f t="shared" si="5"/>
        <v>OK</v>
      </c>
      <c r="Y108" s="87"/>
      <c r="Z108" s="87"/>
      <c r="AA108" s="87"/>
      <c r="AB108" s="87"/>
      <c r="AC108" s="87"/>
      <c r="AD108" s="87"/>
      <c r="AE108" s="87"/>
      <c r="AF108" s="87"/>
      <c r="AG108" s="87"/>
      <c r="AH108" s="87"/>
      <c r="AI108" s="87"/>
      <c r="AJ108" s="87"/>
      <c r="AK108" s="87"/>
      <c r="AL108" s="87"/>
      <c r="AM108" s="87"/>
      <c r="AN108" s="87"/>
      <c r="AO108" s="87"/>
      <c r="AP108" s="87"/>
      <c r="AQ108" s="87">
        <v>-2.6100000000000003</v>
      </c>
      <c r="AR108" s="87"/>
      <c r="AS108" s="87"/>
      <c r="AT108" s="87"/>
      <c r="AU108" s="87">
        <v>2.6100000000000003</v>
      </c>
      <c r="AV108" s="87"/>
      <c r="AW108" s="87"/>
      <c r="AX108" s="87"/>
      <c r="AY108" s="87"/>
      <c r="AZ108" s="87"/>
      <c r="BA108" s="87"/>
      <c r="BB108" s="87"/>
      <c r="BC108" s="87"/>
      <c r="BD108" s="87"/>
      <c r="BE108" s="87"/>
      <c r="BF108" s="87"/>
      <c r="BG108" s="87"/>
      <c r="BH108" s="87"/>
      <c r="BI108" s="87"/>
      <c r="BJ108" s="87"/>
      <c r="BK108" s="87"/>
      <c r="BL108" s="87"/>
      <c r="BM108" s="87"/>
      <c r="BN108" s="87"/>
      <c r="BO108" s="87"/>
      <c r="BP108" s="87"/>
      <c r="BQ108" s="87"/>
      <c r="BR108" s="87"/>
      <c r="BS108" s="87"/>
      <c r="BT108" s="87"/>
      <c r="BU108" s="87"/>
      <c r="BV108" s="87"/>
      <c r="BW108" s="87"/>
      <c r="BX108" s="87"/>
      <c r="BY108" s="87"/>
      <c r="BZ108" s="87"/>
      <c r="CA108" s="87"/>
      <c r="CB108" s="87"/>
      <c r="CC108" s="87"/>
      <c r="CD108" s="87"/>
      <c r="CE108" s="87"/>
      <c r="CF108" s="87"/>
      <c r="CG108" s="87"/>
      <c r="CH108" s="87"/>
      <c r="CI108" s="87"/>
      <c r="CJ108" s="87"/>
      <c r="CK108" s="87"/>
      <c r="CL108" s="87"/>
      <c r="CM108" s="87"/>
      <c r="CN108" s="87"/>
      <c r="CO108" s="87"/>
      <c r="CP108" s="87"/>
      <c r="CQ108" s="87"/>
      <c r="CR108" s="87"/>
      <c r="CS108" s="87"/>
      <c r="CT108" s="87"/>
      <c r="CU108" s="87"/>
      <c r="CV108" s="87"/>
      <c r="CW108" s="87"/>
      <c r="CX108" s="87"/>
      <c r="CY108" s="87"/>
      <c r="CZ108" s="87"/>
      <c r="DA108" s="87"/>
      <c r="DB108" s="87"/>
      <c r="DC108" s="87"/>
      <c r="DD108" s="87"/>
      <c r="DE108" s="87"/>
      <c r="DF108" s="87"/>
      <c r="DG108" s="87"/>
      <c r="DH108" s="87"/>
      <c r="DI108" s="87"/>
      <c r="DJ108" s="87"/>
      <c r="DK108" s="87"/>
      <c r="DL108" s="87"/>
      <c r="DM108" s="87"/>
      <c r="DN108" s="87"/>
      <c r="DO108" s="87"/>
      <c r="DP108" s="87"/>
      <c r="DQ108" s="87"/>
      <c r="DR108" s="87"/>
      <c r="DS108" s="87"/>
      <c r="DT108" s="87"/>
      <c r="DU108" s="87"/>
      <c r="DV108" s="87"/>
      <c r="DW108" s="87"/>
      <c r="DX108" s="87"/>
      <c r="DY108" s="87"/>
      <c r="DZ108" s="87"/>
      <c r="EA108" s="87"/>
      <c r="EB108" s="87"/>
      <c r="EC108" s="87"/>
      <c r="ED108" s="87"/>
      <c r="EE108" s="87"/>
      <c r="EF108" s="87"/>
      <c r="EG108" s="87"/>
      <c r="EH108" s="87"/>
      <c r="EI108" s="87"/>
    </row>
    <row r="109" spans="1:139" ht="16.5" thickBot="1" x14ac:dyDescent="0.35">
      <c r="A109" s="218" t="s">
        <v>212</v>
      </c>
      <c r="B109" s="194">
        <v>5</v>
      </c>
      <c r="C109" s="195">
        <f>0.95*30</f>
        <v>28.5</v>
      </c>
      <c r="D109" s="217">
        <f>C109/VLOOKUP(B109,'[2]Gas Prod per PADD'!$A$1:$C$6,2,FALSE)</f>
        <v>2.1111111111111112E-2</v>
      </c>
      <c r="E109" s="196">
        <v>45378</v>
      </c>
      <c r="F109" s="197">
        <v>45383</v>
      </c>
      <c r="G109" s="194" t="s">
        <v>328</v>
      </c>
      <c r="H109" s="198"/>
      <c r="I109" s="84"/>
      <c r="J109" s="85"/>
      <c r="K109" s="85"/>
      <c r="L109" s="85">
        <f t="shared" ref="L109:L116" si="7">C109*(E109-$L$1)/31</f>
        <v>-3.6774193548387095</v>
      </c>
      <c r="M109" s="85">
        <f t="shared" ref="M109:M116" si="8">C109*($L$1-F109)/30</f>
        <v>-0.95</v>
      </c>
      <c r="N109" s="85"/>
      <c r="O109" s="85"/>
      <c r="P109" s="85"/>
      <c r="Q109" s="85"/>
      <c r="R109" s="85"/>
      <c r="S109" s="85"/>
      <c r="T109" s="85"/>
      <c r="U109" s="85"/>
      <c r="V109" s="84"/>
      <c r="W109" s="84"/>
      <c r="X109" s="84" t="str">
        <f t="shared" si="5"/>
        <v>OK</v>
      </c>
      <c r="Y109" s="87"/>
      <c r="Z109" s="87"/>
      <c r="AA109" s="87"/>
      <c r="AB109" s="87"/>
      <c r="AC109" s="87"/>
      <c r="AD109" s="87"/>
      <c r="AE109" s="87"/>
      <c r="AF109" s="87"/>
      <c r="AG109" s="87"/>
      <c r="AH109" s="87"/>
      <c r="AI109" s="87"/>
      <c r="AJ109" s="87"/>
      <c r="AK109" s="87"/>
      <c r="AL109" s="87"/>
      <c r="AM109" s="87"/>
      <c r="AN109" s="87"/>
      <c r="AO109" s="87"/>
      <c r="AP109" s="87"/>
      <c r="AQ109" s="87"/>
      <c r="AR109" s="87"/>
      <c r="AS109" s="87"/>
      <c r="AT109" s="87">
        <f>(0.6*C109)*(2/7)*-1</f>
        <v>-4.8857142857142852</v>
      </c>
      <c r="AU109" s="87">
        <f>0.6*C109*-1/2</f>
        <v>-8.5499999999999989</v>
      </c>
      <c r="AV109" s="87">
        <v>4</v>
      </c>
      <c r="AW109" s="87">
        <f>-AU109</f>
        <v>8.5499999999999989</v>
      </c>
      <c r="AX109" s="87"/>
      <c r="AY109" s="87"/>
      <c r="AZ109" s="87"/>
      <c r="BA109" s="87"/>
      <c r="BB109" s="87"/>
      <c r="BC109" s="87"/>
      <c r="BD109" s="87"/>
      <c r="BE109" s="87"/>
      <c r="BF109" s="87"/>
      <c r="BG109" s="87"/>
      <c r="BH109" s="87"/>
      <c r="BI109" s="87"/>
      <c r="BJ109" s="87"/>
      <c r="BK109" s="87"/>
      <c r="BL109" s="87"/>
      <c r="BM109" s="87"/>
      <c r="BN109" s="87"/>
      <c r="BO109" s="87"/>
      <c r="BP109" s="87"/>
      <c r="BQ109" s="87"/>
      <c r="BR109" s="87"/>
      <c r="BS109" s="87"/>
      <c r="BT109" s="87"/>
      <c r="BU109" s="87"/>
      <c r="BV109" s="87"/>
      <c r="BW109" s="87"/>
      <c r="BX109" s="87"/>
      <c r="BY109" s="87"/>
      <c r="BZ109" s="87"/>
      <c r="CA109" s="87"/>
      <c r="CB109" s="87"/>
      <c r="CC109" s="87"/>
      <c r="CD109" s="87"/>
      <c r="CE109" s="87"/>
      <c r="CF109" s="87"/>
      <c r="CG109" s="87"/>
      <c r="CH109" s="87"/>
      <c r="CI109" s="87"/>
      <c r="CJ109" s="87"/>
      <c r="CK109" s="87"/>
      <c r="CL109" s="87"/>
      <c r="CM109" s="87"/>
      <c r="CN109" s="87"/>
      <c r="CO109" s="87"/>
      <c r="CP109" s="87"/>
      <c r="CQ109" s="87"/>
      <c r="CR109" s="87"/>
      <c r="CS109" s="87"/>
      <c r="CT109" s="87"/>
      <c r="CU109" s="87"/>
      <c r="CV109" s="87"/>
      <c r="CW109" s="87"/>
      <c r="CX109" s="87"/>
      <c r="CY109" s="87"/>
      <c r="CZ109" s="87"/>
      <c r="DA109" s="87"/>
      <c r="DB109" s="87"/>
      <c r="DC109" s="87"/>
      <c r="DD109" s="87"/>
      <c r="DE109" s="87"/>
      <c r="DF109" s="87"/>
      <c r="DG109" s="87"/>
      <c r="DH109" s="87"/>
      <c r="DI109" s="87"/>
      <c r="DJ109" s="87"/>
      <c r="DK109" s="87"/>
      <c r="DL109" s="87"/>
      <c r="DM109" s="87"/>
      <c r="DN109" s="87"/>
      <c r="DO109" s="87"/>
      <c r="DP109" s="87"/>
      <c r="DQ109" s="87"/>
      <c r="DR109" s="87"/>
      <c r="DS109" s="87"/>
      <c r="DT109" s="87"/>
      <c r="DU109" s="87"/>
      <c r="DV109" s="87"/>
      <c r="DW109" s="87"/>
      <c r="DX109" s="87"/>
      <c r="DY109" s="87"/>
      <c r="DZ109" s="87"/>
      <c r="EA109" s="87"/>
      <c r="EB109" s="87"/>
      <c r="EC109" s="87"/>
      <c r="ED109" s="87"/>
      <c r="EE109" s="87"/>
      <c r="EF109" s="87"/>
      <c r="EG109" s="75">
        <v>46017</v>
      </c>
      <c r="EH109" s="75">
        <v>46024</v>
      </c>
      <c r="EI109" s="75">
        <v>46031</v>
      </c>
    </row>
    <row r="110" spans="1:139" ht="16.5" thickBot="1" x14ac:dyDescent="0.35">
      <c r="A110" s="190" t="s">
        <v>270</v>
      </c>
      <c r="B110" s="176">
        <v>3</v>
      </c>
      <c r="C110" s="177">
        <f>0.85*18</f>
        <v>15.299999999999999</v>
      </c>
      <c r="D110" s="217">
        <f>C110/VLOOKUP(B110,'[2]Gas Prod per PADD'!$A$1:$C$6,2,FALSE)</f>
        <v>3.3260869565217388E-3</v>
      </c>
      <c r="E110" s="178">
        <v>45370</v>
      </c>
      <c r="F110" s="179">
        <f>E110+14</f>
        <v>45384</v>
      </c>
      <c r="G110" s="180" t="s">
        <v>329</v>
      </c>
      <c r="H110" s="181" t="s">
        <v>272</v>
      </c>
      <c r="I110" s="84"/>
      <c r="J110" s="85"/>
      <c r="K110" s="85"/>
      <c r="L110" s="85">
        <f t="shared" si="7"/>
        <v>-5.9225806451612906</v>
      </c>
      <c r="M110" s="85">
        <f t="shared" si="8"/>
        <v>-1.02</v>
      </c>
      <c r="N110" s="85"/>
      <c r="O110" s="85"/>
      <c r="P110" s="85"/>
      <c r="Q110" s="85"/>
      <c r="R110" s="85"/>
      <c r="S110" s="85"/>
      <c r="T110" s="85"/>
      <c r="U110" s="85"/>
      <c r="V110" s="84"/>
      <c r="W110" s="84"/>
      <c r="X110" s="84" t="str">
        <f t="shared" si="5"/>
        <v>OK</v>
      </c>
      <c r="Y110" s="105"/>
      <c r="Z110" s="105"/>
      <c r="AA110" s="87"/>
      <c r="AB110" s="87"/>
      <c r="AC110" s="87"/>
      <c r="AD110" s="87"/>
      <c r="AE110" s="105"/>
      <c r="AF110" s="105"/>
      <c r="AG110" s="105"/>
      <c r="AH110" s="105"/>
      <c r="AI110" s="87"/>
      <c r="AJ110" s="87"/>
      <c r="AK110" s="87"/>
      <c r="AL110" s="87"/>
      <c r="AM110" s="87"/>
      <c r="AN110" s="87"/>
      <c r="AO110" s="87"/>
      <c r="AP110" s="87"/>
      <c r="AQ110" s="87"/>
      <c r="AR110" s="87"/>
      <c r="AS110" s="87">
        <f>((-4/7)*$C110*0.7)</f>
        <v>-6.1199999999999992</v>
      </c>
      <c r="AT110" s="87">
        <f>((-4/7)*$C110*0.3)+((-3/7)*$C110*0.8)</f>
        <v>-7.8685714285714283</v>
      </c>
      <c r="AU110" s="87">
        <f>((-3/7)*$C110*0.2)+((4/7)*$C110*0.8)+8.3057</f>
        <v>13.988557142857143</v>
      </c>
      <c r="AV110" s="87">
        <v>0</v>
      </c>
      <c r="AW110" s="87"/>
      <c r="AX110" s="87"/>
      <c r="AY110" s="87"/>
      <c r="AZ110" s="87"/>
      <c r="BA110" s="87"/>
      <c r="BB110" s="87"/>
      <c r="BC110" s="87"/>
      <c r="BD110" s="87"/>
      <c r="BE110" s="87"/>
      <c r="BF110" s="87"/>
      <c r="BG110" s="87"/>
      <c r="BH110" s="87"/>
      <c r="BI110" s="87"/>
      <c r="BJ110" s="87"/>
      <c r="BK110" s="87"/>
      <c r="BL110" s="87"/>
      <c r="BM110" s="87"/>
      <c r="BN110" s="87"/>
      <c r="BO110" s="87"/>
      <c r="BP110" s="87"/>
      <c r="BQ110" s="87"/>
      <c r="BR110" s="87"/>
      <c r="BS110" s="87"/>
      <c r="BT110" s="87"/>
      <c r="BU110" s="87"/>
      <c r="BV110" s="87"/>
      <c r="BW110" s="87"/>
      <c r="BX110" s="87"/>
      <c r="BY110" s="87"/>
      <c r="BZ110" s="87"/>
      <c r="CA110" s="87"/>
      <c r="CB110" s="87"/>
      <c r="CC110" s="87"/>
      <c r="CD110" s="87"/>
      <c r="CE110" s="87"/>
      <c r="CF110" s="87"/>
      <c r="CG110" s="87"/>
      <c r="CH110" s="87"/>
      <c r="CI110" s="87"/>
      <c r="CJ110" s="87"/>
      <c r="CK110" s="87"/>
      <c r="CL110" s="87"/>
      <c r="CM110" s="87"/>
      <c r="CN110" s="87"/>
      <c r="CO110" s="87"/>
      <c r="CP110" s="87"/>
      <c r="CQ110" s="87"/>
      <c r="CR110" s="87"/>
      <c r="CS110" s="87"/>
      <c r="CT110" s="87"/>
      <c r="CU110" s="87"/>
      <c r="CV110" s="87"/>
      <c r="CW110" s="87"/>
      <c r="CX110" s="87"/>
      <c r="CY110" s="87"/>
      <c r="CZ110" s="87"/>
      <c r="DA110" s="87"/>
      <c r="DB110" s="87"/>
      <c r="DC110" s="87"/>
      <c r="DD110" s="87"/>
      <c r="DE110" s="87"/>
      <c r="DF110" s="87"/>
      <c r="DG110" s="87"/>
      <c r="DH110" s="87"/>
      <c r="DI110" s="87"/>
      <c r="DJ110" s="87"/>
      <c r="DK110" s="87"/>
      <c r="DL110" s="87"/>
      <c r="DM110" s="87"/>
      <c r="DN110" s="87"/>
      <c r="DO110" s="87"/>
      <c r="DP110" s="87"/>
      <c r="DQ110" s="87"/>
      <c r="DR110" s="87"/>
      <c r="DS110" s="87"/>
      <c r="DT110" s="87"/>
      <c r="DU110" s="87"/>
      <c r="DV110" s="87"/>
      <c r="DW110" s="87"/>
      <c r="DX110" s="87"/>
      <c r="DY110" s="87"/>
      <c r="DZ110" s="87"/>
      <c r="EA110" s="87"/>
      <c r="EB110" s="87"/>
      <c r="EC110" s="87"/>
      <c r="ED110" s="87"/>
      <c r="EE110" s="87"/>
      <c r="EF110" s="87"/>
      <c r="EG110" s="87"/>
      <c r="EH110" s="87"/>
      <c r="EI110" s="87"/>
    </row>
    <row r="111" spans="1:139" ht="16.5" thickBot="1" x14ac:dyDescent="0.35">
      <c r="A111" s="218" t="s">
        <v>330</v>
      </c>
      <c r="B111" s="194">
        <v>3</v>
      </c>
      <c r="C111" s="195">
        <f>32*0.85</f>
        <v>27.2</v>
      </c>
      <c r="D111" s="217">
        <f>C111/VLOOKUP(B111,'[2]Gas Prod per PADD'!$A$1:$C$6,2,FALSE)</f>
        <v>5.913043478260869E-3</v>
      </c>
      <c r="E111" s="196">
        <v>45377</v>
      </c>
      <c r="F111" s="197">
        <v>45384</v>
      </c>
      <c r="G111" s="194" t="s">
        <v>189</v>
      </c>
      <c r="H111" s="198"/>
      <c r="I111" s="84"/>
      <c r="J111" s="85"/>
      <c r="K111" s="85"/>
      <c r="L111" s="85">
        <f>C111*(E111-$L$1)/31</f>
        <v>-4.387096774193548</v>
      </c>
      <c r="M111" s="85">
        <f t="shared" si="8"/>
        <v>-1.8133333333333332</v>
      </c>
      <c r="N111" s="85"/>
      <c r="O111" s="85"/>
      <c r="P111" s="85"/>
      <c r="Q111" s="85"/>
      <c r="R111" s="85"/>
      <c r="S111" s="85"/>
      <c r="T111" s="85"/>
      <c r="U111" s="85"/>
      <c r="V111" s="84"/>
      <c r="W111" s="84"/>
      <c r="X111" s="84" t="str">
        <f t="shared" si="5"/>
        <v>OK</v>
      </c>
      <c r="Y111" s="87"/>
      <c r="Z111" s="87"/>
      <c r="AA111" s="87"/>
      <c r="AB111" s="87"/>
      <c r="AC111" s="87"/>
      <c r="AD111" s="87"/>
      <c r="AE111" s="87"/>
      <c r="AF111" s="87"/>
      <c r="AG111" s="87"/>
      <c r="AH111" s="87"/>
      <c r="AI111" s="87"/>
      <c r="AJ111" s="87"/>
      <c r="AK111" s="87"/>
      <c r="AL111" s="87"/>
      <c r="AM111" s="87"/>
      <c r="AN111" s="87"/>
      <c r="AO111" s="87"/>
      <c r="AP111" s="87"/>
      <c r="AQ111" s="87"/>
      <c r="AR111" s="87"/>
      <c r="AS111" s="87"/>
      <c r="AT111" s="87">
        <f>(4/7)*C111*(2/3)*-1</f>
        <v>-10.361904761904761</v>
      </c>
      <c r="AU111" s="87">
        <f>(C111*-1)-AT111</f>
        <v>-16.838095238095239</v>
      </c>
      <c r="AV111" s="87">
        <f>(0.7*C111)</f>
        <v>19.04</v>
      </c>
      <c r="AW111" s="87">
        <f>(0.3*C111)</f>
        <v>8.16</v>
      </c>
      <c r="AX111" s="87"/>
      <c r="AY111" s="87"/>
      <c r="AZ111" s="87"/>
      <c r="BA111" s="87"/>
      <c r="BB111" s="87"/>
      <c r="BC111" s="87"/>
      <c r="BD111" s="87"/>
      <c r="BE111" s="87"/>
      <c r="BF111" s="87"/>
      <c r="BG111" s="87"/>
      <c r="BH111" s="87"/>
      <c r="BI111" s="87"/>
      <c r="BJ111" s="87"/>
      <c r="BK111" s="87"/>
      <c r="BL111" s="87"/>
      <c r="BM111" s="87"/>
      <c r="BN111" s="87"/>
      <c r="BO111" s="87"/>
      <c r="BP111" s="87"/>
      <c r="BQ111" s="87"/>
      <c r="BR111" s="87"/>
      <c r="BS111" s="87"/>
      <c r="BT111" s="87"/>
      <c r="BU111" s="87"/>
      <c r="BV111" s="87"/>
      <c r="BW111" s="87"/>
      <c r="BX111" s="87"/>
      <c r="BY111" s="87"/>
      <c r="BZ111" s="87"/>
      <c r="CA111" s="87"/>
      <c r="CB111" s="87"/>
      <c r="CC111" s="87"/>
      <c r="CD111" s="87"/>
      <c r="CE111" s="87"/>
      <c r="CF111" s="87"/>
      <c r="CG111" s="87"/>
      <c r="CH111" s="87"/>
      <c r="CI111" s="87"/>
      <c r="CJ111" s="87"/>
      <c r="CK111" s="87"/>
      <c r="CL111" s="87"/>
      <c r="CM111" s="87"/>
      <c r="CN111" s="87"/>
      <c r="CO111" s="87"/>
      <c r="CP111" s="87"/>
      <c r="CQ111" s="87"/>
      <c r="CR111" s="87"/>
      <c r="CS111" s="87"/>
      <c r="CT111" s="87"/>
      <c r="CU111" s="87"/>
      <c r="CV111" s="87"/>
      <c r="CW111" s="87"/>
      <c r="CX111" s="87"/>
      <c r="CY111" s="87"/>
      <c r="CZ111" s="87"/>
      <c r="DA111" s="87"/>
      <c r="DB111" s="87"/>
      <c r="DC111" s="87"/>
      <c r="DD111" s="87"/>
      <c r="DE111" s="87"/>
      <c r="DF111" s="87"/>
      <c r="DG111" s="87"/>
      <c r="DH111" s="87"/>
      <c r="DI111" s="87"/>
      <c r="DJ111" s="87"/>
      <c r="DK111" s="87"/>
      <c r="DL111" s="87"/>
      <c r="DM111" s="87"/>
      <c r="DN111" s="87"/>
      <c r="DO111" s="87"/>
      <c r="DP111" s="87"/>
      <c r="DQ111" s="87"/>
      <c r="DR111" s="87"/>
      <c r="DS111" s="87"/>
      <c r="DT111" s="87"/>
      <c r="DU111" s="87"/>
      <c r="DV111" s="87"/>
      <c r="DW111" s="87"/>
      <c r="DX111" s="87"/>
      <c r="DY111" s="87"/>
      <c r="DZ111" s="87"/>
      <c r="EA111" s="87"/>
      <c r="EB111" s="87"/>
      <c r="EC111" s="87"/>
      <c r="ED111" s="87"/>
      <c r="EE111" s="87"/>
      <c r="EF111" s="87"/>
      <c r="EG111" s="87"/>
      <c r="EH111" s="87"/>
      <c r="EI111" s="87"/>
    </row>
    <row r="112" spans="1:139" ht="16.5" thickBot="1" x14ac:dyDescent="0.35">
      <c r="A112" s="218" t="s">
        <v>331</v>
      </c>
      <c r="B112" s="194">
        <v>3</v>
      </c>
      <c r="C112" s="195">
        <f>55*0.65</f>
        <v>35.75</v>
      </c>
      <c r="D112" s="217">
        <f>C112/VLOOKUP(B112,'[2]Gas Prod per PADD'!$A$1:$C$6,2,FALSE)</f>
        <v>7.7717391304347825E-3</v>
      </c>
      <c r="E112" s="196">
        <v>45378</v>
      </c>
      <c r="F112" s="197">
        <v>45384</v>
      </c>
      <c r="G112" s="194" t="s">
        <v>332</v>
      </c>
      <c r="H112" s="198" t="s">
        <v>333</v>
      </c>
      <c r="I112" s="84"/>
      <c r="J112" s="85"/>
      <c r="K112" s="85"/>
      <c r="L112" s="85">
        <f t="shared" si="7"/>
        <v>-4.612903225806452</v>
      </c>
      <c r="M112" s="85">
        <f t="shared" si="8"/>
        <v>-2.3833333333333333</v>
      </c>
      <c r="N112" s="85"/>
      <c r="O112" s="85"/>
      <c r="P112" s="85"/>
      <c r="Q112" s="85"/>
      <c r="R112" s="85"/>
      <c r="S112" s="85"/>
      <c r="T112" s="85"/>
      <c r="U112" s="85"/>
      <c r="V112" s="84"/>
      <c r="W112" s="84"/>
      <c r="X112" s="84" t="str">
        <f t="shared" si="5"/>
        <v>OK</v>
      </c>
      <c r="Y112" s="87"/>
      <c r="Z112" s="87"/>
      <c r="AA112" s="87"/>
      <c r="AB112" s="87"/>
      <c r="AC112" s="87"/>
      <c r="AD112" s="87"/>
      <c r="AE112" s="87"/>
      <c r="AF112" s="87"/>
      <c r="AG112" s="87"/>
      <c r="AH112" s="87"/>
      <c r="AI112" s="87"/>
      <c r="AJ112" s="87"/>
      <c r="AK112" s="87"/>
      <c r="AL112" s="87"/>
      <c r="AM112" s="87"/>
      <c r="AN112" s="87"/>
      <c r="AO112" s="87"/>
      <c r="AP112" s="87"/>
      <c r="AQ112" s="87"/>
      <c r="AR112" s="87"/>
      <c r="AS112" s="87"/>
      <c r="AT112" s="87">
        <f>C112*-0.6</f>
        <v>-21.45</v>
      </c>
      <c r="AU112" s="87"/>
      <c r="AV112" s="87">
        <f>AT112*-1</f>
        <v>21.45</v>
      </c>
      <c r="AW112" s="87"/>
      <c r="AX112" s="87"/>
      <c r="AY112" s="87"/>
      <c r="AZ112" s="87"/>
      <c r="BA112" s="87"/>
      <c r="BB112" s="87"/>
      <c r="BC112" s="87"/>
      <c r="BD112" s="87"/>
      <c r="BE112" s="87"/>
      <c r="BF112" s="87"/>
      <c r="BG112" s="87"/>
      <c r="BH112" s="87"/>
      <c r="BI112" s="87"/>
      <c r="BJ112" s="87"/>
      <c r="BK112" s="87"/>
      <c r="BL112" s="87"/>
      <c r="BM112" s="87"/>
      <c r="BN112" s="87"/>
      <c r="BO112" s="87"/>
      <c r="BP112" s="87"/>
      <c r="BQ112" s="87"/>
      <c r="BR112" s="87"/>
      <c r="BS112" s="87"/>
      <c r="BT112" s="87"/>
      <c r="BU112" s="87"/>
      <c r="BV112" s="87"/>
      <c r="BW112" s="87"/>
      <c r="BX112" s="87"/>
      <c r="BY112" s="87"/>
      <c r="BZ112" s="87"/>
      <c r="CA112" s="87"/>
      <c r="CB112" s="87"/>
      <c r="CC112" s="87"/>
      <c r="CD112" s="87"/>
      <c r="CE112" s="87"/>
      <c r="CF112" s="87"/>
      <c r="CG112" s="87"/>
      <c r="CH112" s="87"/>
      <c r="CI112" s="87"/>
      <c r="CJ112" s="87"/>
      <c r="CK112" s="87"/>
      <c r="CL112" s="87"/>
      <c r="CM112" s="87"/>
      <c r="CN112" s="87"/>
      <c r="CO112" s="87"/>
      <c r="CP112" s="87"/>
      <c r="CQ112" s="87"/>
      <c r="CR112" s="87"/>
      <c r="CS112" s="87"/>
      <c r="CT112" s="87"/>
      <c r="CU112" s="87"/>
      <c r="CV112" s="87"/>
      <c r="CW112" s="87"/>
      <c r="CX112" s="87"/>
      <c r="CY112" s="87"/>
      <c r="CZ112" s="87"/>
      <c r="DA112" s="87"/>
      <c r="DB112" s="87"/>
      <c r="DC112" s="87"/>
      <c r="DD112" s="87"/>
      <c r="DE112" s="87"/>
      <c r="DF112" s="87"/>
      <c r="DG112" s="87"/>
      <c r="DH112" s="87"/>
      <c r="DI112" s="87"/>
      <c r="DJ112" s="87"/>
      <c r="DK112" s="87"/>
      <c r="DL112" s="87"/>
      <c r="DM112" s="87"/>
      <c r="DN112" s="87"/>
      <c r="DO112" s="87"/>
      <c r="DP112" s="87"/>
      <c r="DQ112" s="87"/>
      <c r="DR112" s="87"/>
      <c r="DS112" s="87"/>
      <c r="DT112" s="87"/>
      <c r="DU112" s="87"/>
      <c r="DV112" s="87"/>
      <c r="DW112" s="87"/>
      <c r="DX112" s="87"/>
      <c r="DY112" s="87"/>
      <c r="DZ112" s="87"/>
      <c r="EA112" s="87"/>
      <c r="EB112" s="87"/>
      <c r="EC112" s="87"/>
      <c r="ED112" s="87"/>
      <c r="EE112" s="87"/>
      <c r="EF112" s="87"/>
      <c r="EG112" s="87"/>
      <c r="EH112" s="87"/>
      <c r="EI112" s="87"/>
    </row>
    <row r="113" spans="1:139" ht="72" thickBot="1" x14ac:dyDescent="0.35">
      <c r="A113" s="190" t="s">
        <v>334</v>
      </c>
      <c r="B113" s="176">
        <v>3</v>
      </c>
      <c r="C113" s="177">
        <f>135*0.3</f>
        <v>40.5</v>
      </c>
      <c r="D113" s="217">
        <f>C113/VLOOKUP(B113,'[2]Gas Prod per PADD'!$A$1:$C$6,2,FALSE)</f>
        <v>8.8043478260869563E-3</v>
      </c>
      <c r="E113" s="178">
        <v>45363</v>
      </c>
      <c r="F113" s="179">
        <v>45385</v>
      </c>
      <c r="G113" s="180" t="s">
        <v>335</v>
      </c>
      <c r="H113" s="221" t="s">
        <v>335</v>
      </c>
      <c r="I113" s="84"/>
      <c r="J113" s="85"/>
      <c r="K113" s="85"/>
      <c r="L113" s="85">
        <f t="shared" si="7"/>
        <v>-24.822580645161292</v>
      </c>
      <c r="M113" s="85">
        <f t="shared" si="8"/>
        <v>-4.05</v>
      </c>
      <c r="N113" s="85"/>
      <c r="O113" s="85"/>
      <c r="P113" s="85"/>
      <c r="Q113" s="85"/>
      <c r="R113" s="85"/>
      <c r="S113" s="85"/>
      <c r="T113" s="85"/>
      <c r="U113" s="85"/>
      <c r="V113" s="84"/>
      <c r="W113" s="84"/>
      <c r="X113" s="84" t="str">
        <f t="shared" si="5"/>
        <v>OK</v>
      </c>
      <c r="Y113" s="105"/>
      <c r="Z113" s="105"/>
      <c r="AA113" s="87"/>
      <c r="AB113" s="87"/>
      <c r="AC113" s="87"/>
      <c r="AD113" s="87"/>
      <c r="AE113" s="105"/>
      <c r="AF113" s="105"/>
      <c r="AG113" s="105"/>
      <c r="AH113" s="87"/>
      <c r="AI113" s="87"/>
      <c r="AJ113" s="87"/>
      <c r="AK113" s="105"/>
      <c r="AL113" s="105"/>
      <c r="AM113" s="105"/>
      <c r="AN113" s="87"/>
      <c r="AO113" s="87"/>
      <c r="AP113" s="105"/>
      <c r="AQ113" s="105"/>
      <c r="AR113" s="105">
        <f>(-3/7)*C113</f>
        <v>-17.357142857142858</v>
      </c>
      <c r="AS113" s="105">
        <f>(-4/7)*C113</f>
        <v>-23.142857142857142</v>
      </c>
      <c r="AT113" s="105">
        <f>C113*0.2</f>
        <v>8.1</v>
      </c>
      <c r="AU113" s="105">
        <f>C113*0.3+20</f>
        <v>32.15</v>
      </c>
      <c r="AV113" s="105">
        <f>C113-AT113-AU113</f>
        <v>0.25</v>
      </c>
      <c r="AW113" s="105"/>
      <c r="AX113" s="87"/>
      <c r="AY113" s="87"/>
      <c r="AZ113" s="87"/>
      <c r="BA113" s="87"/>
      <c r="BB113" s="87"/>
      <c r="BC113" s="87"/>
      <c r="BD113" s="87"/>
      <c r="BE113" s="87"/>
      <c r="BF113" s="87"/>
      <c r="BG113" s="87"/>
      <c r="BH113" s="87"/>
      <c r="BI113" s="87"/>
      <c r="BJ113" s="87"/>
      <c r="BK113" s="87"/>
      <c r="BL113" s="87"/>
      <c r="BM113" s="87"/>
      <c r="BN113" s="87"/>
      <c r="BO113" s="87"/>
      <c r="BP113" s="87"/>
      <c r="BQ113" s="87"/>
      <c r="BR113" s="87"/>
      <c r="BS113" s="87"/>
      <c r="BT113" s="87"/>
      <c r="BU113" s="87"/>
      <c r="BV113" s="87"/>
      <c r="BW113" s="87"/>
      <c r="BX113" s="87"/>
      <c r="BY113" s="87"/>
      <c r="BZ113" s="87"/>
      <c r="CA113" s="87"/>
      <c r="CB113" s="87"/>
      <c r="CC113" s="87"/>
      <c r="CD113" s="87"/>
      <c r="CE113" s="87"/>
      <c r="CF113" s="87"/>
      <c r="CG113" s="87"/>
      <c r="CH113" s="87"/>
      <c r="CI113" s="87"/>
      <c r="CJ113" s="87"/>
      <c r="CK113" s="87"/>
      <c r="CL113" s="87"/>
      <c r="CM113" s="87"/>
      <c r="CN113" s="87"/>
      <c r="CO113" s="87"/>
      <c r="CP113" s="87"/>
      <c r="CQ113" s="87"/>
      <c r="CR113" s="87"/>
      <c r="CS113" s="87"/>
      <c r="CT113" s="87"/>
      <c r="CU113" s="87"/>
      <c r="CV113" s="87"/>
      <c r="CW113" s="87"/>
      <c r="CX113" s="87"/>
      <c r="CY113" s="87"/>
      <c r="CZ113" s="87"/>
      <c r="DA113" s="87"/>
      <c r="DB113" s="87"/>
      <c r="DC113" s="87"/>
      <c r="DD113" s="87"/>
      <c r="DE113" s="87"/>
      <c r="DF113" s="87"/>
      <c r="DG113" s="87"/>
      <c r="DH113" s="87"/>
      <c r="DI113" s="87"/>
      <c r="DJ113" s="87"/>
      <c r="DK113" s="87"/>
      <c r="DL113" s="87"/>
      <c r="DM113" s="87"/>
      <c r="DN113" s="87"/>
      <c r="DO113" s="87"/>
      <c r="DP113" s="87"/>
      <c r="DQ113" s="87"/>
      <c r="DR113" s="87"/>
      <c r="DS113" s="87"/>
      <c r="DT113" s="87"/>
      <c r="DU113" s="87"/>
      <c r="DV113" s="87"/>
      <c r="DW113" s="87"/>
      <c r="DX113" s="87"/>
      <c r="DY113" s="87"/>
      <c r="DZ113" s="87"/>
      <c r="EA113" s="87"/>
      <c r="EB113" s="87"/>
      <c r="EC113" s="87"/>
      <c r="ED113" s="87"/>
      <c r="EE113" s="87"/>
      <c r="EF113" s="87"/>
      <c r="EG113" s="87"/>
      <c r="EH113" s="87"/>
      <c r="EI113" s="87"/>
    </row>
    <row r="114" spans="1:139" ht="16.5" thickBot="1" x14ac:dyDescent="0.35">
      <c r="A114" s="113" t="s">
        <v>336</v>
      </c>
      <c r="B114" s="199">
        <v>3</v>
      </c>
      <c r="C114" s="195">
        <f>21*0.25</f>
        <v>5.25</v>
      </c>
      <c r="D114" s="217">
        <f>C114/VLOOKUP(B114,'[2]Gas Prod per PADD'!$A$1:$C$6,2,FALSE)</f>
        <v>1.141304347826087E-3</v>
      </c>
      <c r="E114" s="196">
        <v>45378</v>
      </c>
      <c r="F114" s="197">
        <f>E114+7</f>
        <v>45385</v>
      </c>
      <c r="G114" s="194" t="s">
        <v>337</v>
      </c>
      <c r="H114" s="198"/>
      <c r="I114" s="84" t="s">
        <v>338</v>
      </c>
      <c r="J114" s="85"/>
      <c r="K114" s="85"/>
      <c r="L114" s="85">
        <f t="shared" si="7"/>
        <v>-0.67741935483870963</v>
      </c>
      <c r="M114" s="85">
        <f t="shared" si="8"/>
        <v>-0.52500000000000002</v>
      </c>
      <c r="N114" s="85"/>
      <c r="O114" s="85"/>
      <c r="P114" s="85"/>
      <c r="Q114" s="85"/>
      <c r="R114" s="85"/>
      <c r="S114" s="85"/>
      <c r="T114" s="85"/>
      <c r="U114" s="85"/>
      <c r="V114" s="84"/>
      <c r="W114" s="84"/>
      <c r="X114" s="84" t="str">
        <f t="shared" si="5"/>
        <v>Missing</v>
      </c>
      <c r="Y114" s="87"/>
      <c r="Z114" s="87"/>
      <c r="AA114" s="87"/>
      <c r="AB114" s="87"/>
      <c r="AC114" s="87"/>
      <c r="AD114" s="87"/>
      <c r="AE114" s="87"/>
      <c r="AF114" s="87"/>
      <c r="AG114" s="87"/>
      <c r="AH114" s="87"/>
      <c r="AI114" s="87"/>
      <c r="AJ114" s="87"/>
      <c r="AK114" s="87"/>
      <c r="AL114" s="87"/>
      <c r="AM114" s="87"/>
      <c r="AN114" s="87"/>
      <c r="AO114" s="87"/>
      <c r="AP114" s="87"/>
      <c r="AQ114" s="87"/>
      <c r="AR114" s="87"/>
      <c r="AS114" s="87"/>
      <c r="AT114" s="87"/>
      <c r="AU114" s="87"/>
      <c r="AV114" s="87"/>
      <c r="AW114" s="87"/>
      <c r="AX114" s="87"/>
      <c r="AY114" s="87"/>
      <c r="AZ114" s="87"/>
      <c r="BA114" s="87"/>
      <c r="BB114" s="87"/>
      <c r="BC114" s="87"/>
      <c r="BD114" s="87"/>
      <c r="BE114" s="87"/>
      <c r="BF114" s="87"/>
      <c r="BG114" s="87"/>
      <c r="BH114" s="87"/>
      <c r="BI114" s="87"/>
      <c r="BJ114" s="87"/>
      <c r="BK114" s="87"/>
      <c r="BL114" s="87"/>
      <c r="BM114" s="87"/>
      <c r="BN114" s="87"/>
      <c r="BO114" s="87"/>
      <c r="BP114" s="87"/>
      <c r="BQ114" s="87"/>
      <c r="BR114" s="87"/>
      <c r="BS114" s="87"/>
      <c r="BT114" s="87"/>
      <c r="BU114" s="87"/>
      <c r="BV114" s="87"/>
      <c r="BW114" s="87"/>
      <c r="BX114" s="87"/>
      <c r="BY114" s="87"/>
      <c r="BZ114" s="87"/>
      <c r="CA114" s="87"/>
      <c r="CB114" s="87"/>
      <c r="CC114" s="87"/>
      <c r="CD114" s="87"/>
      <c r="CE114" s="87"/>
      <c r="CF114" s="87"/>
      <c r="CG114" s="87"/>
      <c r="CH114" s="87"/>
      <c r="CI114" s="87"/>
      <c r="CJ114" s="87"/>
      <c r="CK114" s="87"/>
      <c r="CL114" s="87"/>
      <c r="CM114" s="87"/>
      <c r="CN114" s="87"/>
      <c r="CO114" s="87"/>
      <c r="CP114" s="87"/>
      <c r="CQ114" s="87"/>
      <c r="CR114" s="87"/>
      <c r="CS114" s="87"/>
      <c r="CT114" s="87"/>
      <c r="CU114" s="87"/>
      <c r="CV114" s="87"/>
      <c r="CW114" s="87"/>
      <c r="CX114" s="87"/>
      <c r="CY114" s="87"/>
      <c r="CZ114" s="87"/>
      <c r="DA114" s="87"/>
      <c r="DB114" s="87"/>
      <c r="DC114" s="87"/>
      <c r="DD114" s="87"/>
      <c r="DE114" s="87"/>
      <c r="DF114" s="87"/>
      <c r="DG114" s="87"/>
      <c r="DH114" s="87"/>
      <c r="DI114" s="87"/>
      <c r="DJ114" s="87"/>
      <c r="DK114" s="87"/>
      <c r="DL114" s="87"/>
      <c r="DM114" s="87"/>
      <c r="DN114" s="87"/>
      <c r="DO114" s="87"/>
      <c r="DP114" s="87"/>
      <c r="DQ114" s="87"/>
      <c r="DR114" s="87"/>
      <c r="DS114" s="87"/>
      <c r="DT114" s="87"/>
      <c r="DU114" s="87"/>
      <c r="DV114" s="87"/>
      <c r="DW114" s="87"/>
      <c r="DX114" s="87"/>
      <c r="DY114" s="87"/>
      <c r="DZ114" s="87"/>
      <c r="EA114" s="87"/>
      <c r="EB114" s="87"/>
      <c r="EC114" s="87"/>
      <c r="ED114" s="87"/>
      <c r="EE114" s="87"/>
      <c r="EF114" s="87"/>
      <c r="EG114" s="87"/>
      <c r="EH114" s="87"/>
      <c r="EI114" s="87"/>
    </row>
    <row r="115" spans="1:139" ht="16.5" thickBot="1" x14ac:dyDescent="0.35">
      <c r="A115" s="218" t="s">
        <v>339</v>
      </c>
      <c r="B115" s="194">
        <v>3</v>
      </c>
      <c r="C115" s="195">
        <f>0.21*50</f>
        <v>10.5</v>
      </c>
      <c r="D115" s="217">
        <f>C115/VLOOKUP(B115,'[2]Gas Prod per PADD'!$A$1:$C$6,2,FALSE)</f>
        <v>2.2826086956521741E-3</v>
      </c>
      <c r="E115" s="196">
        <v>45372</v>
      </c>
      <c r="F115" s="197">
        <f>E115+14</f>
        <v>45386</v>
      </c>
      <c r="G115" s="194" t="s">
        <v>159</v>
      </c>
      <c r="H115" s="198"/>
      <c r="I115" s="84"/>
      <c r="J115" s="85"/>
      <c r="K115" s="85"/>
      <c r="L115" s="85">
        <f t="shared" si="7"/>
        <v>-3.3870967741935485</v>
      </c>
      <c r="M115" s="85">
        <f t="shared" si="8"/>
        <v>-1.4</v>
      </c>
      <c r="N115" s="85"/>
      <c r="O115" s="85"/>
      <c r="P115" s="85"/>
      <c r="Q115" s="85"/>
      <c r="R115" s="85"/>
      <c r="S115" s="85"/>
      <c r="T115" s="85"/>
      <c r="U115" s="85"/>
      <c r="V115" s="84"/>
      <c r="W115" s="84"/>
      <c r="X115" s="84" t="str">
        <f t="shared" si="5"/>
        <v>Missing</v>
      </c>
      <c r="Y115" s="86"/>
      <c r="Z115" s="87"/>
      <c r="AA115" s="87"/>
      <c r="AB115" s="87"/>
      <c r="AC115" s="87"/>
      <c r="AD115" s="87"/>
      <c r="AE115" s="87"/>
      <c r="AF115" s="87"/>
      <c r="AG115" s="87"/>
      <c r="AH115" s="87"/>
      <c r="AI115" s="87"/>
      <c r="AJ115" s="105"/>
      <c r="AK115" s="105"/>
      <c r="AL115" s="105"/>
      <c r="AM115" s="87"/>
      <c r="AN115" s="87"/>
      <c r="AO115" s="87"/>
      <c r="AP115" s="87"/>
      <c r="AQ115" s="87"/>
      <c r="AR115" s="87"/>
      <c r="AS115" s="87"/>
      <c r="AT115" s="87"/>
      <c r="AU115" s="87"/>
      <c r="AV115" s="87"/>
      <c r="AW115" s="87"/>
      <c r="AX115" s="87"/>
      <c r="AY115" s="87"/>
      <c r="AZ115" s="87"/>
      <c r="BA115" s="87"/>
      <c r="BB115" s="87"/>
      <c r="BC115" s="87"/>
      <c r="BD115" s="87"/>
      <c r="BE115" s="87"/>
      <c r="BF115" s="87"/>
      <c r="BG115" s="87"/>
      <c r="BH115" s="87"/>
      <c r="BI115" s="87"/>
      <c r="BJ115" s="87"/>
      <c r="BK115" s="87"/>
      <c r="BL115" s="87"/>
      <c r="BM115" s="87"/>
      <c r="BN115" s="87"/>
      <c r="BO115" s="87"/>
      <c r="BP115" s="87"/>
      <c r="BQ115" s="87"/>
      <c r="BR115" s="87"/>
      <c r="BS115" s="87"/>
      <c r="BT115" s="87"/>
      <c r="BU115" s="87"/>
      <c r="BV115" s="87"/>
      <c r="BW115" s="87"/>
      <c r="BX115" s="87"/>
      <c r="BY115" s="87"/>
      <c r="BZ115" s="87"/>
      <c r="CA115" s="87"/>
      <c r="CB115" s="87"/>
      <c r="CC115" s="87"/>
      <c r="CD115" s="87"/>
      <c r="CE115" s="87"/>
      <c r="CF115" s="87"/>
      <c r="CG115" s="87"/>
      <c r="CH115" s="87"/>
      <c r="CI115" s="87"/>
      <c r="CJ115" s="87"/>
      <c r="CK115" s="87"/>
      <c r="CL115" s="87"/>
      <c r="CM115" s="87"/>
      <c r="CN115" s="87"/>
      <c r="CO115" s="87"/>
      <c r="CP115" s="87"/>
      <c r="CQ115" s="87"/>
      <c r="CR115" s="87"/>
      <c r="CS115" s="87"/>
      <c r="CT115" s="87"/>
      <c r="CU115" s="87"/>
      <c r="CV115" s="87"/>
      <c r="CW115" s="87"/>
      <c r="CX115" s="87"/>
      <c r="CY115" s="87"/>
      <c r="CZ115" s="87"/>
      <c r="DA115" s="87"/>
      <c r="DB115" s="87"/>
      <c r="DC115" s="87"/>
      <c r="DD115" s="87"/>
      <c r="DE115" s="87"/>
      <c r="DF115" s="87"/>
      <c r="DG115" s="87"/>
      <c r="DH115" s="87"/>
      <c r="DI115" s="87"/>
      <c r="DJ115" s="87"/>
      <c r="DK115" s="87"/>
      <c r="DL115" s="87"/>
      <c r="DM115" s="87"/>
      <c r="DN115" s="87"/>
      <c r="DO115" s="87"/>
      <c r="DP115" s="87"/>
      <c r="DQ115" s="87"/>
      <c r="DR115" s="87"/>
      <c r="DS115" s="87"/>
      <c r="DT115" s="87"/>
      <c r="DU115" s="87"/>
      <c r="DV115" s="87"/>
      <c r="DW115" s="87"/>
      <c r="DX115" s="87"/>
      <c r="DY115" s="87"/>
      <c r="DZ115" s="87"/>
      <c r="EA115" s="87"/>
      <c r="EB115" s="87"/>
      <c r="EC115" s="87"/>
      <c r="ED115" s="87"/>
      <c r="EE115" s="87"/>
      <c r="EF115" s="87"/>
      <c r="EG115" s="87"/>
      <c r="EH115" s="87"/>
      <c r="EI115" s="87"/>
    </row>
    <row r="116" spans="1:139" ht="16.5" thickBot="1" x14ac:dyDescent="0.35">
      <c r="A116" s="113" t="s">
        <v>340</v>
      </c>
      <c r="B116" s="194">
        <v>5</v>
      </c>
      <c r="C116" s="195">
        <f>0.85*20</f>
        <v>17</v>
      </c>
      <c r="D116" s="217">
        <f>C116/VLOOKUP(B116,'[2]Gas Prod per PADD'!$A$1:$C$6,2,FALSE)</f>
        <v>1.2592592592592593E-2</v>
      </c>
      <c r="E116" s="196">
        <v>45373</v>
      </c>
      <c r="F116" s="197">
        <v>45387</v>
      </c>
      <c r="G116" s="194" t="s">
        <v>341</v>
      </c>
      <c r="H116" s="198" t="s">
        <v>342</v>
      </c>
      <c r="I116" s="84"/>
      <c r="J116" s="85"/>
      <c r="K116" s="85"/>
      <c r="L116" s="85">
        <f t="shared" si="7"/>
        <v>-4.935483870967742</v>
      </c>
      <c r="M116" s="85">
        <f t="shared" si="8"/>
        <v>-2.8333333333333335</v>
      </c>
      <c r="N116" s="85"/>
      <c r="O116" s="85"/>
      <c r="P116" s="85"/>
      <c r="Q116" s="85"/>
      <c r="R116" s="85"/>
      <c r="S116" s="85"/>
      <c r="T116" s="85"/>
      <c r="U116" s="85"/>
      <c r="V116" s="84"/>
      <c r="W116" s="84"/>
      <c r="X116" s="84" t="str">
        <f t="shared" si="5"/>
        <v>OK</v>
      </c>
      <c r="Y116" s="87"/>
      <c r="Z116" s="87"/>
      <c r="AA116" s="87"/>
      <c r="AB116" s="87"/>
      <c r="AC116" s="87"/>
      <c r="AD116" s="87"/>
      <c r="AE116" s="87"/>
      <c r="AF116" s="87"/>
      <c r="AG116" s="87"/>
      <c r="AH116" s="87"/>
      <c r="AI116" s="87"/>
      <c r="AJ116" s="87"/>
      <c r="AK116" s="87"/>
      <c r="AL116" s="87"/>
      <c r="AM116" s="87"/>
      <c r="AN116" s="87"/>
      <c r="AO116" s="87"/>
      <c r="AP116" s="87"/>
      <c r="AQ116" s="87"/>
      <c r="AR116" s="87"/>
      <c r="AS116" s="87"/>
      <c r="AT116" s="87">
        <f>(0.7)*C116*-1</f>
        <v>-11.899999999999999</v>
      </c>
      <c r="AU116" s="87">
        <f>(-0.3*C116)</f>
        <v>-5.0999999999999996</v>
      </c>
      <c r="AV116" s="87">
        <f>AU116*-1</f>
        <v>5.0999999999999996</v>
      </c>
      <c r="AW116" s="87">
        <f>AT116*-1</f>
        <v>11.899999999999999</v>
      </c>
      <c r="AX116" s="87">
        <f>-(3/7)*C116</f>
        <v>-7.2857142857142856</v>
      </c>
      <c r="AY116" s="87">
        <f>-C116-AX116</f>
        <v>-9.7142857142857153</v>
      </c>
      <c r="AZ116" s="87">
        <f>-AX116</f>
        <v>7.2857142857142856</v>
      </c>
      <c r="BA116" s="87">
        <f>-AY116</f>
        <v>9.7142857142857153</v>
      </c>
      <c r="BB116" s="87"/>
      <c r="BC116" s="87"/>
      <c r="BD116" s="87"/>
      <c r="BE116" s="87"/>
      <c r="BF116" s="87"/>
      <c r="BG116" s="87"/>
      <c r="BH116" s="87"/>
      <c r="BI116" s="87"/>
      <c r="BJ116" s="87"/>
      <c r="BK116" s="87"/>
      <c r="BL116" s="87"/>
      <c r="BM116" s="87"/>
      <c r="BN116" s="87"/>
      <c r="BO116" s="87"/>
      <c r="BP116" s="87"/>
      <c r="BQ116" s="87"/>
      <c r="BR116" s="87"/>
      <c r="BS116" s="87"/>
      <c r="BT116" s="87"/>
      <c r="BU116" s="87"/>
      <c r="BV116" s="87"/>
      <c r="BW116" s="87"/>
      <c r="BX116" s="87"/>
      <c r="BY116" s="87"/>
      <c r="BZ116" s="87"/>
      <c r="CA116" s="87"/>
      <c r="CB116" s="87"/>
      <c r="CC116" s="87"/>
      <c r="CD116" s="87"/>
      <c r="CE116" s="87"/>
      <c r="CF116" s="87"/>
      <c r="CG116" s="87"/>
      <c r="CH116" s="87"/>
      <c r="CI116" s="87"/>
      <c r="CJ116" s="87"/>
      <c r="CK116" s="87"/>
      <c r="CL116" s="87"/>
      <c r="CM116" s="87"/>
      <c r="CN116" s="87"/>
      <c r="CO116" s="87"/>
      <c r="CP116" s="87"/>
      <c r="CQ116" s="87"/>
      <c r="CR116" s="87"/>
      <c r="CS116" s="87"/>
      <c r="CT116" s="87"/>
      <c r="CU116" s="87"/>
      <c r="CV116" s="87"/>
      <c r="CW116" s="87"/>
      <c r="CX116" s="87"/>
      <c r="CY116" s="87"/>
      <c r="CZ116" s="87"/>
      <c r="DA116" s="87"/>
      <c r="DB116" s="87"/>
      <c r="DC116" s="87"/>
      <c r="DD116" s="87"/>
      <c r="DE116" s="87"/>
      <c r="DF116" s="87"/>
      <c r="DG116" s="87"/>
      <c r="DH116" s="87"/>
      <c r="DI116" s="87"/>
      <c r="DJ116" s="87"/>
      <c r="DK116" s="87"/>
      <c r="DL116" s="87"/>
      <c r="DM116" s="87"/>
      <c r="DN116" s="87"/>
      <c r="DO116" s="87"/>
      <c r="DP116" s="87"/>
      <c r="DQ116" s="87"/>
      <c r="DR116" s="87"/>
      <c r="DS116" s="87"/>
      <c r="DT116" s="87"/>
      <c r="DU116" s="87"/>
      <c r="DV116" s="87"/>
      <c r="DW116" s="87"/>
      <c r="DX116" s="87"/>
      <c r="DY116" s="87"/>
      <c r="DZ116" s="87"/>
      <c r="EA116" s="87"/>
      <c r="EB116" s="87"/>
      <c r="EC116" s="87"/>
      <c r="ED116" s="87"/>
      <c r="EE116" s="87"/>
      <c r="EF116" s="87"/>
      <c r="EG116" s="75">
        <v>46017</v>
      </c>
      <c r="EH116" s="75">
        <v>46024</v>
      </c>
      <c r="EI116" s="75">
        <v>46031</v>
      </c>
    </row>
    <row r="117" spans="1:139" ht="16.5" hidden="1" thickBot="1" x14ac:dyDescent="0.35">
      <c r="A117" s="218" t="s">
        <v>194</v>
      </c>
      <c r="B117" s="194">
        <v>3</v>
      </c>
      <c r="C117" s="195">
        <f>19*0.85</f>
        <v>16.149999999999999</v>
      </c>
      <c r="D117" s="217">
        <f>C117/VLOOKUP(B117,'[2]Gas Prod per PADD'!$A$1:$C$6,2,FALSE)</f>
        <v>3.5108695652173909E-3</v>
      </c>
      <c r="E117" s="196">
        <v>45385</v>
      </c>
      <c r="F117" s="197">
        <v>45387</v>
      </c>
      <c r="G117" s="194" t="s">
        <v>309</v>
      </c>
      <c r="H117" s="198" t="s">
        <v>343</v>
      </c>
      <c r="I117" s="84"/>
      <c r="J117" s="85"/>
      <c r="K117" s="85"/>
      <c r="L117" s="85"/>
      <c r="M117" s="85">
        <f>C117*(E117-F117)/30</f>
        <v>-1.0766666666666667</v>
      </c>
      <c r="N117" s="85"/>
      <c r="O117" s="85"/>
      <c r="P117" s="85"/>
      <c r="Q117" s="85"/>
      <c r="R117" s="85"/>
      <c r="S117" s="85"/>
      <c r="T117" s="85"/>
      <c r="U117" s="85"/>
      <c r="V117" s="84"/>
      <c r="W117" s="84"/>
      <c r="X117" s="84" t="str">
        <f t="shared" si="5"/>
        <v>OK</v>
      </c>
      <c r="Y117" s="87"/>
      <c r="Z117" s="87"/>
      <c r="AA117" s="87"/>
      <c r="AB117" s="87"/>
      <c r="AC117" s="87"/>
      <c r="AD117" s="87"/>
      <c r="AE117" s="87"/>
      <c r="AF117" s="87"/>
      <c r="AG117" s="87"/>
      <c r="AH117" s="87"/>
      <c r="AI117" s="87"/>
      <c r="AJ117" s="87"/>
      <c r="AK117" s="87"/>
      <c r="AL117" s="87"/>
      <c r="AM117" s="87"/>
      <c r="AN117" s="87"/>
      <c r="AO117" s="87"/>
      <c r="AP117" s="87"/>
      <c r="AQ117" s="87"/>
      <c r="AR117" s="87"/>
      <c r="AS117" s="87"/>
      <c r="AT117" s="87"/>
      <c r="AU117" s="87"/>
      <c r="AV117" s="87">
        <f>-C117*3/7</f>
        <v>-6.9214285714285708</v>
      </c>
      <c r="AW117" s="87">
        <f>-AV117</f>
        <v>6.9214285714285708</v>
      </c>
      <c r="AX117" s="87"/>
      <c r="AY117" s="87"/>
      <c r="AZ117" s="87"/>
      <c r="BA117" s="87"/>
      <c r="BB117" s="87"/>
      <c r="BC117" s="87"/>
      <c r="BD117" s="87"/>
      <c r="BE117" s="87"/>
      <c r="BF117" s="87"/>
      <c r="BG117" s="87"/>
      <c r="BH117" s="87"/>
      <c r="BI117" s="87"/>
      <c r="BJ117" s="87"/>
      <c r="BK117" s="87"/>
      <c r="BL117" s="87"/>
      <c r="BM117" s="87"/>
      <c r="BN117" s="87"/>
      <c r="BO117" s="87"/>
      <c r="BP117" s="87"/>
      <c r="BQ117" s="87"/>
      <c r="BR117" s="87"/>
      <c r="BS117" s="87"/>
      <c r="BT117" s="87"/>
      <c r="BU117" s="87"/>
      <c r="BV117" s="87"/>
      <c r="BW117" s="87"/>
      <c r="BX117" s="87"/>
      <c r="BY117" s="87"/>
      <c r="BZ117" s="87"/>
      <c r="CA117" s="87"/>
      <c r="CB117" s="87"/>
      <c r="CC117" s="87"/>
      <c r="CD117" s="87"/>
      <c r="CE117" s="87"/>
      <c r="CF117" s="87"/>
      <c r="CG117" s="87"/>
      <c r="CH117" s="87"/>
      <c r="CI117" s="87"/>
      <c r="CJ117" s="87"/>
      <c r="CK117" s="87"/>
      <c r="CL117" s="87"/>
      <c r="CM117" s="87"/>
      <c r="CN117" s="87"/>
      <c r="CO117" s="87"/>
      <c r="CP117" s="87"/>
      <c r="CQ117" s="87"/>
      <c r="CR117" s="87"/>
      <c r="CS117" s="87"/>
      <c r="CT117" s="87"/>
      <c r="CU117" s="87"/>
      <c r="CV117" s="87"/>
      <c r="CW117" s="87"/>
      <c r="CX117" s="87"/>
      <c r="CY117" s="87"/>
      <c r="CZ117" s="87"/>
      <c r="DA117" s="87"/>
      <c r="DB117" s="87"/>
      <c r="DC117" s="87"/>
      <c r="DD117" s="87"/>
      <c r="DE117" s="87"/>
      <c r="DF117" s="87"/>
      <c r="DG117" s="87"/>
      <c r="DH117" s="87"/>
      <c r="DI117" s="87"/>
      <c r="DJ117" s="87"/>
      <c r="DK117" s="87"/>
      <c r="DL117" s="87"/>
      <c r="DM117" s="87"/>
      <c r="DN117" s="87"/>
      <c r="DO117" s="87"/>
      <c r="DP117" s="87"/>
      <c r="DQ117" s="87"/>
      <c r="DR117" s="87"/>
      <c r="DS117" s="87"/>
      <c r="DT117" s="87"/>
      <c r="DU117" s="87"/>
      <c r="DV117" s="87"/>
      <c r="DW117" s="87"/>
      <c r="DX117" s="87"/>
      <c r="DY117" s="87"/>
      <c r="DZ117" s="87"/>
      <c r="EA117" s="87"/>
      <c r="EB117" s="87"/>
      <c r="EC117" s="87"/>
      <c r="ED117" s="87"/>
      <c r="EE117" s="87"/>
      <c r="EF117" s="87"/>
      <c r="EG117" s="87"/>
      <c r="EH117" s="87"/>
      <c r="EI117" s="87"/>
    </row>
    <row r="118" spans="1:139" ht="16.5" thickBot="1" x14ac:dyDescent="0.35">
      <c r="A118" s="190" t="s">
        <v>149</v>
      </c>
      <c r="B118" s="176">
        <v>3</v>
      </c>
      <c r="C118" s="177">
        <f>65*0.85</f>
        <v>55.25</v>
      </c>
      <c r="D118" s="217">
        <f>C118/VLOOKUP(B118,'[2]Gas Prod per PADD'!$A$1:$C$6,2,FALSE)</f>
        <v>1.2010869565217391E-2</v>
      </c>
      <c r="E118" s="178">
        <v>45368</v>
      </c>
      <c r="F118" s="179">
        <v>45388</v>
      </c>
      <c r="G118" s="180" t="s">
        <v>197</v>
      </c>
      <c r="H118" s="181" t="s">
        <v>344</v>
      </c>
      <c r="I118" s="84"/>
      <c r="J118" s="85"/>
      <c r="K118" s="85"/>
      <c r="L118" s="85">
        <f>C118*(E118-$L$1)/31</f>
        <v>-24.951612903225808</v>
      </c>
      <c r="M118" s="85">
        <f>C118*($L$1-F118)/30</f>
        <v>-11.05</v>
      </c>
      <c r="N118" s="85"/>
      <c r="O118" s="85"/>
      <c r="P118" s="85"/>
      <c r="Q118" s="85"/>
      <c r="R118" s="85"/>
      <c r="S118" s="85"/>
      <c r="T118" s="85"/>
      <c r="U118" s="85"/>
      <c r="V118" s="84"/>
      <c r="W118" s="84"/>
      <c r="X118" s="84" t="str">
        <f t="shared" si="5"/>
        <v>OK</v>
      </c>
      <c r="Y118" s="105"/>
      <c r="Z118" s="105"/>
      <c r="AA118" s="87"/>
      <c r="AB118" s="87"/>
      <c r="AC118" s="87"/>
      <c r="AD118" s="87"/>
      <c r="AE118" s="105"/>
      <c r="AF118" s="105"/>
      <c r="AG118" s="105"/>
      <c r="AH118" s="105"/>
      <c r="AI118" s="87"/>
      <c r="AJ118" s="87"/>
      <c r="AK118" s="105"/>
      <c r="AL118" s="87"/>
      <c r="AM118" s="87"/>
      <c r="AN118" s="87"/>
      <c r="AO118" s="87"/>
      <c r="AP118" s="87"/>
      <c r="AQ118" s="105"/>
      <c r="AR118" s="87"/>
      <c r="AS118" s="87">
        <f>(-4/7)*C118*(3/4)</f>
        <v>-23.678571428571427</v>
      </c>
      <c r="AT118" s="87">
        <f>((-4/7)*$C118*(1/4))+((-3/7)*$C118)</f>
        <v>-31.571428571428569</v>
      </c>
      <c r="AU118" s="87"/>
      <c r="AV118" s="87">
        <f>(6/7)*$C118*(2/3)</f>
        <v>31.571428571428569</v>
      </c>
      <c r="AW118" s="87">
        <f>(-1*(SUM(AS118:AU118)))-AV118</f>
        <v>23.678571428571431</v>
      </c>
      <c r="AX118" s="87"/>
      <c r="AY118" s="87"/>
      <c r="AZ118" s="87"/>
      <c r="BA118" s="87"/>
      <c r="BB118" s="87"/>
      <c r="BC118" s="87"/>
      <c r="BD118" s="87"/>
      <c r="BE118" s="87"/>
      <c r="BF118" s="87"/>
      <c r="BG118" s="87"/>
      <c r="BH118" s="87"/>
      <c r="BI118" s="87"/>
      <c r="BJ118" s="87"/>
      <c r="BK118" s="87"/>
      <c r="BL118" s="87"/>
      <c r="BM118" s="87"/>
      <c r="BN118" s="87"/>
      <c r="BO118" s="87"/>
      <c r="BP118" s="87"/>
      <c r="BQ118" s="87"/>
      <c r="BR118" s="87"/>
      <c r="BS118" s="87"/>
      <c r="BT118" s="87"/>
      <c r="BU118" s="87"/>
      <c r="BV118" s="87"/>
      <c r="BW118" s="87"/>
      <c r="BX118" s="87"/>
      <c r="BY118" s="87"/>
      <c r="BZ118" s="87"/>
      <c r="CA118" s="87"/>
      <c r="CB118" s="87"/>
      <c r="CC118" s="87"/>
      <c r="CD118" s="87"/>
      <c r="CE118" s="87"/>
      <c r="CF118" s="87"/>
      <c r="CG118" s="87"/>
      <c r="CH118" s="87"/>
      <c r="CI118" s="87"/>
      <c r="CJ118" s="87"/>
      <c r="CK118" s="87"/>
      <c r="CL118" s="87"/>
      <c r="CM118" s="87"/>
      <c r="CN118" s="87"/>
      <c r="CO118" s="87"/>
      <c r="CP118" s="87"/>
      <c r="CQ118" s="87"/>
      <c r="CR118" s="87"/>
      <c r="CS118" s="87"/>
      <c r="CT118" s="87"/>
      <c r="CU118" s="87"/>
      <c r="CV118" s="87"/>
      <c r="CW118" s="87"/>
      <c r="CX118" s="87"/>
      <c r="CY118" s="87"/>
      <c r="CZ118" s="87"/>
      <c r="DA118" s="87"/>
      <c r="DB118" s="87"/>
      <c r="DC118" s="87"/>
      <c r="DD118" s="87"/>
      <c r="DE118" s="87"/>
      <c r="DF118" s="87"/>
      <c r="DG118" s="87"/>
      <c r="DH118" s="87"/>
      <c r="DI118" s="87"/>
      <c r="DJ118" s="87"/>
      <c r="DK118" s="87"/>
      <c r="DL118" s="87"/>
      <c r="DM118" s="87"/>
      <c r="DN118" s="87"/>
      <c r="DO118" s="87"/>
      <c r="DP118" s="87"/>
      <c r="DQ118" s="87"/>
      <c r="DR118" s="87"/>
      <c r="DS118" s="87"/>
      <c r="DT118" s="87"/>
      <c r="DU118" s="87"/>
      <c r="DV118" s="87"/>
      <c r="DW118" s="87"/>
      <c r="DX118" s="87"/>
      <c r="DY118" s="87"/>
      <c r="DZ118" s="87"/>
      <c r="EA118" s="87"/>
      <c r="EB118" s="87"/>
      <c r="EC118" s="87"/>
      <c r="ED118" s="87"/>
      <c r="EE118" s="87"/>
      <c r="EF118" s="87"/>
      <c r="EG118" s="87"/>
      <c r="EH118" s="87"/>
      <c r="EI118" s="87"/>
    </row>
    <row r="119" spans="1:139" ht="29.25" thickBot="1" x14ac:dyDescent="0.35">
      <c r="A119" s="222" t="s">
        <v>345</v>
      </c>
      <c r="B119" s="176">
        <v>3</v>
      </c>
      <c r="C119" s="177">
        <f>0.12*115.7</f>
        <v>13.884</v>
      </c>
      <c r="D119" s="217">
        <f>C119/VLOOKUP(B119,'[2]Gas Prod per PADD'!$A$1:$C$6,2,FALSE)</f>
        <v>3.0182608695652176E-3</v>
      </c>
      <c r="E119" s="178">
        <v>45370</v>
      </c>
      <c r="F119" s="179">
        <v>45390</v>
      </c>
      <c r="G119" s="180" t="s">
        <v>346</v>
      </c>
      <c r="H119" s="181" t="s">
        <v>347</v>
      </c>
      <c r="I119" s="84"/>
      <c r="J119" s="85"/>
      <c r="K119" s="85"/>
      <c r="L119" s="85">
        <f>C119*(E119-$L$1)/31</f>
        <v>-5.3744516129032256</v>
      </c>
      <c r="M119" s="85">
        <f>C119*($L$1-F119)/30</f>
        <v>-3.7023999999999999</v>
      </c>
      <c r="N119" s="85"/>
      <c r="O119" s="85"/>
      <c r="P119" s="85"/>
      <c r="Q119" s="85"/>
      <c r="R119" s="85"/>
      <c r="S119" s="85"/>
      <c r="T119" s="85"/>
      <c r="U119" s="85"/>
      <c r="V119" s="84"/>
      <c r="W119" s="84"/>
      <c r="X119" s="84" t="str">
        <f t="shared" si="5"/>
        <v>OK</v>
      </c>
      <c r="Y119" s="105"/>
      <c r="Z119" s="105"/>
      <c r="AA119" s="87"/>
      <c r="AB119" s="87"/>
      <c r="AC119" s="87"/>
      <c r="AD119" s="87"/>
      <c r="AE119" s="105"/>
      <c r="AF119" s="105"/>
      <c r="AG119" s="105"/>
      <c r="AH119" s="105"/>
      <c r="AI119" s="87"/>
      <c r="AJ119" s="87"/>
      <c r="AK119" s="105"/>
      <c r="AL119" s="87"/>
      <c r="AM119" s="105"/>
      <c r="AN119" s="105"/>
      <c r="AO119" s="87"/>
      <c r="AP119" s="87"/>
      <c r="AQ119" s="105"/>
      <c r="AR119" s="105"/>
      <c r="AS119" s="87">
        <v>-3</v>
      </c>
      <c r="AT119" s="105">
        <f>C119*-1-AS119</f>
        <v>-10.884</v>
      </c>
      <c r="AU119" s="87"/>
      <c r="AV119" s="87"/>
      <c r="AW119" s="87"/>
      <c r="AX119" s="87"/>
      <c r="AY119" s="87"/>
      <c r="AZ119" s="87"/>
      <c r="BA119" s="87"/>
      <c r="BB119" s="87"/>
      <c r="BC119" s="87"/>
      <c r="BD119" s="87"/>
      <c r="BE119" s="87"/>
      <c r="BF119" s="87"/>
      <c r="BG119" s="87"/>
      <c r="BH119" s="87"/>
      <c r="BI119" s="87"/>
      <c r="BJ119" s="87"/>
      <c r="BK119" s="87"/>
      <c r="BL119" s="87"/>
      <c r="BM119" s="87"/>
      <c r="BN119" s="87"/>
      <c r="BO119" s="87"/>
      <c r="BP119" s="87"/>
      <c r="BQ119" s="87"/>
      <c r="BR119" s="87"/>
      <c r="BS119" s="87"/>
      <c r="BT119" s="87"/>
      <c r="BU119" s="87"/>
      <c r="BV119" s="87"/>
      <c r="BW119" s="87"/>
      <c r="BX119" s="87"/>
      <c r="BY119" s="87"/>
      <c r="BZ119" s="87"/>
      <c r="CA119" s="87"/>
      <c r="CB119" s="87"/>
      <c r="CC119" s="87"/>
      <c r="CD119" s="87"/>
      <c r="CE119" s="87"/>
      <c r="CF119" s="87"/>
      <c r="CG119" s="87"/>
      <c r="CH119" s="87"/>
      <c r="CI119" s="87"/>
      <c r="CJ119" s="87"/>
      <c r="CK119" s="87"/>
      <c r="CL119" s="87"/>
      <c r="CM119" s="87"/>
      <c r="CN119" s="87"/>
      <c r="CO119" s="87"/>
      <c r="CP119" s="87"/>
      <c r="CQ119" s="87"/>
      <c r="CR119" s="87"/>
      <c r="CS119" s="87"/>
      <c r="CT119" s="87"/>
      <c r="CU119" s="87"/>
      <c r="CV119" s="87"/>
      <c r="CW119" s="87"/>
      <c r="CX119" s="87"/>
      <c r="CY119" s="87"/>
      <c r="CZ119" s="87"/>
      <c r="DA119" s="87"/>
      <c r="DB119" s="87"/>
      <c r="DC119" s="87"/>
      <c r="DD119" s="87"/>
      <c r="DE119" s="87"/>
      <c r="DF119" s="87"/>
      <c r="DG119" s="87"/>
      <c r="DH119" s="87"/>
      <c r="DI119" s="87"/>
      <c r="DJ119" s="87"/>
      <c r="DK119" s="87"/>
      <c r="DL119" s="87"/>
      <c r="DM119" s="87"/>
      <c r="DN119" s="87"/>
      <c r="DO119" s="87"/>
      <c r="DP119" s="87"/>
      <c r="DQ119" s="87"/>
      <c r="DR119" s="87"/>
      <c r="DS119" s="87"/>
      <c r="DT119" s="87"/>
      <c r="DU119" s="87"/>
      <c r="DV119" s="87"/>
      <c r="DW119" s="87"/>
      <c r="DX119" s="87"/>
      <c r="DY119" s="87"/>
      <c r="DZ119" s="87"/>
      <c r="EA119" s="87"/>
      <c r="EB119" s="87"/>
      <c r="EC119" s="87"/>
      <c r="ED119" s="87"/>
      <c r="EE119" s="87"/>
      <c r="EF119" s="87"/>
      <c r="EG119" s="87"/>
      <c r="EH119" s="87"/>
      <c r="EI119" s="87"/>
    </row>
    <row r="120" spans="1:139" ht="16.5" thickBot="1" x14ac:dyDescent="0.35">
      <c r="A120" s="218" t="s">
        <v>348</v>
      </c>
      <c r="B120" s="194">
        <v>2</v>
      </c>
      <c r="C120" s="195"/>
      <c r="D120" s="217">
        <f>C120/VLOOKUP(B120,'[2]Gas Prod per PADD'!$A$1:$C$6,2,FALSE)</f>
        <v>0</v>
      </c>
      <c r="E120" s="196">
        <v>45345</v>
      </c>
      <c r="F120" s="197">
        <v>45392</v>
      </c>
      <c r="G120" s="194" t="s">
        <v>349</v>
      </c>
      <c r="H120" s="198"/>
      <c r="I120" s="84"/>
      <c r="J120" s="85"/>
      <c r="K120" s="85">
        <f>C120*(E120-$K$1)/29</f>
        <v>0</v>
      </c>
      <c r="L120" s="85"/>
      <c r="M120" s="85">
        <f>C120*($L$1-F120)/30</f>
        <v>0</v>
      </c>
      <c r="N120" s="85"/>
      <c r="O120" s="85"/>
      <c r="P120" s="85"/>
      <c r="Q120" s="85"/>
      <c r="R120" s="85"/>
      <c r="S120" s="85"/>
      <c r="T120" s="85"/>
      <c r="U120" s="85"/>
      <c r="V120" s="84"/>
      <c r="W120" s="84"/>
      <c r="X120" s="84" t="str">
        <f t="shared" si="5"/>
        <v>OK</v>
      </c>
      <c r="Y120" s="87"/>
      <c r="Z120" s="87"/>
      <c r="AA120" s="87"/>
      <c r="AB120" s="87"/>
      <c r="AC120" s="87"/>
      <c r="AD120" s="87"/>
      <c r="AE120" s="87"/>
      <c r="AF120" s="87"/>
      <c r="AG120" s="87"/>
      <c r="AH120" s="87"/>
      <c r="AI120" s="87"/>
      <c r="AJ120" s="87"/>
      <c r="AK120" s="87"/>
      <c r="AL120" s="87"/>
      <c r="AM120" s="87"/>
      <c r="AN120" s="87"/>
      <c r="AO120" s="87"/>
      <c r="AP120" s="87"/>
      <c r="AQ120" s="87"/>
      <c r="AR120" s="87"/>
      <c r="AS120" s="87"/>
      <c r="AT120" s="87"/>
      <c r="AU120" s="87"/>
      <c r="AV120" s="87"/>
      <c r="AW120" s="87">
        <f>30*0.25/2</f>
        <v>3.75</v>
      </c>
      <c r="AX120" s="87">
        <f>AW120</f>
        <v>3.75</v>
      </c>
      <c r="AY120" s="87"/>
      <c r="AZ120" s="87"/>
      <c r="BA120" s="87"/>
      <c r="BB120" s="87"/>
      <c r="BC120" s="87"/>
      <c r="BD120" s="87"/>
      <c r="BE120" s="87"/>
      <c r="BF120" s="87"/>
      <c r="BG120" s="87"/>
      <c r="BH120" s="87"/>
      <c r="BI120" s="87"/>
      <c r="BJ120" s="87"/>
      <c r="BK120" s="87"/>
      <c r="BL120" s="87"/>
      <c r="BM120" s="87"/>
      <c r="BN120" s="87"/>
      <c r="BO120" s="87"/>
      <c r="BP120" s="87"/>
      <c r="BQ120" s="87"/>
      <c r="BR120" s="87"/>
      <c r="BS120" s="87"/>
      <c r="BT120" s="87"/>
      <c r="BU120" s="87"/>
      <c r="BV120" s="87"/>
      <c r="BW120" s="87"/>
      <c r="BX120" s="87"/>
      <c r="BY120" s="87"/>
      <c r="BZ120" s="87"/>
      <c r="CA120" s="87"/>
      <c r="CB120" s="87"/>
      <c r="CC120" s="87"/>
      <c r="CD120" s="87"/>
      <c r="CE120" s="87"/>
      <c r="CF120" s="87"/>
      <c r="CG120" s="87"/>
      <c r="CH120" s="87"/>
      <c r="CI120" s="87"/>
      <c r="CJ120" s="87"/>
      <c r="CK120" s="87"/>
      <c r="CL120" s="87"/>
      <c r="CM120" s="87"/>
      <c r="CN120" s="87"/>
      <c r="CO120" s="87"/>
      <c r="CP120" s="87"/>
      <c r="CQ120" s="87"/>
      <c r="CR120" s="87"/>
      <c r="CS120" s="87"/>
      <c r="CT120" s="87"/>
      <c r="CU120" s="87"/>
      <c r="CV120" s="87"/>
      <c r="CW120" s="87"/>
      <c r="CX120" s="87"/>
      <c r="CY120" s="87"/>
      <c r="CZ120" s="87"/>
      <c r="DA120" s="87"/>
      <c r="DB120" s="87"/>
      <c r="DC120" s="87"/>
      <c r="DD120" s="87"/>
      <c r="DE120" s="87"/>
      <c r="DF120" s="87"/>
      <c r="DG120" s="87"/>
      <c r="DH120" s="87"/>
      <c r="DI120" s="87"/>
      <c r="DJ120" s="87"/>
      <c r="DK120" s="87"/>
      <c r="DL120" s="87"/>
      <c r="DM120" s="87"/>
      <c r="DN120" s="87"/>
      <c r="DO120" s="87"/>
      <c r="DP120" s="87"/>
      <c r="DQ120" s="87"/>
      <c r="DR120" s="87"/>
      <c r="DS120" s="87"/>
      <c r="DT120" s="87"/>
      <c r="DU120" s="87"/>
      <c r="DV120" s="87"/>
      <c r="DW120" s="87"/>
      <c r="DX120" s="87"/>
      <c r="DY120" s="87"/>
      <c r="DZ120" s="87"/>
      <c r="EA120" s="87"/>
      <c r="EB120" s="87"/>
      <c r="EC120" s="87"/>
      <c r="ED120" s="87"/>
      <c r="EE120" s="87"/>
      <c r="EF120" s="87"/>
      <c r="EG120" s="87"/>
      <c r="EH120" s="87"/>
      <c r="EI120" s="87"/>
    </row>
    <row r="121" spans="1:139" ht="29.25" thickBot="1" x14ac:dyDescent="0.35">
      <c r="A121" s="222" t="s">
        <v>294</v>
      </c>
      <c r="B121" s="223">
        <v>3</v>
      </c>
      <c r="C121" s="224">
        <f>60*0.23</f>
        <v>13.8</v>
      </c>
      <c r="D121" s="217">
        <f>C121/VLOOKUP(B121,'[2]Gas Prod per PADD'!$A$1:$C$6,2,FALSE)</f>
        <v>3.0000000000000001E-3</v>
      </c>
      <c r="E121" s="225">
        <v>45380</v>
      </c>
      <c r="F121" s="226">
        <v>45394</v>
      </c>
      <c r="G121" s="180" t="s">
        <v>350</v>
      </c>
      <c r="H121" s="221" t="s">
        <v>216</v>
      </c>
      <c r="I121" s="84"/>
      <c r="J121" s="85"/>
      <c r="K121" s="85"/>
      <c r="L121" s="85">
        <f>C121*(E121-$L$1)/31</f>
        <v>-0.89032258064516134</v>
      </c>
      <c r="M121" s="85">
        <f>C121*($L$1-F121)/30</f>
        <v>-5.5200000000000005</v>
      </c>
      <c r="N121" s="85"/>
      <c r="O121" s="85"/>
      <c r="P121" s="85"/>
      <c r="Q121" s="85"/>
      <c r="R121" s="85"/>
      <c r="S121" s="85"/>
      <c r="T121" s="85"/>
      <c r="U121" s="85"/>
      <c r="V121" s="84"/>
      <c r="W121" s="84"/>
      <c r="X121" s="84" t="str">
        <f t="shared" si="5"/>
        <v>OK</v>
      </c>
      <c r="Y121" s="105"/>
      <c r="Z121" s="105"/>
      <c r="AA121" s="87"/>
      <c r="AB121" s="87"/>
      <c r="AC121" s="87"/>
      <c r="AD121" s="87"/>
      <c r="AE121" s="105"/>
      <c r="AF121" s="105"/>
      <c r="AG121" s="105"/>
      <c r="AH121" s="105"/>
      <c r="AI121" s="87"/>
      <c r="AJ121" s="87"/>
      <c r="AK121" s="105"/>
      <c r="AL121" s="87"/>
      <c r="AM121" s="105"/>
      <c r="AN121" s="105"/>
      <c r="AO121" s="87"/>
      <c r="AP121" s="87"/>
      <c r="AQ121" s="105"/>
      <c r="AR121" s="105"/>
      <c r="AS121" s="87"/>
      <c r="AT121" s="105"/>
      <c r="AU121" s="87">
        <f>-C121/2</f>
        <v>-6.9</v>
      </c>
      <c r="AV121" s="105">
        <f>AU121</f>
        <v>-6.9</v>
      </c>
      <c r="AW121" s="105">
        <f>-AU121</f>
        <v>6.9</v>
      </c>
      <c r="AX121" s="105">
        <f>AW121</f>
        <v>6.9</v>
      </c>
      <c r="AY121" s="87"/>
      <c r="AZ121" s="105"/>
      <c r="BA121" s="105"/>
      <c r="BB121" s="105"/>
      <c r="BC121" s="105"/>
      <c r="BD121" s="87"/>
      <c r="BE121" s="87"/>
      <c r="BF121" s="87"/>
      <c r="BG121" s="87"/>
      <c r="BH121" s="87"/>
      <c r="BI121" s="87"/>
      <c r="BJ121" s="87"/>
      <c r="BK121" s="87"/>
      <c r="BL121" s="87"/>
      <c r="BM121" s="87"/>
      <c r="BN121" s="87"/>
      <c r="BO121" s="87"/>
      <c r="BP121" s="87"/>
      <c r="BQ121" s="87"/>
      <c r="BR121" s="87"/>
      <c r="BS121" s="87"/>
      <c r="BT121" s="87"/>
      <c r="BU121" s="87"/>
      <c r="BV121" s="87"/>
      <c r="BW121" s="87"/>
      <c r="BX121" s="87"/>
      <c r="BY121" s="87"/>
      <c r="BZ121" s="87"/>
      <c r="CA121" s="87"/>
      <c r="CB121" s="87"/>
      <c r="CC121" s="87"/>
      <c r="CD121" s="87"/>
      <c r="CE121" s="87"/>
      <c r="CF121" s="87"/>
      <c r="CG121" s="87"/>
      <c r="CH121" s="87"/>
      <c r="CI121" s="87"/>
      <c r="CJ121" s="87"/>
      <c r="CK121" s="87"/>
      <c r="CL121" s="87"/>
      <c r="CM121" s="87"/>
      <c r="CN121" s="87"/>
      <c r="CO121" s="87"/>
      <c r="CP121" s="87"/>
      <c r="CQ121" s="87"/>
      <c r="CR121" s="87"/>
      <c r="CS121" s="87"/>
      <c r="CT121" s="87"/>
      <c r="CU121" s="87"/>
      <c r="CV121" s="87"/>
      <c r="CW121" s="87"/>
      <c r="CX121" s="87"/>
      <c r="CY121" s="87"/>
      <c r="CZ121" s="87"/>
      <c r="DA121" s="87"/>
      <c r="DB121" s="87"/>
      <c r="DC121" s="87"/>
      <c r="DD121" s="87"/>
      <c r="DE121" s="87"/>
      <c r="DF121" s="87"/>
      <c r="DG121" s="87"/>
      <c r="DH121" s="87"/>
      <c r="DI121" s="87"/>
      <c r="DJ121" s="87"/>
      <c r="DK121" s="87"/>
      <c r="DL121" s="87"/>
      <c r="DM121" s="87"/>
      <c r="DN121" s="87"/>
      <c r="DO121" s="87"/>
      <c r="DP121" s="87"/>
      <c r="DQ121" s="87"/>
      <c r="DR121" s="87"/>
      <c r="DS121" s="87"/>
      <c r="DT121" s="87"/>
      <c r="DU121" s="87"/>
      <c r="DV121" s="87"/>
      <c r="DW121" s="87"/>
      <c r="DX121" s="87"/>
      <c r="DY121" s="87"/>
      <c r="DZ121" s="87"/>
      <c r="EA121" s="87"/>
      <c r="EB121" s="87"/>
      <c r="EC121" s="87"/>
      <c r="ED121" s="87"/>
      <c r="EE121" s="87"/>
      <c r="EF121" s="87"/>
      <c r="EG121" s="87"/>
      <c r="EH121" s="87"/>
      <c r="EI121" s="87"/>
    </row>
    <row r="122" spans="1:139" ht="16.5" hidden="1" thickBot="1" x14ac:dyDescent="0.35">
      <c r="A122" s="222" t="s">
        <v>152</v>
      </c>
      <c r="B122" s="223">
        <v>3</v>
      </c>
      <c r="C122" s="224">
        <f>97*0.24</f>
        <v>23.279999999999998</v>
      </c>
      <c r="D122" s="217">
        <f>C122/VLOOKUP(B122,'[2]Gas Prod per PADD'!$A$1:$C$6,2,FALSE)</f>
        <v>5.0608695652173911E-3</v>
      </c>
      <c r="E122" s="225">
        <v>45384</v>
      </c>
      <c r="F122" s="226">
        <v>45394</v>
      </c>
      <c r="G122" s="180" t="s">
        <v>351</v>
      </c>
      <c r="H122" s="221" t="s">
        <v>216</v>
      </c>
      <c r="I122" s="84"/>
      <c r="J122" s="85"/>
      <c r="K122" s="85"/>
      <c r="L122" s="85"/>
      <c r="M122" s="85">
        <f>C122*(E122-F122)/30</f>
        <v>-7.76</v>
      </c>
      <c r="N122" s="85"/>
      <c r="O122" s="85"/>
      <c r="P122" s="85"/>
      <c r="Q122" s="85"/>
      <c r="R122" s="85"/>
      <c r="S122" s="85"/>
      <c r="T122" s="85"/>
      <c r="U122" s="85"/>
      <c r="V122" s="84"/>
      <c r="W122" s="84"/>
      <c r="X122" s="84" t="str">
        <f t="shared" si="5"/>
        <v>OK</v>
      </c>
      <c r="Y122" s="105"/>
      <c r="Z122" s="105"/>
      <c r="AA122" s="87"/>
      <c r="AB122" s="87"/>
      <c r="AC122" s="87"/>
      <c r="AD122" s="87"/>
      <c r="AE122" s="105"/>
      <c r="AF122" s="105"/>
      <c r="AG122" s="105"/>
      <c r="AH122" s="105"/>
      <c r="AI122" s="87"/>
      <c r="AJ122" s="87"/>
      <c r="AK122" s="105"/>
      <c r="AL122" s="87"/>
      <c r="AM122" s="105"/>
      <c r="AN122" s="105"/>
      <c r="AO122" s="87"/>
      <c r="AP122" s="87"/>
      <c r="AQ122" s="105"/>
      <c r="AR122" s="105"/>
      <c r="AS122" s="87"/>
      <c r="AT122" s="105"/>
      <c r="AU122" s="87"/>
      <c r="AV122" s="105">
        <f>-C122/2</f>
        <v>-11.639999999999999</v>
      </c>
      <c r="AW122" s="105">
        <f>AV122</f>
        <v>-11.639999999999999</v>
      </c>
      <c r="AX122" s="105">
        <f>-AV122</f>
        <v>11.639999999999999</v>
      </c>
      <c r="AY122" s="105">
        <f>AX122</f>
        <v>11.639999999999999</v>
      </c>
      <c r="AZ122" s="105"/>
      <c r="BA122" s="105"/>
      <c r="BB122" s="105"/>
      <c r="BC122" s="105"/>
      <c r="BD122" s="87"/>
      <c r="BE122" s="87"/>
      <c r="BF122" s="87"/>
      <c r="BG122" s="87"/>
      <c r="BH122" s="87"/>
      <c r="BI122" s="87"/>
      <c r="BJ122" s="87"/>
      <c r="BK122" s="87"/>
      <c r="BL122" s="87"/>
      <c r="BM122" s="87"/>
      <c r="BN122" s="87"/>
      <c r="BO122" s="87"/>
      <c r="BP122" s="87"/>
      <c r="BQ122" s="87"/>
      <c r="BR122" s="87"/>
      <c r="BS122" s="87"/>
      <c r="BT122" s="87"/>
      <c r="BU122" s="87"/>
      <c r="BV122" s="87"/>
      <c r="BW122" s="87"/>
      <c r="BX122" s="87"/>
      <c r="BY122" s="87"/>
      <c r="BZ122" s="87"/>
      <c r="CA122" s="87"/>
      <c r="CB122" s="87"/>
      <c r="CC122" s="87"/>
      <c r="CD122" s="87"/>
      <c r="CE122" s="87"/>
      <c r="CF122" s="87"/>
      <c r="CG122" s="87"/>
      <c r="CH122" s="87"/>
      <c r="CI122" s="87"/>
      <c r="CJ122" s="87"/>
      <c r="CK122" s="87"/>
      <c r="CL122" s="87"/>
      <c r="CM122" s="87"/>
      <c r="CN122" s="87"/>
      <c r="CO122" s="87"/>
      <c r="CP122" s="87"/>
      <c r="CQ122" s="87"/>
      <c r="CR122" s="87"/>
      <c r="CS122" s="87"/>
      <c r="CT122" s="87"/>
      <c r="CU122" s="87"/>
      <c r="CV122" s="87"/>
      <c r="CW122" s="87"/>
      <c r="CX122" s="87"/>
      <c r="CY122" s="87"/>
      <c r="CZ122" s="87"/>
      <c r="DA122" s="87"/>
      <c r="DB122" s="87"/>
      <c r="DC122" s="87"/>
      <c r="DD122" s="87"/>
      <c r="DE122" s="87"/>
      <c r="DF122" s="87"/>
      <c r="DG122" s="87"/>
      <c r="DH122" s="87"/>
      <c r="DI122" s="87"/>
      <c r="DJ122" s="87"/>
      <c r="DK122" s="87"/>
      <c r="DL122" s="87"/>
      <c r="DM122" s="87"/>
      <c r="DN122" s="87"/>
      <c r="DO122" s="87"/>
      <c r="DP122" s="87"/>
      <c r="DQ122" s="87"/>
      <c r="DR122" s="87"/>
      <c r="DS122" s="87"/>
      <c r="DT122" s="87"/>
      <c r="DU122" s="87"/>
      <c r="DV122" s="87"/>
      <c r="DW122" s="87"/>
      <c r="DX122" s="87"/>
      <c r="DY122" s="87"/>
      <c r="DZ122" s="87"/>
      <c r="EA122" s="87"/>
      <c r="EB122" s="87"/>
      <c r="EC122" s="87"/>
      <c r="ED122" s="87"/>
      <c r="EE122" s="87"/>
      <c r="EF122" s="87"/>
      <c r="EG122" s="87"/>
      <c r="EH122" s="87"/>
      <c r="EI122" s="87"/>
    </row>
    <row r="123" spans="1:139" ht="16.5" hidden="1" thickBot="1" x14ac:dyDescent="0.35">
      <c r="A123" s="113" t="s">
        <v>352</v>
      </c>
      <c r="B123" s="194">
        <v>5</v>
      </c>
      <c r="C123" s="195"/>
      <c r="D123" s="217">
        <f>C123/VLOOKUP(B123,'[2]Gas Prod per PADD'!$A$1:$C$6,2,FALSE)</f>
        <v>0</v>
      </c>
      <c r="E123" s="196">
        <v>45385</v>
      </c>
      <c r="F123" s="197">
        <v>45394</v>
      </c>
      <c r="G123" s="194" t="s">
        <v>353</v>
      </c>
      <c r="H123" s="198" t="s">
        <v>354</v>
      </c>
      <c r="I123" s="84"/>
      <c r="J123" s="85"/>
      <c r="K123" s="85"/>
      <c r="L123" s="85"/>
      <c r="M123" s="85">
        <f>C123*(E123-F123)/30</f>
        <v>0</v>
      </c>
      <c r="N123" s="85"/>
      <c r="O123" s="85"/>
      <c r="P123" s="85"/>
      <c r="Q123" s="85"/>
      <c r="R123" s="85"/>
      <c r="S123" s="85"/>
      <c r="T123" s="85"/>
      <c r="U123" s="85"/>
      <c r="V123" s="84"/>
      <c r="W123" s="84"/>
      <c r="X123" s="84" t="str">
        <f t="shared" si="5"/>
        <v>OK</v>
      </c>
      <c r="Y123" s="87"/>
      <c r="Z123" s="87"/>
      <c r="AA123" s="87"/>
      <c r="AB123" s="87"/>
      <c r="AC123" s="87"/>
      <c r="AD123" s="87"/>
      <c r="AE123" s="87"/>
      <c r="AF123" s="87"/>
      <c r="AG123" s="87"/>
      <c r="AH123" s="87"/>
      <c r="AI123" s="87"/>
      <c r="AJ123" s="87"/>
      <c r="AK123" s="87"/>
      <c r="AL123" s="87"/>
      <c r="AM123" s="87"/>
      <c r="AN123" s="87"/>
      <c r="AO123" s="87"/>
      <c r="AP123" s="87"/>
      <c r="AQ123" s="87"/>
      <c r="AR123" s="87"/>
      <c r="AS123" s="87"/>
      <c r="AT123" s="87"/>
      <c r="AU123" s="87"/>
      <c r="AV123" s="87">
        <f>-33*0.05</f>
        <v>-1.6500000000000001</v>
      </c>
      <c r="AW123" s="87">
        <f>-AV123</f>
        <v>1.6500000000000001</v>
      </c>
      <c r="AX123" s="87"/>
      <c r="AY123" s="87"/>
      <c r="AZ123" s="87"/>
      <c r="BA123" s="87"/>
      <c r="BB123" s="87"/>
      <c r="BC123" s="87"/>
      <c r="BD123" s="87"/>
      <c r="BE123" s="87"/>
      <c r="BF123" s="87"/>
      <c r="BG123" s="87"/>
      <c r="BH123" s="87"/>
      <c r="BI123" s="87"/>
      <c r="BJ123" s="87"/>
      <c r="BK123" s="87"/>
      <c r="BL123" s="87"/>
      <c r="BM123" s="87"/>
      <c r="BN123" s="87"/>
      <c r="BO123" s="87"/>
      <c r="BP123" s="87"/>
      <c r="BQ123" s="87"/>
      <c r="BR123" s="87"/>
      <c r="BS123" s="87"/>
      <c r="BT123" s="87"/>
      <c r="BU123" s="87"/>
      <c r="BV123" s="87"/>
      <c r="BW123" s="87"/>
      <c r="BX123" s="87"/>
      <c r="BY123" s="87"/>
      <c r="BZ123" s="87"/>
      <c r="CA123" s="87"/>
      <c r="CB123" s="87"/>
      <c r="CC123" s="87"/>
      <c r="CD123" s="87"/>
      <c r="CE123" s="87"/>
      <c r="CF123" s="87"/>
      <c r="CG123" s="87"/>
      <c r="CH123" s="87"/>
      <c r="CI123" s="87"/>
      <c r="CJ123" s="87"/>
      <c r="CK123" s="87"/>
      <c r="CL123" s="87"/>
      <c r="CM123" s="87"/>
      <c r="CN123" s="87"/>
      <c r="CO123" s="87"/>
      <c r="CP123" s="87"/>
      <c r="CQ123" s="87"/>
      <c r="CR123" s="87"/>
      <c r="CS123" s="87"/>
      <c r="CT123" s="87"/>
      <c r="CU123" s="87"/>
      <c r="CV123" s="87"/>
      <c r="CW123" s="87"/>
      <c r="CX123" s="87"/>
      <c r="CY123" s="87"/>
      <c r="CZ123" s="87"/>
      <c r="DA123" s="87"/>
      <c r="DB123" s="87"/>
      <c r="DC123" s="87"/>
      <c r="DD123" s="87"/>
      <c r="DE123" s="87"/>
      <c r="DF123" s="87"/>
      <c r="DG123" s="87"/>
      <c r="DH123" s="87"/>
      <c r="DI123" s="87"/>
      <c r="DJ123" s="87"/>
      <c r="DK123" s="87"/>
      <c r="DL123" s="87"/>
      <c r="DM123" s="87"/>
      <c r="DN123" s="87"/>
      <c r="DO123" s="87"/>
      <c r="DP123" s="87"/>
      <c r="DQ123" s="87"/>
      <c r="DR123" s="87"/>
      <c r="DS123" s="87"/>
      <c r="DT123" s="87"/>
      <c r="DU123" s="87"/>
      <c r="DV123" s="87"/>
      <c r="DW123" s="87"/>
      <c r="DX123" s="87"/>
      <c r="DY123" s="87"/>
      <c r="DZ123" s="87"/>
      <c r="EA123" s="87"/>
      <c r="EB123" s="87"/>
      <c r="EC123" s="87"/>
      <c r="ED123" s="87"/>
      <c r="EE123" s="87"/>
      <c r="EF123" s="87"/>
      <c r="EG123" s="75">
        <v>46017</v>
      </c>
      <c r="EH123" s="75">
        <v>46024</v>
      </c>
      <c r="EI123" s="75">
        <v>46031</v>
      </c>
    </row>
    <row r="124" spans="1:139" ht="16.5" thickBot="1" x14ac:dyDescent="0.35">
      <c r="A124" s="218" t="s">
        <v>177</v>
      </c>
      <c r="B124" s="194">
        <v>5</v>
      </c>
      <c r="C124" s="195"/>
      <c r="D124" s="217">
        <f>C124/VLOOKUP(B124,'[2]Gas Prod per PADD'!$A$1:$C$6,2,FALSE)</f>
        <v>0</v>
      </c>
      <c r="E124" s="196">
        <v>45345</v>
      </c>
      <c r="F124" s="197">
        <v>45395</v>
      </c>
      <c r="G124" s="194" t="s">
        <v>355</v>
      </c>
      <c r="H124" s="198" t="s">
        <v>356</v>
      </c>
      <c r="I124" s="84"/>
      <c r="J124" s="85"/>
      <c r="K124" s="85">
        <f>C124*(E124-$K$1)/29</f>
        <v>0</v>
      </c>
      <c r="L124" s="85"/>
      <c r="M124" s="85">
        <f>C124*($L$1-F124)/30</f>
        <v>0</v>
      </c>
      <c r="N124" s="85"/>
      <c r="O124" s="85"/>
      <c r="P124" s="85"/>
      <c r="Q124" s="85"/>
      <c r="R124" s="85"/>
      <c r="S124" s="85"/>
      <c r="T124" s="85"/>
      <c r="U124" s="85"/>
      <c r="V124" s="84"/>
      <c r="W124" s="84"/>
      <c r="X124" s="84" t="str">
        <f t="shared" si="5"/>
        <v>OK</v>
      </c>
      <c r="Y124" s="87"/>
      <c r="Z124" s="87"/>
      <c r="AA124" s="87"/>
      <c r="AB124" s="87"/>
      <c r="AC124" s="87"/>
      <c r="AD124" s="87"/>
      <c r="AE124" s="87"/>
      <c r="AF124" s="87"/>
      <c r="AG124" s="87"/>
      <c r="AH124" s="87"/>
      <c r="AI124" s="87"/>
      <c r="AJ124" s="105"/>
      <c r="AK124" s="87"/>
      <c r="AL124" s="87"/>
      <c r="AM124" s="87"/>
      <c r="AN124" s="87"/>
      <c r="AO124" s="87"/>
      <c r="AP124" s="87">
        <v>-25.025000000000002</v>
      </c>
      <c r="AQ124" s="87">
        <v>-25.025000000000002</v>
      </c>
      <c r="AR124" s="87"/>
      <c r="AS124" s="87"/>
      <c r="AT124" s="87">
        <v>5</v>
      </c>
      <c r="AU124" s="87"/>
      <c r="AV124" s="87"/>
      <c r="AW124" s="87">
        <f>-AP124+15</f>
        <v>40.025000000000006</v>
      </c>
      <c r="AX124" s="87">
        <f>77*0.65-AW124</f>
        <v>10.024999999999999</v>
      </c>
      <c r="AY124" s="87"/>
      <c r="AZ124" s="87"/>
      <c r="BA124" s="87"/>
      <c r="BB124" s="87"/>
      <c r="BC124" s="87"/>
      <c r="BD124" s="87"/>
      <c r="BE124" s="87"/>
      <c r="BF124" s="87"/>
      <c r="BG124" s="87"/>
      <c r="BH124" s="87"/>
      <c r="BI124" s="87"/>
      <c r="BJ124" s="87"/>
      <c r="BK124" s="87"/>
      <c r="BL124" s="87"/>
      <c r="BM124" s="87"/>
      <c r="BN124" s="87"/>
      <c r="BO124" s="87"/>
      <c r="BP124" s="87"/>
      <c r="BQ124" s="87"/>
      <c r="BR124" s="87"/>
      <c r="BS124" s="87"/>
      <c r="BT124" s="87"/>
      <c r="BU124" s="87"/>
      <c r="BV124" s="87"/>
      <c r="BW124" s="87"/>
      <c r="BX124" s="87"/>
      <c r="BY124" s="87"/>
      <c r="BZ124" s="87"/>
      <c r="CA124" s="87"/>
      <c r="CB124" s="87"/>
      <c r="CC124" s="87"/>
      <c r="CD124" s="87"/>
      <c r="CE124" s="87"/>
      <c r="CF124" s="87"/>
      <c r="CG124" s="87"/>
      <c r="CH124" s="87"/>
      <c r="CI124" s="87"/>
      <c r="CJ124" s="87"/>
      <c r="CK124" s="87"/>
      <c r="CL124" s="87"/>
      <c r="CM124" s="87"/>
      <c r="CN124" s="87"/>
      <c r="CO124" s="87"/>
      <c r="CP124" s="87"/>
      <c r="CQ124" s="87"/>
      <c r="CR124" s="87"/>
      <c r="CS124" s="87"/>
      <c r="CT124" s="87"/>
      <c r="CU124" s="87"/>
      <c r="CV124" s="87"/>
      <c r="CW124" s="87"/>
      <c r="CX124" s="87"/>
      <c r="CY124" s="87"/>
      <c r="CZ124" s="87"/>
      <c r="DA124" s="87"/>
      <c r="DB124" s="87"/>
      <c r="DC124" s="87"/>
      <c r="DD124" s="87"/>
      <c r="DE124" s="87"/>
      <c r="DF124" s="87"/>
      <c r="DG124" s="87"/>
      <c r="DH124" s="87"/>
      <c r="DI124" s="87"/>
      <c r="DJ124" s="87"/>
      <c r="DK124" s="87"/>
      <c r="DL124" s="87"/>
      <c r="DM124" s="87"/>
      <c r="DN124" s="87"/>
      <c r="DO124" s="87"/>
      <c r="DP124" s="87"/>
      <c r="DQ124" s="87"/>
      <c r="DR124" s="87"/>
      <c r="DS124" s="87"/>
      <c r="DT124" s="87"/>
      <c r="DU124" s="87"/>
      <c r="DV124" s="87"/>
      <c r="DW124" s="87"/>
      <c r="DX124" s="87"/>
      <c r="DY124" s="87"/>
      <c r="DZ124" s="87"/>
      <c r="EA124" s="87"/>
      <c r="EB124" s="87"/>
      <c r="EC124" s="87"/>
      <c r="ED124" s="87"/>
      <c r="EE124" s="87"/>
      <c r="EF124" s="87"/>
      <c r="EG124" s="75">
        <v>46017</v>
      </c>
      <c r="EH124" s="75">
        <v>46024</v>
      </c>
      <c r="EI124" s="75">
        <v>46031</v>
      </c>
    </row>
    <row r="125" spans="1:139" ht="16.5" thickBot="1" x14ac:dyDescent="0.35">
      <c r="A125" s="113" t="s">
        <v>357</v>
      </c>
      <c r="B125" s="194">
        <v>5</v>
      </c>
      <c r="C125" s="195"/>
      <c r="D125" s="217">
        <f>C125/VLOOKUP(B125,'[2]Gas Prod per PADD'!$A$1:$C$6,2,FALSE)</f>
        <v>0</v>
      </c>
      <c r="E125" s="196">
        <v>45352</v>
      </c>
      <c r="F125" s="197">
        <v>45396</v>
      </c>
      <c r="G125" s="194" t="s">
        <v>358</v>
      </c>
      <c r="H125" s="198"/>
      <c r="I125" s="84"/>
      <c r="J125" s="85"/>
      <c r="K125" s="85"/>
      <c r="L125" s="85">
        <f>C125*(E125-$L$1)/31</f>
        <v>0</v>
      </c>
      <c r="M125" s="85">
        <f>C125*($L$1-F125)/30</f>
        <v>0</v>
      </c>
      <c r="N125" s="85"/>
      <c r="O125" s="85"/>
      <c r="P125" s="85"/>
      <c r="Q125" s="85"/>
      <c r="R125" s="85"/>
      <c r="S125" s="85"/>
      <c r="T125" s="85"/>
      <c r="U125" s="85"/>
      <c r="V125" s="84"/>
      <c r="W125" s="84"/>
      <c r="X125" s="84" t="str">
        <f t="shared" si="5"/>
        <v>Missing</v>
      </c>
      <c r="Y125" s="87"/>
      <c r="Z125" s="87"/>
      <c r="AA125" s="87"/>
      <c r="AB125" s="87"/>
      <c r="AC125" s="87"/>
      <c r="AD125" s="87"/>
      <c r="AE125" s="87"/>
      <c r="AF125" s="87"/>
      <c r="AG125" s="87"/>
      <c r="AH125" s="87"/>
      <c r="AI125" s="87"/>
      <c r="AJ125" s="87"/>
      <c r="AK125" s="87"/>
      <c r="AL125" s="87"/>
      <c r="AM125" s="87"/>
      <c r="AN125" s="87"/>
      <c r="AO125" s="87"/>
      <c r="AP125" s="87"/>
      <c r="AQ125" s="87"/>
      <c r="AR125" s="87"/>
      <c r="AS125" s="87"/>
      <c r="AT125" s="87"/>
      <c r="AU125" s="87"/>
      <c r="AV125" s="87"/>
      <c r="AW125" s="87"/>
      <c r="AX125" s="87"/>
      <c r="AY125" s="87"/>
      <c r="AZ125" s="87"/>
      <c r="BA125" s="87"/>
      <c r="BB125" s="87"/>
      <c r="BC125" s="87"/>
      <c r="BD125" s="87"/>
      <c r="BE125" s="87"/>
      <c r="BF125" s="87"/>
      <c r="BG125" s="87"/>
      <c r="BH125" s="87"/>
      <c r="BI125" s="87"/>
      <c r="BJ125" s="87"/>
      <c r="BK125" s="87"/>
      <c r="BL125" s="87"/>
      <c r="BM125" s="87"/>
      <c r="BN125" s="87"/>
      <c r="BO125" s="87"/>
      <c r="BP125" s="87"/>
      <c r="BQ125" s="87"/>
      <c r="BR125" s="87"/>
      <c r="BS125" s="87"/>
      <c r="BT125" s="87"/>
      <c r="BU125" s="87"/>
      <c r="BV125" s="87"/>
      <c r="BW125" s="87"/>
      <c r="BX125" s="87"/>
      <c r="BY125" s="87"/>
      <c r="BZ125" s="87"/>
      <c r="CA125" s="87"/>
      <c r="CB125" s="87"/>
      <c r="CC125" s="87"/>
      <c r="CD125" s="87"/>
      <c r="CE125" s="87"/>
      <c r="CF125" s="87"/>
      <c r="CG125" s="87"/>
      <c r="CH125" s="87"/>
      <c r="CI125" s="87"/>
      <c r="CJ125" s="87"/>
      <c r="CK125" s="87"/>
      <c r="CL125" s="87"/>
      <c r="CM125" s="87"/>
      <c r="CN125" s="87"/>
      <c r="CO125" s="87"/>
      <c r="CP125" s="87"/>
      <c r="CQ125" s="87"/>
      <c r="CR125" s="87"/>
      <c r="CS125" s="87"/>
      <c r="CT125" s="87"/>
      <c r="CU125" s="87"/>
      <c r="CV125" s="87"/>
      <c r="CW125" s="87"/>
      <c r="CX125" s="87"/>
      <c r="CY125" s="87"/>
      <c r="CZ125" s="87"/>
      <c r="DA125" s="87"/>
      <c r="DB125" s="87"/>
      <c r="DC125" s="87"/>
      <c r="DD125" s="87"/>
      <c r="DE125" s="87"/>
      <c r="DF125" s="87"/>
      <c r="DG125" s="87"/>
      <c r="DH125" s="87"/>
      <c r="DI125" s="87"/>
      <c r="DJ125" s="87"/>
      <c r="DK125" s="87"/>
      <c r="DL125" s="87"/>
      <c r="DM125" s="87"/>
      <c r="DN125" s="87"/>
      <c r="DO125" s="87"/>
      <c r="DP125" s="87"/>
      <c r="DQ125" s="87"/>
      <c r="DR125" s="87"/>
      <c r="DS125" s="87"/>
      <c r="DT125" s="87"/>
      <c r="DU125" s="87"/>
      <c r="DV125" s="87"/>
      <c r="DW125" s="87"/>
      <c r="DX125" s="87"/>
      <c r="DY125" s="87"/>
      <c r="DZ125" s="87"/>
      <c r="EA125" s="87"/>
      <c r="EB125" s="87"/>
      <c r="EC125" s="87"/>
      <c r="ED125" s="87"/>
      <c r="EE125" s="87"/>
      <c r="EF125" s="87"/>
      <c r="EG125" s="75"/>
      <c r="EH125" s="75"/>
      <c r="EI125" s="75"/>
    </row>
    <row r="126" spans="1:139" ht="16.5" thickBot="1" x14ac:dyDescent="0.35">
      <c r="A126" s="175" t="s">
        <v>359</v>
      </c>
      <c r="B126" s="176">
        <v>5</v>
      </c>
      <c r="C126" s="177">
        <v>30</v>
      </c>
      <c r="D126" s="217">
        <f>C126/VLOOKUP(B126,'[2]Gas Prod per PADD'!$A$1:$C$6,2,FALSE)</f>
        <v>2.2222222222222223E-2</v>
      </c>
      <c r="E126" s="220">
        <v>45352</v>
      </c>
      <c r="F126" s="179">
        <v>45396</v>
      </c>
      <c r="G126" s="180" t="s">
        <v>291</v>
      </c>
      <c r="H126" s="181" t="s">
        <v>216</v>
      </c>
      <c r="I126" s="84"/>
      <c r="J126" s="85"/>
      <c r="K126" s="85"/>
      <c r="L126" s="85">
        <f>C126*(E126-$L$1)/31</f>
        <v>-29.032258064516128</v>
      </c>
      <c r="M126" s="85">
        <f>C126*($L$1-F126)/30</f>
        <v>-14</v>
      </c>
      <c r="N126" s="85"/>
      <c r="O126" s="85"/>
      <c r="P126" s="85"/>
      <c r="Q126" s="85"/>
      <c r="R126" s="85"/>
      <c r="S126" s="85"/>
      <c r="T126" s="85"/>
      <c r="U126" s="85"/>
      <c r="V126" s="84"/>
      <c r="W126" s="84"/>
      <c r="X126" s="84" t="str">
        <f t="shared" si="5"/>
        <v>OK</v>
      </c>
      <c r="Y126" s="105"/>
      <c r="Z126" s="105"/>
      <c r="AA126" s="87"/>
      <c r="AB126" s="87"/>
      <c r="AC126" s="87"/>
      <c r="AD126" s="87"/>
      <c r="AE126" s="105"/>
      <c r="AF126" s="105"/>
      <c r="AG126" s="105"/>
      <c r="AH126" s="105"/>
      <c r="AI126" s="87"/>
      <c r="AJ126" s="87"/>
      <c r="AK126" s="105"/>
      <c r="AL126" s="87"/>
      <c r="AM126" s="105"/>
      <c r="AN126" s="105"/>
      <c r="AO126" s="87"/>
      <c r="AP126" s="87"/>
      <c r="AQ126" s="105">
        <f>-C126/2</f>
        <v>-15</v>
      </c>
      <c r="AR126" s="105">
        <f>AQ126</f>
        <v>-15</v>
      </c>
      <c r="AS126" s="87"/>
      <c r="AT126" s="105"/>
      <c r="AU126" s="87"/>
      <c r="AV126" s="87"/>
      <c r="AW126" s="87" t="e">
        <f>(#REF!-$F126)/7*$C126</f>
        <v>#REF!</v>
      </c>
      <c r="AX126" s="87" t="e">
        <f>$C126-AW126</f>
        <v>#REF!</v>
      </c>
      <c r="AY126" s="87"/>
      <c r="AZ126" s="87"/>
      <c r="BA126" s="87"/>
      <c r="BB126" s="87"/>
      <c r="BC126" s="87"/>
      <c r="BD126" s="87"/>
      <c r="BE126" s="87"/>
      <c r="BF126" s="87"/>
      <c r="BG126" s="87"/>
      <c r="BH126" s="87"/>
      <c r="BI126" s="87"/>
      <c r="BJ126" s="87"/>
      <c r="BK126" s="87"/>
      <c r="BL126" s="87"/>
      <c r="BM126" s="87"/>
      <c r="BN126" s="87"/>
      <c r="BO126" s="87"/>
      <c r="BP126" s="87"/>
      <c r="BQ126" s="87"/>
      <c r="BR126" s="87"/>
      <c r="BS126" s="87"/>
      <c r="BT126" s="87"/>
      <c r="BU126" s="87"/>
      <c r="BV126" s="87"/>
      <c r="BW126" s="87"/>
      <c r="BX126" s="87"/>
      <c r="BY126" s="87"/>
      <c r="BZ126" s="87"/>
      <c r="CA126" s="87"/>
      <c r="CB126" s="87"/>
      <c r="CC126" s="87"/>
      <c r="CD126" s="87"/>
      <c r="CE126" s="87"/>
      <c r="CF126" s="87"/>
      <c r="CG126" s="87"/>
      <c r="CH126" s="87"/>
      <c r="CI126" s="87"/>
      <c r="CJ126" s="87"/>
      <c r="CK126" s="87"/>
      <c r="CL126" s="87"/>
      <c r="CM126" s="87"/>
      <c r="CN126" s="87"/>
      <c r="CO126" s="87"/>
      <c r="CP126" s="87"/>
      <c r="CQ126" s="87"/>
      <c r="CR126" s="87"/>
      <c r="CS126" s="87"/>
      <c r="CT126" s="87"/>
      <c r="CU126" s="87"/>
      <c r="CV126" s="87"/>
      <c r="CW126" s="87"/>
      <c r="CX126" s="87"/>
      <c r="CY126" s="87"/>
      <c r="CZ126" s="87"/>
      <c r="DA126" s="87"/>
      <c r="DB126" s="87"/>
      <c r="DC126" s="87"/>
      <c r="DD126" s="87"/>
      <c r="DE126" s="87"/>
      <c r="DF126" s="87"/>
      <c r="DG126" s="87"/>
      <c r="DH126" s="87"/>
      <c r="DI126" s="87"/>
      <c r="DJ126" s="87"/>
      <c r="DK126" s="87"/>
      <c r="DL126" s="87"/>
      <c r="DM126" s="87"/>
      <c r="DN126" s="87"/>
      <c r="DO126" s="87"/>
      <c r="DP126" s="87"/>
      <c r="DQ126" s="87"/>
      <c r="DR126" s="87"/>
      <c r="DS126" s="87"/>
      <c r="DT126" s="87"/>
      <c r="DU126" s="87"/>
      <c r="DV126" s="87"/>
      <c r="DW126" s="87"/>
      <c r="DX126" s="87"/>
      <c r="DY126" s="87"/>
      <c r="DZ126" s="87"/>
      <c r="EA126" s="87"/>
      <c r="EB126" s="87"/>
      <c r="EC126" s="87"/>
      <c r="ED126" s="87"/>
      <c r="EE126" s="87"/>
      <c r="EF126" s="87"/>
      <c r="EG126" s="75">
        <v>46017</v>
      </c>
      <c r="EH126" s="75">
        <v>46024</v>
      </c>
      <c r="EI126" s="75">
        <v>46031</v>
      </c>
    </row>
    <row r="127" spans="1:139" ht="29.25" hidden="1" thickBot="1" x14ac:dyDescent="0.35">
      <c r="A127" s="190" t="s">
        <v>360</v>
      </c>
      <c r="B127" s="176">
        <v>3</v>
      </c>
      <c r="C127" s="177">
        <v>65</v>
      </c>
      <c r="D127" s="217">
        <f>C127/VLOOKUP(B127,'[2]Gas Prod per PADD'!$A$1:$C$6,2,FALSE)</f>
        <v>1.4130434782608696E-2</v>
      </c>
      <c r="E127" s="225">
        <v>45394</v>
      </c>
      <c r="F127" s="226">
        <v>45396</v>
      </c>
      <c r="G127" s="180" t="s">
        <v>361</v>
      </c>
      <c r="H127" s="221" t="s">
        <v>362</v>
      </c>
      <c r="I127" s="84"/>
      <c r="J127" s="85"/>
      <c r="K127" s="85"/>
      <c r="L127" s="85"/>
      <c r="M127" s="85">
        <f>C127*(E127-F127)/30</f>
        <v>-4.333333333333333</v>
      </c>
      <c r="N127" s="85"/>
      <c r="O127" s="85"/>
      <c r="P127" s="85"/>
      <c r="Q127" s="85"/>
      <c r="R127" s="85"/>
      <c r="S127" s="85"/>
      <c r="T127" s="85"/>
      <c r="U127" s="85"/>
      <c r="V127" s="84"/>
      <c r="W127" s="84"/>
      <c r="X127" s="84" t="str">
        <f t="shared" si="5"/>
        <v>OK</v>
      </c>
      <c r="Y127" s="105"/>
      <c r="Z127" s="105"/>
      <c r="AA127" s="87"/>
      <c r="AB127" s="87"/>
      <c r="AC127" s="87"/>
      <c r="AD127" s="87"/>
      <c r="AE127" s="105"/>
      <c r="AF127" s="105"/>
      <c r="AG127" s="105"/>
      <c r="AH127" s="105"/>
      <c r="AI127" s="87"/>
      <c r="AJ127" s="87"/>
      <c r="AK127" s="87"/>
      <c r="AL127" s="87"/>
      <c r="AM127" s="87"/>
      <c r="AN127" s="87"/>
      <c r="AO127" s="87"/>
      <c r="AP127" s="87"/>
      <c r="AQ127" s="87"/>
      <c r="AR127" s="87"/>
      <c r="AS127" s="87"/>
      <c r="AT127" s="87"/>
      <c r="AU127" s="87"/>
      <c r="AV127" s="87"/>
      <c r="AW127" s="87">
        <f>(2/7)*C127*0.6*-1</f>
        <v>-11.142857142857141</v>
      </c>
      <c r="AX127" s="87">
        <f>AW127*-1</f>
        <v>11.142857142857141</v>
      </c>
      <c r="AY127" s="87"/>
      <c r="AZ127" s="87"/>
      <c r="BA127" s="87"/>
      <c r="BB127" s="87"/>
      <c r="BC127" s="87"/>
      <c r="BD127" s="87"/>
      <c r="BE127" s="87"/>
      <c r="BF127" s="87"/>
      <c r="BG127" s="87"/>
      <c r="BH127" s="87"/>
      <c r="BI127" s="87"/>
      <c r="BJ127" s="87"/>
      <c r="BK127" s="87"/>
      <c r="BL127" s="87"/>
      <c r="BM127" s="87"/>
      <c r="BN127" s="87"/>
      <c r="BO127" s="87"/>
      <c r="BP127" s="87"/>
      <c r="BQ127" s="87"/>
      <c r="BR127" s="87"/>
      <c r="BS127" s="87"/>
      <c r="BT127" s="87"/>
      <c r="BU127" s="87"/>
      <c r="BV127" s="87"/>
      <c r="BW127" s="87"/>
      <c r="BX127" s="87"/>
      <c r="BY127" s="87"/>
      <c r="BZ127" s="87"/>
      <c r="CA127" s="87"/>
      <c r="CB127" s="87"/>
      <c r="CC127" s="87"/>
      <c r="CD127" s="87"/>
      <c r="CE127" s="87"/>
      <c r="CF127" s="87"/>
      <c r="CG127" s="87"/>
      <c r="CH127" s="87"/>
      <c r="CI127" s="87"/>
      <c r="CJ127" s="87"/>
      <c r="CK127" s="87"/>
      <c r="CL127" s="87"/>
      <c r="CM127" s="87"/>
      <c r="CN127" s="87"/>
      <c r="CO127" s="87"/>
      <c r="CP127" s="87"/>
      <c r="CQ127" s="87"/>
      <c r="CR127" s="87"/>
      <c r="CS127" s="87"/>
      <c r="CT127" s="87"/>
      <c r="CU127" s="87"/>
      <c r="CV127" s="87"/>
      <c r="CW127" s="87"/>
      <c r="CX127" s="87"/>
      <c r="CY127" s="87"/>
      <c r="CZ127" s="87"/>
      <c r="DA127" s="87"/>
      <c r="DB127" s="87"/>
      <c r="DC127" s="87"/>
      <c r="DD127" s="87"/>
      <c r="DE127" s="87"/>
      <c r="DF127" s="87"/>
      <c r="DG127" s="87"/>
      <c r="DH127" s="87"/>
      <c r="DI127" s="87"/>
      <c r="DJ127" s="87"/>
      <c r="DK127" s="87"/>
      <c r="DL127" s="87"/>
      <c r="DM127" s="87"/>
      <c r="DN127" s="87"/>
      <c r="DO127" s="87"/>
      <c r="DP127" s="87"/>
      <c r="DQ127" s="87"/>
      <c r="DR127" s="87"/>
      <c r="DS127" s="87"/>
      <c r="DT127" s="87"/>
      <c r="DU127" s="87"/>
      <c r="DV127" s="87"/>
      <c r="DW127" s="87"/>
      <c r="DX127" s="87"/>
      <c r="DY127" s="87"/>
      <c r="DZ127" s="87"/>
      <c r="EA127" s="87"/>
      <c r="EB127" s="87"/>
      <c r="EC127" s="87"/>
      <c r="ED127" s="87"/>
      <c r="EE127" s="87"/>
      <c r="EF127" s="87"/>
      <c r="EG127" s="87"/>
      <c r="EH127" s="87"/>
      <c r="EI127" s="87"/>
    </row>
    <row r="128" spans="1:139" ht="16.5" hidden="1" thickBot="1" x14ac:dyDescent="0.35">
      <c r="A128" s="113" t="s">
        <v>289</v>
      </c>
      <c r="B128" s="194">
        <v>3</v>
      </c>
      <c r="C128" s="195">
        <f>60*0.25</f>
        <v>15</v>
      </c>
      <c r="D128" s="217">
        <f>C128/VLOOKUP(B128,'[2]Gas Prod per PADD'!$A$1:$C$6,2,FALSE)</f>
        <v>3.2608695652173911E-3</v>
      </c>
      <c r="E128" s="196">
        <v>45390</v>
      </c>
      <c r="F128" s="197">
        <v>45397</v>
      </c>
      <c r="G128" s="194" t="s">
        <v>351</v>
      </c>
      <c r="H128" s="198"/>
      <c r="I128" s="84"/>
      <c r="J128" s="85"/>
      <c r="K128" s="85"/>
      <c r="L128" s="85"/>
      <c r="M128" s="85">
        <f>C128*(E128-F128)/30</f>
        <v>-3.5</v>
      </c>
      <c r="N128" s="85"/>
      <c r="O128" s="85"/>
      <c r="P128" s="85"/>
      <c r="Q128" s="85"/>
      <c r="R128" s="85"/>
      <c r="S128" s="85"/>
      <c r="T128" s="85"/>
      <c r="U128" s="85"/>
      <c r="V128" s="84"/>
      <c r="W128" s="84"/>
      <c r="X128" s="84" t="str">
        <f t="shared" si="5"/>
        <v>OK</v>
      </c>
      <c r="Y128" s="87"/>
      <c r="Z128" s="87"/>
      <c r="AA128" s="87"/>
      <c r="AB128" s="87"/>
      <c r="AC128" s="87"/>
      <c r="AD128" s="87"/>
      <c r="AE128" s="87"/>
      <c r="AF128" s="87"/>
      <c r="AG128" s="87"/>
      <c r="AH128" s="87"/>
      <c r="AI128" s="87"/>
      <c r="AJ128" s="87"/>
      <c r="AK128" s="87"/>
      <c r="AL128" s="87"/>
      <c r="AM128" s="87"/>
      <c r="AN128" s="87"/>
      <c r="AO128" s="87"/>
      <c r="AP128" s="87"/>
      <c r="AQ128" s="87"/>
      <c r="AR128" s="87"/>
      <c r="AS128" s="87"/>
      <c r="AT128" s="87"/>
      <c r="AU128" s="87"/>
      <c r="AV128" s="87">
        <f>-C128</f>
        <v>-15</v>
      </c>
      <c r="AW128" s="87">
        <f>-AV128</f>
        <v>15</v>
      </c>
      <c r="AX128" s="87"/>
      <c r="AY128" s="87"/>
      <c r="AZ128" s="87"/>
      <c r="BA128" s="87"/>
      <c r="BB128" s="87"/>
      <c r="BC128" s="87"/>
      <c r="BD128" s="87"/>
      <c r="BE128" s="87"/>
      <c r="BF128" s="87"/>
      <c r="BG128" s="87"/>
      <c r="BH128" s="87"/>
      <c r="BI128" s="87"/>
      <c r="BJ128" s="87"/>
      <c r="BK128" s="87"/>
      <c r="BL128" s="87"/>
      <c r="BM128" s="87"/>
      <c r="BN128" s="87"/>
      <c r="BO128" s="87"/>
      <c r="BP128" s="87"/>
      <c r="BQ128" s="87"/>
      <c r="BR128" s="87"/>
      <c r="BS128" s="87"/>
      <c r="BT128" s="87"/>
      <c r="BU128" s="87"/>
      <c r="BV128" s="87"/>
      <c r="BW128" s="87"/>
      <c r="BX128" s="87"/>
      <c r="BY128" s="87"/>
      <c r="BZ128" s="87"/>
      <c r="CA128" s="87"/>
      <c r="CB128" s="87"/>
      <c r="CC128" s="87"/>
      <c r="CD128" s="87"/>
      <c r="CE128" s="87"/>
      <c r="CF128" s="87"/>
      <c r="CG128" s="87"/>
      <c r="CH128" s="87"/>
      <c r="CI128" s="87"/>
      <c r="CJ128" s="87"/>
      <c r="CK128" s="87"/>
      <c r="CL128" s="87"/>
      <c r="CM128" s="87"/>
      <c r="CN128" s="87"/>
      <c r="CO128" s="87"/>
      <c r="CP128" s="87"/>
      <c r="CQ128" s="87"/>
      <c r="CR128" s="87"/>
      <c r="CS128" s="87"/>
      <c r="CT128" s="87"/>
      <c r="CU128" s="87"/>
      <c r="CV128" s="87"/>
      <c r="CW128" s="87"/>
      <c r="CX128" s="87"/>
      <c r="CY128" s="87"/>
      <c r="CZ128" s="87"/>
      <c r="DA128" s="87"/>
      <c r="DB128" s="87"/>
      <c r="DC128" s="87"/>
      <c r="DD128" s="87"/>
      <c r="DE128" s="87"/>
      <c r="DF128" s="87"/>
      <c r="DG128" s="87"/>
      <c r="DH128" s="87"/>
      <c r="DI128" s="87"/>
      <c r="DJ128" s="87"/>
      <c r="DK128" s="87"/>
      <c r="DL128" s="87"/>
      <c r="DM128" s="87"/>
      <c r="DN128" s="87"/>
      <c r="DO128" s="87"/>
      <c r="DP128" s="87"/>
      <c r="DQ128" s="87"/>
      <c r="DR128" s="87"/>
      <c r="DS128" s="87"/>
      <c r="DT128" s="87"/>
      <c r="DU128" s="87"/>
      <c r="DV128" s="87"/>
      <c r="DW128" s="87"/>
      <c r="DX128" s="87"/>
      <c r="DY128" s="87"/>
      <c r="DZ128" s="87"/>
      <c r="EA128" s="87"/>
      <c r="EB128" s="87"/>
      <c r="EC128" s="87"/>
      <c r="ED128" s="87"/>
      <c r="EE128" s="87"/>
      <c r="EF128" s="87"/>
      <c r="EG128" s="87"/>
      <c r="EH128" s="87"/>
      <c r="EI128" s="87"/>
    </row>
    <row r="129" spans="1:139" ht="29.25" hidden="1" thickBot="1" x14ac:dyDescent="0.35">
      <c r="A129" s="222" t="s">
        <v>225</v>
      </c>
      <c r="B129" s="223">
        <v>3</v>
      </c>
      <c r="C129" s="224">
        <f>90*0.65</f>
        <v>58.5</v>
      </c>
      <c r="D129" s="217">
        <f>C129/VLOOKUP(B129,'[2]Gas Prod per PADD'!$A$1:$C$6,2,FALSE)</f>
        <v>1.2717391304347826E-2</v>
      </c>
      <c r="E129" s="225">
        <v>45392</v>
      </c>
      <c r="F129" s="226">
        <v>45397</v>
      </c>
      <c r="G129" s="180" t="s">
        <v>363</v>
      </c>
      <c r="H129" s="221" t="s">
        <v>364</v>
      </c>
      <c r="I129" s="84"/>
      <c r="J129" s="85"/>
      <c r="K129" s="85"/>
      <c r="L129" s="85"/>
      <c r="M129" s="85">
        <f>C129*(E129-F129)/30</f>
        <v>-9.75</v>
      </c>
      <c r="N129" s="85"/>
      <c r="O129" s="85"/>
      <c r="P129" s="85"/>
      <c r="Q129" s="85"/>
      <c r="R129" s="85"/>
      <c r="S129" s="85"/>
      <c r="T129" s="85"/>
      <c r="U129" s="85"/>
      <c r="V129" s="84"/>
      <c r="W129" s="84"/>
      <c r="X129" s="84" t="str">
        <f t="shared" si="5"/>
        <v>OK</v>
      </c>
      <c r="Y129" s="105"/>
      <c r="Z129" s="105"/>
      <c r="AA129" s="87"/>
      <c r="AB129" s="87"/>
      <c r="AC129" s="87"/>
      <c r="AD129" s="87"/>
      <c r="AE129" s="105"/>
      <c r="AF129" s="105"/>
      <c r="AG129" s="105"/>
      <c r="AH129" s="105"/>
      <c r="AI129" s="87"/>
      <c r="AJ129" s="87"/>
      <c r="AK129" s="105"/>
      <c r="AL129" s="87"/>
      <c r="AM129" s="105"/>
      <c r="AN129" s="105"/>
      <c r="AO129" s="87"/>
      <c r="AP129" s="87"/>
      <c r="AQ129" s="105"/>
      <c r="AR129" s="105"/>
      <c r="AS129" s="87"/>
      <c r="AT129" s="105"/>
      <c r="AU129" s="87"/>
      <c r="AV129" s="87"/>
      <c r="AW129" s="87">
        <f>-C129*5/7/2</f>
        <v>-20.892857142857142</v>
      </c>
      <c r="AX129" s="105">
        <f>AW129*-1</f>
        <v>20.892857142857142</v>
      </c>
      <c r="AY129" s="105"/>
      <c r="AZ129" s="105"/>
      <c r="BA129" s="105"/>
      <c r="BB129" s="105"/>
      <c r="BC129" s="105"/>
      <c r="BD129" s="87"/>
      <c r="BE129" s="87"/>
      <c r="BF129" s="87"/>
      <c r="BG129" s="87"/>
      <c r="BH129" s="87"/>
      <c r="BI129" s="87"/>
      <c r="BJ129" s="87"/>
      <c r="BK129" s="87"/>
      <c r="BL129" s="87"/>
      <c r="BM129" s="87"/>
      <c r="BN129" s="87"/>
      <c r="BO129" s="87"/>
      <c r="BP129" s="87"/>
      <c r="BQ129" s="87"/>
      <c r="BR129" s="87"/>
      <c r="BS129" s="87"/>
      <c r="BT129" s="87"/>
      <c r="BU129" s="87"/>
      <c r="BV129" s="87"/>
      <c r="BW129" s="87"/>
      <c r="BX129" s="87"/>
      <c r="BY129" s="87"/>
      <c r="BZ129" s="87"/>
      <c r="CA129" s="87"/>
      <c r="CB129" s="87"/>
      <c r="CC129" s="87"/>
      <c r="CD129" s="87"/>
      <c r="CE129" s="87"/>
      <c r="CF129" s="87"/>
      <c r="CG129" s="87"/>
      <c r="CH129" s="87"/>
      <c r="CI129" s="87"/>
      <c r="CJ129" s="87"/>
      <c r="CK129" s="87"/>
      <c r="CL129" s="87"/>
      <c r="CM129" s="87"/>
      <c r="CN129" s="87"/>
      <c r="CO129" s="87"/>
      <c r="CP129" s="87"/>
      <c r="CQ129" s="87"/>
      <c r="CR129" s="87"/>
      <c r="CS129" s="87"/>
      <c r="CT129" s="87"/>
      <c r="CU129" s="87"/>
      <c r="CV129" s="87"/>
      <c r="CW129" s="87"/>
      <c r="CX129" s="87"/>
      <c r="CY129" s="87"/>
      <c r="CZ129" s="87"/>
      <c r="DA129" s="87"/>
      <c r="DB129" s="87"/>
      <c r="DC129" s="87"/>
      <c r="DD129" s="87"/>
      <c r="DE129" s="87"/>
      <c r="DF129" s="87"/>
      <c r="DG129" s="87"/>
      <c r="DH129" s="87"/>
      <c r="DI129" s="87"/>
      <c r="DJ129" s="87"/>
      <c r="DK129" s="87"/>
      <c r="DL129" s="87"/>
      <c r="DM129" s="87"/>
      <c r="DN129" s="87"/>
      <c r="DO129" s="87"/>
      <c r="DP129" s="87"/>
      <c r="DQ129" s="87"/>
      <c r="DR129" s="87"/>
      <c r="DS129" s="87"/>
      <c r="DT129" s="87"/>
      <c r="DU129" s="87"/>
      <c r="DV129" s="87"/>
      <c r="DW129" s="87"/>
      <c r="DX129" s="87"/>
      <c r="DY129" s="87"/>
      <c r="DZ129" s="87"/>
      <c r="EA129" s="87"/>
      <c r="EB129" s="87"/>
      <c r="EC129" s="87"/>
      <c r="ED129" s="87"/>
      <c r="EE129" s="87"/>
      <c r="EF129" s="87"/>
      <c r="EG129" s="87"/>
      <c r="EH129" s="87"/>
      <c r="EI129" s="87"/>
    </row>
    <row r="130" spans="1:139" ht="29.25" thickBot="1" x14ac:dyDescent="0.35">
      <c r="A130" s="200" t="s">
        <v>365</v>
      </c>
      <c r="B130" s="223">
        <v>2</v>
      </c>
      <c r="C130" s="224">
        <v>40</v>
      </c>
      <c r="D130" s="217">
        <f>C130/VLOOKUP(B130,'[2]Gas Prod per PADD'!$A$1:$C$6,2,FALSE)</f>
        <v>1.6666666666666666E-2</v>
      </c>
      <c r="E130" s="225">
        <v>45350</v>
      </c>
      <c r="F130" s="226">
        <v>45398</v>
      </c>
      <c r="G130" s="180" t="s">
        <v>366</v>
      </c>
      <c r="H130" s="221" t="s">
        <v>367</v>
      </c>
      <c r="I130" s="84"/>
      <c r="J130" s="85"/>
      <c r="K130" s="85">
        <f>C130*(E130-$K$1)/29</f>
        <v>-1.3793103448275863</v>
      </c>
      <c r="L130" s="85"/>
      <c r="M130" s="85">
        <f>C130*($L$1-F130)/30</f>
        <v>-21.333333333333332</v>
      </c>
      <c r="N130" s="85"/>
      <c r="O130" s="85"/>
      <c r="P130" s="85"/>
      <c r="Q130" s="85"/>
      <c r="R130" s="85"/>
      <c r="S130" s="85"/>
      <c r="T130" s="85"/>
      <c r="U130" s="85"/>
      <c r="V130" s="84"/>
      <c r="W130" s="84"/>
      <c r="X130" s="84" t="str">
        <f t="shared" ref="X130:X193" si="9">IF(COUNTA(Y130:EI130)=0,"Missing","OK")</f>
        <v>OK</v>
      </c>
      <c r="Y130" s="105"/>
      <c r="Z130" s="105"/>
      <c r="AA130" s="87"/>
      <c r="AB130" s="87"/>
      <c r="AC130" s="87"/>
      <c r="AD130" s="87"/>
      <c r="AE130" s="105"/>
      <c r="AF130" s="105"/>
      <c r="AG130" s="105"/>
      <c r="AH130" s="105"/>
      <c r="AI130" s="87"/>
      <c r="AJ130" s="87"/>
      <c r="AK130" s="105"/>
      <c r="AL130" s="87"/>
      <c r="AM130" s="105"/>
      <c r="AN130" s="105"/>
      <c r="AO130" s="87"/>
      <c r="AP130" s="87"/>
      <c r="AQ130" s="105">
        <f>-C130*1/2</f>
        <v>-20</v>
      </c>
      <c r="AR130" s="105">
        <f>-C130/2</f>
        <v>-20</v>
      </c>
      <c r="AS130" s="87"/>
      <c r="AT130" s="105"/>
      <c r="AU130" s="87"/>
      <c r="AV130" s="105"/>
      <c r="AW130" s="105">
        <f>94*0.1*4/7</f>
        <v>5.3714285714285719</v>
      </c>
      <c r="AX130" s="105">
        <f>C130-12-AW130</f>
        <v>22.628571428571426</v>
      </c>
      <c r="AY130" s="105">
        <f>C130-AX130-AW130</f>
        <v>12.000000000000002</v>
      </c>
      <c r="AZ130" s="105"/>
      <c r="BA130" s="105"/>
      <c r="BB130" s="105"/>
      <c r="BC130" s="87"/>
      <c r="BD130" s="87"/>
      <c r="BE130" s="87"/>
      <c r="BF130" s="87"/>
      <c r="BG130" s="87"/>
      <c r="BH130" s="87"/>
      <c r="BI130" s="87"/>
      <c r="BJ130" s="87"/>
      <c r="BK130" s="87"/>
      <c r="BL130" s="87"/>
      <c r="BM130" s="87"/>
      <c r="BN130" s="87"/>
      <c r="BO130" s="87"/>
      <c r="BP130" s="87"/>
      <c r="BQ130" s="87"/>
      <c r="BR130" s="87"/>
      <c r="BS130" s="87"/>
      <c r="BT130" s="87"/>
      <c r="BU130" s="87"/>
      <c r="BV130" s="87"/>
      <c r="BW130" s="87"/>
      <c r="BX130" s="87"/>
      <c r="BY130" s="87"/>
      <c r="BZ130" s="87"/>
      <c r="CA130" s="87"/>
      <c r="CB130" s="87"/>
      <c r="CC130" s="87"/>
      <c r="CD130" s="87"/>
      <c r="CE130" s="87"/>
      <c r="CF130" s="87"/>
      <c r="CG130" s="87"/>
      <c r="CH130" s="87"/>
      <c r="CI130" s="87"/>
      <c r="CJ130" s="87"/>
      <c r="CK130" s="87"/>
      <c r="CL130" s="87"/>
      <c r="CM130" s="87"/>
      <c r="CN130" s="87"/>
      <c r="CO130" s="87"/>
      <c r="CP130" s="87"/>
      <c r="CQ130" s="87"/>
      <c r="CR130" s="87"/>
      <c r="CS130" s="87"/>
      <c r="CT130" s="87"/>
      <c r="CU130" s="87"/>
      <c r="CV130" s="87"/>
      <c r="CW130" s="87"/>
      <c r="CX130" s="87"/>
      <c r="CY130" s="87"/>
      <c r="CZ130" s="87"/>
      <c r="DA130" s="87"/>
      <c r="DB130" s="87"/>
      <c r="DC130" s="87"/>
      <c r="DD130" s="87"/>
      <c r="DE130" s="87"/>
      <c r="DF130" s="87"/>
      <c r="DG130" s="87"/>
      <c r="DH130" s="87"/>
      <c r="DI130" s="87"/>
      <c r="DJ130" s="87"/>
      <c r="DK130" s="87"/>
      <c r="DL130" s="87"/>
      <c r="DM130" s="87"/>
      <c r="DN130" s="87"/>
      <c r="DO130" s="87"/>
      <c r="DP130" s="87"/>
      <c r="DQ130" s="87"/>
      <c r="DR130" s="87"/>
      <c r="DS130" s="87"/>
      <c r="DT130" s="87"/>
      <c r="DU130" s="87"/>
      <c r="DV130" s="87"/>
      <c r="DW130" s="87"/>
      <c r="DX130" s="87"/>
      <c r="DY130" s="87"/>
      <c r="DZ130" s="87"/>
      <c r="EA130" s="87"/>
      <c r="EB130" s="87"/>
      <c r="EC130" s="87"/>
      <c r="ED130" s="87"/>
      <c r="EE130" s="87"/>
      <c r="EF130" s="87"/>
      <c r="EG130" s="87"/>
      <c r="EH130" s="87"/>
      <c r="EI130" s="87"/>
    </row>
    <row r="131" spans="1:139" ht="16.5" hidden="1" thickBot="1" x14ac:dyDescent="0.35">
      <c r="A131" s="113" t="s">
        <v>285</v>
      </c>
      <c r="B131" s="194">
        <v>5</v>
      </c>
      <c r="C131" s="195">
        <f>90*0.65+28*0.85</f>
        <v>82.3</v>
      </c>
      <c r="D131" s="217">
        <f>C131/VLOOKUP(B131,'[2]Gas Prod per PADD'!$A$1:$C$6,2,FALSE)</f>
        <v>6.0962962962962962E-2</v>
      </c>
      <c r="E131" s="196">
        <v>45391</v>
      </c>
      <c r="F131" s="197">
        <f>E131+7</f>
        <v>45398</v>
      </c>
      <c r="G131" s="194" t="s">
        <v>368</v>
      </c>
      <c r="H131" s="198"/>
      <c r="I131" s="84"/>
      <c r="J131" s="85"/>
      <c r="K131" s="85"/>
      <c r="L131" s="85"/>
      <c r="M131" s="85">
        <f>C131*(E131-F131)/30</f>
        <v>-19.203333333333333</v>
      </c>
      <c r="N131" s="85"/>
      <c r="O131" s="85"/>
      <c r="P131" s="85"/>
      <c r="Q131" s="85"/>
      <c r="R131" s="85"/>
      <c r="S131" s="85"/>
      <c r="T131" s="85"/>
      <c r="U131" s="85"/>
      <c r="V131" s="84"/>
      <c r="W131" s="84"/>
      <c r="X131" s="84" t="str">
        <f t="shared" si="9"/>
        <v>OK</v>
      </c>
      <c r="Y131" s="87"/>
      <c r="Z131" s="87"/>
      <c r="AA131" s="87"/>
      <c r="AB131" s="87"/>
      <c r="AC131" s="87"/>
      <c r="AD131" s="87"/>
      <c r="AE131" s="87"/>
      <c r="AF131" s="87"/>
      <c r="AG131" s="87"/>
      <c r="AH131" s="87"/>
      <c r="AI131" s="87"/>
      <c r="AJ131" s="87"/>
      <c r="AK131" s="87"/>
      <c r="AL131" s="87"/>
      <c r="AM131" s="87"/>
      <c r="AN131" s="87"/>
      <c r="AO131" s="87"/>
      <c r="AP131" s="87"/>
      <c r="AQ131" s="87"/>
      <c r="AR131" s="87"/>
      <c r="AS131" s="87"/>
      <c r="AT131" s="87"/>
      <c r="AU131" s="87"/>
      <c r="AV131" s="87">
        <f>C131*(3/7)*-0.8+8</f>
        <v>-20.217142857142854</v>
      </c>
      <c r="AW131" s="87">
        <f>-C131-AV131+C131*0.5</f>
        <v>-20.932857142857145</v>
      </c>
      <c r="AX131" s="87">
        <f>C131*0.5</f>
        <v>41.15</v>
      </c>
      <c r="AY131" s="87"/>
      <c r="AZ131" s="87"/>
      <c r="BA131" s="87"/>
      <c r="BB131" s="87"/>
      <c r="BC131" s="87"/>
      <c r="BD131" s="87"/>
      <c r="BE131" s="87"/>
      <c r="BF131" s="87"/>
      <c r="BG131" s="87"/>
      <c r="BH131" s="87"/>
      <c r="BI131" s="87"/>
      <c r="BJ131" s="87"/>
      <c r="BK131" s="87"/>
      <c r="BL131" s="87"/>
      <c r="BM131" s="87"/>
      <c r="BN131" s="87"/>
      <c r="BO131" s="87"/>
      <c r="BP131" s="87"/>
      <c r="BQ131" s="87"/>
      <c r="BR131" s="87"/>
      <c r="BS131" s="87"/>
      <c r="BT131" s="87"/>
      <c r="BU131" s="87"/>
      <c r="BV131" s="87"/>
      <c r="BW131" s="87"/>
      <c r="BX131" s="87"/>
      <c r="BY131" s="87"/>
      <c r="BZ131" s="87"/>
      <c r="CA131" s="87"/>
      <c r="CB131" s="87"/>
      <c r="CC131" s="87"/>
      <c r="CD131" s="87"/>
      <c r="CE131" s="87"/>
      <c r="CF131" s="87"/>
      <c r="CG131" s="87"/>
      <c r="CH131" s="87"/>
      <c r="CI131" s="87"/>
      <c r="CJ131" s="87"/>
      <c r="CK131" s="87"/>
      <c r="CL131" s="87"/>
      <c r="CM131" s="87"/>
      <c r="CN131" s="87"/>
      <c r="CO131" s="87"/>
      <c r="CP131" s="87"/>
      <c r="CQ131" s="87"/>
      <c r="CR131" s="87"/>
      <c r="CS131" s="87"/>
      <c r="CT131" s="87"/>
      <c r="CU131" s="87"/>
      <c r="CV131" s="87"/>
      <c r="CW131" s="87"/>
      <c r="CX131" s="87"/>
      <c r="CY131" s="87"/>
      <c r="CZ131" s="87"/>
      <c r="DA131" s="87"/>
      <c r="DB131" s="87"/>
      <c r="DC131" s="87"/>
      <c r="DD131" s="87"/>
      <c r="DE131" s="87"/>
      <c r="DF131" s="87"/>
      <c r="DG131" s="87"/>
      <c r="DH131" s="87"/>
      <c r="DI131" s="87"/>
      <c r="DJ131" s="87"/>
      <c r="DK131" s="87"/>
      <c r="DL131" s="87"/>
      <c r="DM131" s="87"/>
      <c r="DN131" s="87"/>
      <c r="DO131" s="87"/>
      <c r="DP131" s="87"/>
      <c r="DQ131" s="87"/>
      <c r="DR131" s="87"/>
      <c r="DS131" s="87"/>
      <c r="DT131" s="87"/>
      <c r="DU131" s="87"/>
      <c r="DV131" s="87"/>
      <c r="DW131" s="87"/>
      <c r="DX131" s="87"/>
      <c r="DY131" s="87"/>
      <c r="DZ131" s="87"/>
      <c r="EA131" s="87"/>
      <c r="EB131" s="87"/>
      <c r="EC131" s="87"/>
      <c r="ED131" s="87"/>
      <c r="EE131" s="87"/>
      <c r="EF131" s="87"/>
      <c r="EG131" s="75">
        <v>46017</v>
      </c>
      <c r="EH131" s="75">
        <v>46024</v>
      </c>
      <c r="EI131" s="75">
        <v>46031</v>
      </c>
    </row>
    <row r="132" spans="1:139" ht="16.5" thickBot="1" x14ac:dyDescent="0.35">
      <c r="A132" s="222" t="s">
        <v>182</v>
      </c>
      <c r="B132" s="223">
        <v>3</v>
      </c>
      <c r="C132" s="224">
        <f>200*0.25</f>
        <v>50</v>
      </c>
      <c r="D132" s="217">
        <f>C132/VLOOKUP(B132,'[2]Gas Prod per PADD'!$A$1:$C$6,2,FALSE)</f>
        <v>1.0869565217391304E-2</v>
      </c>
      <c r="E132" s="225">
        <v>45353</v>
      </c>
      <c r="F132" s="226">
        <v>45399</v>
      </c>
      <c r="G132" s="180" t="s">
        <v>351</v>
      </c>
      <c r="H132" s="221" t="s">
        <v>216</v>
      </c>
      <c r="I132" s="84"/>
      <c r="J132" s="85"/>
      <c r="K132" s="85"/>
      <c r="L132" s="85">
        <f>C132*(E132-$L$1)/31</f>
        <v>-46.774193548387096</v>
      </c>
      <c r="M132" s="85">
        <f>C132*($L$1-F132)/30</f>
        <v>-28.333333333333332</v>
      </c>
      <c r="N132" s="85"/>
      <c r="O132" s="85"/>
      <c r="P132" s="85"/>
      <c r="Q132" s="85"/>
      <c r="R132" s="85"/>
      <c r="S132" s="85"/>
      <c r="T132" s="85"/>
      <c r="U132" s="85"/>
      <c r="V132" s="84"/>
      <c r="W132" s="84"/>
      <c r="X132" s="84" t="str">
        <f t="shared" si="9"/>
        <v>Missing</v>
      </c>
      <c r="Y132" s="105"/>
      <c r="Z132" s="105"/>
      <c r="AA132" s="87"/>
      <c r="AB132" s="87"/>
      <c r="AC132" s="87"/>
      <c r="AD132" s="87"/>
      <c r="AE132" s="105"/>
      <c r="AF132" s="105"/>
      <c r="AG132" s="105"/>
      <c r="AH132" s="105"/>
      <c r="AI132" s="87"/>
      <c r="AJ132" s="87"/>
      <c r="AK132" s="105"/>
      <c r="AL132" s="87"/>
      <c r="AM132" s="105"/>
      <c r="AN132" s="105"/>
      <c r="AO132" s="87"/>
      <c r="AP132" s="87"/>
      <c r="AQ132" s="105"/>
      <c r="AR132" s="105"/>
      <c r="AS132" s="87"/>
      <c r="AT132" s="105"/>
      <c r="AU132" s="105"/>
      <c r="AV132" s="87"/>
      <c r="AW132" s="105"/>
      <c r="AX132" s="105"/>
      <c r="AY132" s="105"/>
      <c r="AZ132" s="105"/>
      <c r="BA132" s="105"/>
      <c r="BB132" s="105"/>
      <c r="BC132" s="87"/>
      <c r="BD132" s="87"/>
      <c r="BE132" s="87"/>
      <c r="BF132" s="105"/>
      <c r="BG132" s="105"/>
      <c r="BH132" s="105"/>
      <c r="BI132" s="105"/>
      <c r="BJ132" s="87"/>
      <c r="BK132" s="87"/>
      <c r="BL132" s="87"/>
      <c r="BM132" s="87"/>
      <c r="BN132" s="87"/>
      <c r="BO132" s="87"/>
      <c r="BP132" s="87"/>
      <c r="BQ132" s="87"/>
      <c r="BR132" s="87"/>
      <c r="BS132" s="87"/>
      <c r="BT132" s="87"/>
      <c r="BU132" s="87"/>
      <c r="BV132" s="87"/>
      <c r="BW132" s="87"/>
      <c r="BX132" s="87"/>
      <c r="BY132" s="87"/>
      <c r="BZ132" s="87"/>
      <c r="CA132" s="87"/>
      <c r="CB132" s="87"/>
      <c r="CC132" s="87"/>
      <c r="CD132" s="87"/>
      <c r="CE132" s="87"/>
      <c r="CF132" s="87"/>
      <c r="CG132" s="87"/>
      <c r="CH132" s="87"/>
      <c r="CI132" s="87"/>
      <c r="CJ132" s="87"/>
      <c r="CK132" s="87"/>
      <c r="CL132" s="87"/>
      <c r="CM132" s="87"/>
      <c r="CN132" s="87"/>
      <c r="CO132" s="87"/>
      <c r="CP132" s="87"/>
      <c r="CQ132" s="87"/>
      <c r="CR132" s="87"/>
      <c r="CS132" s="87"/>
      <c r="CT132" s="87"/>
      <c r="CU132" s="87"/>
      <c r="CV132" s="87"/>
      <c r="CW132" s="87"/>
      <c r="CX132" s="87"/>
      <c r="CY132" s="87"/>
      <c r="CZ132" s="87"/>
      <c r="DA132" s="87"/>
      <c r="DB132" s="87"/>
      <c r="DC132" s="87"/>
      <c r="DD132" s="87"/>
      <c r="DE132" s="87"/>
      <c r="DF132" s="87"/>
      <c r="DG132" s="87"/>
      <c r="DH132" s="87"/>
      <c r="DI132" s="87"/>
      <c r="DJ132" s="87"/>
      <c r="DK132" s="87"/>
      <c r="DL132" s="87"/>
      <c r="DM132" s="87"/>
      <c r="DN132" s="87"/>
      <c r="DO132" s="87"/>
      <c r="DP132" s="87"/>
      <c r="DQ132" s="87"/>
      <c r="DR132" s="87"/>
      <c r="DS132" s="87"/>
      <c r="DT132" s="87"/>
      <c r="DU132" s="87"/>
      <c r="DV132" s="87"/>
      <c r="DW132" s="87"/>
      <c r="DX132" s="87"/>
      <c r="DY132" s="87"/>
      <c r="DZ132" s="87"/>
      <c r="EA132" s="87"/>
      <c r="EB132" s="87"/>
      <c r="EC132" s="87"/>
      <c r="ED132" s="87"/>
      <c r="EE132" s="87"/>
      <c r="EF132" s="87"/>
      <c r="EG132" s="87"/>
      <c r="EH132" s="87"/>
      <c r="EI132" s="87"/>
    </row>
    <row r="133" spans="1:139" ht="16.5" hidden="1" thickBot="1" x14ac:dyDescent="0.35">
      <c r="A133" s="113" t="s">
        <v>369</v>
      </c>
      <c r="B133" s="227">
        <v>5</v>
      </c>
      <c r="C133" s="195">
        <f>53*0.25</f>
        <v>13.25</v>
      </c>
      <c r="D133" s="217">
        <f>C133/VLOOKUP(B133,'[2]Gas Prod per PADD'!$A$1:$C$6,2,FALSE)</f>
        <v>9.8148148148148144E-3</v>
      </c>
      <c r="E133" s="196">
        <v>45393</v>
      </c>
      <c r="F133" s="197">
        <v>45401</v>
      </c>
      <c r="G133" s="194" t="s">
        <v>218</v>
      </c>
      <c r="H133" s="198"/>
      <c r="I133" s="84"/>
      <c r="J133" s="85"/>
      <c r="K133" s="85"/>
      <c r="L133" s="85"/>
      <c r="M133" s="85">
        <f>C133*(E133-F133)/30</f>
        <v>-3.5333333333333332</v>
      </c>
      <c r="N133" s="85"/>
      <c r="O133" s="85"/>
      <c r="P133" s="85"/>
      <c r="Q133" s="85"/>
      <c r="R133" s="85"/>
      <c r="S133" s="85"/>
      <c r="T133" s="85"/>
      <c r="U133" s="85"/>
      <c r="V133" s="84"/>
      <c r="W133" s="84"/>
      <c r="X133" s="84" t="str">
        <f t="shared" si="9"/>
        <v>OK</v>
      </c>
      <c r="Y133" s="87"/>
      <c r="Z133" s="87"/>
      <c r="AA133" s="87"/>
      <c r="AB133" s="87"/>
      <c r="AC133" s="87"/>
      <c r="AD133" s="87"/>
      <c r="AE133" s="87"/>
      <c r="AF133" s="87"/>
      <c r="AG133" s="87"/>
      <c r="AH133" s="87"/>
      <c r="AI133" s="87"/>
      <c r="AJ133" s="87"/>
      <c r="AK133" s="87"/>
      <c r="AL133" s="87"/>
      <c r="AM133" s="87"/>
      <c r="AN133" s="87"/>
      <c r="AO133" s="87"/>
      <c r="AP133" s="87"/>
      <c r="AQ133" s="87"/>
      <c r="AR133" s="87"/>
      <c r="AS133" s="87"/>
      <c r="AT133" s="87"/>
      <c r="AU133" s="87"/>
      <c r="AV133" s="87"/>
      <c r="AW133" s="87">
        <f>-C133</f>
        <v>-13.25</v>
      </c>
      <c r="AX133" s="87">
        <f>-AW133</f>
        <v>13.25</v>
      </c>
      <c r="AY133" s="87"/>
      <c r="AZ133" s="87"/>
      <c r="BA133" s="87"/>
      <c r="BB133" s="87"/>
      <c r="BC133" s="87"/>
      <c r="BD133" s="87"/>
      <c r="BE133" s="87"/>
      <c r="BF133" s="87"/>
      <c r="BG133" s="87"/>
      <c r="BH133" s="87"/>
      <c r="BI133" s="87"/>
      <c r="BJ133" s="87"/>
      <c r="BK133" s="87"/>
      <c r="BL133" s="87"/>
      <c r="BM133" s="87"/>
      <c r="BN133" s="87"/>
      <c r="BO133" s="87"/>
      <c r="BP133" s="87"/>
      <c r="BQ133" s="87"/>
      <c r="BR133" s="87"/>
      <c r="BS133" s="87"/>
      <c r="BT133" s="87"/>
      <c r="BU133" s="87"/>
      <c r="BV133" s="87"/>
      <c r="BW133" s="87"/>
      <c r="BX133" s="87"/>
      <c r="BY133" s="87"/>
      <c r="BZ133" s="87"/>
      <c r="CA133" s="87"/>
      <c r="CB133" s="87"/>
      <c r="CC133" s="87"/>
      <c r="CD133" s="87"/>
      <c r="CE133" s="87"/>
      <c r="CF133" s="87"/>
      <c r="CG133" s="87"/>
      <c r="CH133" s="87"/>
      <c r="CI133" s="87"/>
      <c r="CJ133" s="87"/>
      <c r="CK133" s="87"/>
      <c r="CL133" s="87"/>
      <c r="CM133" s="87"/>
      <c r="CN133" s="87"/>
      <c r="CO133" s="87"/>
      <c r="CP133" s="87"/>
      <c r="CQ133" s="87"/>
      <c r="CR133" s="87"/>
      <c r="CS133" s="87"/>
      <c r="CT133" s="87"/>
      <c r="CU133" s="87"/>
      <c r="CV133" s="87"/>
      <c r="CW133" s="87"/>
      <c r="CX133" s="87"/>
      <c r="CY133" s="87"/>
      <c r="CZ133" s="87"/>
      <c r="DA133" s="87"/>
      <c r="DB133" s="87"/>
      <c r="DC133" s="87"/>
      <c r="DD133" s="87"/>
      <c r="DE133" s="87"/>
      <c r="DF133" s="87"/>
      <c r="DG133" s="87"/>
      <c r="DH133" s="87"/>
      <c r="DI133" s="87"/>
      <c r="DJ133" s="87"/>
      <c r="DK133" s="87"/>
      <c r="DL133" s="87"/>
      <c r="DM133" s="87"/>
      <c r="DN133" s="87"/>
      <c r="DO133" s="87"/>
      <c r="DP133" s="87"/>
      <c r="DQ133" s="87"/>
      <c r="DR133" s="87"/>
      <c r="DS133" s="87"/>
      <c r="DT133" s="87"/>
      <c r="DU133" s="87"/>
      <c r="DV133" s="87"/>
      <c r="DW133" s="87"/>
      <c r="DX133" s="87"/>
      <c r="DY133" s="87"/>
      <c r="DZ133" s="87"/>
      <c r="EA133" s="87"/>
      <c r="EB133" s="87"/>
      <c r="EC133" s="87"/>
      <c r="ED133" s="87"/>
      <c r="EE133" s="87"/>
      <c r="EF133" s="87"/>
      <c r="EG133" s="75">
        <v>46017</v>
      </c>
      <c r="EH133" s="75">
        <v>46024</v>
      </c>
      <c r="EI133" s="75">
        <v>46031</v>
      </c>
    </row>
    <row r="134" spans="1:139" ht="29.25" hidden="1" thickBot="1" x14ac:dyDescent="0.35">
      <c r="A134" s="190" t="s">
        <v>253</v>
      </c>
      <c r="B134" s="176">
        <v>3</v>
      </c>
      <c r="C134" s="177">
        <f>65*0.85</f>
        <v>55.25</v>
      </c>
      <c r="D134" s="217">
        <f>C134/VLOOKUP(B134,'[2]Gas Prod per PADD'!$A$1:$C$6,2,FALSE)</f>
        <v>1.2010869565217391E-2</v>
      </c>
      <c r="E134" s="178">
        <v>45398</v>
      </c>
      <c r="F134" s="179">
        <v>45403</v>
      </c>
      <c r="G134" s="180" t="s">
        <v>370</v>
      </c>
      <c r="H134" s="181" t="s">
        <v>216</v>
      </c>
      <c r="I134" s="84"/>
      <c r="J134" s="85"/>
      <c r="K134" s="85"/>
      <c r="L134" s="85"/>
      <c r="M134" s="85">
        <f>C134*(E134-F134)/30</f>
        <v>-9.2083333333333339</v>
      </c>
      <c r="N134" s="85"/>
      <c r="O134" s="85"/>
      <c r="P134" s="85"/>
      <c r="Q134" s="85"/>
      <c r="R134" s="85"/>
      <c r="S134" s="85"/>
      <c r="T134" s="85"/>
      <c r="U134" s="85"/>
      <c r="V134" s="84"/>
      <c r="W134" s="84"/>
      <c r="X134" s="84" t="str">
        <f t="shared" si="9"/>
        <v>OK</v>
      </c>
      <c r="Y134" s="105"/>
      <c r="Z134" s="105"/>
      <c r="AA134" s="87"/>
      <c r="AB134" s="87"/>
      <c r="AC134" s="87"/>
      <c r="AD134" s="87"/>
      <c r="AE134" s="105"/>
      <c r="AF134" s="105"/>
      <c r="AG134" s="105"/>
      <c r="AH134" s="87"/>
      <c r="AI134" s="87"/>
      <c r="AJ134" s="87"/>
      <c r="AK134" s="105"/>
      <c r="AL134" s="105"/>
      <c r="AM134" s="105"/>
      <c r="AN134" s="87"/>
      <c r="AO134" s="87"/>
      <c r="AP134" s="105"/>
      <c r="AQ134" s="105"/>
      <c r="AR134" s="105"/>
      <c r="AS134" s="105"/>
      <c r="AT134" s="105"/>
      <c r="AU134" s="87"/>
      <c r="AV134" s="87"/>
      <c r="AW134" s="105">
        <f>(-3/7)*C134*0.66</f>
        <v>-15.627857142857142</v>
      </c>
      <c r="AX134" s="105">
        <f>AW134*-1</f>
        <v>15.627857142857142</v>
      </c>
      <c r="AY134" s="87"/>
      <c r="AZ134" s="87"/>
      <c r="BA134" s="87"/>
      <c r="BB134" s="87"/>
      <c r="BC134" s="87"/>
      <c r="BD134" s="87"/>
      <c r="BE134" s="87"/>
      <c r="BF134" s="87"/>
      <c r="BG134" s="87"/>
      <c r="BH134" s="87"/>
      <c r="BI134" s="87"/>
      <c r="BJ134" s="87"/>
      <c r="BK134" s="87"/>
      <c r="BL134" s="87"/>
      <c r="BM134" s="87"/>
      <c r="BN134" s="87"/>
      <c r="BO134" s="87"/>
      <c r="BP134" s="87"/>
      <c r="BQ134" s="87"/>
      <c r="BR134" s="87"/>
      <c r="BS134" s="87"/>
      <c r="BT134" s="87"/>
      <c r="BU134" s="87"/>
      <c r="BV134" s="87"/>
      <c r="BW134" s="87"/>
      <c r="BX134" s="87"/>
      <c r="BY134" s="87"/>
      <c r="BZ134" s="87"/>
      <c r="CA134" s="87"/>
      <c r="CB134" s="87"/>
      <c r="CC134" s="87"/>
      <c r="CD134" s="87"/>
      <c r="CE134" s="87"/>
      <c r="CF134" s="87"/>
      <c r="CG134" s="87"/>
      <c r="CH134" s="87"/>
      <c r="CI134" s="87"/>
      <c r="CJ134" s="87"/>
      <c r="CK134" s="87"/>
      <c r="CL134" s="87"/>
      <c r="CM134" s="87"/>
      <c r="CN134" s="87"/>
      <c r="CO134" s="87"/>
      <c r="CP134" s="87"/>
      <c r="CQ134" s="87"/>
      <c r="CR134" s="87"/>
      <c r="CS134" s="87"/>
      <c r="CT134" s="87"/>
      <c r="CU134" s="87"/>
      <c r="CV134" s="87"/>
      <c r="CW134" s="87"/>
      <c r="CX134" s="87"/>
      <c r="CY134" s="87"/>
      <c r="CZ134" s="87"/>
      <c r="DA134" s="87"/>
      <c r="DB134" s="87"/>
      <c r="DC134" s="87"/>
      <c r="DD134" s="87"/>
      <c r="DE134" s="87"/>
      <c r="DF134" s="87"/>
      <c r="DG134" s="87"/>
      <c r="DH134" s="87"/>
      <c r="DI134" s="87"/>
      <c r="DJ134" s="87"/>
      <c r="DK134" s="87"/>
      <c r="DL134" s="87"/>
      <c r="DM134" s="87"/>
      <c r="DN134" s="87"/>
      <c r="DO134" s="87"/>
      <c r="DP134" s="87"/>
      <c r="DQ134" s="87"/>
      <c r="DR134" s="87"/>
      <c r="DS134" s="87"/>
      <c r="DT134" s="87"/>
      <c r="DU134" s="87"/>
      <c r="DV134" s="87"/>
      <c r="DW134" s="87"/>
      <c r="DX134" s="87"/>
      <c r="DY134" s="87"/>
      <c r="DZ134" s="87"/>
      <c r="EA134" s="87"/>
      <c r="EB134" s="87"/>
      <c r="EC134" s="87"/>
      <c r="ED134" s="87"/>
      <c r="EE134" s="87"/>
      <c r="EF134" s="87"/>
      <c r="EG134" s="87"/>
      <c r="EH134" s="87"/>
      <c r="EI134" s="87"/>
    </row>
    <row r="135" spans="1:139" ht="16.5" hidden="1" thickBot="1" x14ac:dyDescent="0.35">
      <c r="A135" s="200" t="s">
        <v>371</v>
      </c>
      <c r="B135" s="199">
        <v>2</v>
      </c>
      <c r="C135" s="195">
        <f>247*0.38*0.5</f>
        <v>46.93</v>
      </c>
      <c r="D135" s="217">
        <f>C135/VLOOKUP(B135,'[2]Gas Prod per PADD'!$A$1:$C$6,2,FALSE)</f>
        <v>1.9554166666666668E-2</v>
      </c>
      <c r="E135" s="196">
        <v>45389</v>
      </c>
      <c r="F135" s="197">
        <v>45404</v>
      </c>
      <c r="G135" s="194" t="s">
        <v>372</v>
      </c>
      <c r="H135" s="198" t="s">
        <v>373</v>
      </c>
      <c r="I135" s="84"/>
      <c r="J135" s="85"/>
      <c r="K135" s="85"/>
      <c r="L135" s="85"/>
      <c r="M135" s="85">
        <f>C135*(E135-F135)/30</f>
        <v>-23.465</v>
      </c>
      <c r="N135" s="85"/>
      <c r="O135" s="85"/>
      <c r="P135" s="85"/>
      <c r="Q135" s="85"/>
      <c r="R135" s="85"/>
      <c r="S135" s="85"/>
      <c r="T135" s="85"/>
      <c r="U135" s="85"/>
      <c r="V135" s="84"/>
      <c r="W135" s="84"/>
      <c r="X135" s="84" t="str">
        <f t="shared" si="9"/>
        <v>OK</v>
      </c>
      <c r="Y135" s="87"/>
      <c r="Z135" s="87"/>
      <c r="AA135" s="87"/>
      <c r="AB135" s="87"/>
      <c r="AC135" s="87"/>
      <c r="AD135" s="87"/>
      <c r="AE135" s="87"/>
      <c r="AF135" s="87"/>
      <c r="AG135" s="87"/>
      <c r="AH135" s="87"/>
      <c r="AI135" s="87"/>
      <c r="AJ135" s="87"/>
      <c r="AK135" s="87"/>
      <c r="AL135" s="87">
        <v>5.2214285714285706</v>
      </c>
      <c r="AM135" s="87"/>
      <c r="AN135" s="87"/>
      <c r="AO135" s="87"/>
      <c r="AP135" s="87"/>
      <c r="AQ135" s="87"/>
      <c r="AR135" s="87"/>
      <c r="AS135" s="87"/>
      <c r="AT135" s="87"/>
      <c r="AU135" s="87"/>
      <c r="AV135" s="87">
        <f>(5/7)*247*0.38*0.25*-1</f>
        <v>-16.760714285714286</v>
      </c>
      <c r="AW135" s="87"/>
      <c r="AX135" s="87">
        <v>9</v>
      </c>
      <c r="AY135" s="87">
        <v>7.7607140000000001</v>
      </c>
      <c r="AZ135" s="87"/>
      <c r="BA135" s="87"/>
      <c r="BB135" s="87"/>
      <c r="BC135" s="87"/>
      <c r="BD135" s="87"/>
      <c r="BE135" s="87"/>
      <c r="BF135" s="87"/>
      <c r="BG135" s="87"/>
      <c r="BH135" s="87"/>
      <c r="BI135" s="87"/>
      <c r="BJ135" s="87"/>
      <c r="BK135" s="87"/>
      <c r="BL135" s="87"/>
      <c r="BM135" s="87"/>
      <c r="BN135" s="87"/>
      <c r="BO135" s="87"/>
      <c r="BP135" s="87"/>
      <c r="BQ135" s="87"/>
      <c r="BR135" s="87"/>
      <c r="BS135" s="87"/>
      <c r="BT135" s="87"/>
      <c r="BU135" s="87"/>
      <c r="BV135" s="87"/>
      <c r="BW135" s="87"/>
      <c r="BX135" s="87"/>
      <c r="BY135" s="87"/>
      <c r="BZ135" s="87"/>
      <c r="CA135" s="87"/>
      <c r="CB135" s="87"/>
      <c r="CC135" s="87"/>
      <c r="CD135" s="87"/>
      <c r="CE135" s="87"/>
      <c r="CF135" s="87"/>
      <c r="CG135" s="87"/>
      <c r="CH135" s="87"/>
      <c r="CI135" s="87"/>
      <c r="CJ135" s="87"/>
      <c r="CK135" s="87"/>
      <c r="CL135" s="87"/>
      <c r="CM135" s="87"/>
      <c r="CN135" s="87"/>
      <c r="CO135" s="87"/>
      <c r="CP135" s="87"/>
      <c r="CQ135" s="87"/>
      <c r="CR135" s="87"/>
      <c r="CS135" s="87"/>
      <c r="CT135" s="87"/>
      <c r="CU135" s="87"/>
      <c r="CV135" s="87"/>
      <c r="CW135" s="87"/>
      <c r="CX135" s="87"/>
      <c r="CY135" s="87"/>
      <c r="CZ135" s="87"/>
      <c r="DA135" s="87"/>
      <c r="DB135" s="87"/>
      <c r="DC135" s="87"/>
      <c r="DD135" s="87"/>
      <c r="DE135" s="87"/>
      <c r="DF135" s="87"/>
      <c r="DG135" s="87"/>
      <c r="DH135" s="87"/>
      <c r="DI135" s="87"/>
      <c r="DJ135" s="87"/>
      <c r="DK135" s="87"/>
      <c r="DL135" s="87"/>
      <c r="DM135" s="87"/>
      <c r="DN135" s="87"/>
      <c r="DO135" s="87"/>
      <c r="DP135" s="87"/>
      <c r="DQ135" s="87"/>
      <c r="DR135" s="87"/>
      <c r="DS135" s="87"/>
      <c r="DT135" s="87"/>
      <c r="DU135" s="87"/>
      <c r="DV135" s="87"/>
      <c r="DW135" s="87"/>
      <c r="DX135" s="87"/>
      <c r="DY135" s="87"/>
      <c r="DZ135" s="87"/>
      <c r="EA135" s="87"/>
      <c r="EB135" s="87"/>
      <c r="EC135" s="87"/>
      <c r="ED135" s="87"/>
      <c r="EE135" s="87"/>
      <c r="EF135" s="87"/>
      <c r="EG135" s="87"/>
      <c r="EH135" s="87"/>
      <c r="EI135" s="87"/>
    </row>
    <row r="136" spans="1:139" ht="16.5" hidden="1" thickBot="1" x14ac:dyDescent="0.35">
      <c r="A136" s="218" t="s">
        <v>374</v>
      </c>
      <c r="B136" s="194">
        <v>3</v>
      </c>
      <c r="C136" s="195">
        <f>0.3*120</f>
        <v>36</v>
      </c>
      <c r="D136" s="217">
        <f>C136/VLOOKUP(B136,'[2]Gas Prod per PADD'!$A$1:$C$6,2,FALSE)</f>
        <v>7.8260869565217397E-3</v>
      </c>
      <c r="E136" s="196">
        <v>45390</v>
      </c>
      <c r="F136" s="197">
        <v>45405</v>
      </c>
      <c r="G136" s="194" t="s">
        <v>375</v>
      </c>
      <c r="H136" s="198"/>
      <c r="I136" s="84"/>
      <c r="J136" s="85"/>
      <c r="K136" s="85"/>
      <c r="L136" s="85"/>
      <c r="M136" s="85">
        <f>C136*(E136-F136)/30</f>
        <v>-18</v>
      </c>
      <c r="N136" s="85"/>
      <c r="O136" s="85"/>
      <c r="P136" s="85"/>
      <c r="Q136" s="85"/>
      <c r="R136" s="85"/>
      <c r="S136" s="85"/>
      <c r="T136" s="85"/>
      <c r="U136" s="85"/>
      <c r="V136" s="84"/>
      <c r="W136" s="84"/>
      <c r="X136" s="84" t="str">
        <f t="shared" si="9"/>
        <v>OK</v>
      </c>
      <c r="Y136" s="87"/>
      <c r="Z136" s="87"/>
      <c r="AA136" s="87"/>
      <c r="AB136" s="87"/>
      <c r="AC136" s="87"/>
      <c r="AD136" s="87"/>
      <c r="AE136" s="87"/>
      <c r="AF136" s="87"/>
      <c r="AG136" s="87"/>
      <c r="AH136" s="87"/>
      <c r="AI136" s="87"/>
      <c r="AJ136" s="87"/>
      <c r="AK136" s="87"/>
      <c r="AL136" s="87"/>
      <c r="AM136" s="87"/>
      <c r="AN136" s="87"/>
      <c r="AO136" s="87"/>
      <c r="AP136" s="87"/>
      <c r="AQ136" s="87"/>
      <c r="AR136" s="87"/>
      <c r="AS136" s="87"/>
      <c r="AT136" s="87"/>
      <c r="AU136" s="87"/>
      <c r="AV136" s="87">
        <f>-(3.5/7)*120*0.25</f>
        <v>-15</v>
      </c>
      <c r="AW136" s="87">
        <f>-C136-AV136</f>
        <v>-21</v>
      </c>
      <c r="AX136" s="87">
        <f>-AV136</f>
        <v>15</v>
      </c>
      <c r="AY136" s="87">
        <f>-AW136</f>
        <v>21</v>
      </c>
      <c r="AZ136" s="87"/>
      <c r="BA136" s="87"/>
      <c r="BB136" s="87"/>
      <c r="BC136" s="87"/>
      <c r="BD136" s="87"/>
      <c r="BE136" s="87"/>
      <c r="BF136" s="87"/>
      <c r="BG136" s="87"/>
      <c r="BH136" s="87"/>
      <c r="BI136" s="87"/>
      <c r="BJ136" s="87"/>
      <c r="BK136" s="87"/>
      <c r="BL136" s="87"/>
      <c r="BM136" s="87"/>
      <c r="BN136" s="87"/>
      <c r="BO136" s="87"/>
      <c r="BP136" s="87"/>
      <c r="BQ136" s="87"/>
      <c r="BR136" s="87"/>
      <c r="BS136" s="87"/>
      <c r="BT136" s="87"/>
      <c r="BU136" s="87"/>
      <c r="BV136" s="87"/>
      <c r="BW136" s="87"/>
      <c r="BX136" s="87"/>
      <c r="BY136" s="87"/>
      <c r="BZ136" s="87"/>
      <c r="CA136" s="87"/>
      <c r="CB136" s="87"/>
      <c r="CC136" s="87"/>
      <c r="CD136" s="87"/>
      <c r="CE136" s="87"/>
      <c r="CF136" s="87"/>
      <c r="CG136" s="87"/>
      <c r="CH136" s="87"/>
      <c r="CI136" s="87"/>
      <c r="CJ136" s="87"/>
      <c r="CK136" s="87"/>
      <c r="CL136" s="87"/>
      <c r="CM136" s="87"/>
      <c r="CN136" s="87"/>
      <c r="CO136" s="87"/>
      <c r="CP136" s="87"/>
      <c r="CQ136" s="87"/>
      <c r="CR136" s="87"/>
      <c r="CS136" s="87"/>
      <c r="CT136" s="87"/>
      <c r="CU136" s="87"/>
      <c r="CV136" s="87"/>
      <c r="CW136" s="87"/>
      <c r="CX136" s="87"/>
      <c r="CY136" s="87"/>
      <c r="CZ136" s="87"/>
      <c r="DA136" s="87"/>
      <c r="DB136" s="87"/>
      <c r="DC136" s="87"/>
      <c r="DD136" s="87"/>
      <c r="DE136" s="87"/>
      <c r="DF136" s="87"/>
      <c r="DG136" s="87"/>
      <c r="DH136" s="87"/>
      <c r="DI136" s="87"/>
      <c r="DJ136" s="87"/>
      <c r="DK136" s="87"/>
      <c r="DL136" s="87"/>
      <c r="DM136" s="87"/>
      <c r="DN136" s="87"/>
      <c r="DO136" s="87"/>
      <c r="DP136" s="87"/>
      <c r="DQ136" s="87"/>
      <c r="DR136" s="87"/>
      <c r="DS136" s="87"/>
      <c r="DT136" s="87"/>
      <c r="DU136" s="87"/>
      <c r="DV136" s="87"/>
      <c r="DW136" s="87"/>
      <c r="DX136" s="87"/>
      <c r="DY136" s="87"/>
      <c r="DZ136" s="87"/>
      <c r="EA136" s="87"/>
      <c r="EB136" s="87"/>
      <c r="EC136" s="87"/>
      <c r="ED136" s="87"/>
      <c r="EE136" s="87"/>
      <c r="EF136" s="87"/>
      <c r="EG136" s="87"/>
      <c r="EH136" s="87"/>
      <c r="EI136" s="87"/>
    </row>
    <row r="137" spans="1:139" ht="16.5" hidden="1" thickBot="1" x14ac:dyDescent="0.35">
      <c r="A137" s="113" t="s">
        <v>162</v>
      </c>
      <c r="B137" s="194">
        <v>3</v>
      </c>
      <c r="C137" s="195"/>
      <c r="D137" s="217">
        <f>C137/VLOOKUP(B137,'[2]Gas Prod per PADD'!$A$1:$C$6,2,FALSE)</f>
        <v>0</v>
      </c>
      <c r="E137" s="196">
        <v>45477</v>
      </c>
      <c r="F137" s="197">
        <v>45405</v>
      </c>
      <c r="G137" s="194" t="s">
        <v>218</v>
      </c>
      <c r="H137" s="198"/>
      <c r="I137" s="84"/>
      <c r="J137" s="85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4"/>
      <c r="W137" s="84"/>
      <c r="X137" s="84" t="str">
        <f t="shared" si="9"/>
        <v>OK</v>
      </c>
      <c r="Y137" s="87"/>
      <c r="Z137" s="87"/>
      <c r="AA137" s="87"/>
      <c r="AB137" s="87"/>
      <c r="AC137" s="87"/>
      <c r="AD137" s="87"/>
      <c r="AE137" s="87"/>
      <c r="AF137" s="87"/>
      <c r="AG137" s="87"/>
      <c r="AH137" s="87"/>
      <c r="AI137" s="87"/>
      <c r="AJ137" s="87"/>
      <c r="AK137" s="87"/>
      <c r="AL137" s="87"/>
      <c r="AM137" s="87"/>
      <c r="AN137" s="87"/>
      <c r="AO137" s="87"/>
      <c r="AP137" s="87"/>
      <c r="AQ137" s="87"/>
      <c r="AR137" s="87"/>
      <c r="AS137" s="87"/>
      <c r="AT137" s="87"/>
      <c r="AU137" s="87"/>
      <c r="AV137" s="87"/>
      <c r="AW137" s="87"/>
      <c r="AX137" s="87"/>
      <c r="AY137" s="87">
        <f>34*0.2</f>
        <v>6.8000000000000007</v>
      </c>
      <c r="AZ137" s="87"/>
      <c r="BA137" s="87"/>
      <c r="BB137" s="87"/>
      <c r="BC137" s="87"/>
      <c r="BD137" s="87"/>
      <c r="BE137" s="87"/>
      <c r="BF137" s="87"/>
      <c r="BG137" s="87"/>
      <c r="BH137" s="87"/>
      <c r="BI137" s="87"/>
      <c r="BJ137" s="87"/>
      <c r="BK137" s="87"/>
      <c r="BL137" s="87"/>
      <c r="BM137" s="87"/>
      <c r="BN137" s="87"/>
      <c r="BO137" s="87"/>
      <c r="BP137" s="87"/>
      <c r="BQ137" s="87"/>
      <c r="BR137" s="87"/>
      <c r="BS137" s="87"/>
      <c r="BT137" s="87"/>
      <c r="BU137" s="87"/>
      <c r="BV137" s="87"/>
      <c r="BW137" s="87"/>
      <c r="BX137" s="87"/>
      <c r="BY137" s="87"/>
      <c r="BZ137" s="87"/>
      <c r="CA137" s="87"/>
      <c r="CB137" s="87"/>
      <c r="CC137" s="87"/>
      <c r="CD137" s="87"/>
      <c r="CE137" s="87"/>
      <c r="CF137" s="87"/>
      <c r="CG137" s="87"/>
      <c r="CH137" s="87"/>
      <c r="CI137" s="87"/>
      <c r="CJ137" s="87"/>
      <c r="CK137" s="87"/>
      <c r="CL137" s="87"/>
      <c r="CM137" s="87"/>
      <c r="CN137" s="87"/>
      <c r="CO137" s="87"/>
      <c r="CP137" s="87"/>
      <c r="CQ137" s="87"/>
      <c r="CR137" s="87"/>
      <c r="CS137" s="87"/>
      <c r="CT137" s="87"/>
      <c r="CU137" s="87"/>
      <c r="CV137" s="87"/>
      <c r="CW137" s="87"/>
      <c r="CX137" s="87"/>
      <c r="CY137" s="87"/>
      <c r="CZ137" s="87"/>
      <c r="DA137" s="87"/>
      <c r="DB137" s="87"/>
      <c r="DC137" s="87"/>
      <c r="DD137" s="87"/>
      <c r="DE137" s="87"/>
      <c r="DF137" s="87"/>
      <c r="DG137" s="87"/>
      <c r="DH137" s="87"/>
      <c r="DI137" s="87"/>
      <c r="DJ137" s="87"/>
      <c r="DK137" s="87"/>
      <c r="DL137" s="87"/>
      <c r="DM137" s="87"/>
      <c r="DN137" s="87"/>
      <c r="DO137" s="87"/>
      <c r="DP137" s="87"/>
      <c r="DQ137" s="87"/>
      <c r="DR137" s="87"/>
      <c r="DS137" s="87"/>
      <c r="DT137" s="87"/>
      <c r="DU137" s="87"/>
      <c r="DV137" s="87"/>
      <c r="DW137" s="87"/>
      <c r="DX137" s="87"/>
      <c r="DY137" s="87"/>
      <c r="DZ137" s="87"/>
      <c r="EA137" s="87"/>
      <c r="EB137" s="87"/>
      <c r="EC137" s="87"/>
      <c r="ED137" s="87"/>
      <c r="EE137" s="87"/>
      <c r="EF137" s="87"/>
      <c r="EG137" s="87"/>
      <c r="EH137" s="87"/>
      <c r="EI137" s="87"/>
    </row>
    <row r="138" spans="1:139" ht="16.5" thickBot="1" x14ac:dyDescent="0.35">
      <c r="A138" s="190" t="s">
        <v>127</v>
      </c>
      <c r="B138" s="176">
        <v>3</v>
      </c>
      <c r="C138" s="177">
        <f>40*0.85</f>
        <v>34</v>
      </c>
      <c r="D138" s="217">
        <f>C138/VLOOKUP(B138,'[2]Gas Prod per PADD'!$A$1:$C$6,2,FALSE)</f>
        <v>7.391304347826087E-3</v>
      </c>
      <c r="E138" s="196">
        <v>45373</v>
      </c>
      <c r="F138" s="197">
        <v>45406</v>
      </c>
      <c r="G138" s="180" t="s">
        <v>376</v>
      </c>
      <c r="H138" s="181" t="s">
        <v>216</v>
      </c>
      <c r="I138" s="84"/>
      <c r="J138" s="85"/>
      <c r="K138" s="85"/>
      <c r="L138" s="85">
        <f>C138*(E138-$L$1)/31</f>
        <v>-9.870967741935484</v>
      </c>
      <c r="M138" s="85">
        <f>C138*($L$1-F138)/30</f>
        <v>-27.2</v>
      </c>
      <c r="N138" s="85"/>
      <c r="O138" s="85"/>
      <c r="P138" s="85"/>
      <c r="Q138" s="85"/>
      <c r="R138" s="85"/>
      <c r="S138" s="85"/>
      <c r="T138" s="85"/>
      <c r="U138" s="85"/>
      <c r="V138" s="84"/>
      <c r="W138" s="84"/>
      <c r="X138" s="84" t="str">
        <f t="shared" si="9"/>
        <v>OK</v>
      </c>
      <c r="Y138" s="105"/>
      <c r="Z138" s="105"/>
      <c r="AA138" s="87"/>
      <c r="AB138" s="87"/>
      <c r="AC138" s="87"/>
      <c r="AD138" s="87"/>
      <c r="AE138" s="105"/>
      <c r="AF138" s="105"/>
      <c r="AG138" s="105"/>
      <c r="AH138" s="105"/>
      <c r="AI138" s="87"/>
      <c r="AJ138" s="87"/>
      <c r="AK138" s="105"/>
      <c r="AL138" s="87"/>
      <c r="AM138" s="105"/>
      <c r="AN138" s="105"/>
      <c r="AO138" s="87"/>
      <c r="AP138" s="87"/>
      <c r="AQ138" s="105"/>
      <c r="AR138" s="105"/>
      <c r="AS138" s="87"/>
      <c r="AT138" s="105">
        <f>C138*-1*3/4</f>
        <v>-25.5</v>
      </c>
      <c r="AU138" s="105">
        <f>(C138+AT138)*-1</f>
        <v>-8.5</v>
      </c>
      <c r="AV138" s="87"/>
      <c r="AW138" s="105"/>
      <c r="AX138" s="105"/>
      <c r="AY138" s="105">
        <f>(2/3)*C138*0.85</f>
        <v>19.266666666666666</v>
      </c>
      <c r="AZ138" s="105">
        <f>C138-AY138</f>
        <v>14.733333333333334</v>
      </c>
      <c r="BA138" s="105"/>
      <c r="BB138" s="105"/>
      <c r="BC138" s="87"/>
      <c r="BD138" s="87"/>
      <c r="BE138" s="87"/>
      <c r="BF138" s="105"/>
      <c r="BG138" s="105"/>
      <c r="BH138" s="105"/>
      <c r="BI138" s="105"/>
      <c r="BJ138" s="87"/>
      <c r="BK138" s="87"/>
      <c r="BL138" s="87"/>
      <c r="BM138" s="87"/>
      <c r="BN138" s="87"/>
      <c r="BO138" s="87"/>
      <c r="BP138" s="87"/>
      <c r="BQ138" s="87"/>
      <c r="BR138" s="87"/>
      <c r="BS138" s="87"/>
      <c r="BT138" s="87"/>
      <c r="BU138" s="87"/>
      <c r="BV138" s="87"/>
      <c r="BW138" s="87"/>
      <c r="BX138" s="87"/>
      <c r="BY138" s="87"/>
      <c r="BZ138" s="87"/>
      <c r="CA138" s="87"/>
      <c r="CB138" s="87"/>
      <c r="CC138" s="87"/>
      <c r="CD138" s="87"/>
      <c r="CE138" s="87"/>
      <c r="CF138" s="87"/>
      <c r="CG138" s="87"/>
      <c r="CH138" s="87"/>
      <c r="CI138" s="87"/>
      <c r="CJ138" s="87"/>
      <c r="CK138" s="87"/>
      <c r="CL138" s="87"/>
      <c r="CM138" s="87"/>
      <c r="CN138" s="87"/>
      <c r="CO138" s="87"/>
      <c r="CP138" s="87"/>
      <c r="CQ138" s="87"/>
      <c r="CR138" s="87"/>
      <c r="CS138" s="87"/>
      <c r="CT138" s="87"/>
      <c r="CU138" s="87"/>
      <c r="CV138" s="87"/>
      <c r="CW138" s="87"/>
      <c r="CX138" s="87"/>
      <c r="CY138" s="87"/>
      <c r="CZ138" s="87"/>
      <c r="DA138" s="87"/>
      <c r="DB138" s="87"/>
      <c r="DC138" s="87"/>
      <c r="DD138" s="87"/>
      <c r="DE138" s="87"/>
      <c r="DF138" s="87"/>
      <c r="DG138" s="87"/>
      <c r="DH138" s="87"/>
      <c r="DI138" s="87"/>
      <c r="DJ138" s="87"/>
      <c r="DK138" s="87"/>
      <c r="DL138" s="87"/>
      <c r="DM138" s="87"/>
      <c r="DN138" s="87"/>
      <c r="DO138" s="87"/>
      <c r="DP138" s="87"/>
      <c r="DQ138" s="87"/>
      <c r="DR138" s="87"/>
      <c r="DS138" s="87"/>
      <c r="DT138" s="87"/>
      <c r="DU138" s="87"/>
      <c r="DV138" s="87"/>
      <c r="DW138" s="87"/>
      <c r="DX138" s="87"/>
      <c r="DY138" s="87"/>
      <c r="DZ138" s="87"/>
      <c r="EA138" s="87"/>
      <c r="EB138" s="87"/>
      <c r="EC138" s="87"/>
      <c r="ED138" s="87"/>
      <c r="EE138" s="87"/>
      <c r="EF138" s="87"/>
      <c r="EG138" s="87"/>
      <c r="EH138" s="87"/>
      <c r="EI138" s="87"/>
    </row>
    <row r="139" spans="1:139" ht="16.5" hidden="1" thickBot="1" x14ac:dyDescent="0.35">
      <c r="A139" s="200" t="s">
        <v>377</v>
      </c>
      <c r="B139" s="223">
        <v>5</v>
      </c>
      <c r="C139" s="224">
        <f>250*0.25+55*0.3-9</f>
        <v>70</v>
      </c>
      <c r="D139" s="217">
        <f>C139/VLOOKUP(B139,'[2]Gas Prod per PADD'!$A$1:$C$6,2,FALSE)</f>
        <v>5.185185185185185E-2</v>
      </c>
      <c r="E139" s="228">
        <v>45394</v>
      </c>
      <c r="F139" s="226">
        <v>45406</v>
      </c>
      <c r="G139" s="180" t="s">
        <v>378</v>
      </c>
      <c r="H139" s="221" t="s">
        <v>379</v>
      </c>
      <c r="I139" s="84"/>
      <c r="J139" s="85"/>
      <c r="K139" s="85"/>
      <c r="L139" s="85"/>
      <c r="M139" s="85">
        <f>C139*(E139-F139)/30</f>
        <v>-28</v>
      </c>
      <c r="N139" s="85"/>
      <c r="O139" s="85"/>
      <c r="P139" s="85"/>
      <c r="Q139" s="85"/>
      <c r="R139" s="85"/>
      <c r="S139" s="85"/>
      <c r="T139" s="85"/>
      <c r="U139" s="85"/>
      <c r="V139" s="84"/>
      <c r="W139" s="84"/>
      <c r="X139" s="84" t="str">
        <f t="shared" si="9"/>
        <v>OK</v>
      </c>
      <c r="Y139" s="105"/>
      <c r="Z139" s="105"/>
      <c r="AA139" s="87"/>
      <c r="AB139" s="87"/>
      <c r="AC139" s="87"/>
      <c r="AD139" s="87"/>
      <c r="AE139" s="105"/>
      <c r="AF139" s="105"/>
      <c r="AG139" s="105"/>
      <c r="AH139" s="105"/>
      <c r="AI139" s="87"/>
      <c r="AJ139" s="87"/>
      <c r="AK139" s="105"/>
      <c r="AL139" s="87"/>
      <c r="AM139" s="105"/>
      <c r="AN139" s="105"/>
      <c r="AO139" s="87"/>
      <c r="AP139" s="87"/>
      <c r="AQ139" s="105"/>
      <c r="AR139" s="105"/>
      <c r="AS139" s="87"/>
      <c r="AT139" s="105"/>
      <c r="AU139" s="87"/>
      <c r="AV139" s="87"/>
      <c r="AW139" s="87">
        <f>-$C$127/2</f>
        <v>-32.5</v>
      </c>
      <c r="AX139" s="105">
        <f>-$C$127-$AW$127</f>
        <v>-53.857142857142861</v>
      </c>
      <c r="AY139" s="105">
        <f>-AW139</f>
        <v>32.5</v>
      </c>
      <c r="AZ139" s="105">
        <f>C139-AY139</f>
        <v>37.5</v>
      </c>
      <c r="BA139" s="105"/>
      <c r="BB139" s="105"/>
      <c r="BC139" s="105"/>
      <c r="BD139" s="87"/>
      <c r="BE139" s="87"/>
      <c r="BF139" s="87"/>
      <c r="BG139" s="87"/>
      <c r="BH139" s="87"/>
      <c r="BI139" s="87"/>
      <c r="BJ139" s="87"/>
      <c r="BK139" s="87"/>
      <c r="BL139" s="87"/>
      <c r="BM139" s="87"/>
      <c r="BN139" s="87"/>
      <c r="BO139" s="87"/>
      <c r="BP139" s="87"/>
      <c r="BQ139" s="87"/>
      <c r="BR139" s="87"/>
      <c r="BS139" s="87"/>
      <c r="BT139" s="87"/>
      <c r="BU139" s="87"/>
      <c r="BV139" s="87"/>
      <c r="BW139" s="87"/>
      <c r="BX139" s="87"/>
      <c r="BY139" s="87"/>
      <c r="BZ139" s="87"/>
      <c r="CA139" s="87"/>
      <c r="CB139" s="87"/>
      <c r="CC139" s="87"/>
      <c r="CD139" s="87"/>
      <c r="CE139" s="87"/>
      <c r="CF139" s="87"/>
      <c r="CG139" s="87"/>
      <c r="CH139" s="87"/>
      <c r="CI139" s="87"/>
      <c r="CJ139" s="87"/>
      <c r="CK139" s="87"/>
      <c r="CL139" s="87"/>
      <c r="CM139" s="87"/>
      <c r="CN139" s="87"/>
      <c r="CO139" s="87"/>
      <c r="CP139" s="87"/>
      <c r="CQ139" s="87"/>
      <c r="CR139" s="87"/>
      <c r="CS139" s="87"/>
      <c r="CT139" s="87"/>
      <c r="CU139" s="87"/>
      <c r="CV139" s="87"/>
      <c r="CW139" s="87"/>
      <c r="CX139" s="87"/>
      <c r="CY139" s="87"/>
      <c r="CZ139" s="87"/>
      <c r="DA139" s="87"/>
      <c r="DB139" s="87"/>
      <c r="DC139" s="87"/>
      <c r="DD139" s="87"/>
      <c r="DE139" s="87"/>
      <c r="DF139" s="87"/>
      <c r="DG139" s="87"/>
      <c r="DH139" s="87"/>
      <c r="DI139" s="87"/>
      <c r="DJ139" s="87"/>
      <c r="DK139" s="87"/>
      <c r="DL139" s="87"/>
      <c r="DM139" s="87"/>
      <c r="DN139" s="87"/>
      <c r="DO139" s="87"/>
      <c r="DP139" s="87"/>
      <c r="DQ139" s="87"/>
      <c r="DR139" s="87"/>
      <c r="DS139" s="87"/>
      <c r="DT139" s="87"/>
      <c r="DU139" s="87"/>
      <c r="DV139" s="87"/>
      <c r="DW139" s="87"/>
      <c r="DX139" s="87"/>
      <c r="DY139" s="87"/>
      <c r="DZ139" s="87"/>
      <c r="EA139" s="87"/>
      <c r="EB139" s="87"/>
      <c r="EC139" s="87"/>
      <c r="ED139" s="87"/>
      <c r="EE139" s="87"/>
      <c r="EF139" s="87"/>
      <c r="EG139" s="75">
        <v>46017</v>
      </c>
      <c r="EH139" s="75">
        <v>46024</v>
      </c>
      <c r="EI139" s="75">
        <v>46031</v>
      </c>
    </row>
    <row r="140" spans="1:139" ht="16.5" hidden="1" thickBot="1" x14ac:dyDescent="0.35">
      <c r="A140" s="200" t="s">
        <v>119</v>
      </c>
      <c r="B140" s="194">
        <v>5</v>
      </c>
      <c r="C140" s="195">
        <f>73*0.65</f>
        <v>47.45</v>
      </c>
      <c r="D140" s="217">
        <f>C140/VLOOKUP(B140,'[2]Gas Prod per PADD'!$A$1:$C$6,2,FALSE)</f>
        <v>3.5148148148148151E-2</v>
      </c>
      <c r="E140" s="196">
        <v>45404</v>
      </c>
      <c r="F140" s="197">
        <v>45407</v>
      </c>
      <c r="G140" s="194" t="s">
        <v>221</v>
      </c>
      <c r="H140" s="198" t="s">
        <v>380</v>
      </c>
      <c r="I140" s="84"/>
      <c r="J140" s="85"/>
      <c r="K140" s="85"/>
      <c r="L140" s="85"/>
      <c r="M140" s="85">
        <f>C140*(E140-F140)/30</f>
        <v>-4.745000000000001</v>
      </c>
      <c r="N140" s="85"/>
      <c r="O140" s="85"/>
      <c r="P140" s="85"/>
      <c r="Q140" s="85"/>
      <c r="R140" s="85"/>
      <c r="S140" s="85"/>
      <c r="T140" s="85"/>
      <c r="U140" s="85"/>
      <c r="V140" s="84"/>
      <c r="W140" s="84"/>
      <c r="X140" s="84" t="str">
        <f t="shared" si="9"/>
        <v>OK</v>
      </c>
      <c r="Y140" s="87"/>
      <c r="Z140" s="87"/>
      <c r="AA140" s="87"/>
      <c r="AB140" s="87"/>
      <c r="AC140" s="87"/>
      <c r="AD140" s="87"/>
      <c r="AE140" s="87"/>
      <c r="AF140" s="87"/>
      <c r="AG140" s="87"/>
      <c r="AH140" s="87"/>
      <c r="AI140" s="87"/>
      <c r="AJ140" s="87"/>
      <c r="AK140" s="87"/>
      <c r="AL140" s="87"/>
      <c r="AM140" s="87"/>
      <c r="AN140" s="87"/>
      <c r="AO140" s="87"/>
      <c r="AP140" s="87"/>
      <c r="AQ140" s="87"/>
      <c r="AR140" s="87"/>
      <c r="AS140" s="87"/>
      <c r="AT140" s="87"/>
      <c r="AU140" s="87"/>
      <c r="AV140" s="87"/>
      <c r="AW140" s="87"/>
      <c r="AX140" s="87">
        <f>-15</f>
        <v>-15</v>
      </c>
      <c r="AY140" s="87">
        <f>-C140*4/7-AX140</f>
        <v>-12.114285714285717</v>
      </c>
      <c r="AZ140" s="87">
        <f>-AX140</f>
        <v>15</v>
      </c>
      <c r="BA140" s="87">
        <f>-AY140</f>
        <v>12.114285714285717</v>
      </c>
      <c r="BB140" s="87"/>
      <c r="BC140" s="87"/>
      <c r="BD140" s="87"/>
      <c r="BE140" s="87"/>
      <c r="BF140" s="87"/>
      <c r="BG140" s="87"/>
      <c r="BH140" s="87"/>
      <c r="BI140" s="87"/>
      <c r="BJ140" s="87"/>
      <c r="BK140" s="87"/>
      <c r="BL140" s="87"/>
      <c r="BM140" s="87"/>
      <c r="BN140" s="87"/>
      <c r="BO140" s="87"/>
      <c r="BP140" s="87"/>
      <c r="BQ140" s="87"/>
      <c r="BR140" s="87"/>
      <c r="BS140" s="87"/>
      <c r="BT140" s="87"/>
      <c r="BU140" s="87"/>
      <c r="BV140" s="87"/>
      <c r="BW140" s="87"/>
      <c r="BX140" s="87"/>
      <c r="BY140" s="87"/>
      <c r="BZ140" s="87"/>
      <c r="CA140" s="87"/>
      <c r="CB140" s="87"/>
      <c r="CC140" s="87"/>
      <c r="CD140" s="87"/>
      <c r="CE140" s="87"/>
      <c r="CF140" s="87"/>
      <c r="CG140" s="87"/>
      <c r="CH140" s="87"/>
      <c r="CI140" s="87"/>
      <c r="CJ140" s="87"/>
      <c r="CK140" s="87"/>
      <c r="CL140" s="87"/>
      <c r="CM140" s="87"/>
      <c r="CN140" s="87"/>
      <c r="CO140" s="87"/>
      <c r="CP140" s="87"/>
      <c r="CQ140" s="87"/>
      <c r="CR140" s="87"/>
      <c r="CS140" s="87"/>
      <c r="CT140" s="87"/>
      <c r="CU140" s="87"/>
      <c r="CV140" s="87"/>
      <c r="CW140" s="87"/>
      <c r="CX140" s="87"/>
      <c r="CY140" s="87"/>
      <c r="CZ140" s="87"/>
      <c r="DA140" s="87"/>
      <c r="DB140" s="87"/>
      <c r="DC140" s="87"/>
      <c r="DD140" s="87"/>
      <c r="DE140" s="87"/>
      <c r="DF140" s="87"/>
      <c r="DG140" s="87"/>
      <c r="DH140" s="87"/>
      <c r="DI140" s="87"/>
      <c r="DJ140" s="87"/>
      <c r="DK140" s="87"/>
      <c r="DL140" s="87"/>
      <c r="DM140" s="87"/>
      <c r="DN140" s="87"/>
      <c r="DO140" s="87"/>
      <c r="DP140" s="87"/>
      <c r="DQ140" s="87"/>
      <c r="DR140" s="87"/>
      <c r="DS140" s="87"/>
      <c r="DT140" s="87"/>
      <c r="DU140" s="87"/>
      <c r="DV140" s="87"/>
      <c r="DW140" s="87"/>
      <c r="DX140" s="87"/>
      <c r="DY140" s="87"/>
      <c r="DZ140" s="87"/>
      <c r="EA140" s="87"/>
      <c r="EB140" s="87"/>
      <c r="EC140" s="87"/>
      <c r="ED140" s="87"/>
      <c r="EE140" s="87"/>
      <c r="EF140" s="87"/>
      <c r="EG140" s="75">
        <v>46017</v>
      </c>
      <c r="EH140" s="75">
        <v>46024</v>
      </c>
      <c r="EI140" s="75">
        <v>46031</v>
      </c>
    </row>
    <row r="141" spans="1:139" ht="16.5" hidden="1" thickBot="1" x14ac:dyDescent="0.35">
      <c r="A141" s="113" t="s">
        <v>173</v>
      </c>
      <c r="B141" s="194">
        <v>3</v>
      </c>
      <c r="C141" s="195">
        <f>25*0.65*0.5</f>
        <v>8.125</v>
      </c>
      <c r="D141" s="217">
        <f>C141/VLOOKUP(B141,'[2]Gas Prod per PADD'!$A$1:$C$6,2,FALSE)</f>
        <v>1.766304347826087E-3</v>
      </c>
      <c r="E141" s="196">
        <v>45400</v>
      </c>
      <c r="F141" s="197">
        <v>45408</v>
      </c>
      <c r="G141" s="194" t="s">
        <v>221</v>
      </c>
      <c r="H141" s="198" t="s">
        <v>381</v>
      </c>
      <c r="I141" s="84"/>
      <c r="J141" s="85"/>
      <c r="K141" s="85"/>
      <c r="L141" s="85"/>
      <c r="M141" s="85">
        <f>C141*(E141-F141)/30</f>
        <v>-2.1666666666666665</v>
      </c>
      <c r="N141" s="85"/>
      <c r="O141" s="85"/>
      <c r="P141" s="85"/>
      <c r="Q141" s="85"/>
      <c r="R141" s="85"/>
      <c r="S141" s="85"/>
      <c r="T141" s="85"/>
      <c r="U141" s="85"/>
      <c r="V141" s="84"/>
      <c r="W141" s="84"/>
      <c r="X141" s="84" t="str">
        <f t="shared" si="9"/>
        <v>OK</v>
      </c>
      <c r="Y141" s="87"/>
      <c r="Z141" s="87"/>
      <c r="AA141" s="87"/>
      <c r="AB141" s="87"/>
      <c r="AC141" s="87"/>
      <c r="AD141" s="87"/>
      <c r="AE141" s="87"/>
      <c r="AF141" s="87"/>
      <c r="AG141" s="87"/>
      <c r="AH141" s="87"/>
      <c r="AI141" s="87"/>
      <c r="AJ141" s="87"/>
      <c r="AK141" s="87"/>
      <c r="AL141" s="87"/>
      <c r="AM141" s="87"/>
      <c r="AN141" s="87"/>
      <c r="AO141" s="87"/>
      <c r="AP141" s="87"/>
      <c r="AQ141" s="87"/>
      <c r="AR141" s="87"/>
      <c r="AS141" s="87"/>
      <c r="AT141" s="87"/>
      <c r="AU141" s="87"/>
      <c r="AV141" s="87"/>
      <c r="AW141" s="87"/>
      <c r="AX141" s="87"/>
      <c r="AY141" s="87"/>
      <c r="AZ141" s="87"/>
      <c r="BA141" s="87"/>
      <c r="BB141" s="87"/>
      <c r="BC141" s="87"/>
      <c r="BD141" s="87"/>
      <c r="BE141" s="87"/>
      <c r="BF141" s="87"/>
      <c r="BG141" s="87"/>
      <c r="BH141" s="87"/>
      <c r="BI141" s="87"/>
      <c r="BJ141" s="87"/>
      <c r="BK141" s="87"/>
      <c r="BL141" s="87"/>
      <c r="BM141" s="87"/>
      <c r="BN141" s="87"/>
      <c r="BO141" s="87"/>
      <c r="BP141" s="87"/>
      <c r="BQ141" s="87"/>
      <c r="BR141" s="87"/>
      <c r="BS141" s="87"/>
      <c r="BT141" s="87"/>
      <c r="BU141" s="87">
        <f>-4/7*C141</f>
        <v>-4.6428571428571423</v>
      </c>
      <c r="BV141" s="87">
        <f>-BU141</f>
        <v>4.6428571428571423</v>
      </c>
      <c r="BW141" s="87"/>
      <c r="BX141" s="87"/>
      <c r="BY141" s="87"/>
      <c r="BZ141" s="87"/>
      <c r="CA141" s="87"/>
      <c r="CB141" s="87"/>
      <c r="CC141" s="87"/>
      <c r="CD141" s="87"/>
      <c r="CE141" s="87"/>
      <c r="CF141" s="87"/>
      <c r="CG141" s="87"/>
      <c r="CH141" s="87"/>
      <c r="CI141" s="87"/>
      <c r="CJ141" s="87"/>
      <c r="CK141" s="87"/>
      <c r="CL141" s="87"/>
      <c r="CM141" s="87"/>
      <c r="CN141" s="87"/>
      <c r="CO141" s="87"/>
      <c r="CP141" s="87"/>
      <c r="CQ141" s="87"/>
      <c r="CR141" s="87"/>
      <c r="CS141" s="87"/>
      <c r="CT141" s="87"/>
      <c r="CU141" s="87"/>
      <c r="CV141" s="87"/>
      <c r="CW141" s="87"/>
      <c r="CX141" s="87"/>
      <c r="CY141" s="87"/>
      <c r="CZ141" s="87"/>
      <c r="DA141" s="87"/>
      <c r="DB141" s="87"/>
      <c r="DC141" s="87"/>
      <c r="DD141" s="87"/>
      <c r="DE141" s="87"/>
      <c r="DF141" s="87"/>
      <c r="DG141" s="87"/>
      <c r="DH141" s="87"/>
      <c r="DI141" s="87"/>
      <c r="DJ141" s="87"/>
      <c r="DK141" s="87"/>
      <c r="DL141" s="87"/>
      <c r="DM141" s="87"/>
      <c r="DN141" s="87"/>
      <c r="DO141" s="87"/>
      <c r="DP141" s="87"/>
      <c r="DQ141" s="87"/>
      <c r="DR141" s="87"/>
      <c r="DS141" s="87"/>
      <c r="DT141" s="87"/>
      <c r="DU141" s="87"/>
      <c r="DV141" s="87"/>
      <c r="DW141" s="87"/>
      <c r="DX141" s="87"/>
      <c r="DY141" s="87"/>
      <c r="DZ141" s="87"/>
      <c r="EA141" s="87"/>
      <c r="EB141" s="87"/>
      <c r="EC141" s="87"/>
      <c r="ED141" s="87"/>
      <c r="EE141" s="87"/>
      <c r="EF141" s="87"/>
      <c r="EG141" s="87"/>
      <c r="EH141" s="87"/>
      <c r="EI141" s="87"/>
    </row>
    <row r="142" spans="1:139" ht="16.5" hidden="1" thickBot="1" x14ac:dyDescent="0.35">
      <c r="A142" s="113" t="s">
        <v>173</v>
      </c>
      <c r="B142" s="194">
        <v>3</v>
      </c>
      <c r="C142" s="195">
        <f>25*0.65</f>
        <v>16.25</v>
      </c>
      <c r="D142" s="217">
        <f>C142/VLOOKUP(B142,'[2]Gas Prod per PADD'!$A$1:$C$6,2,FALSE)</f>
        <v>3.5326086956521739E-3</v>
      </c>
      <c r="E142" s="196">
        <v>45400</v>
      </c>
      <c r="F142" s="197">
        <v>45408</v>
      </c>
      <c r="G142" s="194" t="s">
        <v>221</v>
      </c>
      <c r="H142" s="198" t="s">
        <v>382</v>
      </c>
      <c r="I142" s="84"/>
      <c r="J142" s="85"/>
      <c r="K142" s="85"/>
      <c r="L142" s="85"/>
      <c r="M142" s="85">
        <f>C142*(E142-F142)/30</f>
        <v>-4.333333333333333</v>
      </c>
      <c r="N142" s="85"/>
      <c r="O142" s="85"/>
      <c r="P142" s="85"/>
      <c r="Q142" s="85"/>
      <c r="R142" s="85"/>
      <c r="S142" s="85"/>
      <c r="T142" s="85"/>
      <c r="U142" s="85"/>
      <c r="V142" s="84"/>
      <c r="W142" s="84"/>
      <c r="X142" s="84" t="str">
        <f t="shared" si="9"/>
        <v>OK</v>
      </c>
      <c r="Y142" s="87"/>
      <c r="Z142" s="87"/>
      <c r="AA142" s="87"/>
      <c r="AB142" s="87"/>
      <c r="AC142" s="87"/>
      <c r="AD142" s="87"/>
      <c r="AE142" s="87"/>
      <c r="AF142" s="87"/>
      <c r="AG142" s="87"/>
      <c r="AH142" s="87"/>
      <c r="AI142" s="87"/>
      <c r="AJ142" s="87"/>
      <c r="AK142" s="87"/>
      <c r="AL142" s="87"/>
      <c r="AM142" s="87"/>
      <c r="AN142" s="87"/>
      <c r="AO142" s="87"/>
      <c r="AP142" s="87"/>
      <c r="AQ142" s="87"/>
      <c r="AR142" s="87"/>
      <c r="AS142" s="87"/>
      <c r="AT142" s="87"/>
      <c r="AU142" s="87"/>
      <c r="AV142" s="87"/>
      <c r="AW142" s="87"/>
      <c r="AX142" s="87">
        <f>-C142</f>
        <v>-16.25</v>
      </c>
      <c r="AY142" s="87">
        <f>-AX142</f>
        <v>16.25</v>
      </c>
      <c r="AZ142" s="87"/>
      <c r="BA142" s="87"/>
      <c r="BB142" s="87"/>
      <c r="BC142" s="87"/>
      <c r="BD142" s="87"/>
      <c r="BE142" s="87"/>
      <c r="BF142" s="87"/>
      <c r="BG142" s="87"/>
      <c r="BH142" s="87"/>
      <c r="BI142" s="87"/>
      <c r="BJ142" s="87"/>
      <c r="BK142" s="87"/>
      <c r="BL142" s="87"/>
      <c r="BM142" s="87"/>
      <c r="BN142" s="87"/>
      <c r="BO142" s="87"/>
      <c r="BP142" s="87"/>
      <c r="BQ142" s="87"/>
      <c r="BR142" s="87"/>
      <c r="BS142" s="87"/>
      <c r="BT142" s="87"/>
      <c r="BU142" s="87"/>
      <c r="BV142" s="87"/>
      <c r="BW142" s="87"/>
      <c r="BX142" s="87"/>
      <c r="BY142" s="87"/>
      <c r="BZ142" s="87"/>
      <c r="CA142" s="87"/>
      <c r="CB142" s="87"/>
      <c r="CC142" s="87"/>
      <c r="CD142" s="87"/>
      <c r="CE142" s="87"/>
      <c r="CF142" s="87"/>
      <c r="CG142" s="87"/>
      <c r="CH142" s="87"/>
      <c r="CI142" s="87"/>
      <c r="CJ142" s="87"/>
      <c r="CK142" s="87"/>
      <c r="CL142" s="87"/>
      <c r="CM142" s="87"/>
      <c r="CN142" s="87"/>
      <c r="CO142" s="87"/>
      <c r="CP142" s="87"/>
      <c r="CQ142" s="87"/>
      <c r="CR142" s="87"/>
      <c r="CS142" s="87"/>
      <c r="CT142" s="87"/>
      <c r="CU142" s="87"/>
      <c r="CV142" s="87"/>
      <c r="CW142" s="87"/>
      <c r="CX142" s="87"/>
      <c r="CY142" s="87"/>
      <c r="CZ142" s="87"/>
      <c r="DA142" s="87"/>
      <c r="DB142" s="87"/>
      <c r="DC142" s="87"/>
      <c r="DD142" s="87"/>
      <c r="DE142" s="87"/>
      <c r="DF142" s="87"/>
      <c r="DG142" s="87"/>
      <c r="DH142" s="87"/>
      <c r="DI142" s="87"/>
      <c r="DJ142" s="87"/>
      <c r="DK142" s="87"/>
      <c r="DL142" s="87"/>
      <c r="DM142" s="87"/>
      <c r="DN142" s="87"/>
      <c r="DO142" s="87"/>
      <c r="DP142" s="87"/>
      <c r="DQ142" s="87"/>
      <c r="DR142" s="87"/>
      <c r="DS142" s="87"/>
      <c r="DT142" s="87"/>
      <c r="DU142" s="87"/>
      <c r="DV142" s="87"/>
      <c r="DW142" s="87"/>
      <c r="DX142" s="87"/>
      <c r="DY142" s="87"/>
      <c r="DZ142" s="87"/>
      <c r="EA142" s="87"/>
      <c r="EB142" s="87"/>
      <c r="EC142" s="87"/>
      <c r="ED142" s="87"/>
      <c r="EE142" s="87"/>
      <c r="EF142" s="87"/>
      <c r="EG142" s="87"/>
      <c r="EH142" s="87"/>
      <c r="EI142" s="87"/>
    </row>
    <row r="143" spans="1:139" ht="16.5" hidden="1" thickBot="1" x14ac:dyDescent="0.35">
      <c r="A143" s="200" t="s">
        <v>123</v>
      </c>
      <c r="B143" s="223">
        <v>1</v>
      </c>
      <c r="C143" s="224">
        <f>53*0.65</f>
        <v>34.450000000000003</v>
      </c>
      <c r="D143" s="217">
        <f>C143/VLOOKUP(B143,'[2]Gas Prod per PADD'!$A$1:$C$6,2,FALSE)</f>
        <v>7.1770833333333339E-2</v>
      </c>
      <c r="E143" s="225">
        <v>45406</v>
      </c>
      <c r="F143" s="226">
        <v>45408</v>
      </c>
      <c r="G143" s="180"/>
      <c r="H143" s="221" t="s">
        <v>383</v>
      </c>
      <c r="I143" s="84"/>
      <c r="J143" s="85"/>
      <c r="K143" s="85"/>
      <c r="L143" s="85"/>
      <c r="M143" s="85">
        <f>C143*(E143-F143)/30</f>
        <v>-2.2966666666666669</v>
      </c>
      <c r="N143" s="85"/>
      <c r="O143" s="85"/>
      <c r="P143" s="85"/>
      <c r="Q143" s="85"/>
      <c r="R143" s="85"/>
      <c r="S143" s="85"/>
      <c r="T143" s="85"/>
      <c r="U143" s="85"/>
      <c r="V143" s="84"/>
      <c r="W143" s="84"/>
      <c r="X143" s="84" t="str">
        <f t="shared" si="9"/>
        <v>OK</v>
      </c>
      <c r="Y143" s="105"/>
      <c r="Z143" s="105"/>
      <c r="AA143" s="87"/>
      <c r="AB143" s="87"/>
      <c r="AC143" s="87"/>
      <c r="AD143" s="87"/>
      <c r="AE143" s="105"/>
      <c r="AF143" s="105"/>
      <c r="AG143" s="105"/>
      <c r="AH143" s="105"/>
      <c r="AI143" s="87"/>
      <c r="AJ143" s="87"/>
      <c r="AK143" s="105"/>
      <c r="AL143" s="87"/>
      <c r="AM143" s="105"/>
      <c r="AN143" s="105"/>
      <c r="AO143" s="87"/>
      <c r="AP143" s="87"/>
      <c r="AQ143" s="105"/>
      <c r="AR143" s="105"/>
      <c r="AS143" s="87"/>
      <c r="AT143" s="105"/>
      <c r="AU143" s="87"/>
      <c r="AV143" s="87"/>
      <c r="AW143" s="105"/>
      <c r="AX143" s="105">
        <f>-2/7*C143</f>
        <v>-9.8428571428571434</v>
      </c>
      <c r="AY143" s="105">
        <f>-1/7*C143</f>
        <v>-4.9214285714285717</v>
      </c>
      <c r="AZ143" s="105">
        <f>-AX143</f>
        <v>9.8428571428571434</v>
      </c>
      <c r="BA143" s="105">
        <f>-AY143</f>
        <v>4.9214285714285717</v>
      </c>
      <c r="BB143" s="105"/>
      <c r="BC143" s="105"/>
      <c r="BD143" s="87"/>
      <c r="BE143" s="87"/>
      <c r="BF143" s="87"/>
      <c r="BG143" s="87"/>
      <c r="BH143" s="87"/>
      <c r="BI143" s="87"/>
      <c r="BJ143" s="87"/>
      <c r="BK143" s="87"/>
      <c r="BL143" s="87"/>
      <c r="BM143" s="87"/>
      <c r="BN143" s="87"/>
      <c r="BO143" s="87"/>
      <c r="BP143" s="87"/>
      <c r="BQ143" s="87"/>
      <c r="BR143" s="87"/>
      <c r="BS143" s="87"/>
      <c r="BT143" s="87"/>
      <c r="BU143" s="87"/>
      <c r="BV143" s="87"/>
      <c r="BW143" s="87"/>
      <c r="BX143" s="87"/>
      <c r="BY143" s="87"/>
      <c r="BZ143" s="87"/>
      <c r="CA143" s="87"/>
      <c r="CB143" s="87"/>
      <c r="CC143" s="87"/>
      <c r="CD143" s="87"/>
      <c r="CE143" s="87"/>
      <c r="CF143" s="87"/>
      <c r="CG143" s="87"/>
      <c r="CH143" s="87"/>
      <c r="CI143" s="87"/>
      <c r="CJ143" s="87"/>
      <c r="CK143" s="87"/>
      <c r="CL143" s="87"/>
      <c r="CM143" s="87"/>
      <c r="CN143" s="87"/>
      <c r="CO143" s="87"/>
      <c r="CP143" s="87"/>
      <c r="CQ143" s="87"/>
      <c r="CR143" s="87"/>
      <c r="CS143" s="87"/>
      <c r="CT143" s="87"/>
      <c r="CU143" s="87"/>
      <c r="CV143" s="87"/>
      <c r="CW143" s="87"/>
      <c r="CX143" s="87"/>
      <c r="CY143" s="87"/>
      <c r="CZ143" s="87"/>
      <c r="DA143" s="87"/>
      <c r="DB143" s="87"/>
      <c r="DC143" s="87"/>
      <c r="DD143" s="87"/>
      <c r="DE143" s="87"/>
      <c r="DF143" s="87"/>
      <c r="DG143" s="87"/>
      <c r="DH143" s="87"/>
      <c r="DI143" s="87"/>
      <c r="DJ143" s="87"/>
      <c r="DK143" s="87"/>
      <c r="DL143" s="87"/>
      <c r="DM143" s="87"/>
      <c r="DN143" s="87"/>
      <c r="DO143" s="87"/>
      <c r="DP143" s="87"/>
      <c r="DQ143" s="87"/>
      <c r="DR143" s="87"/>
      <c r="DS143" s="87"/>
      <c r="DT143" s="87"/>
      <c r="DU143" s="87"/>
      <c r="DV143" s="87"/>
      <c r="DW143" s="87"/>
      <c r="DX143" s="87"/>
      <c r="DY143" s="87"/>
      <c r="DZ143" s="87"/>
      <c r="EA143" s="87"/>
      <c r="EB143" s="87"/>
      <c r="EC143" s="87"/>
      <c r="ED143" s="87"/>
      <c r="EE143" s="87"/>
      <c r="EF143" s="87"/>
      <c r="EG143" s="87"/>
      <c r="EH143" s="87"/>
      <c r="EI143" s="87"/>
    </row>
    <row r="144" spans="1:139" ht="29.25" thickBot="1" x14ac:dyDescent="0.35">
      <c r="A144" s="175" t="s">
        <v>384</v>
      </c>
      <c r="B144" s="176">
        <v>2</v>
      </c>
      <c r="C144" s="177">
        <f>255*0.1+15*0.1+40*0.85</f>
        <v>61</v>
      </c>
      <c r="D144" s="217">
        <f>C144/VLOOKUP(B144,'[2]Gas Prod per PADD'!$A$1:$C$6,2,FALSE)</f>
        <v>2.5416666666666667E-2</v>
      </c>
      <c r="E144" s="178">
        <v>45369</v>
      </c>
      <c r="F144" s="179">
        <v>45409</v>
      </c>
      <c r="G144" s="180" t="s">
        <v>385</v>
      </c>
      <c r="H144" s="221" t="s">
        <v>216</v>
      </c>
      <c r="I144" s="84"/>
      <c r="J144" s="85"/>
      <c r="K144" s="85"/>
      <c r="L144" s="85">
        <f>C144*(E144-$L$1)/31</f>
        <v>-25.580645161290324</v>
      </c>
      <c r="M144" s="85">
        <f>C144*($L$1-F144)/30</f>
        <v>-54.9</v>
      </c>
      <c r="N144" s="85"/>
      <c r="O144" s="85"/>
      <c r="P144" s="85"/>
      <c r="Q144" s="85"/>
      <c r="R144" s="85"/>
      <c r="S144" s="85"/>
      <c r="T144" s="85"/>
      <c r="U144" s="85"/>
      <c r="V144" s="84"/>
      <c r="W144" s="84"/>
      <c r="X144" s="84" t="str">
        <f t="shared" si="9"/>
        <v>OK</v>
      </c>
      <c r="Y144" s="105"/>
      <c r="Z144" s="105"/>
      <c r="AA144" s="87"/>
      <c r="AB144" s="87"/>
      <c r="AC144" s="87"/>
      <c r="AD144" s="87"/>
      <c r="AE144" s="105"/>
      <c r="AF144" s="105"/>
      <c r="AG144" s="105"/>
      <c r="AH144" s="105"/>
      <c r="AI144" s="87"/>
      <c r="AJ144" s="87"/>
      <c r="AK144" s="105"/>
      <c r="AL144" s="87"/>
      <c r="AM144" s="105"/>
      <c r="AN144" s="105"/>
      <c r="AO144" s="87"/>
      <c r="AP144" s="87"/>
      <c r="AQ144" s="105"/>
      <c r="AR144" s="105"/>
      <c r="AS144" s="105">
        <f>($E144-AS40)/7*$C144</f>
        <v>395358.42857142858</v>
      </c>
      <c r="AT144" s="105">
        <f>-C144-AS144</f>
        <v>-395419.42857142858</v>
      </c>
      <c r="AU144" s="87"/>
      <c r="AV144" s="87">
        <f>(3/7)*$C$99</f>
        <v>12.857142857142856</v>
      </c>
      <c r="AW144" s="87">
        <f>((3/7)*$C$99*0.5)+((4/7)*$C$99*0.5)</f>
        <v>15</v>
      </c>
      <c r="AX144" s="87">
        <f>C144-AV144-AW144</f>
        <v>33.142857142857146</v>
      </c>
      <c r="AY144" s="87"/>
      <c r="AZ144" s="87"/>
      <c r="BA144" s="87"/>
      <c r="BB144" s="87"/>
      <c r="BC144" s="87"/>
      <c r="BD144" s="87"/>
      <c r="BE144" s="87"/>
      <c r="BF144" s="87"/>
      <c r="BG144" s="87"/>
      <c r="BH144" s="87"/>
      <c r="BI144" s="87"/>
      <c r="BJ144" s="87"/>
      <c r="BK144" s="87"/>
      <c r="BL144" s="87"/>
      <c r="BM144" s="87"/>
      <c r="BN144" s="87"/>
      <c r="BO144" s="87"/>
      <c r="BP144" s="87"/>
      <c r="BQ144" s="87"/>
      <c r="BR144" s="87"/>
      <c r="BS144" s="87"/>
      <c r="BT144" s="87"/>
      <c r="BU144" s="87"/>
      <c r="BV144" s="87"/>
      <c r="BW144" s="87"/>
      <c r="BX144" s="87"/>
      <c r="BY144" s="87"/>
      <c r="BZ144" s="87"/>
      <c r="CA144" s="87"/>
      <c r="CB144" s="87"/>
      <c r="CC144" s="87"/>
      <c r="CD144" s="87"/>
      <c r="CE144" s="87"/>
      <c r="CF144" s="87"/>
      <c r="CG144" s="87"/>
      <c r="CH144" s="87"/>
      <c r="CI144" s="87"/>
      <c r="CJ144" s="87"/>
      <c r="CK144" s="87"/>
      <c r="CL144" s="87"/>
      <c r="CM144" s="87"/>
      <c r="CN144" s="87"/>
      <c r="CO144" s="87"/>
      <c r="CP144" s="87"/>
      <c r="CQ144" s="87"/>
      <c r="CR144" s="87"/>
      <c r="CS144" s="87"/>
      <c r="CT144" s="87"/>
      <c r="CU144" s="87"/>
      <c r="CV144" s="87"/>
      <c r="CW144" s="87"/>
      <c r="CX144" s="87"/>
      <c r="CY144" s="87"/>
      <c r="CZ144" s="87"/>
      <c r="DA144" s="87"/>
      <c r="DB144" s="87"/>
      <c r="DC144" s="87"/>
      <c r="DD144" s="87"/>
      <c r="DE144" s="87"/>
      <c r="DF144" s="87"/>
      <c r="DG144" s="87"/>
      <c r="DH144" s="87"/>
      <c r="DI144" s="87"/>
      <c r="DJ144" s="87"/>
      <c r="DK144" s="87"/>
      <c r="DL144" s="87"/>
      <c r="DM144" s="87"/>
      <c r="DN144" s="87"/>
      <c r="DO144" s="87"/>
      <c r="DP144" s="87"/>
      <c r="DQ144" s="87"/>
      <c r="DR144" s="87"/>
      <c r="DS144" s="87"/>
      <c r="DT144" s="87"/>
      <c r="DU144" s="87"/>
      <c r="DV144" s="87"/>
      <c r="DW144" s="87"/>
      <c r="DX144" s="87"/>
      <c r="DY144" s="87"/>
      <c r="DZ144" s="87"/>
      <c r="EA144" s="87"/>
      <c r="EB144" s="87"/>
      <c r="EC144" s="87"/>
      <c r="ED144" s="87"/>
      <c r="EE144" s="87"/>
      <c r="EF144" s="87"/>
      <c r="EG144" s="87"/>
      <c r="EH144" s="87"/>
      <c r="EI144" s="87"/>
    </row>
    <row r="145" spans="1:139" ht="16.5" thickBot="1" x14ac:dyDescent="0.35">
      <c r="A145" s="200" t="s">
        <v>386</v>
      </c>
      <c r="B145" s="223">
        <v>4</v>
      </c>
      <c r="C145" s="224">
        <f>52*0.3-0.6</f>
        <v>15</v>
      </c>
      <c r="D145" s="217">
        <f>C145/VLOOKUP(B145,'[2]Gas Prod per PADD'!$A$1:$C$6,2,FALSE)</f>
        <v>4.4117647058823532E-2</v>
      </c>
      <c r="E145" s="225">
        <v>45375</v>
      </c>
      <c r="F145" s="226">
        <v>45412</v>
      </c>
      <c r="G145" s="180" t="s">
        <v>351</v>
      </c>
      <c r="H145" s="221" t="s">
        <v>216</v>
      </c>
      <c r="I145" s="84"/>
      <c r="J145" s="85"/>
      <c r="K145" s="85"/>
      <c r="L145" s="85">
        <f>C145*(E145-$L$1)/31</f>
        <v>-3.3870967741935485</v>
      </c>
      <c r="M145" s="85">
        <f>C145*($L$1-F145)/30</f>
        <v>-15</v>
      </c>
      <c r="N145" s="85"/>
      <c r="O145" s="85"/>
      <c r="P145" s="85"/>
      <c r="Q145" s="85"/>
      <c r="R145" s="85"/>
      <c r="S145" s="85"/>
      <c r="T145" s="85"/>
      <c r="U145" s="85"/>
      <c r="V145" s="84"/>
      <c r="W145" s="84"/>
      <c r="X145" s="84" t="str">
        <f t="shared" si="9"/>
        <v>OK</v>
      </c>
      <c r="Y145" s="105"/>
      <c r="Z145" s="105"/>
      <c r="AA145" s="87"/>
      <c r="AB145" s="87"/>
      <c r="AC145" s="87"/>
      <c r="AD145" s="87"/>
      <c r="AE145" s="105"/>
      <c r="AF145" s="105"/>
      <c r="AG145" s="105"/>
      <c r="AH145" s="105"/>
      <c r="AI145" s="87"/>
      <c r="AJ145" s="87"/>
      <c r="AK145" s="105"/>
      <c r="AL145" s="87"/>
      <c r="AM145" s="105"/>
      <c r="AN145" s="105"/>
      <c r="AO145" s="87"/>
      <c r="AP145" s="87"/>
      <c r="AQ145" s="105"/>
      <c r="AR145" s="105"/>
      <c r="AS145" s="87"/>
      <c r="AT145" s="105" t="e">
        <f>(E145-#REF!)/7*C145*2/3</f>
        <v>#REF!</v>
      </c>
      <c r="AU145" s="105" t="e">
        <f>-C145-AT145</f>
        <v>#REF!</v>
      </c>
      <c r="AV145" s="105"/>
      <c r="AW145" s="105"/>
      <c r="AX145" s="105"/>
      <c r="AY145" s="105" t="e">
        <f>(#REF!-F145)*C145/7</f>
        <v>#REF!</v>
      </c>
      <c r="AZ145" s="105" t="e">
        <f>C145-AY145</f>
        <v>#REF!</v>
      </c>
      <c r="BA145" s="105"/>
      <c r="BB145" s="87"/>
      <c r="BC145" s="87"/>
      <c r="BD145" s="87"/>
      <c r="BE145" s="87"/>
      <c r="BF145" s="87"/>
      <c r="BG145" s="87"/>
      <c r="BH145" s="87"/>
      <c r="BI145" s="87"/>
      <c r="BJ145" s="87"/>
      <c r="BK145" s="87"/>
      <c r="BL145" s="87"/>
      <c r="BM145" s="87"/>
      <c r="BN145" s="87"/>
      <c r="BO145" s="87"/>
      <c r="BP145" s="87"/>
      <c r="BQ145" s="87"/>
      <c r="BR145" s="87"/>
      <c r="BS145" s="87"/>
      <c r="BT145" s="87"/>
      <c r="BU145" s="87"/>
      <c r="BV145" s="87"/>
      <c r="BW145" s="87"/>
      <c r="BX145" s="87"/>
      <c r="BY145" s="87"/>
      <c r="BZ145" s="87"/>
      <c r="CA145" s="87"/>
      <c r="CB145" s="87"/>
      <c r="CC145" s="87"/>
      <c r="CD145" s="87"/>
      <c r="CE145" s="87"/>
      <c r="CF145" s="87"/>
      <c r="CG145" s="87"/>
      <c r="CH145" s="87"/>
      <c r="CI145" s="87"/>
      <c r="CJ145" s="87"/>
      <c r="CK145" s="87"/>
      <c r="CL145" s="87"/>
      <c r="CM145" s="87"/>
      <c r="CN145" s="87"/>
      <c r="CO145" s="87"/>
      <c r="CP145" s="87"/>
      <c r="CQ145" s="75"/>
      <c r="CR145" s="87"/>
      <c r="CS145" s="87"/>
      <c r="CT145" s="87"/>
      <c r="CU145" s="87"/>
      <c r="CV145" s="87"/>
      <c r="CW145" s="87"/>
      <c r="CX145" s="87"/>
      <c r="CY145" s="87"/>
      <c r="CZ145" s="87"/>
      <c r="DA145" s="87"/>
      <c r="DB145" s="87"/>
      <c r="DC145" s="87"/>
      <c r="DD145" s="87"/>
      <c r="DE145" s="87"/>
      <c r="DF145" s="87"/>
      <c r="DG145" s="87"/>
      <c r="DH145" s="87"/>
      <c r="DI145" s="87"/>
      <c r="DJ145" s="87"/>
      <c r="DK145" s="87"/>
      <c r="DL145" s="87"/>
      <c r="DM145" s="87"/>
      <c r="DN145" s="87"/>
      <c r="DO145" s="87"/>
      <c r="DP145" s="87"/>
      <c r="DQ145" s="87"/>
      <c r="DR145" s="87"/>
      <c r="DS145" s="87"/>
      <c r="DT145" s="87"/>
      <c r="DU145" s="87"/>
      <c r="DV145" s="87"/>
      <c r="DW145" s="87"/>
      <c r="DX145" s="87"/>
      <c r="DY145" s="87"/>
      <c r="DZ145" s="87"/>
      <c r="EA145" s="87"/>
      <c r="EB145" s="87"/>
      <c r="EC145" s="87"/>
      <c r="ED145" s="87"/>
      <c r="EE145" s="87"/>
      <c r="EF145" s="87"/>
      <c r="EG145" s="87"/>
      <c r="EH145" s="87"/>
      <c r="EI145" s="87"/>
    </row>
    <row r="146" spans="1:139" ht="43.5" hidden="1" thickBot="1" x14ac:dyDescent="0.35">
      <c r="A146" s="200" t="s">
        <v>387</v>
      </c>
      <c r="B146" s="223">
        <v>2</v>
      </c>
      <c r="C146" s="224">
        <f>(180-120)*0.23+(58-40)*0.65</f>
        <v>25.5</v>
      </c>
      <c r="D146" s="217">
        <f>C146/VLOOKUP(B146,'[2]Gas Prod per PADD'!$A$1:$C$6,2,FALSE)</f>
        <v>1.0625000000000001E-2</v>
      </c>
      <c r="E146" s="225">
        <v>45383</v>
      </c>
      <c r="F146" s="226">
        <v>45412</v>
      </c>
      <c r="G146" s="180" t="s">
        <v>388</v>
      </c>
      <c r="H146" s="221" t="s">
        <v>389</v>
      </c>
      <c r="I146" s="84" t="s">
        <v>390</v>
      </c>
      <c r="J146" s="85"/>
      <c r="K146" s="85"/>
      <c r="L146" s="85"/>
      <c r="M146" s="85">
        <f>C146*(E146-F146)/30</f>
        <v>-24.65</v>
      </c>
      <c r="N146" s="85"/>
      <c r="O146" s="85"/>
      <c r="P146" s="85"/>
      <c r="Q146" s="85"/>
      <c r="R146" s="85"/>
      <c r="S146" s="85"/>
      <c r="T146" s="85"/>
      <c r="U146" s="85"/>
      <c r="V146" s="84"/>
      <c r="W146" s="84"/>
      <c r="X146" s="84" t="str">
        <f t="shared" si="9"/>
        <v>OK</v>
      </c>
      <c r="Y146" s="105"/>
      <c r="Z146" s="105"/>
      <c r="AA146" s="87"/>
      <c r="AB146" s="87"/>
      <c r="AC146" s="87"/>
      <c r="AD146" s="87"/>
      <c r="AE146" s="105"/>
      <c r="AF146" s="105"/>
      <c r="AG146" s="105"/>
      <c r="AH146" s="105"/>
      <c r="AI146" s="87"/>
      <c r="AJ146" s="87"/>
      <c r="AK146" s="105"/>
      <c r="AL146" s="87"/>
      <c r="AM146" s="105"/>
      <c r="AN146" s="105"/>
      <c r="AO146" s="87"/>
      <c r="AP146" s="87"/>
      <c r="AQ146" s="105"/>
      <c r="AR146" s="105"/>
      <c r="AS146" s="87"/>
      <c r="AT146" s="105"/>
      <c r="AU146" s="87" t="e">
        <f>($E146-#REF!)/7*$C146</f>
        <v>#REF!</v>
      </c>
      <c r="AV146" s="105" t="e">
        <f>-$C146-AU146</f>
        <v>#REF!</v>
      </c>
      <c r="AW146" s="105"/>
      <c r="AX146" s="105"/>
      <c r="AY146" s="105"/>
      <c r="AZ146" s="105">
        <f>5/7*$C146</f>
        <v>18.214285714285715</v>
      </c>
      <c r="BA146" s="105">
        <f>$C146-AZ146</f>
        <v>7.2857142857142847</v>
      </c>
      <c r="BB146" s="105"/>
      <c r="BC146" s="105"/>
      <c r="BD146" s="87"/>
      <c r="BE146" s="87"/>
      <c r="BF146" s="87"/>
      <c r="BG146" s="87"/>
      <c r="BH146" s="87"/>
      <c r="BI146" s="87"/>
      <c r="BJ146" s="87"/>
      <c r="BK146" s="87"/>
      <c r="BL146" s="87"/>
      <c r="BM146" s="87"/>
      <c r="BN146" s="87"/>
      <c r="BO146" s="87"/>
      <c r="BP146" s="87"/>
      <c r="BQ146" s="87"/>
      <c r="BR146" s="87"/>
      <c r="BS146" s="87"/>
      <c r="BT146" s="87"/>
      <c r="BU146" s="87"/>
      <c r="BV146" s="87"/>
      <c r="BW146" s="87"/>
      <c r="BX146" s="87"/>
      <c r="BY146" s="87"/>
      <c r="BZ146" s="87"/>
      <c r="CA146" s="87"/>
      <c r="CB146" s="87"/>
      <c r="CC146" s="87"/>
      <c r="CD146" s="87"/>
      <c r="CE146" s="87"/>
      <c r="CF146" s="87"/>
      <c r="CG146" s="87"/>
      <c r="CH146" s="87"/>
      <c r="CI146" s="87"/>
      <c r="CJ146" s="87"/>
      <c r="CK146" s="87"/>
      <c r="CL146" s="87"/>
      <c r="CM146" s="87"/>
      <c r="CN146" s="87"/>
      <c r="CO146" s="87"/>
      <c r="CP146" s="87"/>
      <c r="CQ146" s="87"/>
      <c r="CR146" s="87"/>
      <c r="CS146" s="87"/>
      <c r="CT146" s="87"/>
      <c r="CU146" s="87"/>
      <c r="CV146" s="87"/>
      <c r="CW146" s="87"/>
      <c r="CX146" s="87"/>
      <c r="CY146" s="87"/>
      <c r="CZ146" s="87"/>
      <c r="DA146" s="87"/>
      <c r="DB146" s="87"/>
      <c r="DC146" s="87"/>
      <c r="DD146" s="87"/>
      <c r="DE146" s="87"/>
      <c r="DF146" s="87"/>
      <c r="DG146" s="87"/>
      <c r="DH146" s="87"/>
      <c r="DI146" s="87"/>
      <c r="DJ146" s="87"/>
      <c r="DK146" s="87"/>
      <c r="DL146" s="87"/>
      <c r="DM146" s="87"/>
      <c r="DN146" s="87"/>
      <c r="DO146" s="87"/>
      <c r="DP146" s="87"/>
      <c r="DQ146" s="87"/>
      <c r="DR146" s="87"/>
      <c r="DS146" s="87"/>
      <c r="DT146" s="87"/>
      <c r="DU146" s="87"/>
      <c r="DV146" s="87"/>
      <c r="DW146" s="87"/>
      <c r="DX146" s="87"/>
      <c r="DY146" s="87"/>
      <c r="DZ146" s="87"/>
      <c r="EA146" s="87"/>
      <c r="EB146" s="87"/>
      <c r="EC146" s="87"/>
      <c r="ED146" s="87"/>
      <c r="EE146" s="87"/>
      <c r="EF146" s="87"/>
      <c r="EG146" s="87"/>
      <c r="EH146" s="87"/>
      <c r="EI146" s="87"/>
    </row>
    <row r="147" spans="1:139" ht="16.5" hidden="1" thickBot="1" x14ac:dyDescent="0.35">
      <c r="A147" s="113" t="s">
        <v>304</v>
      </c>
      <c r="B147" s="199">
        <v>3</v>
      </c>
      <c r="C147" s="195">
        <f>46.4*0.65</f>
        <v>30.16</v>
      </c>
      <c r="D147" s="217">
        <f>C147/VLOOKUP(B147,'[2]Gas Prod per PADD'!$A$1:$C$6,2,FALSE)</f>
        <v>6.5565217391304349E-3</v>
      </c>
      <c r="E147" s="196">
        <v>45408</v>
      </c>
      <c r="F147" s="197">
        <v>45412</v>
      </c>
      <c r="G147" s="194" t="s">
        <v>391</v>
      </c>
      <c r="H147" s="198" t="s">
        <v>216</v>
      </c>
      <c r="I147" s="84"/>
      <c r="J147" s="85"/>
      <c r="K147" s="85"/>
      <c r="L147" s="85"/>
      <c r="M147" s="85">
        <f>C147*(E147-F147)/30</f>
        <v>-4.0213333333333336</v>
      </c>
      <c r="N147" s="85"/>
      <c r="O147" s="85"/>
      <c r="P147" s="85"/>
      <c r="Q147" s="85"/>
      <c r="R147" s="85"/>
      <c r="S147" s="85"/>
      <c r="T147" s="85"/>
      <c r="U147" s="85"/>
      <c r="V147" s="84"/>
      <c r="W147" s="84"/>
      <c r="X147" s="84" t="str">
        <f t="shared" si="9"/>
        <v>Missing</v>
      </c>
      <c r="Y147" s="86"/>
      <c r="Z147" s="86"/>
      <c r="AA147" s="87"/>
      <c r="AB147" s="87"/>
      <c r="AC147" s="87"/>
      <c r="AD147" s="87"/>
      <c r="AE147" s="87"/>
      <c r="AF147" s="87"/>
      <c r="AG147" s="87"/>
      <c r="AH147" s="87"/>
      <c r="AI147" s="87"/>
      <c r="AJ147" s="87"/>
      <c r="AK147" s="87"/>
      <c r="AL147" s="87"/>
      <c r="AM147" s="87"/>
      <c r="AN147" s="87"/>
      <c r="AO147" s="87"/>
      <c r="AP147" s="87"/>
      <c r="AQ147" s="87"/>
      <c r="AR147" s="87"/>
      <c r="AS147" s="87"/>
      <c r="AT147" s="87"/>
      <c r="AU147" s="87"/>
      <c r="AV147" s="87"/>
      <c r="AW147" s="87"/>
      <c r="AX147" s="87"/>
      <c r="AY147" s="87"/>
      <c r="AZ147" s="87"/>
      <c r="BA147" s="87"/>
      <c r="BB147" s="87"/>
      <c r="BC147" s="87"/>
      <c r="BD147" s="87"/>
      <c r="BE147" s="87"/>
      <c r="BF147" s="87"/>
      <c r="BG147" s="87"/>
      <c r="BH147" s="87"/>
      <c r="BI147" s="87"/>
      <c r="BJ147" s="87"/>
      <c r="BK147" s="87"/>
      <c r="BL147" s="87"/>
      <c r="BM147" s="87"/>
      <c r="BN147" s="87"/>
      <c r="BO147" s="87"/>
      <c r="BP147" s="87"/>
      <c r="BQ147" s="87"/>
      <c r="BR147" s="87"/>
      <c r="BS147" s="87"/>
      <c r="BT147" s="87"/>
      <c r="BU147" s="87"/>
      <c r="BV147" s="87"/>
      <c r="BW147" s="87"/>
      <c r="BX147" s="87"/>
      <c r="BY147" s="87"/>
      <c r="BZ147" s="87"/>
      <c r="CA147" s="87"/>
      <c r="CB147" s="87"/>
      <c r="CC147" s="87"/>
      <c r="CD147" s="87"/>
      <c r="CE147" s="87"/>
      <c r="CF147" s="87"/>
      <c r="CG147" s="87"/>
      <c r="CH147" s="87"/>
      <c r="CI147" s="87"/>
      <c r="CJ147" s="87"/>
      <c r="CK147" s="87"/>
      <c r="CL147" s="87"/>
      <c r="CM147" s="87"/>
      <c r="CN147" s="87"/>
      <c r="CO147" s="87"/>
      <c r="CP147" s="87"/>
      <c r="CQ147" s="87"/>
      <c r="CR147" s="87"/>
      <c r="CS147" s="87"/>
      <c r="CT147" s="87"/>
      <c r="CU147" s="87"/>
      <c r="CV147" s="87"/>
      <c r="CW147" s="87"/>
      <c r="CX147" s="87"/>
      <c r="CY147" s="87"/>
      <c r="CZ147" s="87"/>
      <c r="DA147" s="87"/>
      <c r="DB147" s="87"/>
      <c r="DC147" s="87"/>
      <c r="DD147" s="87"/>
      <c r="DE147" s="87"/>
      <c r="DF147" s="87"/>
      <c r="DG147" s="87"/>
      <c r="DH147" s="87"/>
      <c r="DI147" s="87"/>
      <c r="DJ147" s="87"/>
      <c r="DK147" s="87"/>
      <c r="DL147" s="87"/>
      <c r="DM147" s="87"/>
      <c r="DN147" s="87"/>
      <c r="DO147" s="87"/>
      <c r="DP147" s="87"/>
      <c r="DQ147" s="87"/>
      <c r="DR147" s="87"/>
      <c r="DS147" s="87"/>
      <c r="DT147" s="87"/>
      <c r="DU147" s="87"/>
      <c r="DV147" s="87"/>
      <c r="DW147" s="87"/>
      <c r="DX147" s="87"/>
      <c r="DY147" s="87"/>
      <c r="DZ147" s="87"/>
      <c r="EA147" s="87"/>
      <c r="EB147" s="87"/>
      <c r="EC147" s="87"/>
      <c r="ED147" s="87"/>
      <c r="EE147" s="87"/>
      <c r="EF147" s="87"/>
      <c r="EG147" s="87"/>
      <c r="EH147" s="87"/>
      <c r="EI147" s="87"/>
    </row>
    <row r="148" spans="1:139" ht="43.5" hidden="1" thickBot="1" x14ac:dyDescent="0.35">
      <c r="A148" s="190" t="s">
        <v>149</v>
      </c>
      <c r="B148" s="176">
        <v>3</v>
      </c>
      <c r="C148" s="177">
        <f>120*0.23</f>
        <v>27.6</v>
      </c>
      <c r="D148" s="217">
        <f>C148/VLOOKUP(B148,'[2]Gas Prod per PADD'!$A$1:$C$6,2,FALSE)</f>
        <v>6.0000000000000001E-3</v>
      </c>
      <c r="E148" s="178">
        <v>45401</v>
      </c>
      <c r="F148" s="179">
        <v>45414</v>
      </c>
      <c r="G148" s="180" t="s">
        <v>392</v>
      </c>
      <c r="H148" s="181" t="s">
        <v>393</v>
      </c>
      <c r="I148" s="84"/>
      <c r="J148" s="85"/>
      <c r="K148" s="85"/>
      <c r="L148" s="85"/>
      <c r="M148" s="85">
        <f>C148*(E148-$M$1)/30</f>
        <v>-10.120000000000001</v>
      </c>
      <c r="N148" s="85">
        <f t="shared" ref="N148:N156" si="10">C148*($M$1-F148)/31</f>
        <v>-1.7806451612903227</v>
      </c>
      <c r="O148" s="85"/>
      <c r="P148" s="85"/>
      <c r="Q148" s="85"/>
      <c r="R148" s="85"/>
      <c r="S148" s="85"/>
      <c r="T148" s="85"/>
      <c r="U148" s="85"/>
      <c r="V148" s="84"/>
      <c r="W148" s="84"/>
      <c r="X148" s="84" t="str">
        <f t="shared" si="9"/>
        <v>OK</v>
      </c>
      <c r="Y148" s="105"/>
      <c r="Z148" s="105"/>
      <c r="AA148" s="87"/>
      <c r="AB148" s="87"/>
      <c r="AC148" s="87"/>
      <c r="AD148" s="87"/>
      <c r="AE148" s="105"/>
      <c r="AF148" s="105"/>
      <c r="AG148" s="105"/>
      <c r="AH148" s="105"/>
      <c r="AI148" s="87"/>
      <c r="AJ148" s="87"/>
      <c r="AK148" s="105"/>
      <c r="AL148" s="87"/>
      <c r="AM148" s="87"/>
      <c r="AN148" s="87"/>
      <c r="AO148" s="87"/>
      <c r="AP148" s="87"/>
      <c r="AQ148" s="105"/>
      <c r="AR148" s="87"/>
      <c r="AS148" s="87"/>
      <c r="AT148" s="87"/>
      <c r="AU148" s="87"/>
      <c r="AV148" s="87"/>
      <c r="AW148" s="87"/>
      <c r="AX148" s="87">
        <f>-C148/2</f>
        <v>-13.8</v>
      </c>
      <c r="AY148" s="87">
        <f>AX148</f>
        <v>-13.8</v>
      </c>
      <c r="AZ148" s="87">
        <f>-AX148+7</f>
        <v>20.8</v>
      </c>
      <c r="BA148" s="86">
        <f>C148-AZ148</f>
        <v>6.8000000000000007</v>
      </c>
      <c r="BB148" s="87"/>
      <c r="BC148" s="87"/>
      <c r="BD148" s="87"/>
      <c r="BE148" s="87"/>
      <c r="BF148" s="87"/>
      <c r="BG148" s="87"/>
      <c r="BH148" s="87"/>
      <c r="BI148" s="87"/>
      <c r="BJ148" s="87"/>
      <c r="BK148" s="87"/>
      <c r="BL148" s="87"/>
      <c r="BM148" s="87"/>
      <c r="BN148" s="87"/>
      <c r="BO148" s="87"/>
      <c r="BP148" s="87"/>
      <c r="BQ148" s="87"/>
      <c r="BR148" s="87"/>
      <c r="BS148" s="87"/>
      <c r="BT148" s="87"/>
      <c r="BU148" s="87"/>
      <c r="BV148" s="87"/>
      <c r="BW148" s="87"/>
      <c r="BX148" s="87"/>
      <c r="BY148" s="87"/>
      <c r="BZ148" s="87"/>
      <c r="CA148" s="87"/>
      <c r="CB148" s="87"/>
      <c r="CC148" s="87"/>
      <c r="CD148" s="87"/>
      <c r="CE148" s="87"/>
      <c r="CF148" s="87"/>
      <c r="CG148" s="87"/>
      <c r="CH148" s="87"/>
      <c r="CI148" s="87"/>
      <c r="CJ148" s="87"/>
      <c r="CK148" s="87"/>
      <c r="CL148" s="87"/>
      <c r="CM148" s="87"/>
      <c r="CN148" s="87"/>
      <c r="CO148" s="87"/>
      <c r="CP148" s="87"/>
      <c r="CQ148" s="87"/>
      <c r="CR148" s="87"/>
      <c r="CS148" s="87"/>
      <c r="CT148" s="87"/>
      <c r="CU148" s="87"/>
      <c r="CV148" s="87"/>
      <c r="CW148" s="87"/>
      <c r="CX148" s="87"/>
      <c r="CY148" s="87"/>
      <c r="CZ148" s="87"/>
      <c r="DA148" s="87"/>
      <c r="DB148" s="87"/>
      <c r="DC148" s="87"/>
      <c r="DD148" s="87"/>
      <c r="DE148" s="87"/>
      <c r="DF148" s="87"/>
      <c r="DG148" s="87"/>
      <c r="DH148" s="87"/>
      <c r="DI148" s="87"/>
      <c r="DJ148" s="87"/>
      <c r="DK148" s="87"/>
      <c r="DL148" s="87"/>
      <c r="DM148" s="87"/>
      <c r="DN148" s="87"/>
      <c r="DO148" s="87"/>
      <c r="DP148" s="87"/>
      <c r="DQ148" s="87"/>
      <c r="DR148" s="87"/>
      <c r="DS148" s="87"/>
      <c r="DT148" s="87"/>
      <c r="DU148" s="87"/>
      <c r="DV148" s="87"/>
      <c r="DW148" s="87"/>
      <c r="DX148" s="87"/>
      <c r="DY148" s="87"/>
      <c r="DZ148" s="87"/>
      <c r="EA148" s="87"/>
      <c r="EB148" s="87"/>
      <c r="EC148" s="87"/>
      <c r="ED148" s="87"/>
      <c r="EE148" s="87"/>
      <c r="EF148" s="87"/>
      <c r="EG148" s="87"/>
      <c r="EH148" s="87"/>
      <c r="EI148" s="87"/>
    </row>
    <row r="149" spans="1:139" ht="16.5" hidden="1" thickBot="1" x14ac:dyDescent="0.35">
      <c r="A149" s="218" t="s">
        <v>162</v>
      </c>
      <c r="B149" s="194">
        <v>3</v>
      </c>
      <c r="C149" s="195">
        <f>50*0.65</f>
        <v>32.5</v>
      </c>
      <c r="D149" s="217">
        <f>C149/VLOOKUP(B149,'[2]Gas Prod per PADD'!$A$1:$C$6,2,FALSE)</f>
        <v>7.0652173913043478E-3</v>
      </c>
      <c r="E149" s="196">
        <v>45357</v>
      </c>
      <c r="F149" s="197">
        <v>45415</v>
      </c>
      <c r="G149" s="194" t="s">
        <v>394</v>
      </c>
      <c r="H149" s="198"/>
      <c r="I149" s="84"/>
      <c r="J149" s="85"/>
      <c r="K149" s="85"/>
      <c r="L149" s="85">
        <f>C149*(E149-$L$1)/31</f>
        <v>-26.20967741935484</v>
      </c>
      <c r="M149" s="85"/>
      <c r="N149" s="85">
        <f t="shared" si="10"/>
        <v>-3.1451612903225805</v>
      </c>
      <c r="O149" s="85"/>
      <c r="P149" s="85"/>
      <c r="Q149" s="85"/>
      <c r="R149" s="85"/>
      <c r="S149" s="85"/>
      <c r="T149" s="85"/>
      <c r="U149" s="85"/>
      <c r="V149" s="84"/>
      <c r="W149" s="84"/>
      <c r="X149" s="84" t="str">
        <f t="shared" si="9"/>
        <v>OK</v>
      </c>
      <c r="Y149" s="87"/>
      <c r="Z149" s="87"/>
      <c r="AA149" s="87"/>
      <c r="AB149" s="87"/>
      <c r="AC149" s="87"/>
      <c r="AD149" s="87"/>
      <c r="AE149" s="87"/>
      <c r="AF149" s="87"/>
      <c r="AG149" s="87"/>
      <c r="AH149" s="87"/>
      <c r="AI149" s="87"/>
      <c r="AJ149" s="87"/>
      <c r="AK149" s="87"/>
      <c r="AL149" s="87"/>
      <c r="AM149" s="87"/>
      <c r="AN149" s="87"/>
      <c r="AO149" s="87"/>
      <c r="AP149" s="87"/>
      <c r="AQ149" s="87">
        <f>(-2/7)*C149</f>
        <v>-9.2857142857142847</v>
      </c>
      <c r="AR149" s="87">
        <f>-1*C149-AQ149</f>
        <v>-23.214285714285715</v>
      </c>
      <c r="AS149" s="87"/>
      <c r="AT149" s="87"/>
      <c r="AU149" s="87"/>
      <c r="AV149" s="87"/>
      <c r="AW149" s="87"/>
      <c r="AX149" s="87"/>
      <c r="AY149" s="87"/>
      <c r="AZ149" s="87">
        <f>(2/3)*C149</f>
        <v>21.666666666666664</v>
      </c>
      <c r="BA149" s="87">
        <f>(1/3)*32.5</f>
        <v>10.833333333333332</v>
      </c>
      <c r="BB149" s="87"/>
      <c r="BC149" s="87"/>
      <c r="BD149" s="87"/>
      <c r="BE149" s="87"/>
      <c r="BF149" s="87"/>
      <c r="BG149" s="87"/>
      <c r="BH149" s="87"/>
      <c r="BI149" s="87"/>
      <c r="BJ149" s="87"/>
      <c r="BK149" s="87"/>
      <c r="BL149" s="87"/>
      <c r="BM149" s="87"/>
      <c r="BN149" s="87"/>
      <c r="BO149" s="87"/>
      <c r="BP149" s="87"/>
      <c r="BQ149" s="87"/>
      <c r="BR149" s="87"/>
      <c r="BS149" s="87"/>
      <c r="BT149" s="87"/>
      <c r="BU149" s="87"/>
      <c r="BV149" s="87"/>
      <c r="BW149" s="87"/>
      <c r="BX149" s="87"/>
      <c r="BY149" s="87"/>
      <c r="BZ149" s="87"/>
      <c r="CA149" s="87"/>
      <c r="CB149" s="87"/>
      <c r="CC149" s="87"/>
      <c r="CD149" s="87"/>
      <c r="CE149" s="87"/>
      <c r="CF149" s="87"/>
      <c r="CG149" s="87"/>
      <c r="CH149" s="87"/>
      <c r="CI149" s="87"/>
      <c r="CJ149" s="87"/>
      <c r="CK149" s="87"/>
      <c r="CL149" s="87"/>
      <c r="CM149" s="87"/>
      <c r="CN149" s="87"/>
      <c r="CO149" s="87"/>
      <c r="CP149" s="87"/>
      <c r="CQ149" s="87"/>
      <c r="CR149" s="87"/>
      <c r="CS149" s="87"/>
      <c r="CT149" s="87"/>
      <c r="CU149" s="87"/>
      <c r="CV149" s="87"/>
      <c r="CW149" s="87"/>
      <c r="CX149" s="87"/>
      <c r="CY149" s="87"/>
      <c r="CZ149" s="87"/>
      <c r="DA149" s="87"/>
      <c r="DB149" s="87"/>
      <c r="DC149" s="87"/>
      <c r="DD149" s="87"/>
      <c r="DE149" s="87"/>
      <c r="DF149" s="87"/>
      <c r="DG149" s="87"/>
      <c r="DH149" s="87"/>
      <c r="DI149" s="87"/>
      <c r="DJ149" s="87"/>
      <c r="DK149" s="87"/>
      <c r="DL149" s="87"/>
      <c r="DM149" s="87"/>
      <c r="DN149" s="87"/>
      <c r="DO149" s="87"/>
      <c r="DP149" s="87"/>
      <c r="DQ149" s="87"/>
      <c r="DR149" s="87"/>
      <c r="DS149" s="87"/>
      <c r="DT149" s="87"/>
      <c r="DU149" s="87"/>
      <c r="DV149" s="87"/>
      <c r="DW149" s="87"/>
      <c r="DX149" s="87"/>
      <c r="DY149" s="87"/>
      <c r="DZ149" s="87"/>
      <c r="EA149" s="87"/>
      <c r="EB149" s="87"/>
      <c r="EC149" s="87"/>
      <c r="ED149" s="87"/>
      <c r="EE149" s="87"/>
      <c r="EF149" s="87"/>
      <c r="EG149" s="87"/>
      <c r="EH149" s="87"/>
      <c r="EI149" s="87"/>
    </row>
    <row r="150" spans="1:139" ht="16.5" hidden="1" thickBot="1" x14ac:dyDescent="0.35">
      <c r="A150" s="190" t="s">
        <v>330</v>
      </c>
      <c r="B150" s="176">
        <v>3</v>
      </c>
      <c r="C150" s="177">
        <f>32*0.85</f>
        <v>27.2</v>
      </c>
      <c r="D150" s="217">
        <f>C150/VLOOKUP(B150,'[2]Gas Prod per PADD'!$A$1:$C$6,2,FALSE)</f>
        <v>5.913043478260869E-3</v>
      </c>
      <c r="E150" s="225">
        <v>45409</v>
      </c>
      <c r="F150" s="226">
        <f>E150+7</f>
        <v>45416</v>
      </c>
      <c r="G150" s="180" t="s">
        <v>189</v>
      </c>
      <c r="H150" s="221" t="s">
        <v>395</v>
      </c>
      <c r="I150" s="84"/>
      <c r="J150" s="85"/>
      <c r="K150" s="85"/>
      <c r="L150" s="85"/>
      <c r="M150" s="85">
        <f>C150*(E150-$M$1)/30</f>
        <v>-2.7199999999999998</v>
      </c>
      <c r="N150" s="85">
        <f t="shared" si="10"/>
        <v>-3.5096774193548388</v>
      </c>
      <c r="O150" s="85"/>
      <c r="P150" s="85"/>
      <c r="Q150" s="85"/>
      <c r="R150" s="85"/>
      <c r="S150" s="85"/>
      <c r="T150" s="85"/>
      <c r="U150" s="85"/>
      <c r="V150" s="84"/>
      <c r="W150" s="84"/>
      <c r="X150" s="84" t="str">
        <f t="shared" si="9"/>
        <v>OK</v>
      </c>
      <c r="Y150" s="87"/>
      <c r="Z150" s="87"/>
      <c r="AA150" s="87"/>
      <c r="AB150" s="87"/>
      <c r="AC150" s="87"/>
      <c r="AD150" s="87"/>
      <c r="AE150" s="87"/>
      <c r="AF150" s="87"/>
      <c r="AG150" s="87"/>
      <c r="AH150" s="87"/>
      <c r="AI150" s="87"/>
      <c r="AJ150" s="87"/>
      <c r="AK150" s="87"/>
      <c r="AL150" s="87"/>
      <c r="AM150" s="87"/>
      <c r="AN150" s="87"/>
      <c r="AO150" s="87"/>
      <c r="AP150" s="87"/>
      <c r="AQ150" s="87"/>
      <c r="AR150" s="87"/>
      <c r="AS150" s="87"/>
      <c r="AT150" s="87"/>
      <c r="AU150" s="87"/>
      <c r="AV150" s="87"/>
      <c r="AW150" s="87"/>
      <c r="AX150" s="87"/>
      <c r="AY150" s="87">
        <f>-C150/2</f>
        <v>-13.6</v>
      </c>
      <c r="AZ150" s="87">
        <f>AY150</f>
        <v>-13.6</v>
      </c>
      <c r="BA150" s="87">
        <f>-AY150</f>
        <v>13.6</v>
      </c>
      <c r="BB150" s="87">
        <f>BA150</f>
        <v>13.6</v>
      </c>
      <c r="BC150" s="87"/>
      <c r="BD150" s="87"/>
      <c r="BE150" s="87"/>
      <c r="BF150" s="87"/>
      <c r="BG150" s="87"/>
      <c r="BH150" s="87"/>
      <c r="BI150" s="87"/>
      <c r="BJ150" s="87"/>
      <c r="BK150" s="87"/>
      <c r="BL150" s="87"/>
      <c r="BM150" s="87"/>
      <c r="BN150" s="87"/>
      <c r="BO150" s="87"/>
      <c r="BP150" s="87"/>
      <c r="BQ150" s="87"/>
      <c r="BR150" s="87"/>
      <c r="BS150" s="87"/>
      <c r="BT150" s="87"/>
      <c r="BU150" s="87"/>
      <c r="BV150" s="87"/>
      <c r="BW150" s="87"/>
      <c r="BX150" s="87"/>
      <c r="BY150" s="87"/>
      <c r="BZ150" s="87"/>
      <c r="CA150" s="87"/>
      <c r="CB150" s="87"/>
      <c r="CC150" s="87"/>
      <c r="CD150" s="87"/>
      <c r="CE150" s="87"/>
      <c r="CF150" s="87"/>
      <c r="CG150" s="87"/>
      <c r="CH150" s="87"/>
      <c r="CI150" s="87"/>
      <c r="CJ150" s="87"/>
      <c r="CK150" s="87"/>
      <c r="CL150" s="87"/>
      <c r="CM150" s="87"/>
      <c r="CN150" s="87"/>
      <c r="CO150" s="87"/>
      <c r="CP150" s="87"/>
      <c r="CQ150" s="87"/>
      <c r="CR150" s="87"/>
      <c r="CS150" s="87"/>
      <c r="CT150" s="87"/>
      <c r="CU150" s="87"/>
      <c r="CV150" s="87"/>
      <c r="CW150" s="87"/>
      <c r="CX150" s="87"/>
      <c r="CY150" s="87"/>
      <c r="CZ150" s="87"/>
      <c r="DA150" s="87"/>
      <c r="DB150" s="87"/>
      <c r="DC150" s="87"/>
      <c r="DD150" s="87"/>
      <c r="DE150" s="87"/>
      <c r="DF150" s="87"/>
      <c r="DG150" s="87"/>
      <c r="DH150" s="87"/>
      <c r="DI150" s="87"/>
      <c r="DJ150" s="87"/>
      <c r="DK150" s="87"/>
      <c r="DL150" s="87"/>
      <c r="DM150" s="87"/>
      <c r="DN150" s="87"/>
      <c r="DO150" s="87"/>
      <c r="DP150" s="87"/>
      <c r="DQ150" s="87"/>
      <c r="DR150" s="87"/>
      <c r="DS150" s="87"/>
      <c r="DT150" s="87"/>
      <c r="DU150" s="87"/>
      <c r="DV150" s="87"/>
      <c r="DW150" s="87"/>
      <c r="DX150" s="87"/>
      <c r="DY150" s="87"/>
      <c r="DZ150" s="87"/>
      <c r="EA150" s="87"/>
      <c r="EB150" s="87"/>
      <c r="EC150" s="87"/>
      <c r="ED150" s="87"/>
      <c r="EE150" s="87"/>
      <c r="EF150" s="87"/>
      <c r="EG150" s="87"/>
      <c r="EH150" s="87"/>
      <c r="EI150" s="87"/>
    </row>
    <row r="151" spans="1:139" ht="16.5" hidden="1" thickBot="1" x14ac:dyDescent="0.35">
      <c r="A151" s="88" t="s">
        <v>117</v>
      </c>
      <c r="B151" s="223">
        <v>3</v>
      </c>
      <c r="C151" s="224">
        <f>70*0.26+67*0.05+45*0.85</f>
        <v>59.8</v>
      </c>
      <c r="D151" s="217">
        <f>C151/VLOOKUP(B151,'[2]Gas Prod per PADD'!$A$1:$C$6,2,FALSE)</f>
        <v>1.2999999999999999E-2</v>
      </c>
      <c r="E151" s="225">
        <v>45380</v>
      </c>
      <c r="F151" s="226">
        <v>45417</v>
      </c>
      <c r="G151" s="180" t="s">
        <v>396</v>
      </c>
      <c r="H151" s="221" t="s">
        <v>397</v>
      </c>
      <c r="I151" s="84"/>
      <c r="J151" s="85"/>
      <c r="K151" s="85"/>
      <c r="L151" s="85">
        <f>C151*(E151-$L$1)/31</f>
        <v>-3.8580645161290321</v>
      </c>
      <c r="M151" s="85"/>
      <c r="N151" s="85">
        <f t="shared" si="10"/>
        <v>-9.6451612903225801</v>
      </c>
      <c r="O151" s="85"/>
      <c r="P151" s="85"/>
      <c r="Q151" s="85"/>
      <c r="R151" s="85"/>
      <c r="S151" s="85"/>
      <c r="T151" s="85"/>
      <c r="U151" s="85"/>
      <c r="V151" s="84"/>
      <c r="W151" s="84"/>
      <c r="X151" s="84" t="str">
        <f t="shared" si="9"/>
        <v>OK</v>
      </c>
      <c r="Y151" s="105"/>
      <c r="Z151" s="105"/>
      <c r="AA151" s="87"/>
      <c r="AB151" s="87"/>
      <c r="AC151" s="87"/>
      <c r="AD151" s="87"/>
      <c r="AE151" s="105"/>
      <c r="AF151" s="105"/>
      <c r="AG151" s="105"/>
      <c r="AH151" s="105"/>
      <c r="AI151" s="87"/>
      <c r="AJ151" s="87"/>
      <c r="AK151" s="105"/>
      <c r="AL151" s="87"/>
      <c r="AM151" s="105"/>
      <c r="AN151" s="105"/>
      <c r="AO151" s="87"/>
      <c r="AP151" s="87"/>
      <c r="AQ151" s="105"/>
      <c r="AR151" s="105"/>
      <c r="AS151" s="87"/>
      <c r="AT151" s="105"/>
      <c r="AU151" s="87">
        <f>-C151</f>
        <v>-59.8</v>
      </c>
      <c r="AV151" s="105"/>
      <c r="AW151" s="105"/>
      <c r="AX151" s="105">
        <f>1/2*45*0.85</f>
        <v>19.125</v>
      </c>
      <c r="AY151" s="105">
        <f>AX151</f>
        <v>19.125</v>
      </c>
      <c r="AZ151" s="105">
        <f>C151-AX151-AY151-10</f>
        <v>11.549999999999997</v>
      </c>
      <c r="BA151" s="105">
        <f>AZ151</f>
        <v>11.549999999999997</v>
      </c>
      <c r="BB151" s="87"/>
      <c r="BC151" s="87"/>
      <c r="BD151" s="87"/>
      <c r="BE151" s="87"/>
      <c r="BF151" s="87"/>
      <c r="BG151" s="87"/>
      <c r="BH151" s="87"/>
      <c r="BI151" s="87"/>
      <c r="BJ151" s="87"/>
      <c r="BK151" s="87"/>
      <c r="BL151" s="87"/>
      <c r="BM151" s="87"/>
      <c r="BN151" s="87"/>
      <c r="BO151" s="87"/>
      <c r="BP151" s="87"/>
      <c r="BQ151" s="87"/>
      <c r="BR151" s="87"/>
      <c r="BS151" s="87"/>
      <c r="BT151" s="87"/>
      <c r="BU151" s="87"/>
      <c r="BV151" s="87"/>
      <c r="BW151" s="87"/>
      <c r="BX151" s="87"/>
      <c r="BY151" s="87"/>
      <c r="BZ151" s="87"/>
      <c r="CA151" s="87"/>
      <c r="CB151" s="87"/>
      <c r="CC151" s="87"/>
      <c r="CD151" s="87"/>
      <c r="CE151" s="87"/>
      <c r="CF151" s="87"/>
      <c r="CG151" s="87"/>
      <c r="CH151" s="87"/>
      <c r="CI151" s="87"/>
      <c r="CJ151" s="87"/>
      <c r="CK151" s="87"/>
      <c r="CL151" s="87"/>
      <c r="CM151" s="87"/>
      <c r="CN151" s="87"/>
      <c r="CO151" s="87"/>
      <c r="CP151" s="87"/>
      <c r="CQ151" s="87"/>
      <c r="CR151" s="87"/>
      <c r="CS151" s="87"/>
      <c r="CT151" s="87"/>
      <c r="CU151" s="87"/>
      <c r="CV151" s="87"/>
      <c r="CW151" s="87"/>
      <c r="CX151" s="87"/>
      <c r="CY151" s="87"/>
      <c r="CZ151" s="87"/>
      <c r="DA151" s="87"/>
      <c r="DB151" s="87"/>
      <c r="DC151" s="87"/>
      <c r="DD151" s="87"/>
      <c r="DE151" s="87"/>
      <c r="DF151" s="87"/>
      <c r="DG151" s="87"/>
      <c r="DH151" s="87"/>
      <c r="DI151" s="87"/>
      <c r="DJ151" s="87"/>
      <c r="DK151" s="87"/>
      <c r="DL151" s="87"/>
      <c r="DM151" s="87"/>
      <c r="DN151" s="87"/>
      <c r="DO151" s="87"/>
      <c r="DP151" s="87"/>
      <c r="DQ151" s="87"/>
      <c r="DR151" s="87"/>
      <c r="DS151" s="87"/>
      <c r="DT151" s="87"/>
      <c r="DU151" s="87"/>
      <c r="DV151" s="87"/>
      <c r="DW151" s="87"/>
      <c r="DX151" s="87"/>
      <c r="DY151" s="87"/>
      <c r="DZ151" s="87"/>
      <c r="EA151" s="87"/>
      <c r="EB151" s="87"/>
      <c r="EC151" s="87"/>
      <c r="ED151" s="87"/>
      <c r="EE151" s="87"/>
      <c r="EF151" s="87"/>
      <c r="EG151" s="87"/>
      <c r="EH151" s="87"/>
      <c r="EI151" s="87"/>
    </row>
    <row r="152" spans="1:139" ht="16.5" hidden="1" thickBot="1" x14ac:dyDescent="0.35">
      <c r="A152" s="222" t="s">
        <v>194</v>
      </c>
      <c r="B152" s="223">
        <v>3</v>
      </c>
      <c r="C152" s="224">
        <f>68*0.65</f>
        <v>44.2</v>
      </c>
      <c r="D152" s="217">
        <f>C152/VLOOKUP(B152,'[2]Gas Prod per PADD'!$A$1:$C$6,2,FALSE)</f>
        <v>9.6086956521739143E-3</v>
      </c>
      <c r="E152" s="225">
        <v>45395</v>
      </c>
      <c r="F152" s="226">
        <v>45417</v>
      </c>
      <c r="G152" s="180" t="s">
        <v>221</v>
      </c>
      <c r="H152" s="221" t="s">
        <v>398</v>
      </c>
      <c r="I152" s="84"/>
      <c r="J152" s="85"/>
      <c r="K152" s="85"/>
      <c r="L152" s="85"/>
      <c r="M152" s="85">
        <f>C152*(E152-$M$1)/30</f>
        <v>-25.04666666666667</v>
      </c>
      <c r="N152" s="85">
        <f t="shared" si="10"/>
        <v>-7.129032258064516</v>
      </c>
      <c r="O152" s="85"/>
      <c r="P152" s="85"/>
      <c r="Q152" s="85"/>
      <c r="R152" s="85"/>
      <c r="S152" s="85"/>
      <c r="T152" s="85"/>
      <c r="U152" s="85"/>
      <c r="V152" s="84"/>
      <c r="W152" s="84"/>
      <c r="X152" s="84" t="str">
        <f t="shared" si="9"/>
        <v>OK</v>
      </c>
      <c r="Y152" s="105"/>
      <c r="Z152" s="105"/>
      <c r="AA152" s="87"/>
      <c r="AB152" s="87"/>
      <c r="AC152" s="87"/>
      <c r="AD152" s="87"/>
      <c r="AE152" s="105"/>
      <c r="AF152" s="105"/>
      <c r="AG152" s="105"/>
      <c r="AH152" s="105"/>
      <c r="AI152" s="87"/>
      <c r="AJ152" s="87"/>
      <c r="AK152" s="105"/>
      <c r="AL152" s="87"/>
      <c r="AM152" s="105"/>
      <c r="AN152" s="105"/>
      <c r="AO152" s="87"/>
      <c r="AP152" s="87"/>
      <c r="AQ152" s="105"/>
      <c r="AR152" s="105"/>
      <c r="AS152" s="87"/>
      <c r="AT152" s="105"/>
      <c r="AU152" s="87"/>
      <c r="AV152" s="87"/>
      <c r="AW152" s="87">
        <f>-C152/2</f>
        <v>-22.1</v>
      </c>
      <c r="AX152" s="105">
        <f>AW152</f>
        <v>-22.1</v>
      </c>
      <c r="AY152" s="105">
        <f>-AW152</f>
        <v>22.1</v>
      </c>
      <c r="AZ152" s="105">
        <f>AY152</f>
        <v>22.1</v>
      </c>
      <c r="BA152" s="105"/>
      <c r="BB152" s="105"/>
      <c r="BC152" s="105"/>
      <c r="BD152" s="87"/>
      <c r="BE152" s="87"/>
      <c r="BF152" s="87"/>
      <c r="BG152" s="87"/>
      <c r="BH152" s="87"/>
      <c r="BI152" s="87"/>
      <c r="BJ152" s="87"/>
      <c r="BK152" s="87"/>
      <c r="BL152" s="87"/>
      <c r="BM152" s="87"/>
      <c r="BN152" s="87"/>
      <c r="BO152" s="87"/>
      <c r="BP152" s="87"/>
      <c r="BQ152" s="87"/>
      <c r="BR152" s="87"/>
      <c r="BS152" s="87"/>
      <c r="BT152" s="87"/>
      <c r="BU152" s="87"/>
      <c r="BV152" s="87"/>
      <c r="BW152" s="87"/>
      <c r="BX152" s="87"/>
      <c r="BY152" s="87"/>
      <c r="BZ152" s="87"/>
      <c r="CA152" s="87"/>
      <c r="CB152" s="87"/>
      <c r="CC152" s="87"/>
      <c r="CD152" s="87"/>
      <c r="CE152" s="87"/>
      <c r="CF152" s="87"/>
      <c r="CG152" s="87"/>
      <c r="CH152" s="87"/>
      <c r="CI152" s="87"/>
      <c r="CJ152" s="87"/>
      <c r="CK152" s="87"/>
      <c r="CL152" s="87"/>
      <c r="CM152" s="87"/>
      <c r="CN152" s="87"/>
      <c r="CO152" s="87"/>
      <c r="CP152" s="87"/>
      <c r="CQ152" s="87"/>
      <c r="CR152" s="87"/>
      <c r="CS152" s="87"/>
      <c r="CT152" s="87"/>
      <c r="CU152" s="87"/>
      <c r="CV152" s="87"/>
      <c r="CW152" s="87"/>
      <c r="CX152" s="87"/>
      <c r="CY152" s="87"/>
      <c r="CZ152" s="87"/>
      <c r="DA152" s="87"/>
      <c r="DB152" s="87"/>
      <c r="DC152" s="87"/>
      <c r="DD152" s="87"/>
      <c r="DE152" s="87"/>
      <c r="DF152" s="87"/>
      <c r="DG152" s="87"/>
      <c r="DH152" s="87"/>
      <c r="DI152" s="87"/>
      <c r="DJ152" s="87"/>
      <c r="DK152" s="87"/>
      <c r="DL152" s="87"/>
      <c r="DM152" s="87"/>
      <c r="DN152" s="87"/>
      <c r="DO152" s="87"/>
      <c r="DP152" s="87"/>
      <c r="DQ152" s="87"/>
      <c r="DR152" s="87"/>
      <c r="DS152" s="87"/>
      <c r="DT152" s="87"/>
      <c r="DU152" s="87"/>
      <c r="DV152" s="87"/>
      <c r="DW152" s="87"/>
      <c r="DX152" s="87"/>
      <c r="DY152" s="87"/>
      <c r="DZ152" s="87"/>
      <c r="EA152" s="87"/>
      <c r="EB152" s="87"/>
      <c r="EC152" s="87"/>
      <c r="ED152" s="87"/>
      <c r="EE152" s="87"/>
      <c r="EF152" s="87"/>
      <c r="EG152" s="87"/>
      <c r="EH152" s="87"/>
      <c r="EI152" s="87"/>
    </row>
    <row r="153" spans="1:139" ht="16.5" hidden="1" thickBot="1" x14ac:dyDescent="0.35">
      <c r="A153" s="219" t="s">
        <v>399</v>
      </c>
      <c r="B153" s="194">
        <v>3</v>
      </c>
      <c r="C153" s="195">
        <f>150*0.2</f>
        <v>30</v>
      </c>
      <c r="D153" s="217">
        <f>C153/VLOOKUP(B153,'[2]Gas Prod per PADD'!$A$1:$C$6,2,FALSE)</f>
        <v>6.5217391304347823E-3</v>
      </c>
      <c r="E153" s="196">
        <v>45404</v>
      </c>
      <c r="F153" s="197">
        <v>45417</v>
      </c>
      <c r="G153" s="194" t="s">
        <v>351</v>
      </c>
      <c r="H153" s="198"/>
      <c r="I153" s="84"/>
      <c r="J153" s="85"/>
      <c r="K153" s="85"/>
      <c r="L153" s="85"/>
      <c r="M153" s="85">
        <f>C153*(E153-$M$1)/30</f>
        <v>-8</v>
      </c>
      <c r="N153" s="85">
        <f t="shared" si="10"/>
        <v>-4.838709677419355</v>
      </c>
      <c r="O153" s="85"/>
      <c r="P153" s="85"/>
      <c r="Q153" s="85"/>
      <c r="R153" s="85"/>
      <c r="S153" s="85"/>
      <c r="T153" s="85"/>
      <c r="U153" s="85"/>
      <c r="V153" s="84"/>
      <c r="W153" s="84"/>
      <c r="X153" s="84" t="str">
        <f t="shared" si="9"/>
        <v>OK</v>
      </c>
      <c r="Y153" s="87"/>
      <c r="Z153" s="87"/>
      <c r="AA153" s="87"/>
      <c r="AB153" s="87"/>
      <c r="AC153" s="87"/>
      <c r="AD153" s="87"/>
      <c r="AE153" s="87"/>
      <c r="AF153" s="87"/>
      <c r="AG153" s="87"/>
      <c r="AH153" s="87"/>
      <c r="AI153" s="87"/>
      <c r="AJ153" s="87"/>
      <c r="AK153" s="87"/>
      <c r="AL153" s="87"/>
      <c r="AM153" s="87"/>
      <c r="AN153" s="87"/>
      <c r="AO153" s="87"/>
      <c r="AP153" s="87"/>
      <c r="AQ153" s="87"/>
      <c r="AR153" s="87"/>
      <c r="AS153" s="87"/>
      <c r="AT153" s="87"/>
      <c r="AU153" s="87"/>
      <c r="AV153" s="87"/>
      <c r="AW153" s="87"/>
      <c r="AX153" s="87">
        <f>-C153/2</f>
        <v>-15</v>
      </c>
      <c r="AY153" s="87">
        <f>AX153</f>
        <v>-15</v>
      </c>
      <c r="AZ153" s="87">
        <f>-AX153</f>
        <v>15</v>
      </c>
      <c r="BA153" s="87">
        <f>AZ153</f>
        <v>15</v>
      </c>
      <c r="BB153" s="87"/>
      <c r="BC153" s="87"/>
      <c r="BD153" s="87"/>
      <c r="BE153" s="87"/>
      <c r="BF153" s="87"/>
      <c r="BG153" s="87"/>
      <c r="BH153" s="87"/>
      <c r="BI153" s="87"/>
      <c r="BJ153" s="87"/>
      <c r="BK153" s="87"/>
      <c r="BL153" s="87"/>
      <c r="BM153" s="87"/>
      <c r="BN153" s="87"/>
      <c r="BO153" s="87"/>
      <c r="BP153" s="87"/>
      <c r="BQ153" s="87"/>
      <c r="BR153" s="87"/>
      <c r="BS153" s="87"/>
      <c r="BT153" s="87"/>
      <c r="BU153" s="87"/>
      <c r="BV153" s="87"/>
      <c r="BW153" s="87"/>
      <c r="BX153" s="87"/>
      <c r="BY153" s="87"/>
      <c r="BZ153" s="87"/>
      <c r="CA153" s="87"/>
      <c r="CB153" s="87"/>
      <c r="CC153" s="87"/>
      <c r="CD153" s="87"/>
      <c r="CE153" s="87"/>
      <c r="CF153" s="87"/>
      <c r="CG153" s="87"/>
      <c r="CH153" s="87"/>
      <c r="CI153" s="87"/>
      <c r="CJ153" s="87"/>
      <c r="CK153" s="87"/>
      <c r="CL153" s="87"/>
      <c r="CM153" s="87"/>
      <c r="CN153" s="87"/>
      <c r="CO153" s="87"/>
      <c r="CP153" s="87"/>
      <c r="CQ153" s="87"/>
      <c r="CR153" s="87"/>
      <c r="CS153" s="87"/>
      <c r="CT153" s="87"/>
      <c r="CU153" s="87"/>
      <c r="CV153" s="87"/>
      <c r="CW153" s="87"/>
      <c r="CX153" s="87"/>
      <c r="CY153" s="87"/>
      <c r="CZ153" s="87"/>
      <c r="DA153" s="87"/>
      <c r="DB153" s="87"/>
      <c r="DC153" s="87"/>
      <c r="DD153" s="87"/>
      <c r="DE153" s="87"/>
      <c r="DF153" s="87"/>
      <c r="DG153" s="87"/>
      <c r="DH153" s="87"/>
      <c r="DI153" s="87"/>
      <c r="DJ153" s="87"/>
      <c r="DK153" s="87"/>
      <c r="DL153" s="87"/>
      <c r="DM153" s="87"/>
      <c r="DN153" s="87"/>
      <c r="DO153" s="87"/>
      <c r="DP153" s="87"/>
      <c r="DQ153" s="87"/>
      <c r="DR153" s="87"/>
      <c r="DS153" s="87"/>
      <c r="DT153" s="87"/>
      <c r="DU153" s="87"/>
      <c r="DV153" s="87"/>
      <c r="DW153" s="87"/>
      <c r="DX153" s="87"/>
      <c r="DY153" s="87"/>
      <c r="DZ153" s="87"/>
      <c r="EA153" s="87"/>
      <c r="EB153" s="87"/>
      <c r="EC153" s="87"/>
      <c r="ED153" s="87"/>
      <c r="EE153" s="87"/>
      <c r="EF153" s="87"/>
      <c r="EG153" s="87"/>
      <c r="EH153" s="87"/>
      <c r="EI153" s="87"/>
    </row>
    <row r="154" spans="1:139" ht="16.5" hidden="1" thickBot="1" x14ac:dyDescent="0.35">
      <c r="A154" s="200" t="s">
        <v>251</v>
      </c>
      <c r="B154" s="223">
        <v>5</v>
      </c>
      <c r="C154" s="224">
        <f>158*0.25</f>
        <v>39.5</v>
      </c>
      <c r="D154" s="217">
        <f>C154/VLOOKUP(B154,'[2]Gas Prod per PADD'!$A$1:$C$6,2,FALSE)</f>
        <v>2.9259259259259259E-2</v>
      </c>
      <c r="E154" s="228">
        <v>45410</v>
      </c>
      <c r="F154" s="226">
        <v>45417</v>
      </c>
      <c r="G154" s="180" t="s">
        <v>400</v>
      </c>
      <c r="H154" s="221" t="s">
        <v>216</v>
      </c>
      <c r="I154" s="84"/>
      <c r="J154" s="85"/>
      <c r="K154" s="85"/>
      <c r="L154" s="85"/>
      <c r="M154" s="85">
        <f>C154*(E154-$M$1)/30</f>
        <v>-2.6333333333333333</v>
      </c>
      <c r="N154" s="85">
        <f t="shared" si="10"/>
        <v>-6.370967741935484</v>
      </c>
      <c r="O154" s="85"/>
      <c r="P154" s="85"/>
      <c r="Q154" s="85"/>
      <c r="R154" s="85"/>
      <c r="S154" s="85"/>
      <c r="T154" s="85"/>
      <c r="U154" s="85"/>
      <c r="V154" s="84"/>
      <c r="W154" s="84"/>
      <c r="X154" s="84" t="str">
        <f t="shared" si="9"/>
        <v>OK</v>
      </c>
      <c r="Y154" s="105"/>
      <c r="Z154" s="105"/>
      <c r="AA154" s="87"/>
      <c r="AB154" s="87"/>
      <c r="AC154" s="87"/>
      <c r="AD154" s="87"/>
      <c r="AE154" s="105"/>
      <c r="AF154" s="105"/>
      <c r="AG154" s="105"/>
      <c r="AH154" s="105"/>
      <c r="AI154" s="87"/>
      <c r="AJ154" s="87"/>
      <c r="AK154" s="105"/>
      <c r="AL154" s="87"/>
      <c r="AM154" s="105"/>
      <c r="AN154" s="105"/>
      <c r="AO154" s="87"/>
      <c r="AP154" s="87"/>
      <c r="AQ154" s="105"/>
      <c r="AR154" s="105"/>
      <c r="AS154" s="87"/>
      <c r="AT154" s="105"/>
      <c r="AU154" s="87"/>
      <c r="AV154" s="87"/>
      <c r="AW154" s="105"/>
      <c r="AX154" s="105"/>
      <c r="AY154" s="105">
        <f>-3/7*C154</f>
        <v>-16.928571428571427</v>
      </c>
      <c r="AZ154" s="105"/>
      <c r="BA154" s="105">
        <f>-AY154</f>
        <v>16.928571428571427</v>
      </c>
      <c r="BB154" s="105"/>
      <c r="BC154" s="105"/>
      <c r="BD154" s="87"/>
      <c r="BE154" s="87"/>
      <c r="BF154" s="87"/>
      <c r="BG154" s="87"/>
      <c r="BH154" s="87"/>
      <c r="BI154" s="87"/>
      <c r="BJ154" s="87"/>
      <c r="BK154" s="87"/>
      <c r="BL154" s="87"/>
      <c r="BM154" s="87"/>
      <c r="BN154" s="87"/>
      <c r="BO154" s="87"/>
      <c r="BP154" s="87"/>
      <c r="BQ154" s="87"/>
      <c r="BR154" s="87"/>
      <c r="BS154" s="87"/>
      <c r="BT154" s="87"/>
      <c r="BU154" s="87"/>
      <c r="BV154" s="87"/>
      <c r="BW154" s="87"/>
      <c r="BX154" s="87"/>
      <c r="BY154" s="87"/>
      <c r="BZ154" s="87"/>
      <c r="CA154" s="87"/>
      <c r="CB154" s="87"/>
      <c r="CC154" s="87"/>
      <c r="CD154" s="87"/>
      <c r="CE154" s="87"/>
      <c r="CF154" s="87"/>
      <c r="CG154" s="87"/>
      <c r="CH154" s="87"/>
      <c r="CI154" s="87"/>
      <c r="CJ154" s="87"/>
      <c r="CK154" s="87"/>
      <c r="CL154" s="87"/>
      <c r="CM154" s="87"/>
      <c r="CN154" s="87"/>
      <c r="CO154" s="87"/>
      <c r="CP154" s="87"/>
      <c r="CQ154" s="87"/>
      <c r="CR154" s="87"/>
      <c r="CS154" s="87"/>
      <c r="CT154" s="87"/>
      <c r="CU154" s="87"/>
      <c r="CV154" s="87"/>
      <c r="CW154" s="87"/>
      <c r="CX154" s="87"/>
      <c r="CY154" s="87"/>
      <c r="CZ154" s="87"/>
      <c r="DA154" s="87"/>
      <c r="DB154" s="87"/>
      <c r="DC154" s="87"/>
      <c r="DD154" s="87"/>
      <c r="DE154" s="87"/>
      <c r="DF154" s="87"/>
      <c r="DG154" s="87"/>
      <c r="DH154" s="87"/>
      <c r="DI154" s="87"/>
      <c r="DJ154" s="87"/>
      <c r="DK154" s="87"/>
      <c r="DL154" s="87"/>
      <c r="DM154" s="87"/>
      <c r="DN154" s="87"/>
      <c r="DO154" s="87"/>
      <c r="DP154" s="87"/>
      <c r="DQ154" s="87"/>
      <c r="DR154" s="87"/>
      <c r="DS154" s="87"/>
      <c r="DT154" s="87"/>
      <c r="DU154" s="87"/>
      <c r="DV154" s="87"/>
      <c r="DW154" s="87"/>
      <c r="DX154" s="87"/>
      <c r="DY154" s="87"/>
      <c r="DZ154" s="87"/>
      <c r="EA154" s="87"/>
      <c r="EB154" s="87"/>
      <c r="EC154" s="87"/>
      <c r="ED154" s="87"/>
      <c r="EE154" s="87"/>
      <c r="EF154" s="87"/>
      <c r="EG154" s="75">
        <v>46017</v>
      </c>
      <c r="EH154" s="75">
        <v>46024</v>
      </c>
      <c r="EI154" s="75">
        <v>46031</v>
      </c>
    </row>
    <row r="155" spans="1:139" ht="16.5" hidden="1" thickBot="1" x14ac:dyDescent="0.35">
      <c r="A155" s="218" t="s">
        <v>194</v>
      </c>
      <c r="B155" s="194">
        <v>3</v>
      </c>
      <c r="C155" s="195">
        <f>12.5*0.95</f>
        <v>11.875</v>
      </c>
      <c r="D155" s="217">
        <f>C155/VLOOKUP(B155,'[2]Gas Prod per PADD'!$A$1:$C$6,2,FALSE)</f>
        <v>2.5815217391304346E-3</v>
      </c>
      <c r="E155" s="225">
        <v>45412</v>
      </c>
      <c r="F155" s="226">
        <v>45417</v>
      </c>
      <c r="G155" s="180" t="s">
        <v>401</v>
      </c>
      <c r="H155" s="198"/>
      <c r="I155" s="84"/>
      <c r="J155" s="85"/>
      <c r="K155" s="85"/>
      <c r="L155" s="85"/>
      <c r="M155" s="85">
        <f>C155*(E155-$M$1)/30</f>
        <v>0</v>
      </c>
      <c r="N155" s="85">
        <f t="shared" si="10"/>
        <v>-1.9153225806451613</v>
      </c>
      <c r="O155" s="85"/>
      <c r="P155" s="85"/>
      <c r="Q155" s="85"/>
      <c r="R155" s="85"/>
      <c r="S155" s="85"/>
      <c r="T155" s="85"/>
      <c r="U155" s="85"/>
      <c r="V155" s="84"/>
      <c r="W155" s="84"/>
      <c r="X155" s="84" t="str">
        <f t="shared" si="9"/>
        <v>OK</v>
      </c>
      <c r="Y155" s="87"/>
      <c r="Z155" s="87"/>
      <c r="AA155" s="87"/>
      <c r="AB155" s="87"/>
      <c r="AC155" s="87"/>
      <c r="AD155" s="87"/>
      <c r="AE155" s="87"/>
      <c r="AF155" s="87"/>
      <c r="AG155" s="87"/>
      <c r="AH155" s="87"/>
      <c r="AI155" s="87"/>
      <c r="AJ155" s="105"/>
      <c r="AK155" s="105"/>
      <c r="AL155" s="105"/>
      <c r="AM155" s="87"/>
      <c r="AN155" s="87"/>
      <c r="AO155" s="87"/>
      <c r="AP155" s="87"/>
      <c r="AQ155" s="87"/>
      <c r="AR155" s="87"/>
      <c r="AS155" s="87"/>
      <c r="AT155" s="87"/>
      <c r="AU155" s="87"/>
      <c r="AV155" s="87"/>
      <c r="AW155" s="87"/>
      <c r="AX155" s="87"/>
      <c r="AY155" s="87">
        <f>C155/2*-1</f>
        <v>-5.9375</v>
      </c>
      <c r="AZ155" s="87"/>
      <c r="BA155" s="87">
        <f>AY155*-1</f>
        <v>5.9375</v>
      </c>
      <c r="BB155" s="87"/>
      <c r="BC155" s="87"/>
      <c r="BD155" s="87"/>
      <c r="BE155" s="87"/>
      <c r="BF155" s="87"/>
      <c r="BG155" s="87"/>
      <c r="BH155" s="87"/>
      <c r="BI155" s="87"/>
      <c r="BJ155" s="87"/>
      <c r="BK155" s="87"/>
      <c r="BL155" s="87"/>
      <c r="BM155" s="87"/>
      <c r="BN155" s="87"/>
      <c r="BO155" s="87"/>
      <c r="BP155" s="87"/>
      <c r="BQ155" s="87"/>
      <c r="BR155" s="87"/>
      <c r="BS155" s="87"/>
      <c r="BT155" s="87"/>
      <c r="BU155" s="87"/>
      <c r="BV155" s="87"/>
      <c r="BW155" s="87"/>
      <c r="BX155" s="87"/>
      <c r="BY155" s="87"/>
      <c r="BZ155" s="87"/>
      <c r="CA155" s="87"/>
      <c r="CB155" s="87"/>
      <c r="CC155" s="87"/>
      <c r="CD155" s="87"/>
      <c r="CE155" s="87"/>
      <c r="CF155" s="87"/>
      <c r="CG155" s="87"/>
      <c r="CH155" s="87"/>
      <c r="CI155" s="87"/>
      <c r="CJ155" s="87"/>
      <c r="CK155" s="87"/>
      <c r="CL155" s="87"/>
      <c r="CM155" s="87"/>
      <c r="CN155" s="87"/>
      <c r="CO155" s="87"/>
      <c r="CP155" s="87"/>
      <c r="CQ155" s="87"/>
      <c r="CR155" s="87"/>
      <c r="CS155" s="87"/>
      <c r="CT155" s="87"/>
      <c r="CU155" s="87"/>
      <c r="CV155" s="87"/>
      <c r="CW155" s="87"/>
      <c r="CX155" s="87"/>
      <c r="CY155" s="87"/>
      <c r="CZ155" s="87"/>
      <c r="DA155" s="87"/>
      <c r="DB155" s="87"/>
      <c r="DC155" s="87"/>
      <c r="DD155" s="87"/>
      <c r="DE155" s="87"/>
      <c r="DF155" s="87"/>
      <c r="DG155" s="87"/>
      <c r="DH155" s="87"/>
      <c r="DI155" s="87"/>
      <c r="DJ155" s="87"/>
      <c r="DK155" s="87"/>
      <c r="DL155" s="87"/>
      <c r="DM155" s="87"/>
      <c r="DN155" s="87"/>
      <c r="DO155" s="87"/>
      <c r="DP155" s="87"/>
      <c r="DQ155" s="87"/>
      <c r="DR155" s="87"/>
      <c r="DS155" s="87"/>
      <c r="DT155" s="87"/>
      <c r="DU155" s="87"/>
      <c r="DV155" s="87"/>
      <c r="DW155" s="87"/>
      <c r="DX155" s="87"/>
      <c r="DY155" s="87"/>
      <c r="DZ155" s="87"/>
      <c r="EA155" s="87"/>
      <c r="EB155" s="87"/>
      <c r="EC155" s="87"/>
      <c r="ED155" s="87"/>
      <c r="EE155" s="87"/>
      <c r="EF155" s="87"/>
      <c r="EG155" s="87"/>
      <c r="EH155" s="87"/>
      <c r="EI155" s="87"/>
    </row>
    <row r="156" spans="1:139" ht="16.5" hidden="1" thickBot="1" x14ac:dyDescent="0.35">
      <c r="A156" s="175" t="s">
        <v>402</v>
      </c>
      <c r="B156" s="176">
        <v>2</v>
      </c>
      <c r="C156" s="177">
        <f>80*0.1+36*0.85</f>
        <v>38.599999999999994</v>
      </c>
      <c r="D156" s="217">
        <f>C156/VLOOKUP(B156,'[2]Gas Prod per PADD'!$A$1:$C$6,2,FALSE)</f>
        <v>1.6083333333333331E-2</v>
      </c>
      <c r="E156" s="178">
        <v>45397</v>
      </c>
      <c r="F156" s="179">
        <v>45418</v>
      </c>
      <c r="G156" s="180" t="s">
        <v>403</v>
      </c>
      <c r="H156" s="181" t="s">
        <v>216</v>
      </c>
      <c r="I156" s="84"/>
      <c r="J156" s="85"/>
      <c r="K156" s="85"/>
      <c r="L156" s="85"/>
      <c r="M156" s="85">
        <f>C156*(E156-$M$1)/30</f>
        <v>-19.299999999999997</v>
      </c>
      <c r="N156" s="85">
        <f t="shared" si="10"/>
        <v>-7.4709677419354827</v>
      </c>
      <c r="O156" s="85"/>
      <c r="P156" s="85"/>
      <c r="Q156" s="85"/>
      <c r="R156" s="85"/>
      <c r="S156" s="85"/>
      <c r="T156" s="85"/>
      <c r="U156" s="85"/>
      <c r="V156" s="84"/>
      <c r="W156" s="84"/>
      <c r="X156" s="84" t="str">
        <f t="shared" si="9"/>
        <v>OK</v>
      </c>
      <c r="Y156" s="105"/>
      <c r="Z156" s="105"/>
      <c r="AA156" s="87"/>
      <c r="AB156" s="87"/>
      <c r="AC156" s="87"/>
      <c r="AD156" s="87"/>
      <c r="AE156" s="105"/>
      <c r="AF156" s="105"/>
      <c r="AG156" s="105"/>
      <c r="AH156" s="105"/>
      <c r="AI156" s="87"/>
      <c r="AJ156" s="87"/>
      <c r="AK156" s="105"/>
      <c r="AL156" s="87"/>
      <c r="AM156" s="105"/>
      <c r="AN156" s="105"/>
      <c r="AO156" s="87"/>
      <c r="AP156" s="87"/>
      <c r="AQ156" s="105"/>
      <c r="AR156" s="105"/>
      <c r="AS156" s="87"/>
      <c r="AT156" s="87"/>
      <c r="AU156" s="87"/>
      <c r="AV156" s="87"/>
      <c r="AW156" s="87">
        <f>-C156*(5/7)</f>
        <v>-27.571428571428569</v>
      </c>
      <c r="AX156" s="87">
        <f>-C156-AW156</f>
        <v>-11.028571428571425</v>
      </c>
      <c r="AY156" s="87"/>
      <c r="AZ156" s="87">
        <f>C156*(4/7)</f>
        <v>22.057142857142853</v>
      </c>
      <c r="BA156" s="87">
        <f>C156-AZ156</f>
        <v>16.542857142857141</v>
      </c>
      <c r="BB156" s="87"/>
      <c r="BC156" s="87"/>
      <c r="BD156" s="87"/>
      <c r="BE156" s="87"/>
      <c r="BF156" s="87"/>
      <c r="BG156" s="87"/>
      <c r="BH156" s="87"/>
      <c r="BI156" s="87"/>
      <c r="BJ156" s="87"/>
      <c r="BK156" s="87"/>
      <c r="BL156" s="87"/>
      <c r="BM156" s="87"/>
      <c r="BN156" s="87"/>
      <c r="BO156" s="87"/>
      <c r="BP156" s="87"/>
      <c r="BQ156" s="87"/>
      <c r="BR156" s="87"/>
      <c r="BS156" s="87"/>
      <c r="BT156" s="87"/>
      <c r="BU156" s="87"/>
      <c r="BV156" s="87"/>
      <c r="BW156" s="87"/>
      <c r="BX156" s="87"/>
      <c r="BY156" s="87"/>
      <c r="BZ156" s="87"/>
      <c r="CA156" s="87"/>
      <c r="CB156" s="87"/>
      <c r="CC156" s="87"/>
      <c r="CD156" s="87"/>
      <c r="CE156" s="87"/>
      <c r="CF156" s="87"/>
      <c r="CG156" s="87"/>
      <c r="CH156" s="87"/>
      <c r="CI156" s="87"/>
      <c r="CJ156" s="87"/>
      <c r="CK156" s="87"/>
      <c r="CL156" s="87"/>
      <c r="CM156" s="87"/>
      <c r="CN156" s="87"/>
      <c r="CO156" s="87"/>
      <c r="CP156" s="87"/>
      <c r="CQ156" s="87"/>
      <c r="CR156" s="87"/>
      <c r="CS156" s="87"/>
      <c r="CT156" s="87"/>
      <c r="CU156" s="87"/>
      <c r="CV156" s="87"/>
      <c r="CW156" s="87"/>
      <c r="CX156" s="87"/>
      <c r="CY156" s="87"/>
      <c r="CZ156" s="87"/>
      <c r="DA156" s="87"/>
      <c r="DB156" s="87"/>
      <c r="DC156" s="87"/>
      <c r="DD156" s="87"/>
      <c r="DE156" s="87"/>
      <c r="DF156" s="87"/>
      <c r="DG156" s="87"/>
      <c r="DH156" s="87"/>
      <c r="DI156" s="87"/>
      <c r="DJ156" s="87"/>
      <c r="DK156" s="87"/>
      <c r="DL156" s="87"/>
      <c r="DM156" s="87"/>
      <c r="DN156" s="87"/>
      <c r="DO156" s="87"/>
      <c r="DP156" s="87"/>
      <c r="DQ156" s="87"/>
      <c r="DR156" s="87"/>
      <c r="DS156" s="87"/>
      <c r="DT156" s="87"/>
      <c r="DU156" s="87"/>
      <c r="DV156" s="87"/>
      <c r="DW156" s="87"/>
      <c r="DX156" s="87"/>
      <c r="DY156" s="87"/>
      <c r="DZ156" s="87"/>
      <c r="EA156" s="87"/>
      <c r="EB156" s="87"/>
      <c r="EC156" s="87"/>
      <c r="ED156" s="87"/>
      <c r="EE156" s="87"/>
      <c r="EF156" s="87"/>
      <c r="EG156" s="87"/>
      <c r="EH156" s="87"/>
      <c r="EI156" s="87"/>
    </row>
    <row r="157" spans="1:139" ht="16.5" hidden="1" thickBot="1" x14ac:dyDescent="0.35">
      <c r="A157" s="113" t="s">
        <v>207</v>
      </c>
      <c r="B157" s="227">
        <v>5</v>
      </c>
      <c r="C157" s="195">
        <f>20*0.85</f>
        <v>17</v>
      </c>
      <c r="D157" s="217">
        <f>C157/VLOOKUP(B157,'[2]Gas Prod per PADD'!$A$1:$C$6,2,FALSE)</f>
        <v>1.2592592592592593E-2</v>
      </c>
      <c r="E157" s="196">
        <v>45413</v>
      </c>
      <c r="F157" s="197">
        <f>E157+7</f>
        <v>45420</v>
      </c>
      <c r="G157" s="194" t="s">
        <v>404</v>
      </c>
      <c r="H157" s="198"/>
      <c r="I157" s="84"/>
      <c r="J157" s="85"/>
      <c r="K157" s="85"/>
      <c r="L157" s="85"/>
      <c r="M157" s="85"/>
      <c r="N157" s="85">
        <f>C157*(E157-F157)/31</f>
        <v>-3.838709677419355</v>
      </c>
      <c r="O157" s="85"/>
      <c r="P157" s="85"/>
      <c r="Q157" s="85"/>
      <c r="R157" s="85"/>
      <c r="S157" s="85"/>
      <c r="T157" s="85"/>
      <c r="U157" s="85"/>
      <c r="V157" s="84"/>
      <c r="W157" s="84"/>
      <c r="X157" s="84" t="str">
        <f t="shared" si="9"/>
        <v>OK</v>
      </c>
      <c r="Y157" s="87"/>
      <c r="Z157" s="87"/>
      <c r="AA157" s="87"/>
      <c r="AB157" s="87"/>
      <c r="AC157" s="87"/>
      <c r="AD157" s="87"/>
      <c r="AE157" s="87"/>
      <c r="AF157" s="87"/>
      <c r="AG157" s="87"/>
      <c r="AH157" s="87"/>
      <c r="AI157" s="87"/>
      <c r="AJ157" s="87"/>
      <c r="AK157" s="87"/>
      <c r="AL157" s="87"/>
      <c r="AM157" s="87"/>
      <c r="AN157" s="87"/>
      <c r="AO157" s="87"/>
      <c r="AP157" s="87"/>
      <c r="AQ157" s="87"/>
      <c r="AR157" s="87"/>
      <c r="AS157" s="87"/>
      <c r="AT157" s="87"/>
      <c r="AU157" s="87"/>
      <c r="AV157" s="87"/>
      <c r="AW157" s="87"/>
      <c r="AX157" s="87"/>
      <c r="AY157" s="87"/>
      <c r="AZ157" s="87">
        <f>C157*0.6*-1</f>
        <v>-10.199999999999999</v>
      </c>
      <c r="BA157" s="87">
        <f>AY157*-1</f>
        <v>0</v>
      </c>
      <c r="BB157" s="87"/>
      <c r="BC157" s="87"/>
      <c r="BD157" s="87"/>
      <c r="BE157" s="87"/>
      <c r="BF157" s="87"/>
      <c r="BG157" s="87"/>
      <c r="BH157" s="87"/>
      <c r="BI157" s="87"/>
      <c r="BJ157" s="87"/>
      <c r="BK157" s="87"/>
      <c r="BL157" s="87"/>
      <c r="BM157" s="87"/>
      <c r="BN157" s="87"/>
      <c r="BO157" s="87"/>
      <c r="BP157" s="87"/>
      <c r="BQ157" s="87"/>
      <c r="BR157" s="87"/>
      <c r="BS157" s="87"/>
      <c r="BT157" s="87"/>
      <c r="BU157" s="87"/>
      <c r="BV157" s="87"/>
      <c r="BW157" s="87"/>
      <c r="BX157" s="87"/>
      <c r="BY157" s="87"/>
      <c r="BZ157" s="87"/>
      <c r="CA157" s="87"/>
      <c r="CB157" s="87"/>
      <c r="CC157" s="87"/>
      <c r="CD157" s="87"/>
      <c r="CE157" s="87"/>
      <c r="CF157" s="87"/>
      <c r="CG157" s="87"/>
      <c r="CH157" s="87"/>
      <c r="CI157" s="87"/>
      <c r="CJ157" s="87"/>
      <c r="CK157" s="87"/>
      <c r="CL157" s="87"/>
      <c r="CM157" s="87"/>
      <c r="CN157" s="87"/>
      <c r="CO157" s="87"/>
      <c r="CP157" s="87"/>
      <c r="CQ157" s="87"/>
      <c r="CR157" s="87"/>
      <c r="CS157" s="87"/>
      <c r="CT157" s="87"/>
      <c r="CU157" s="87"/>
      <c r="CV157" s="87"/>
      <c r="CW157" s="87"/>
      <c r="CX157" s="87"/>
      <c r="CY157" s="87"/>
      <c r="CZ157" s="87"/>
      <c r="DA157" s="87"/>
      <c r="DB157" s="87"/>
      <c r="DC157" s="87"/>
      <c r="DD157" s="87"/>
      <c r="DE157" s="87"/>
      <c r="DF157" s="87"/>
      <c r="DG157" s="87"/>
      <c r="DH157" s="87"/>
      <c r="DI157" s="87"/>
      <c r="DJ157" s="87"/>
      <c r="DK157" s="87"/>
      <c r="DL157" s="87"/>
      <c r="DM157" s="87"/>
      <c r="DN157" s="87"/>
      <c r="DO157" s="87"/>
      <c r="DP157" s="87"/>
      <c r="DQ157" s="87"/>
      <c r="DR157" s="87"/>
      <c r="DS157" s="87"/>
      <c r="DT157" s="87"/>
      <c r="DU157" s="87"/>
      <c r="DV157" s="87"/>
      <c r="DW157" s="87"/>
      <c r="DX157" s="87"/>
      <c r="DY157" s="87"/>
      <c r="DZ157" s="87"/>
      <c r="EA157" s="87"/>
      <c r="EB157" s="87"/>
      <c r="EC157" s="87"/>
      <c r="ED157" s="87"/>
      <c r="EE157" s="87"/>
      <c r="EF157" s="87"/>
      <c r="EG157" s="75">
        <v>46017</v>
      </c>
      <c r="EH157" s="75">
        <v>46024</v>
      </c>
      <c r="EI157" s="75">
        <v>46031</v>
      </c>
    </row>
    <row r="158" spans="1:139" ht="16.5" hidden="1" thickBot="1" x14ac:dyDescent="0.35">
      <c r="A158" s="175" t="s">
        <v>405</v>
      </c>
      <c r="B158" s="176">
        <v>1</v>
      </c>
      <c r="C158" s="177">
        <v>45</v>
      </c>
      <c r="D158" s="217">
        <f>C158/VLOOKUP(B158,'[2]Gas Prod per PADD'!$A$1:$C$6,2,FALSE)</f>
        <v>9.375E-2</v>
      </c>
      <c r="E158" s="178">
        <v>45352</v>
      </c>
      <c r="F158" s="179">
        <v>45421</v>
      </c>
      <c r="G158" s="180" t="s">
        <v>291</v>
      </c>
      <c r="H158" s="181" t="s">
        <v>406</v>
      </c>
      <c r="I158" s="84"/>
      <c r="J158" s="85"/>
      <c r="K158" s="85"/>
      <c r="L158" s="85">
        <f>C158*(E158-$L$1)/31</f>
        <v>-43.548387096774192</v>
      </c>
      <c r="M158" s="85"/>
      <c r="N158" s="85">
        <f>C158*($M$1-F158)/31</f>
        <v>-13.064516129032258</v>
      </c>
      <c r="O158" s="85"/>
      <c r="P158" s="85"/>
      <c r="Q158" s="85"/>
      <c r="R158" s="85"/>
      <c r="S158" s="85"/>
      <c r="T158" s="85"/>
      <c r="U158" s="85"/>
      <c r="V158" s="84"/>
      <c r="W158" s="84"/>
      <c r="X158" s="84" t="str">
        <f t="shared" si="9"/>
        <v>OK</v>
      </c>
      <c r="Y158" s="105"/>
      <c r="Z158" s="105"/>
      <c r="AA158" s="87"/>
      <c r="AB158" s="87"/>
      <c r="AC158" s="87"/>
      <c r="AD158" s="87"/>
      <c r="AE158" s="105"/>
      <c r="AF158" s="105"/>
      <c r="AG158" s="105"/>
      <c r="AH158" s="105"/>
      <c r="AI158" s="87"/>
      <c r="AJ158" s="87"/>
      <c r="AK158" s="105"/>
      <c r="AL158" s="87"/>
      <c r="AM158" s="105"/>
      <c r="AN158" s="105"/>
      <c r="AO158" s="87"/>
      <c r="AP158" s="87"/>
      <c r="AQ158" s="105">
        <f>-C158/2</f>
        <v>-22.5</v>
      </c>
      <c r="AR158" s="105">
        <f>AQ158</f>
        <v>-22.5</v>
      </c>
      <c r="AS158" s="87"/>
      <c r="AT158" s="105"/>
      <c r="AU158" s="87"/>
      <c r="AV158" s="87"/>
      <c r="AW158" s="87"/>
      <c r="AX158" s="87"/>
      <c r="AY158" s="87"/>
      <c r="AZ158" s="87"/>
      <c r="BA158" s="87" t="e">
        <f>(#REF!-F158)/7*C158/2</f>
        <v>#REF!</v>
      </c>
      <c r="BB158" s="87" t="e">
        <f>C158-BA158</f>
        <v>#REF!</v>
      </c>
      <c r="BC158" s="87"/>
      <c r="BD158" s="87"/>
      <c r="BE158" s="87"/>
      <c r="BF158" s="87"/>
      <c r="BG158" s="87"/>
      <c r="BH158" s="87"/>
      <c r="BI158" s="87"/>
      <c r="BJ158" s="87"/>
      <c r="BK158" s="87"/>
      <c r="BL158" s="87"/>
      <c r="BM158" s="87"/>
      <c r="BN158" s="87"/>
      <c r="BO158" s="87"/>
      <c r="BP158" s="87"/>
      <c r="BQ158" s="87"/>
      <c r="BR158" s="87"/>
      <c r="BS158" s="87"/>
      <c r="BT158" s="87"/>
      <c r="BU158" s="87"/>
      <c r="BV158" s="87"/>
      <c r="BW158" s="87"/>
      <c r="BX158" s="87"/>
      <c r="BY158" s="87"/>
      <c r="BZ158" s="87"/>
      <c r="CA158" s="87"/>
      <c r="CB158" s="87"/>
      <c r="CC158" s="87"/>
      <c r="CD158" s="87"/>
      <c r="CE158" s="87"/>
      <c r="CF158" s="87"/>
      <c r="CG158" s="87"/>
      <c r="CH158" s="87"/>
      <c r="CI158" s="87"/>
      <c r="CJ158" s="87"/>
      <c r="CK158" s="87"/>
      <c r="CL158" s="87"/>
      <c r="CM158" s="87"/>
      <c r="CN158" s="87"/>
      <c r="CO158" s="87"/>
      <c r="CP158" s="87"/>
      <c r="CQ158" s="87"/>
      <c r="CR158" s="87"/>
      <c r="CS158" s="87"/>
      <c r="CT158" s="87"/>
      <c r="CU158" s="87"/>
      <c r="CV158" s="87"/>
      <c r="CW158" s="87"/>
      <c r="CX158" s="87"/>
      <c r="CY158" s="87"/>
      <c r="CZ158" s="87"/>
      <c r="DA158" s="87"/>
      <c r="DB158" s="87"/>
      <c r="DC158" s="87"/>
      <c r="DD158" s="87"/>
      <c r="DE158" s="87"/>
      <c r="DF158" s="87"/>
      <c r="DG158" s="87"/>
      <c r="DH158" s="87"/>
      <c r="DI158" s="87"/>
      <c r="DJ158" s="87"/>
      <c r="DK158" s="87"/>
      <c r="DL158" s="87"/>
      <c r="DM158" s="87"/>
      <c r="DN158" s="87"/>
      <c r="DO158" s="87"/>
      <c r="DP158" s="87"/>
      <c r="DQ158" s="87"/>
      <c r="DR158" s="87"/>
      <c r="DS158" s="87"/>
      <c r="DT158" s="87"/>
      <c r="DU158" s="87"/>
      <c r="DV158" s="87"/>
      <c r="DW158" s="87"/>
      <c r="DX158" s="87"/>
      <c r="DY158" s="87"/>
      <c r="DZ158" s="87"/>
      <c r="EA158" s="87"/>
      <c r="EB158" s="87"/>
      <c r="EC158" s="87"/>
      <c r="ED158" s="87"/>
      <c r="EE158" s="87"/>
      <c r="EF158" s="87"/>
      <c r="EG158" s="87"/>
      <c r="EH158" s="87"/>
      <c r="EI158" s="87"/>
    </row>
    <row r="159" spans="1:139" ht="16.5" hidden="1" thickBot="1" x14ac:dyDescent="0.35">
      <c r="A159" s="190" t="s">
        <v>294</v>
      </c>
      <c r="B159" s="176">
        <v>3</v>
      </c>
      <c r="C159" s="177">
        <f>80*0.85</f>
        <v>68</v>
      </c>
      <c r="D159" s="217">
        <f>C159/VLOOKUP(B159,'[2]Gas Prod per PADD'!$A$1:$C$6,2,FALSE)</f>
        <v>1.4782608695652174E-2</v>
      </c>
      <c r="E159" s="178">
        <v>45401</v>
      </c>
      <c r="F159" s="179">
        <v>45421</v>
      </c>
      <c r="G159" s="180" t="s">
        <v>407</v>
      </c>
      <c r="H159" s="181" t="s">
        <v>408</v>
      </c>
      <c r="I159" s="84"/>
      <c r="J159" s="85"/>
      <c r="K159" s="85"/>
      <c r="L159" s="85"/>
      <c r="M159" s="85">
        <f>C159*(E159-$M$1)/30</f>
        <v>-24.933333333333334</v>
      </c>
      <c r="N159" s="85">
        <f>C159*($M$1-F159)/31</f>
        <v>-19.741935483870968</v>
      </c>
      <c r="O159" s="85"/>
      <c r="P159" s="85"/>
      <c r="Q159" s="85"/>
      <c r="R159" s="85"/>
      <c r="S159" s="85"/>
      <c r="T159" s="85"/>
      <c r="U159" s="85"/>
      <c r="V159" s="84"/>
      <c r="W159" s="84"/>
      <c r="X159" s="84" t="str">
        <f t="shared" si="9"/>
        <v>OK</v>
      </c>
      <c r="Y159" s="105"/>
      <c r="Z159" s="105"/>
      <c r="AA159" s="87"/>
      <c r="AB159" s="87"/>
      <c r="AC159" s="87"/>
      <c r="AD159" s="87"/>
      <c r="AE159" s="105"/>
      <c r="AF159" s="105"/>
      <c r="AG159" s="105"/>
      <c r="AH159" s="105"/>
      <c r="AI159" s="87"/>
      <c r="AJ159" s="87"/>
      <c r="AK159" s="105"/>
      <c r="AL159" s="87"/>
      <c r="AM159" s="105"/>
      <c r="AN159" s="105"/>
      <c r="AO159" s="87"/>
      <c r="AP159" s="87"/>
      <c r="AQ159" s="105"/>
      <c r="AR159" s="105"/>
      <c r="AS159" s="87"/>
      <c r="AT159" s="105"/>
      <c r="AU159" s="105"/>
      <c r="AV159" s="87"/>
      <c r="AW159" s="105"/>
      <c r="AX159" s="105">
        <f>-C159/2</f>
        <v>-34</v>
      </c>
      <c r="AY159" s="105">
        <f>AX159</f>
        <v>-34</v>
      </c>
      <c r="AZ159" s="105"/>
      <c r="BA159" s="105">
        <f>-AY159*2</f>
        <v>68</v>
      </c>
      <c r="BB159" s="105"/>
      <c r="BC159" s="87"/>
      <c r="BD159" s="87"/>
      <c r="BE159" s="87"/>
      <c r="BF159" s="105"/>
      <c r="BG159" s="105"/>
      <c r="BH159" s="105"/>
      <c r="BI159" s="105"/>
      <c r="BJ159" s="87"/>
      <c r="BK159" s="87"/>
      <c r="BL159" s="87"/>
      <c r="BM159" s="87"/>
      <c r="BN159" s="87"/>
      <c r="BO159" s="87"/>
      <c r="BP159" s="87"/>
      <c r="BQ159" s="87"/>
      <c r="BR159" s="87"/>
      <c r="BS159" s="87"/>
      <c r="BT159" s="87"/>
      <c r="BU159" s="87"/>
      <c r="BV159" s="87"/>
      <c r="BW159" s="87"/>
      <c r="BX159" s="87"/>
      <c r="BY159" s="87"/>
      <c r="BZ159" s="87"/>
      <c r="CA159" s="87"/>
      <c r="CB159" s="87"/>
      <c r="CC159" s="87"/>
      <c r="CD159" s="87"/>
      <c r="CE159" s="87"/>
      <c r="CF159" s="87"/>
      <c r="CG159" s="87"/>
      <c r="CH159" s="87"/>
      <c r="CI159" s="87"/>
      <c r="CJ159" s="87"/>
      <c r="CK159" s="87"/>
      <c r="CL159" s="87"/>
      <c r="CM159" s="87"/>
      <c r="CN159" s="87"/>
      <c r="CO159" s="87"/>
      <c r="CP159" s="87"/>
      <c r="CQ159" s="87"/>
      <c r="CR159" s="87"/>
      <c r="CS159" s="87"/>
      <c r="CT159" s="87"/>
      <c r="CU159" s="87"/>
      <c r="CV159" s="87"/>
      <c r="CW159" s="87"/>
      <c r="CX159" s="87"/>
      <c r="CY159" s="87"/>
      <c r="CZ159" s="87"/>
      <c r="DA159" s="87"/>
      <c r="DB159" s="87"/>
      <c r="DC159" s="87"/>
      <c r="DD159" s="87"/>
      <c r="DE159" s="87"/>
      <c r="DF159" s="87"/>
      <c r="DG159" s="87"/>
      <c r="DH159" s="87"/>
      <c r="DI159" s="87"/>
      <c r="DJ159" s="87"/>
      <c r="DK159" s="87"/>
      <c r="DL159" s="87"/>
      <c r="DM159" s="87"/>
      <c r="DN159" s="87"/>
      <c r="DO159" s="87"/>
      <c r="DP159" s="87"/>
      <c r="DQ159" s="87"/>
      <c r="DR159" s="87"/>
      <c r="DS159" s="87"/>
      <c r="DT159" s="87"/>
      <c r="DU159" s="87"/>
      <c r="DV159" s="87"/>
      <c r="DW159" s="87"/>
      <c r="DX159" s="87"/>
      <c r="DY159" s="87"/>
      <c r="DZ159" s="87"/>
      <c r="EA159" s="87"/>
      <c r="EB159" s="87"/>
      <c r="EC159" s="87"/>
      <c r="ED159" s="87"/>
      <c r="EE159" s="87"/>
      <c r="EF159" s="87"/>
      <c r="EG159" s="87"/>
      <c r="EH159" s="87"/>
      <c r="EI159" s="87"/>
    </row>
    <row r="160" spans="1:139" ht="29.25" hidden="1" thickBot="1" x14ac:dyDescent="0.35">
      <c r="A160" s="200" t="s">
        <v>409</v>
      </c>
      <c r="B160" s="223" t="s">
        <v>410</v>
      </c>
      <c r="C160" s="224">
        <f>(150*0.25+74*0.65)*1</f>
        <v>85.6</v>
      </c>
      <c r="D160" s="217" t="e">
        <f>C160/VLOOKUP(B160,'[2]Gas Prod per PADD'!$A$1:$C$6,2,FALSE)</f>
        <v>#N/A</v>
      </c>
      <c r="E160" s="225">
        <v>45404</v>
      </c>
      <c r="F160" s="226">
        <v>45421</v>
      </c>
      <c r="G160" s="180" t="s">
        <v>411</v>
      </c>
      <c r="H160" s="221" t="s">
        <v>216</v>
      </c>
      <c r="I160" s="84" t="s">
        <v>412</v>
      </c>
      <c r="J160" s="85"/>
      <c r="K160" s="85"/>
      <c r="L160" s="85"/>
      <c r="M160" s="85">
        <f>C160*(E160-$M$1)/30</f>
        <v>-22.826666666666664</v>
      </c>
      <c r="N160" s="85">
        <f>C160*($M$1-F160)/31</f>
        <v>-24.851612903225806</v>
      </c>
      <c r="O160" s="85"/>
      <c r="P160" s="85"/>
      <c r="Q160" s="85"/>
      <c r="R160" s="85"/>
      <c r="S160" s="85"/>
      <c r="T160" s="85"/>
      <c r="U160" s="85"/>
      <c r="V160" s="84"/>
      <c r="W160" s="84"/>
      <c r="X160" s="84" t="str">
        <f t="shared" si="9"/>
        <v>Missing</v>
      </c>
      <c r="Y160" s="105"/>
      <c r="Z160" s="105"/>
      <c r="AA160" s="87"/>
      <c r="AB160" s="87"/>
      <c r="AC160" s="87"/>
      <c r="AD160" s="87"/>
      <c r="AE160" s="105"/>
      <c r="AF160" s="105"/>
      <c r="AG160" s="105"/>
      <c r="AH160" s="105"/>
      <c r="AI160" s="87"/>
      <c r="AJ160" s="87"/>
      <c r="AK160" s="105"/>
      <c r="AL160" s="87"/>
      <c r="AM160" s="105"/>
      <c r="AN160" s="105"/>
      <c r="AO160" s="87"/>
      <c r="AP160" s="87"/>
      <c r="AQ160" s="105"/>
      <c r="AR160" s="105"/>
      <c r="AS160" s="87"/>
      <c r="AT160" s="105"/>
      <c r="AU160" s="87"/>
      <c r="AV160" s="87"/>
      <c r="AW160" s="105"/>
      <c r="AX160" s="105"/>
      <c r="AY160" s="105"/>
      <c r="AZ160" s="105"/>
      <c r="BA160" s="105"/>
      <c r="BB160" s="105"/>
      <c r="BC160" s="105"/>
      <c r="BD160" s="87"/>
      <c r="BE160" s="87"/>
      <c r="BF160" s="87"/>
      <c r="BG160" s="87"/>
      <c r="BH160" s="87"/>
      <c r="BI160" s="87"/>
      <c r="BJ160" s="87"/>
      <c r="BK160" s="87"/>
      <c r="BL160" s="87"/>
      <c r="BM160" s="87"/>
      <c r="BN160" s="87"/>
      <c r="BO160" s="87"/>
      <c r="BP160" s="87"/>
      <c r="BQ160" s="87"/>
      <c r="BR160" s="87"/>
      <c r="BS160" s="87"/>
      <c r="BT160" s="87"/>
      <c r="BU160" s="87"/>
      <c r="BV160" s="87"/>
      <c r="BW160" s="87"/>
      <c r="BX160" s="87"/>
      <c r="BY160" s="87"/>
      <c r="BZ160" s="87"/>
      <c r="CA160" s="87"/>
      <c r="CB160" s="87"/>
      <c r="CC160" s="87"/>
      <c r="CD160" s="87"/>
      <c r="CE160" s="87"/>
      <c r="CF160" s="87"/>
      <c r="CG160" s="87"/>
      <c r="CH160" s="87"/>
      <c r="CI160" s="87"/>
      <c r="CJ160" s="87"/>
      <c r="CK160" s="87"/>
      <c r="CL160" s="87"/>
      <c r="CM160" s="87"/>
      <c r="CN160" s="87"/>
      <c r="CO160" s="87"/>
      <c r="CP160" s="87"/>
      <c r="CQ160" s="87"/>
      <c r="CR160" s="87"/>
      <c r="CS160" s="87"/>
      <c r="CT160" s="87"/>
      <c r="CU160" s="87"/>
      <c r="CV160" s="87"/>
      <c r="CW160" s="87"/>
      <c r="CX160" s="87"/>
      <c r="CY160" s="87"/>
      <c r="CZ160" s="87"/>
      <c r="DA160" s="87"/>
      <c r="DB160" s="87"/>
      <c r="DC160" s="87"/>
      <c r="DD160" s="87"/>
      <c r="DE160" s="87"/>
      <c r="DF160" s="87"/>
      <c r="DG160" s="87"/>
      <c r="DH160" s="87"/>
      <c r="DI160" s="87"/>
      <c r="DJ160" s="87"/>
      <c r="DK160" s="87"/>
      <c r="DL160" s="87"/>
      <c r="DM160" s="87"/>
      <c r="DN160" s="87"/>
      <c r="DO160" s="87"/>
      <c r="DP160" s="87"/>
      <c r="DQ160" s="87"/>
      <c r="DR160" s="87"/>
      <c r="DS160" s="87"/>
      <c r="DT160" s="87"/>
      <c r="DU160" s="87"/>
      <c r="DV160" s="87"/>
      <c r="DW160" s="87"/>
      <c r="DX160" s="87"/>
      <c r="DY160" s="87"/>
      <c r="DZ160" s="87"/>
      <c r="EA160" s="87"/>
      <c r="EB160" s="87"/>
      <c r="EC160" s="87"/>
      <c r="ED160" s="87"/>
      <c r="EE160" s="87"/>
      <c r="EF160" s="87"/>
      <c r="EG160" s="87"/>
      <c r="EH160" s="87"/>
      <c r="EI160" s="87"/>
    </row>
    <row r="161" spans="1:139" ht="16.5" hidden="1" thickBot="1" x14ac:dyDescent="0.35">
      <c r="A161" s="113" t="s">
        <v>413</v>
      </c>
      <c r="B161" s="194">
        <v>4</v>
      </c>
      <c r="C161" s="195">
        <f>58*0.25</f>
        <v>14.5</v>
      </c>
      <c r="D161" s="217">
        <f>C161/VLOOKUP(B161,'[2]Gas Prod per PADD'!$A$1:$C$6,2,FALSE)</f>
        <v>4.2647058823529413E-2</v>
      </c>
      <c r="E161" s="196">
        <v>45385</v>
      </c>
      <c r="F161" s="197">
        <v>45424</v>
      </c>
      <c r="G161" s="194" t="s">
        <v>351</v>
      </c>
      <c r="H161" s="198"/>
      <c r="I161" s="84"/>
      <c r="J161" s="85"/>
      <c r="K161" s="85"/>
      <c r="L161" s="85"/>
      <c r="M161" s="85">
        <f>C161*(E161-$M$1)/30</f>
        <v>-13.05</v>
      </c>
      <c r="N161" s="85">
        <f>C161*($M$1-F161)/31</f>
        <v>-5.612903225806452</v>
      </c>
      <c r="O161" s="85"/>
      <c r="P161" s="85"/>
      <c r="Q161" s="85"/>
      <c r="R161" s="85"/>
      <c r="S161" s="85"/>
      <c r="T161" s="85"/>
      <c r="U161" s="85"/>
      <c r="V161" s="84"/>
      <c r="W161" s="84"/>
      <c r="X161" s="84" t="str">
        <f t="shared" si="9"/>
        <v>OK</v>
      </c>
      <c r="Y161" s="87"/>
      <c r="Z161" s="87"/>
      <c r="AA161" s="87"/>
      <c r="AB161" s="87"/>
      <c r="AC161" s="87"/>
      <c r="AD161" s="87"/>
      <c r="AE161" s="87"/>
      <c r="AF161" s="87"/>
      <c r="AG161" s="87"/>
      <c r="AH161" s="87"/>
      <c r="AI161" s="87"/>
      <c r="AJ161" s="87"/>
      <c r="AK161" s="87"/>
      <c r="AL161" s="87"/>
      <c r="AM161" s="87"/>
      <c r="AN161" s="87"/>
      <c r="AO161" s="87"/>
      <c r="AP161" s="87"/>
      <c r="AQ161" s="87"/>
      <c r="AR161" s="87"/>
      <c r="AS161" s="87"/>
      <c r="AT161" s="87"/>
      <c r="AU161" s="87">
        <f>-C161/2</f>
        <v>-7.25</v>
      </c>
      <c r="AV161" s="87">
        <f>AU161</f>
        <v>-7.25</v>
      </c>
      <c r="AW161" s="87"/>
      <c r="AX161" s="87"/>
      <c r="AY161" s="87"/>
      <c r="AZ161" s="87"/>
      <c r="BA161" s="87">
        <f>-AU161</f>
        <v>7.25</v>
      </c>
      <c r="BB161" s="87">
        <f>-AV161</f>
        <v>7.25</v>
      </c>
      <c r="BC161" s="87"/>
      <c r="BD161" s="87"/>
      <c r="BE161" s="87"/>
      <c r="BF161" s="87"/>
      <c r="BG161" s="87"/>
      <c r="BH161" s="87"/>
      <c r="BI161" s="87"/>
      <c r="BJ161" s="87"/>
      <c r="BK161" s="87"/>
      <c r="BL161" s="87"/>
      <c r="BM161" s="87"/>
      <c r="BN161" s="87"/>
      <c r="BO161" s="87"/>
      <c r="BP161" s="87"/>
      <c r="BQ161" s="87"/>
      <c r="BR161" s="87"/>
      <c r="BS161" s="87"/>
      <c r="BT161" s="87"/>
      <c r="BU161" s="87"/>
      <c r="BV161" s="87"/>
      <c r="BW161" s="87"/>
      <c r="BX161" s="87"/>
      <c r="BY161" s="87"/>
      <c r="BZ161" s="87"/>
      <c r="CA161" s="87"/>
      <c r="CB161" s="87"/>
      <c r="CC161" s="87"/>
      <c r="CD161" s="87"/>
      <c r="CE161" s="87"/>
      <c r="CF161" s="87"/>
      <c r="CG161" s="87"/>
      <c r="CH161" s="87"/>
      <c r="CI161" s="87"/>
      <c r="CJ161" s="87"/>
      <c r="CK161" s="87"/>
      <c r="CL161" s="87"/>
      <c r="CM161" s="87"/>
      <c r="CN161" s="87"/>
      <c r="CO161" s="87"/>
      <c r="CP161" s="87"/>
      <c r="CQ161" s="87"/>
      <c r="CR161" s="87"/>
      <c r="CS161" s="87"/>
      <c r="CT161" s="87"/>
      <c r="CU161" s="87"/>
      <c r="CV161" s="87"/>
      <c r="CW161" s="87"/>
      <c r="CX161" s="87"/>
      <c r="CY161" s="87"/>
      <c r="CZ161" s="87"/>
      <c r="DA161" s="87"/>
      <c r="DB161" s="87"/>
      <c r="DC161" s="87"/>
      <c r="DD161" s="87"/>
      <c r="DE161" s="87"/>
      <c r="DF161" s="87"/>
      <c r="DG161" s="87"/>
      <c r="DH161" s="87"/>
      <c r="DI161" s="87"/>
      <c r="DJ161" s="87"/>
      <c r="DK161" s="87"/>
      <c r="DL161" s="87"/>
      <c r="DM161" s="87"/>
      <c r="DN161" s="87"/>
      <c r="DO161" s="87"/>
      <c r="DP161" s="87"/>
      <c r="DQ161" s="87"/>
      <c r="DR161" s="87"/>
      <c r="DS161" s="87"/>
      <c r="DT161" s="87"/>
      <c r="DU161" s="87"/>
      <c r="DV161" s="87"/>
      <c r="DW161" s="87"/>
      <c r="DX161" s="87"/>
      <c r="DY161" s="87"/>
      <c r="DZ161" s="87"/>
      <c r="EA161" s="87"/>
      <c r="EB161" s="87"/>
      <c r="EC161" s="87"/>
      <c r="ED161" s="87"/>
      <c r="EE161" s="87"/>
      <c r="EF161" s="87"/>
      <c r="EG161" s="87"/>
      <c r="EH161" s="87"/>
      <c r="EI161" s="87"/>
    </row>
    <row r="162" spans="1:139" ht="16.5" hidden="1" thickBot="1" x14ac:dyDescent="0.35">
      <c r="A162" s="190" t="s">
        <v>173</v>
      </c>
      <c r="B162" s="176">
        <v>3</v>
      </c>
      <c r="C162" s="195">
        <f>25*0.65</f>
        <v>16.25</v>
      </c>
      <c r="D162" s="217">
        <f>C162/VLOOKUP(B162,'[2]Gas Prod per PADD'!$A$1:$C$6,2,FALSE)</f>
        <v>3.5326086956521739E-3</v>
      </c>
      <c r="E162" s="196">
        <v>45423</v>
      </c>
      <c r="F162" s="197">
        <v>45426</v>
      </c>
      <c r="G162" s="194" t="s">
        <v>221</v>
      </c>
      <c r="H162" s="181" t="s">
        <v>414</v>
      </c>
      <c r="I162" s="84"/>
      <c r="J162" s="85"/>
      <c r="K162" s="85"/>
      <c r="L162" s="85"/>
      <c r="M162" s="85"/>
      <c r="N162" s="85">
        <f>C162*(E162-F162)/31</f>
        <v>-1.5725806451612903</v>
      </c>
      <c r="O162" s="85"/>
      <c r="P162" s="85"/>
      <c r="Q162" s="85"/>
      <c r="R162" s="85"/>
      <c r="S162" s="85"/>
      <c r="T162" s="85"/>
      <c r="U162" s="85"/>
      <c r="V162" s="84"/>
      <c r="W162" s="84"/>
      <c r="X162" s="84" t="str">
        <f t="shared" si="9"/>
        <v>OK</v>
      </c>
      <c r="Y162" s="87"/>
      <c r="Z162" s="87"/>
      <c r="AA162" s="87"/>
      <c r="AB162" s="87"/>
      <c r="AC162" s="87"/>
      <c r="AD162" s="87"/>
      <c r="AE162" s="87"/>
      <c r="AF162" s="87"/>
      <c r="AG162" s="87"/>
      <c r="AH162" s="87"/>
      <c r="AI162" s="87"/>
      <c r="AJ162" s="87"/>
      <c r="AK162" s="87"/>
      <c r="AL162" s="87"/>
      <c r="AM162" s="87"/>
      <c r="AN162" s="87"/>
      <c r="AO162" s="87"/>
      <c r="AP162" s="87"/>
      <c r="AQ162" s="87"/>
      <c r="AR162" s="87"/>
      <c r="AS162" s="87"/>
      <c r="AT162" s="87"/>
      <c r="AU162" s="87"/>
      <c r="AV162" s="87"/>
      <c r="AW162" s="87"/>
      <c r="AX162" s="87"/>
      <c r="AY162" s="87"/>
      <c r="AZ162" s="87"/>
      <c r="BA162" s="87">
        <f>(3/7)*-1*C162</f>
        <v>-6.9642857142857135</v>
      </c>
      <c r="BB162" s="87">
        <f>BA162*-1</f>
        <v>6.9642857142857135</v>
      </c>
      <c r="BC162" s="87"/>
      <c r="BD162" s="87"/>
      <c r="BE162" s="87"/>
      <c r="BF162" s="87"/>
      <c r="BG162" s="87"/>
      <c r="BH162" s="87"/>
      <c r="BI162" s="87"/>
      <c r="BJ162" s="87"/>
      <c r="BK162" s="87"/>
      <c r="BL162" s="87"/>
      <c r="BM162" s="87"/>
      <c r="BN162" s="87"/>
      <c r="BO162" s="87"/>
      <c r="BP162" s="87"/>
      <c r="BQ162" s="87"/>
      <c r="BR162" s="87"/>
      <c r="BS162" s="87"/>
      <c r="BT162" s="87"/>
      <c r="BU162" s="87"/>
      <c r="BV162" s="87"/>
      <c r="BW162" s="87"/>
      <c r="BX162" s="87"/>
      <c r="BY162" s="87"/>
      <c r="BZ162" s="87"/>
      <c r="CA162" s="87"/>
      <c r="CB162" s="87"/>
      <c r="CC162" s="87"/>
      <c r="CD162" s="87"/>
      <c r="CE162" s="87"/>
      <c r="CF162" s="87"/>
      <c r="CG162" s="87"/>
      <c r="CH162" s="87"/>
      <c r="CI162" s="87"/>
      <c r="CJ162" s="87"/>
      <c r="CK162" s="87"/>
      <c r="CL162" s="87"/>
      <c r="CM162" s="87"/>
      <c r="CN162" s="87"/>
      <c r="CO162" s="87"/>
      <c r="CP162" s="87"/>
      <c r="CQ162" s="87"/>
      <c r="CR162" s="87"/>
      <c r="CS162" s="87"/>
      <c r="CT162" s="87"/>
      <c r="CU162" s="87"/>
      <c r="CV162" s="87"/>
      <c r="CW162" s="87"/>
      <c r="CX162" s="87"/>
      <c r="CY162" s="87"/>
      <c r="CZ162" s="87"/>
      <c r="DA162" s="87"/>
      <c r="DB162" s="87"/>
      <c r="DC162" s="87"/>
      <c r="DD162" s="87"/>
      <c r="DE162" s="87"/>
      <c r="DF162" s="87"/>
      <c r="DG162" s="87"/>
      <c r="DH162" s="87"/>
      <c r="DI162" s="87"/>
      <c r="DJ162" s="87"/>
      <c r="DK162" s="87"/>
      <c r="DL162" s="87"/>
      <c r="DM162" s="87"/>
      <c r="DN162" s="87"/>
      <c r="DO162" s="87"/>
      <c r="DP162" s="87"/>
      <c r="DQ162" s="87"/>
      <c r="DR162" s="87"/>
      <c r="DS162" s="87"/>
      <c r="DT162" s="87"/>
      <c r="DU162" s="87"/>
      <c r="DV162" s="87"/>
      <c r="DW162" s="87"/>
      <c r="DX162" s="87"/>
      <c r="DY162" s="87"/>
      <c r="DZ162" s="87"/>
      <c r="EA162" s="87"/>
      <c r="EB162" s="87"/>
      <c r="EC162" s="87"/>
      <c r="ED162" s="87"/>
      <c r="EE162" s="87"/>
      <c r="EF162" s="87"/>
      <c r="EG162" s="87"/>
      <c r="EH162" s="87"/>
      <c r="EI162" s="87"/>
    </row>
    <row r="163" spans="1:139" ht="16.5" hidden="1" thickBot="1" x14ac:dyDescent="0.35">
      <c r="A163" s="190" t="s">
        <v>243</v>
      </c>
      <c r="B163" s="191">
        <v>3</v>
      </c>
      <c r="C163" s="177">
        <f>0.85*20</f>
        <v>17</v>
      </c>
      <c r="D163" s="217">
        <f>C163/VLOOKUP(B163,'[2]Gas Prod per PADD'!$A$1:$C$6,2,FALSE)</f>
        <v>3.6956521739130435E-3</v>
      </c>
      <c r="E163" s="225">
        <v>45401</v>
      </c>
      <c r="F163" s="179">
        <v>45427</v>
      </c>
      <c r="G163" s="191" t="s">
        <v>197</v>
      </c>
      <c r="H163" s="181" t="s">
        <v>216</v>
      </c>
      <c r="I163" s="73"/>
      <c r="J163" s="229"/>
      <c r="K163" s="229"/>
      <c r="L163" s="229"/>
      <c r="M163" s="85">
        <f>C163*(E163-$M$1)/30</f>
        <v>-6.2333333333333334</v>
      </c>
      <c r="N163" s="85">
        <f>C163*($M$1-F163)/31</f>
        <v>-8.2258064516129039</v>
      </c>
      <c r="O163" s="85"/>
      <c r="P163" s="85"/>
      <c r="Q163" s="85"/>
      <c r="R163" s="85"/>
      <c r="S163" s="85"/>
      <c r="T163" s="85"/>
      <c r="U163" s="85"/>
      <c r="V163" s="84"/>
      <c r="W163" s="84"/>
      <c r="X163" s="84" t="str">
        <f t="shared" si="9"/>
        <v>OK</v>
      </c>
      <c r="Y163" s="74"/>
      <c r="Z163" s="74"/>
      <c r="AA163" s="74"/>
      <c r="AB163" s="74"/>
      <c r="AC163" s="74"/>
      <c r="AD163" s="74"/>
      <c r="AE163" s="74"/>
      <c r="AF163" s="74"/>
      <c r="AG163" s="75"/>
      <c r="AH163" s="74"/>
      <c r="AI163" s="74"/>
      <c r="AJ163" s="74"/>
      <c r="AK163" s="74"/>
      <c r="AL163" s="74"/>
      <c r="AM163" s="74"/>
      <c r="AN163" s="74"/>
      <c r="AO163" s="74"/>
      <c r="AP163" s="74"/>
      <c r="AQ163" s="74"/>
      <c r="AR163" s="75"/>
      <c r="AS163" s="74"/>
      <c r="AT163" s="74"/>
      <c r="AU163" s="74"/>
      <c r="AV163" s="87"/>
      <c r="AW163" s="87"/>
      <c r="AX163" s="87"/>
      <c r="AY163" s="87"/>
      <c r="AZ163" s="87"/>
      <c r="BA163" s="87"/>
      <c r="BB163" s="87">
        <f>0.7*C163</f>
        <v>11.899999999999999</v>
      </c>
      <c r="BC163" s="87">
        <f>C163-BB163</f>
        <v>5.1000000000000014</v>
      </c>
      <c r="BD163" s="87"/>
      <c r="BE163" s="87"/>
      <c r="BF163" s="74"/>
      <c r="BG163" s="74"/>
      <c r="BH163" s="74"/>
      <c r="BI163" s="74"/>
      <c r="BJ163" s="74"/>
      <c r="BK163" s="74"/>
      <c r="BL163" s="74"/>
      <c r="BM163" s="74"/>
      <c r="BN163" s="74"/>
      <c r="BO163" s="74"/>
      <c r="BP163" s="74"/>
      <c r="BQ163" s="74"/>
      <c r="BR163" s="74"/>
      <c r="BS163" s="74"/>
      <c r="BT163" s="74"/>
      <c r="BU163" s="74"/>
      <c r="BV163" s="74"/>
      <c r="BW163" s="74"/>
      <c r="BX163" s="74"/>
      <c r="BY163" s="74"/>
      <c r="BZ163" s="74"/>
      <c r="CA163" s="74"/>
      <c r="CB163" s="74"/>
      <c r="CC163" s="74"/>
      <c r="CD163" s="74"/>
      <c r="CE163" s="74"/>
      <c r="CF163" s="74"/>
      <c r="CG163" s="74"/>
      <c r="CH163" s="87"/>
      <c r="CI163" s="87"/>
      <c r="CJ163" s="87"/>
      <c r="CK163" s="87"/>
      <c r="CL163" s="87"/>
      <c r="CM163" s="87"/>
      <c r="CN163" s="87"/>
      <c r="CO163" s="87"/>
      <c r="CP163" s="87"/>
      <c r="CQ163" s="87"/>
      <c r="CR163" s="87"/>
      <c r="CS163" s="87"/>
      <c r="CT163" s="87"/>
      <c r="CU163" s="87"/>
      <c r="CV163" s="87"/>
      <c r="CW163" s="87"/>
      <c r="CX163" s="87"/>
      <c r="CY163" s="87"/>
      <c r="CZ163" s="87"/>
      <c r="DA163" s="87"/>
      <c r="DB163" s="87"/>
      <c r="DC163" s="87"/>
      <c r="DD163" s="87"/>
      <c r="DE163" s="87"/>
      <c r="DF163" s="87"/>
      <c r="DG163" s="87"/>
      <c r="DH163" s="87"/>
      <c r="DI163" s="87"/>
      <c r="DJ163" s="87"/>
      <c r="DK163" s="87"/>
      <c r="DL163" s="87"/>
      <c r="DM163" s="87"/>
      <c r="DN163" s="87"/>
      <c r="DO163" s="87"/>
      <c r="DP163" s="87"/>
      <c r="DQ163" s="87"/>
      <c r="DR163" s="87"/>
      <c r="DS163" s="87"/>
      <c r="DT163" s="87"/>
      <c r="DU163" s="87"/>
      <c r="DV163" s="87"/>
      <c r="DW163" s="87"/>
      <c r="DX163" s="87"/>
      <c r="DY163" s="87"/>
      <c r="DZ163" s="87"/>
      <c r="EA163" s="87"/>
      <c r="EB163" s="87"/>
      <c r="EC163" s="87"/>
      <c r="ED163" s="87"/>
      <c r="EE163" s="87"/>
      <c r="EF163" s="87"/>
      <c r="EG163" s="87"/>
      <c r="EH163" s="87"/>
      <c r="EI163" s="87"/>
    </row>
    <row r="164" spans="1:139" ht="29.25" hidden="1" thickBot="1" x14ac:dyDescent="0.35">
      <c r="A164" s="200" t="s">
        <v>314</v>
      </c>
      <c r="B164" s="223">
        <v>2</v>
      </c>
      <c r="C164" s="224">
        <f>78*0.1+21*0.65+19*0.85</f>
        <v>37.6</v>
      </c>
      <c r="D164" s="217">
        <f>C164/VLOOKUP(B164,'[2]Gas Prod per PADD'!$A$1:$C$6,2,FALSE)</f>
        <v>1.5666666666666666E-2</v>
      </c>
      <c r="E164" s="225">
        <v>45410</v>
      </c>
      <c r="F164" s="226">
        <v>45427</v>
      </c>
      <c r="G164" s="180" t="s">
        <v>415</v>
      </c>
      <c r="H164" s="221" t="s">
        <v>416</v>
      </c>
      <c r="I164" s="84"/>
      <c r="J164" s="85"/>
      <c r="K164" s="85"/>
      <c r="L164" s="85"/>
      <c r="M164" s="85">
        <f>C164*(E164-$M$1)/30</f>
        <v>-2.5066666666666668</v>
      </c>
      <c r="N164" s="85">
        <f>C164*($M$1-F164)/31</f>
        <v>-18.193548387096776</v>
      </c>
      <c r="O164" s="85"/>
      <c r="P164" s="85"/>
      <c r="Q164" s="85"/>
      <c r="R164" s="85"/>
      <c r="S164" s="85"/>
      <c r="T164" s="85"/>
      <c r="U164" s="85"/>
      <c r="V164" s="84"/>
      <c r="W164" s="84"/>
      <c r="X164" s="84" t="str">
        <f t="shared" si="9"/>
        <v>OK</v>
      </c>
      <c r="Y164" s="105"/>
      <c r="Z164" s="105"/>
      <c r="AA164" s="87"/>
      <c r="AB164" s="87"/>
      <c r="AC164" s="87"/>
      <c r="AD164" s="87"/>
      <c r="AE164" s="105"/>
      <c r="AF164" s="105"/>
      <c r="AG164" s="105"/>
      <c r="AH164" s="105"/>
      <c r="AI164" s="87"/>
      <c r="AJ164" s="87"/>
      <c r="AK164" s="105"/>
      <c r="AL164" s="87"/>
      <c r="AM164" s="105"/>
      <c r="AN164" s="105"/>
      <c r="AO164" s="87"/>
      <c r="AP164" s="87"/>
      <c r="AQ164" s="105"/>
      <c r="AR164" s="105"/>
      <c r="AS164" s="87"/>
      <c r="AT164" s="105"/>
      <c r="AU164" s="87"/>
      <c r="AV164" s="87"/>
      <c r="AW164" s="105"/>
      <c r="AX164" s="105"/>
      <c r="AY164" s="105">
        <f>-5/7*C164</f>
        <v>-26.857142857142858</v>
      </c>
      <c r="AZ164" s="105">
        <f>-C164-AY164</f>
        <v>-10.742857142857144</v>
      </c>
      <c r="BA164" s="105">
        <f>(35*0.25+21*0.65)/2</f>
        <v>11.2</v>
      </c>
      <c r="BB164" s="105">
        <f>BA164</f>
        <v>11.2</v>
      </c>
      <c r="BC164" s="105"/>
      <c r="BD164" s="105"/>
      <c r="BE164" s="105">
        <v>10</v>
      </c>
      <c r="BF164" s="105">
        <f>$C164-BE164-BB164-BC164</f>
        <v>16.400000000000002</v>
      </c>
      <c r="BG164" s="87"/>
      <c r="BH164" s="87"/>
      <c r="BI164" s="87"/>
      <c r="BJ164" s="87"/>
      <c r="BK164" s="87"/>
      <c r="BL164" s="87"/>
      <c r="BM164" s="87"/>
      <c r="BN164" s="87"/>
      <c r="BO164" s="87"/>
      <c r="BP164" s="87"/>
      <c r="BQ164" s="87"/>
      <c r="BR164" s="87"/>
      <c r="BS164" s="87"/>
      <c r="BT164" s="87"/>
      <c r="BU164" s="87"/>
      <c r="BV164" s="87"/>
      <c r="BW164" s="87"/>
      <c r="BX164" s="87"/>
      <c r="BY164" s="87"/>
      <c r="BZ164" s="87"/>
      <c r="CA164" s="87"/>
      <c r="CB164" s="87"/>
      <c r="CC164" s="87"/>
      <c r="CD164" s="87"/>
      <c r="CE164" s="87"/>
      <c r="CF164" s="87"/>
      <c r="CG164" s="87"/>
      <c r="CH164" s="87"/>
      <c r="CI164" s="87"/>
      <c r="CJ164" s="87"/>
      <c r="CK164" s="87"/>
      <c r="CL164" s="87"/>
      <c r="CM164" s="87"/>
      <c r="CN164" s="87"/>
      <c r="CO164" s="87"/>
      <c r="CP164" s="87"/>
      <c r="CQ164" s="87"/>
      <c r="CR164" s="87"/>
      <c r="CS164" s="87"/>
      <c r="CT164" s="87"/>
      <c r="CU164" s="87"/>
      <c r="CV164" s="87"/>
      <c r="CW164" s="87"/>
      <c r="CX164" s="87"/>
      <c r="CY164" s="87"/>
      <c r="CZ164" s="87"/>
      <c r="DA164" s="87"/>
      <c r="DB164" s="87"/>
      <c r="DC164" s="87"/>
      <c r="DD164" s="87"/>
      <c r="DE164" s="87"/>
      <c r="DF164" s="87"/>
      <c r="DG164" s="87"/>
      <c r="DH164" s="87"/>
      <c r="DI164" s="87"/>
      <c r="DJ164" s="87"/>
      <c r="DK164" s="87"/>
      <c r="DL164" s="87"/>
      <c r="DM164" s="87"/>
      <c r="DN164" s="87"/>
      <c r="DO164" s="87"/>
      <c r="DP164" s="87"/>
      <c r="DQ164" s="87"/>
      <c r="DR164" s="87"/>
      <c r="DS164" s="87"/>
      <c r="DT164" s="87"/>
      <c r="DU164" s="87"/>
      <c r="DV164" s="87"/>
      <c r="DW164" s="87"/>
      <c r="DX164" s="87"/>
      <c r="DY164" s="87"/>
      <c r="DZ164" s="87"/>
      <c r="EA164" s="87"/>
      <c r="EB164" s="87"/>
      <c r="EC164" s="87"/>
      <c r="ED164" s="87"/>
      <c r="EE164" s="87"/>
      <c r="EF164" s="87"/>
      <c r="EG164" s="87"/>
      <c r="EH164" s="87"/>
      <c r="EI164" s="87"/>
    </row>
    <row r="165" spans="1:139" ht="16.5" hidden="1" thickBot="1" x14ac:dyDescent="0.35">
      <c r="A165" s="222" t="s">
        <v>345</v>
      </c>
      <c r="B165" s="176">
        <v>3</v>
      </c>
      <c r="C165" s="177">
        <f>24*0.85-0.4</f>
        <v>20</v>
      </c>
      <c r="D165" s="217">
        <f>C165/VLOOKUP(B165,'[2]Gas Prod per PADD'!$A$1:$C$6,2,FALSE)</f>
        <v>4.3478260869565218E-3</v>
      </c>
      <c r="E165" s="178">
        <v>45356</v>
      </c>
      <c r="F165" s="179">
        <v>45429</v>
      </c>
      <c r="G165" s="180" t="s">
        <v>197</v>
      </c>
      <c r="H165" s="181" t="s">
        <v>417</v>
      </c>
      <c r="I165" s="84"/>
      <c r="J165" s="85"/>
      <c r="K165" s="85"/>
      <c r="L165" s="85">
        <f>C165*(E165-$L$1)/31</f>
        <v>-16.774193548387096</v>
      </c>
      <c r="M165" s="85"/>
      <c r="N165" s="85">
        <f>C165*($M$1-F165)/31</f>
        <v>-10.96774193548387</v>
      </c>
      <c r="O165" s="85"/>
      <c r="P165" s="85"/>
      <c r="Q165" s="85"/>
      <c r="R165" s="85"/>
      <c r="S165" s="85"/>
      <c r="T165" s="85"/>
      <c r="U165" s="85"/>
      <c r="V165" s="84"/>
      <c r="W165" s="84"/>
      <c r="X165" s="84" t="str">
        <f t="shared" si="9"/>
        <v>OK</v>
      </c>
      <c r="Y165" s="105"/>
      <c r="Z165" s="105"/>
      <c r="AA165" s="87"/>
      <c r="AB165" s="87"/>
      <c r="AC165" s="87"/>
      <c r="AD165" s="87"/>
      <c r="AE165" s="105"/>
      <c r="AF165" s="105"/>
      <c r="AG165" s="105"/>
      <c r="AH165" s="105"/>
      <c r="AI165" s="87"/>
      <c r="AJ165" s="87"/>
      <c r="AK165" s="105"/>
      <c r="AL165" s="87"/>
      <c r="AM165" s="105"/>
      <c r="AN165" s="105"/>
      <c r="AO165" s="87"/>
      <c r="AP165" s="87"/>
      <c r="AQ165" s="105" t="e">
        <f>($E165-#REF!)/7*C165</f>
        <v>#REF!</v>
      </c>
      <c r="AR165" s="105" t="e">
        <f>-C165-AQ165</f>
        <v>#REF!</v>
      </c>
      <c r="AS165" s="87"/>
      <c r="AT165" s="105"/>
      <c r="AU165" s="87"/>
      <c r="AV165" s="87"/>
      <c r="AW165" s="105"/>
      <c r="AX165" s="105"/>
      <c r="AY165" s="87"/>
      <c r="AZ165" s="87"/>
      <c r="BA165" s="87"/>
      <c r="BB165" s="105" t="e">
        <f>-AQ165-5</f>
        <v>#REF!</v>
      </c>
      <c r="BC165" s="105" t="e">
        <f>C165-BB165</f>
        <v>#REF!</v>
      </c>
      <c r="BD165" s="87"/>
      <c r="BE165" s="87"/>
      <c r="BF165" s="87"/>
      <c r="BG165" s="87"/>
      <c r="BH165" s="87"/>
      <c r="BI165" s="87"/>
      <c r="BJ165" s="87"/>
      <c r="BK165" s="87"/>
      <c r="BL165" s="87"/>
      <c r="BM165" s="87"/>
      <c r="BN165" s="87"/>
      <c r="BO165" s="87"/>
      <c r="BP165" s="87"/>
      <c r="BQ165" s="87"/>
      <c r="BR165" s="87"/>
      <c r="BS165" s="87"/>
      <c r="BT165" s="87"/>
      <c r="BU165" s="87"/>
      <c r="BV165" s="87"/>
      <c r="BW165" s="87"/>
      <c r="BX165" s="87"/>
      <c r="BY165" s="87"/>
      <c r="BZ165" s="87"/>
      <c r="CA165" s="87"/>
      <c r="CB165" s="87"/>
      <c r="CC165" s="87"/>
      <c r="CD165" s="87"/>
      <c r="CE165" s="87"/>
      <c r="CF165" s="87"/>
      <c r="CG165" s="87"/>
      <c r="CH165" s="87"/>
      <c r="CI165" s="87"/>
      <c r="CJ165" s="87"/>
      <c r="CK165" s="87"/>
      <c r="CL165" s="87"/>
      <c r="CM165" s="87"/>
      <c r="CN165" s="87"/>
      <c r="CO165" s="87"/>
      <c r="CP165" s="87"/>
      <c r="CQ165" s="87"/>
      <c r="CR165" s="87"/>
      <c r="CS165" s="87"/>
      <c r="CT165" s="87"/>
      <c r="CU165" s="87"/>
      <c r="CV165" s="87"/>
      <c r="CW165" s="87"/>
      <c r="CX165" s="87"/>
      <c r="CY165" s="87"/>
      <c r="CZ165" s="87"/>
      <c r="DA165" s="87"/>
      <c r="DB165" s="87"/>
      <c r="DC165" s="87"/>
      <c r="DD165" s="87"/>
      <c r="DE165" s="87"/>
      <c r="DF165" s="87"/>
      <c r="DG165" s="87"/>
      <c r="DH165" s="87"/>
      <c r="DI165" s="87"/>
      <c r="DJ165" s="87"/>
      <c r="DK165" s="87"/>
      <c r="DL165" s="87"/>
      <c r="DM165" s="87"/>
      <c r="DN165" s="87"/>
      <c r="DO165" s="87"/>
      <c r="DP165" s="87"/>
      <c r="DQ165" s="87"/>
      <c r="DR165" s="87"/>
      <c r="DS165" s="87"/>
      <c r="DT165" s="87"/>
      <c r="DU165" s="87"/>
      <c r="DV165" s="87"/>
      <c r="DW165" s="87"/>
      <c r="DX165" s="87"/>
      <c r="DY165" s="87"/>
      <c r="DZ165" s="87"/>
      <c r="EA165" s="87"/>
      <c r="EB165" s="87"/>
      <c r="EC165" s="87"/>
      <c r="ED165" s="87"/>
      <c r="EE165" s="87"/>
      <c r="EF165" s="87"/>
      <c r="EG165" s="87"/>
      <c r="EH165" s="87"/>
      <c r="EI165" s="87"/>
    </row>
    <row r="166" spans="1:139" ht="16.5" hidden="1" thickBot="1" x14ac:dyDescent="0.35">
      <c r="A166" s="200" t="s">
        <v>119</v>
      </c>
      <c r="B166" s="199">
        <v>5</v>
      </c>
      <c r="C166" s="195">
        <f>170*0.23</f>
        <v>39.1</v>
      </c>
      <c r="D166" s="217">
        <f>C166/VLOOKUP(B166,'[2]Gas Prod per PADD'!$A$1:$C$6,2,FALSE)</f>
        <v>2.8962962962962965E-2</v>
      </c>
      <c r="E166" s="196">
        <v>45397</v>
      </c>
      <c r="F166" s="197">
        <v>45429</v>
      </c>
      <c r="G166" s="180" t="s">
        <v>418</v>
      </c>
      <c r="H166" s="221" t="s">
        <v>216</v>
      </c>
      <c r="I166" s="84"/>
      <c r="J166" s="85"/>
      <c r="K166" s="85"/>
      <c r="L166" s="85"/>
      <c r="M166" s="85">
        <f>C166*(E166-$M$1)/30</f>
        <v>-19.55</v>
      </c>
      <c r="N166" s="85">
        <f>C166*($M$1-F166)/31</f>
        <v>-21.441935483870971</v>
      </c>
      <c r="O166" s="85"/>
      <c r="P166" s="85"/>
      <c r="Q166" s="85"/>
      <c r="R166" s="85"/>
      <c r="S166" s="85"/>
      <c r="T166" s="85"/>
      <c r="U166" s="85"/>
      <c r="V166" s="84"/>
      <c r="W166" s="84"/>
      <c r="X166" s="84" t="str">
        <f t="shared" si="9"/>
        <v>OK</v>
      </c>
      <c r="Y166" s="86"/>
      <c r="Z166" s="86"/>
      <c r="AA166" s="87"/>
      <c r="AB166" s="87"/>
      <c r="AC166" s="87"/>
      <c r="AD166" s="87"/>
      <c r="AE166" s="87"/>
      <c r="AF166" s="87"/>
      <c r="AG166" s="87"/>
      <c r="AH166" s="87"/>
      <c r="AI166" s="87"/>
      <c r="AJ166" s="87"/>
      <c r="AK166" s="87"/>
      <c r="AL166" s="87"/>
      <c r="AM166" s="87"/>
      <c r="AN166" s="87"/>
      <c r="AO166" s="87"/>
      <c r="AP166" s="87"/>
      <c r="AQ166" s="87"/>
      <c r="AR166" s="87"/>
      <c r="AS166" s="87"/>
      <c r="AT166" s="87"/>
      <c r="AU166" s="87"/>
      <c r="AV166" s="87"/>
      <c r="AW166" s="87">
        <f>-3/7*C166</f>
        <v>-16.757142857142856</v>
      </c>
      <c r="AX166" s="87">
        <f>-39-AW166</f>
        <v>-22.242857142857144</v>
      </c>
      <c r="AY166" s="87"/>
      <c r="AZ166" s="87"/>
      <c r="BA166" s="87"/>
      <c r="BB166" s="87">
        <f>-AW166</f>
        <v>16.757142857142856</v>
      </c>
      <c r="BC166" s="87">
        <f>-AX166</f>
        <v>22.242857142857144</v>
      </c>
      <c r="BD166" s="87"/>
      <c r="BE166" s="87"/>
      <c r="BF166" s="87"/>
      <c r="BG166" s="87"/>
      <c r="BH166" s="87"/>
      <c r="BI166" s="87"/>
      <c r="BJ166" s="87"/>
      <c r="BK166" s="87"/>
      <c r="BL166" s="87"/>
      <c r="BM166" s="87"/>
      <c r="BN166" s="87"/>
      <c r="BO166" s="87"/>
      <c r="BP166" s="87"/>
      <c r="BQ166" s="87"/>
      <c r="BR166" s="87"/>
      <c r="BS166" s="87"/>
      <c r="BT166" s="87"/>
      <c r="BU166" s="87"/>
      <c r="BV166" s="87"/>
      <c r="BW166" s="87"/>
      <c r="BX166" s="87"/>
      <c r="BY166" s="87"/>
      <c r="BZ166" s="87"/>
      <c r="CA166" s="87"/>
      <c r="CB166" s="87"/>
      <c r="CC166" s="87"/>
      <c r="CD166" s="87"/>
      <c r="CE166" s="87"/>
      <c r="CF166" s="87"/>
      <c r="CG166" s="87"/>
      <c r="CH166" s="87"/>
      <c r="CI166" s="87"/>
      <c r="CJ166" s="87"/>
      <c r="CK166" s="87"/>
      <c r="CL166" s="87"/>
      <c r="CM166" s="87"/>
      <c r="CN166" s="87"/>
      <c r="CO166" s="87"/>
      <c r="CP166" s="87"/>
      <c r="CQ166" s="87"/>
      <c r="CR166" s="87"/>
      <c r="CS166" s="87"/>
      <c r="CT166" s="87"/>
      <c r="CU166" s="87"/>
      <c r="CV166" s="87"/>
      <c r="CW166" s="87"/>
      <c r="CX166" s="87"/>
      <c r="CY166" s="87"/>
      <c r="CZ166" s="87"/>
      <c r="DA166" s="87"/>
      <c r="DB166" s="87"/>
      <c r="DC166" s="87"/>
      <c r="DD166" s="87"/>
      <c r="DE166" s="87"/>
      <c r="DF166" s="87"/>
      <c r="DG166" s="87"/>
      <c r="DH166" s="87"/>
      <c r="DI166" s="87"/>
      <c r="DJ166" s="87"/>
      <c r="DK166" s="87"/>
      <c r="DL166" s="87"/>
      <c r="DM166" s="87"/>
      <c r="DN166" s="87"/>
      <c r="DO166" s="87"/>
      <c r="DP166" s="87"/>
      <c r="DQ166" s="87"/>
      <c r="DR166" s="87"/>
      <c r="DS166" s="87"/>
      <c r="DT166" s="87"/>
      <c r="DU166" s="87"/>
      <c r="DV166" s="87"/>
      <c r="DW166" s="87"/>
      <c r="DX166" s="87"/>
      <c r="DY166" s="87"/>
      <c r="DZ166" s="87"/>
      <c r="EA166" s="87"/>
      <c r="EB166" s="87"/>
      <c r="EC166" s="87"/>
      <c r="ED166" s="87"/>
      <c r="EE166" s="87"/>
      <c r="EF166" s="87"/>
      <c r="EG166" s="75">
        <v>46017</v>
      </c>
      <c r="EH166" s="75">
        <v>46024</v>
      </c>
      <c r="EI166" s="75">
        <v>46031</v>
      </c>
    </row>
    <row r="167" spans="1:139" ht="29.25" hidden="1" thickBot="1" x14ac:dyDescent="0.35">
      <c r="A167" s="200" t="s">
        <v>251</v>
      </c>
      <c r="B167" s="223">
        <v>5</v>
      </c>
      <c r="C167" s="224">
        <f>30*0.85+22*0.1+42*0.05+0.2</f>
        <v>30</v>
      </c>
      <c r="D167" s="217">
        <f>C167/VLOOKUP(B167,'[2]Gas Prod per PADD'!$A$1:$C$6,2,FALSE)</f>
        <v>2.2222222222222223E-2</v>
      </c>
      <c r="E167" s="228">
        <v>45404</v>
      </c>
      <c r="F167" s="226">
        <v>45429</v>
      </c>
      <c r="G167" s="180" t="s">
        <v>419</v>
      </c>
      <c r="H167" s="221" t="s">
        <v>216</v>
      </c>
      <c r="I167" s="84"/>
      <c r="J167" s="85"/>
      <c r="K167" s="85"/>
      <c r="L167" s="85"/>
      <c r="M167" s="85">
        <f>C167*(E167-$M$1)/30</f>
        <v>-8</v>
      </c>
      <c r="N167" s="85">
        <f>C167*($M$1-F167)/31</f>
        <v>-16.451612903225808</v>
      </c>
      <c r="O167" s="85"/>
      <c r="P167" s="85"/>
      <c r="Q167" s="85"/>
      <c r="R167" s="85"/>
      <c r="S167" s="85"/>
      <c r="T167" s="85"/>
      <c r="U167" s="85"/>
      <c r="V167" s="84"/>
      <c r="W167" s="84"/>
      <c r="X167" s="84" t="str">
        <f t="shared" si="9"/>
        <v>OK</v>
      </c>
      <c r="Y167" s="105"/>
      <c r="Z167" s="105"/>
      <c r="AA167" s="87"/>
      <c r="AB167" s="87"/>
      <c r="AC167" s="87"/>
      <c r="AD167" s="87"/>
      <c r="AE167" s="105"/>
      <c r="AF167" s="105"/>
      <c r="AG167" s="105"/>
      <c r="AH167" s="105"/>
      <c r="AI167" s="87"/>
      <c r="AJ167" s="87"/>
      <c r="AK167" s="105"/>
      <c r="AL167" s="87"/>
      <c r="AM167" s="105"/>
      <c r="AN167" s="105"/>
      <c r="AO167" s="87"/>
      <c r="AP167" s="87"/>
      <c r="AQ167" s="105"/>
      <c r="AR167" s="105"/>
      <c r="AS167" s="87"/>
      <c r="AT167" s="105"/>
      <c r="AU167" s="87"/>
      <c r="AV167" s="87"/>
      <c r="AW167" s="105"/>
      <c r="AX167" s="105"/>
      <c r="AY167" s="87"/>
      <c r="AZ167" s="105"/>
      <c r="BA167" s="105"/>
      <c r="BB167" s="105"/>
      <c r="BC167" s="105">
        <v>21.428571428571431</v>
      </c>
      <c r="BD167" s="105">
        <v>8.5714285714285712</v>
      </c>
      <c r="BE167" s="87"/>
      <c r="BF167" s="105"/>
      <c r="BG167" s="105"/>
      <c r="BH167" s="105"/>
      <c r="BI167" s="105"/>
      <c r="BJ167" s="87"/>
      <c r="BK167" s="87"/>
      <c r="BL167" s="87"/>
      <c r="BM167" s="87"/>
      <c r="BN167" s="87"/>
      <c r="BO167" s="87"/>
      <c r="BP167" s="87"/>
      <c r="BQ167" s="87"/>
      <c r="BR167" s="87"/>
      <c r="BS167" s="87"/>
      <c r="BT167" s="87"/>
      <c r="BU167" s="87"/>
      <c r="BV167" s="87"/>
      <c r="BW167" s="87"/>
      <c r="BX167" s="87"/>
      <c r="BY167" s="87"/>
      <c r="BZ167" s="87"/>
      <c r="CA167" s="87"/>
      <c r="CB167" s="87"/>
      <c r="CC167" s="87"/>
      <c r="CD167" s="87"/>
      <c r="CE167" s="87"/>
      <c r="CF167" s="87"/>
      <c r="CG167" s="87"/>
      <c r="CH167" s="87"/>
      <c r="CI167" s="87"/>
      <c r="CJ167" s="87"/>
      <c r="CK167" s="87"/>
      <c r="CL167" s="87"/>
      <c r="CM167" s="87"/>
      <c r="CN167" s="87"/>
      <c r="CO167" s="87"/>
      <c r="CP167" s="87"/>
      <c r="CQ167" s="87"/>
      <c r="CR167" s="87"/>
      <c r="CS167" s="87"/>
      <c r="CT167" s="87"/>
      <c r="CU167" s="87"/>
      <c r="CV167" s="87"/>
      <c r="CW167" s="87"/>
      <c r="CX167" s="87"/>
      <c r="CY167" s="87"/>
      <c r="CZ167" s="87"/>
      <c r="DA167" s="87"/>
      <c r="DB167" s="87"/>
      <c r="DC167" s="87"/>
      <c r="DD167" s="87"/>
      <c r="DE167" s="87"/>
      <c r="DF167" s="87"/>
      <c r="DG167" s="87"/>
      <c r="DH167" s="87"/>
      <c r="DI167" s="87"/>
      <c r="DJ167" s="87"/>
      <c r="DK167" s="87"/>
      <c r="DL167" s="87"/>
      <c r="DM167" s="87"/>
      <c r="DN167" s="87"/>
      <c r="DO167" s="87"/>
      <c r="DP167" s="87"/>
      <c r="DQ167" s="87"/>
      <c r="DR167" s="87"/>
      <c r="DS167" s="87"/>
      <c r="DT167" s="87"/>
      <c r="DU167" s="87"/>
      <c r="DV167" s="87"/>
      <c r="DW167" s="87"/>
      <c r="DX167" s="87"/>
      <c r="DY167" s="87"/>
      <c r="DZ167" s="87"/>
      <c r="EA167" s="87"/>
      <c r="EB167" s="87"/>
      <c r="EC167" s="87"/>
      <c r="ED167" s="87"/>
      <c r="EE167" s="87"/>
      <c r="EF167" s="87"/>
      <c r="EG167" s="75">
        <v>46017</v>
      </c>
      <c r="EH167" s="75">
        <v>46024</v>
      </c>
      <c r="EI167" s="75">
        <v>46031</v>
      </c>
    </row>
    <row r="168" spans="1:139" ht="16.5" hidden="1" thickBot="1" x14ac:dyDescent="0.35">
      <c r="A168" s="190" t="s">
        <v>152</v>
      </c>
      <c r="B168" s="176">
        <v>3</v>
      </c>
      <c r="C168" s="177">
        <f>100*0.25</f>
        <v>25</v>
      </c>
      <c r="D168" s="217">
        <f>C168/VLOOKUP(B168,'[2]Gas Prod per PADD'!$A$1:$C$6,2,FALSE)</f>
        <v>5.434782608695652E-3</v>
      </c>
      <c r="E168" s="178">
        <v>45418</v>
      </c>
      <c r="F168" s="179">
        <v>45430</v>
      </c>
      <c r="G168" s="180" t="s">
        <v>420</v>
      </c>
      <c r="H168" s="181" t="s">
        <v>393</v>
      </c>
      <c r="I168" s="84"/>
      <c r="J168" s="85"/>
      <c r="K168" s="85"/>
      <c r="L168" s="85"/>
      <c r="M168" s="85"/>
      <c r="N168" s="85">
        <f>C168*(E168-F168)/31</f>
        <v>-9.67741935483871</v>
      </c>
      <c r="O168" s="85"/>
      <c r="P168" s="85"/>
      <c r="Q168" s="85"/>
      <c r="R168" s="85"/>
      <c r="S168" s="85"/>
      <c r="T168" s="85"/>
      <c r="U168" s="85"/>
      <c r="V168" s="84"/>
      <c r="W168" s="84"/>
      <c r="X168" s="84" t="str">
        <f t="shared" si="9"/>
        <v>OK</v>
      </c>
      <c r="Y168" s="105"/>
      <c r="Z168" s="105"/>
      <c r="AA168" s="87"/>
      <c r="AB168" s="87"/>
      <c r="AC168" s="87"/>
      <c r="AD168" s="87"/>
      <c r="AE168" s="105"/>
      <c r="AF168" s="105"/>
      <c r="AG168" s="105"/>
      <c r="AH168" s="105"/>
      <c r="AI168" s="87"/>
      <c r="AJ168" s="87"/>
      <c r="AK168" s="105"/>
      <c r="AL168" s="87"/>
      <c r="AM168" s="105"/>
      <c r="AN168" s="105"/>
      <c r="AO168" s="87"/>
      <c r="AP168" s="87"/>
      <c r="AQ168" s="105"/>
      <c r="AR168" s="105"/>
      <c r="AS168" s="87"/>
      <c r="AT168" s="105"/>
      <c r="AU168" s="87"/>
      <c r="AV168" s="87"/>
      <c r="AW168" s="105"/>
      <c r="AX168" s="105"/>
      <c r="AY168" s="105"/>
      <c r="AZ168" s="105">
        <f>-4/7*C168</f>
        <v>-14.285714285714285</v>
      </c>
      <c r="BA168" s="105">
        <f>-C168-AZ168</f>
        <v>-10.714285714285715</v>
      </c>
      <c r="BB168" s="105">
        <f>-AZ168</f>
        <v>14.285714285714285</v>
      </c>
      <c r="BC168" s="105">
        <f>-BA168</f>
        <v>10.714285714285715</v>
      </c>
      <c r="BD168" s="87"/>
      <c r="BE168" s="87"/>
      <c r="BF168" s="87"/>
      <c r="BG168" s="105"/>
      <c r="BH168" s="105"/>
      <c r="BI168" s="105"/>
      <c r="BJ168" s="87"/>
      <c r="BK168" s="87"/>
      <c r="BL168" s="87"/>
      <c r="BM168" s="87"/>
      <c r="BN168" s="87"/>
      <c r="BO168" s="87"/>
      <c r="BP168" s="87"/>
      <c r="BQ168" s="87"/>
      <c r="BR168" s="87"/>
      <c r="BS168" s="87"/>
      <c r="BT168" s="87"/>
      <c r="BU168" s="87"/>
      <c r="BV168" s="87"/>
      <c r="BW168" s="87"/>
      <c r="BX168" s="87"/>
      <c r="BY168" s="87"/>
      <c r="BZ168" s="87"/>
      <c r="CA168" s="87"/>
      <c r="CB168" s="87"/>
      <c r="CC168" s="87"/>
      <c r="CD168" s="87"/>
      <c r="CE168" s="87"/>
      <c r="CF168" s="87"/>
      <c r="CG168" s="87"/>
      <c r="CH168" s="87"/>
      <c r="CI168" s="87"/>
      <c r="CJ168" s="87"/>
      <c r="CK168" s="87"/>
      <c r="CL168" s="87"/>
      <c r="CM168" s="87"/>
      <c r="CN168" s="87"/>
      <c r="CO168" s="87"/>
      <c r="CP168" s="87"/>
      <c r="CQ168" s="87"/>
      <c r="CR168" s="87"/>
      <c r="CS168" s="87"/>
      <c r="CT168" s="87"/>
      <c r="CU168" s="87"/>
      <c r="CV168" s="87"/>
      <c r="CW168" s="87"/>
      <c r="CX168" s="87"/>
      <c r="CY168" s="87"/>
      <c r="CZ168" s="87"/>
      <c r="DA168" s="87"/>
      <c r="DB168" s="87"/>
      <c r="DC168" s="87"/>
      <c r="DD168" s="87"/>
      <c r="DE168" s="87"/>
      <c r="DF168" s="87"/>
      <c r="DG168" s="87"/>
      <c r="DH168" s="87"/>
      <c r="DI168" s="87"/>
      <c r="DJ168" s="87"/>
      <c r="DK168" s="87"/>
      <c r="DL168" s="87"/>
      <c r="DM168" s="87"/>
      <c r="DN168" s="87"/>
      <c r="DO168" s="87"/>
      <c r="DP168" s="87"/>
      <c r="DQ168" s="87"/>
      <c r="DR168" s="87"/>
      <c r="DS168" s="87"/>
      <c r="DT168" s="87"/>
      <c r="DU168" s="87"/>
      <c r="DV168" s="87"/>
      <c r="DW168" s="87"/>
      <c r="DX168" s="87"/>
      <c r="DY168" s="87"/>
      <c r="DZ168" s="87"/>
      <c r="EA168" s="87"/>
      <c r="EB168" s="87"/>
      <c r="EC168" s="87"/>
      <c r="ED168" s="87"/>
      <c r="EE168" s="87"/>
      <c r="EF168" s="87"/>
      <c r="EG168" s="87"/>
      <c r="EH168" s="87"/>
      <c r="EI168" s="87"/>
    </row>
    <row r="169" spans="1:139" ht="72" hidden="1" thickBot="1" x14ac:dyDescent="0.35">
      <c r="A169" s="222" t="s">
        <v>294</v>
      </c>
      <c r="B169" s="223">
        <v>3</v>
      </c>
      <c r="C169" s="224">
        <f>0.1*75</f>
        <v>7.5</v>
      </c>
      <c r="D169" s="217">
        <f>C169/VLOOKUP(B169,'[2]Gas Prod per PADD'!$A$1:$C$6,2,FALSE)</f>
        <v>1.6304347826086956E-3</v>
      </c>
      <c r="E169" s="225">
        <v>45429</v>
      </c>
      <c r="F169" s="226">
        <v>45430</v>
      </c>
      <c r="G169" s="180" t="s">
        <v>421</v>
      </c>
      <c r="H169" s="221" t="s">
        <v>422</v>
      </c>
      <c r="I169" s="84"/>
      <c r="J169" s="85"/>
      <c r="K169" s="85"/>
      <c r="L169" s="85"/>
      <c r="M169" s="85"/>
      <c r="N169" s="85">
        <f>C169*(E169-F169)/31</f>
        <v>-0.24193548387096775</v>
      </c>
      <c r="O169" s="85"/>
      <c r="P169" s="85"/>
      <c r="Q169" s="85"/>
      <c r="R169" s="85"/>
      <c r="S169" s="85"/>
      <c r="T169" s="85"/>
      <c r="U169" s="85"/>
      <c r="V169" s="84"/>
      <c r="W169" s="84"/>
      <c r="X169" s="84" t="str">
        <f t="shared" si="9"/>
        <v>OK</v>
      </c>
      <c r="Y169" s="105"/>
      <c r="Z169" s="105"/>
      <c r="AA169" s="87"/>
      <c r="AB169" s="87"/>
      <c r="AC169" s="87"/>
      <c r="AD169" s="87"/>
      <c r="AE169" s="105"/>
      <c r="AF169" s="105"/>
      <c r="AG169" s="105"/>
      <c r="AH169" s="105"/>
      <c r="AI169" s="87"/>
      <c r="AJ169" s="87"/>
      <c r="AK169" s="105"/>
      <c r="AL169" s="87"/>
      <c r="AM169" s="105"/>
      <c r="AN169" s="105"/>
      <c r="AO169" s="87"/>
      <c r="AP169" s="87"/>
      <c r="AQ169" s="105"/>
      <c r="AR169" s="105"/>
      <c r="AS169" s="87"/>
      <c r="AT169" s="105"/>
      <c r="AU169" s="87"/>
      <c r="AV169" s="105"/>
      <c r="AW169" s="105"/>
      <c r="AX169" s="105"/>
      <c r="AY169" s="105"/>
      <c r="AZ169" s="105"/>
      <c r="BA169" s="105"/>
      <c r="BB169" s="105">
        <f>(1/7)*C169*-1</f>
        <v>-1.0714285714285714</v>
      </c>
      <c r="BC169" s="105">
        <f>BB169*-1</f>
        <v>1.0714285714285714</v>
      </c>
      <c r="BD169" s="87"/>
      <c r="BE169" s="87"/>
      <c r="BF169" s="87"/>
      <c r="BG169" s="87"/>
      <c r="BH169" s="87"/>
      <c r="BI169" s="87"/>
      <c r="BJ169" s="87"/>
      <c r="BK169" s="87"/>
      <c r="BL169" s="87"/>
      <c r="BM169" s="87"/>
      <c r="BN169" s="87"/>
      <c r="BO169" s="87"/>
      <c r="BP169" s="87"/>
      <c r="BQ169" s="87"/>
      <c r="BR169" s="87"/>
      <c r="BS169" s="87"/>
      <c r="BT169" s="87"/>
      <c r="BU169" s="87"/>
      <c r="BV169" s="87"/>
      <c r="BW169" s="87"/>
      <c r="BX169" s="87"/>
      <c r="BY169" s="87"/>
      <c r="BZ169" s="87"/>
      <c r="CA169" s="87"/>
      <c r="CB169" s="87"/>
      <c r="CC169" s="87"/>
      <c r="CD169" s="87"/>
      <c r="CE169" s="87"/>
      <c r="CF169" s="87"/>
      <c r="CG169" s="87"/>
      <c r="CH169" s="87"/>
      <c r="CI169" s="87"/>
      <c r="CJ169" s="87"/>
      <c r="CK169" s="87"/>
      <c r="CL169" s="87"/>
      <c r="CM169" s="87"/>
      <c r="CN169" s="87"/>
      <c r="CO169" s="87"/>
      <c r="CP169" s="87"/>
      <c r="CQ169" s="87"/>
      <c r="CR169" s="87"/>
      <c r="CS169" s="87"/>
      <c r="CT169" s="87"/>
      <c r="CU169" s="87"/>
      <c r="CV169" s="87"/>
      <c r="CW169" s="87"/>
      <c r="CX169" s="87"/>
      <c r="CY169" s="87"/>
      <c r="CZ169" s="87"/>
      <c r="DA169" s="87"/>
      <c r="DB169" s="87"/>
      <c r="DC169" s="87"/>
      <c r="DD169" s="87"/>
      <c r="DE169" s="87"/>
      <c r="DF169" s="87"/>
      <c r="DG169" s="87"/>
      <c r="DH169" s="87"/>
      <c r="DI169" s="87"/>
      <c r="DJ169" s="87"/>
      <c r="DK169" s="87"/>
      <c r="DL169" s="87"/>
      <c r="DM169" s="87"/>
      <c r="DN169" s="87"/>
      <c r="DO169" s="87"/>
      <c r="DP169" s="87"/>
      <c r="DQ169" s="87"/>
      <c r="DR169" s="87"/>
      <c r="DS169" s="87"/>
      <c r="DT169" s="87"/>
      <c r="DU169" s="87"/>
      <c r="DV169" s="87"/>
      <c r="DW169" s="87"/>
      <c r="DX169" s="87"/>
      <c r="DY169" s="87"/>
      <c r="DZ169" s="87"/>
      <c r="EA169" s="87"/>
      <c r="EB169" s="87"/>
      <c r="EC169" s="87"/>
      <c r="ED169" s="87"/>
      <c r="EE169" s="87"/>
      <c r="EF169" s="87"/>
      <c r="EG169" s="87"/>
      <c r="EH169" s="87"/>
      <c r="EI169" s="87"/>
    </row>
    <row r="170" spans="1:139" ht="29.25" hidden="1" thickBot="1" x14ac:dyDescent="0.35">
      <c r="A170" s="175" t="s">
        <v>239</v>
      </c>
      <c r="B170" s="176">
        <v>2</v>
      </c>
      <c r="C170" s="177">
        <f>27*0.85+0.1*23</f>
        <v>25.25</v>
      </c>
      <c r="D170" s="217">
        <f>C170/VLOOKUP(B170,'[2]Gas Prod per PADD'!$A$1:$C$6,2,FALSE)</f>
        <v>1.0520833333333333E-2</v>
      </c>
      <c r="E170" s="178">
        <v>45425</v>
      </c>
      <c r="F170" s="226">
        <v>45431</v>
      </c>
      <c r="G170" s="180" t="s">
        <v>423</v>
      </c>
      <c r="H170" s="181" t="s">
        <v>424</v>
      </c>
      <c r="I170" s="84" t="s">
        <v>240</v>
      </c>
      <c r="J170" s="85"/>
      <c r="K170" s="85"/>
      <c r="L170" s="85"/>
      <c r="M170" s="85"/>
      <c r="N170" s="85">
        <f>C170*(E170-F170)/31</f>
        <v>-4.887096774193548</v>
      </c>
      <c r="O170" s="85"/>
      <c r="P170" s="85"/>
      <c r="Q170" s="85"/>
      <c r="R170" s="85"/>
      <c r="S170" s="85"/>
      <c r="T170" s="85"/>
      <c r="U170" s="85"/>
      <c r="V170" s="84"/>
      <c r="W170" s="84"/>
      <c r="X170" s="84" t="str">
        <f t="shared" si="9"/>
        <v>OK</v>
      </c>
      <c r="Y170" s="105"/>
      <c r="Z170" s="105"/>
      <c r="AA170" s="87"/>
      <c r="AB170" s="87"/>
      <c r="AC170" s="87"/>
      <c r="AD170" s="87"/>
      <c r="AE170" s="105"/>
      <c r="AF170" s="105"/>
      <c r="AG170" s="105"/>
      <c r="AH170" s="105"/>
      <c r="AI170" s="87"/>
      <c r="AJ170" s="87"/>
      <c r="AK170" s="87"/>
      <c r="AL170" s="87"/>
      <c r="AM170" s="87"/>
      <c r="AN170" s="87"/>
      <c r="AO170" s="87"/>
      <c r="AP170" s="87"/>
      <c r="AQ170" s="87"/>
      <c r="AR170" s="87"/>
      <c r="AS170" s="87"/>
      <c r="AT170" s="87"/>
      <c r="AU170" s="87"/>
      <c r="AV170" s="87"/>
      <c r="AW170" s="87"/>
      <c r="AX170" s="87"/>
      <c r="AY170" s="87"/>
      <c r="AZ170" s="87"/>
      <c r="BA170" s="87">
        <f>-0.5*C170</f>
        <v>-12.625</v>
      </c>
      <c r="BB170" s="87"/>
      <c r="BC170" s="87">
        <f>BA170*-1</f>
        <v>12.625</v>
      </c>
      <c r="BD170" s="87"/>
      <c r="BE170" s="87"/>
      <c r="BF170" s="87"/>
      <c r="BG170" s="87"/>
      <c r="BH170" s="87"/>
      <c r="BI170" s="87"/>
      <c r="BJ170" s="87"/>
      <c r="BK170" s="87"/>
      <c r="BL170" s="87"/>
      <c r="BM170" s="87"/>
      <c r="BN170" s="87"/>
      <c r="BO170" s="87"/>
      <c r="BP170" s="87"/>
      <c r="BQ170" s="87"/>
      <c r="BR170" s="87"/>
      <c r="BS170" s="87"/>
      <c r="BT170" s="87"/>
      <c r="BU170" s="87"/>
      <c r="BV170" s="87"/>
      <c r="BW170" s="87"/>
      <c r="BX170" s="87"/>
      <c r="BY170" s="87"/>
      <c r="BZ170" s="87"/>
      <c r="CA170" s="87"/>
      <c r="CB170" s="87"/>
      <c r="CC170" s="87"/>
      <c r="CD170" s="87"/>
      <c r="CE170" s="87"/>
      <c r="CF170" s="87"/>
      <c r="CG170" s="87"/>
      <c r="CH170" s="87"/>
      <c r="CI170" s="87"/>
      <c r="CJ170" s="87"/>
      <c r="CK170" s="87"/>
      <c r="CL170" s="87"/>
      <c r="CM170" s="87"/>
      <c r="CN170" s="87"/>
      <c r="CO170" s="87"/>
      <c r="CP170" s="87"/>
      <c r="CQ170" s="87"/>
      <c r="CR170" s="87"/>
      <c r="CS170" s="87"/>
      <c r="CT170" s="87"/>
      <c r="CU170" s="87"/>
      <c r="CV170" s="87"/>
      <c r="CW170" s="87"/>
      <c r="CX170" s="87"/>
      <c r="CY170" s="87"/>
      <c r="CZ170" s="87"/>
      <c r="DA170" s="87"/>
      <c r="DB170" s="87"/>
      <c r="DC170" s="87"/>
      <c r="DD170" s="87"/>
      <c r="DE170" s="87"/>
      <c r="DF170" s="87"/>
      <c r="DG170" s="87"/>
      <c r="DH170" s="87"/>
      <c r="DI170" s="87"/>
      <c r="DJ170" s="87"/>
      <c r="DK170" s="87"/>
      <c r="DL170" s="87"/>
      <c r="DM170" s="87"/>
      <c r="DN170" s="87"/>
      <c r="DO170" s="87"/>
      <c r="DP170" s="87"/>
      <c r="DQ170" s="87"/>
      <c r="DR170" s="87"/>
      <c r="DS170" s="87"/>
      <c r="DT170" s="87"/>
      <c r="DU170" s="87"/>
      <c r="DV170" s="87"/>
      <c r="DW170" s="87"/>
      <c r="DX170" s="87"/>
      <c r="DY170" s="87"/>
      <c r="DZ170" s="87"/>
      <c r="EA170" s="87"/>
      <c r="EB170" s="87"/>
      <c r="EC170" s="87"/>
      <c r="ED170" s="87"/>
      <c r="EE170" s="87"/>
      <c r="EF170" s="87"/>
      <c r="EG170" s="87"/>
      <c r="EH170" s="87"/>
      <c r="EI170" s="87"/>
    </row>
    <row r="171" spans="1:139" ht="29.25" hidden="1" thickBot="1" x14ac:dyDescent="0.35">
      <c r="A171" s="222" t="s">
        <v>425</v>
      </c>
      <c r="B171" s="176">
        <v>3</v>
      </c>
      <c r="C171" s="177">
        <f>15*0.3</f>
        <v>4.5</v>
      </c>
      <c r="D171" s="217">
        <f>C171/VLOOKUP(B171,'[2]Gas Prod per PADD'!$A$1:$C$6,2,FALSE)</f>
        <v>9.7826086956521747E-4</v>
      </c>
      <c r="E171" s="178">
        <v>45423</v>
      </c>
      <c r="F171" s="179">
        <v>45432</v>
      </c>
      <c r="G171" s="180" t="s">
        <v>426</v>
      </c>
      <c r="H171" s="181" t="s">
        <v>427</v>
      </c>
      <c r="I171" s="84"/>
      <c r="J171" s="85"/>
      <c r="K171" s="85"/>
      <c r="L171" s="85"/>
      <c r="M171" s="85"/>
      <c r="N171" s="85">
        <f>C171*(E171-F171)/31</f>
        <v>-1.3064516129032258</v>
      </c>
      <c r="O171" s="85"/>
      <c r="P171" s="85"/>
      <c r="Q171" s="85"/>
      <c r="R171" s="85"/>
      <c r="S171" s="85"/>
      <c r="T171" s="85"/>
      <c r="U171" s="85"/>
      <c r="V171" s="84"/>
      <c r="W171" s="84"/>
      <c r="X171" s="84" t="str">
        <f t="shared" si="9"/>
        <v>OK</v>
      </c>
      <c r="Y171" s="105"/>
      <c r="Z171" s="105"/>
      <c r="AA171" s="87"/>
      <c r="AB171" s="87"/>
      <c r="AC171" s="87"/>
      <c r="AD171" s="87"/>
      <c r="AE171" s="105"/>
      <c r="AF171" s="105"/>
      <c r="AG171" s="105"/>
      <c r="AH171" s="105"/>
      <c r="AI171" s="87"/>
      <c r="AJ171" s="87"/>
      <c r="AK171" s="105"/>
      <c r="AL171" s="87"/>
      <c r="AM171" s="105"/>
      <c r="AN171" s="105"/>
      <c r="AO171" s="87"/>
      <c r="AP171" s="87"/>
      <c r="AQ171" s="105"/>
      <c r="AR171" s="105"/>
      <c r="AS171" s="87"/>
      <c r="AT171" s="105"/>
      <c r="AU171" s="87"/>
      <c r="AV171" s="87"/>
      <c r="AW171" s="87"/>
      <c r="AX171" s="87"/>
      <c r="AY171" s="87"/>
      <c r="AZ171" s="87"/>
      <c r="BA171" s="87">
        <f>C171*-1</f>
        <v>-4.5</v>
      </c>
      <c r="BB171" s="87">
        <f>BA171*-0.5</f>
        <v>2.25</v>
      </c>
      <c r="BC171" s="87">
        <f>BA171*-0.5</f>
        <v>2.25</v>
      </c>
      <c r="BD171" s="87"/>
      <c r="BE171" s="87"/>
      <c r="BF171" s="87"/>
      <c r="BG171" s="87"/>
      <c r="BH171" s="87"/>
      <c r="BI171" s="87"/>
      <c r="BJ171" s="87"/>
      <c r="BK171" s="87"/>
      <c r="BL171" s="87"/>
      <c r="BM171" s="87"/>
      <c r="BN171" s="87"/>
      <c r="BO171" s="87"/>
      <c r="BP171" s="87"/>
      <c r="BQ171" s="87"/>
      <c r="BR171" s="87"/>
      <c r="BS171" s="87"/>
      <c r="BT171" s="87"/>
      <c r="BU171" s="87"/>
      <c r="BV171" s="87"/>
      <c r="BW171" s="87"/>
      <c r="BX171" s="87"/>
      <c r="BY171" s="87"/>
      <c r="BZ171" s="87"/>
      <c r="CA171" s="87"/>
      <c r="CB171" s="87"/>
      <c r="CC171" s="87"/>
      <c r="CD171" s="87"/>
      <c r="CE171" s="87"/>
      <c r="CF171" s="87"/>
      <c r="CG171" s="87"/>
      <c r="CH171" s="87"/>
      <c r="CI171" s="87"/>
      <c r="CJ171" s="87"/>
      <c r="CK171" s="87"/>
      <c r="CL171" s="87"/>
      <c r="CM171" s="87"/>
      <c r="CN171" s="87"/>
      <c r="CO171" s="87"/>
      <c r="CP171" s="87"/>
      <c r="CQ171" s="87"/>
      <c r="CR171" s="87"/>
      <c r="CS171" s="87"/>
      <c r="CT171" s="87"/>
      <c r="CU171" s="87"/>
      <c r="CV171" s="87"/>
      <c r="CW171" s="87"/>
      <c r="CX171" s="87"/>
      <c r="CY171" s="87"/>
      <c r="CZ171" s="87"/>
      <c r="DA171" s="87"/>
      <c r="DB171" s="87"/>
      <c r="DC171" s="87"/>
      <c r="DD171" s="87"/>
      <c r="DE171" s="87"/>
      <c r="DF171" s="87"/>
      <c r="DG171" s="87"/>
      <c r="DH171" s="87"/>
      <c r="DI171" s="87"/>
      <c r="DJ171" s="87"/>
      <c r="DK171" s="87"/>
      <c r="DL171" s="87"/>
      <c r="DM171" s="87"/>
      <c r="DN171" s="87"/>
      <c r="DO171" s="87"/>
      <c r="DP171" s="87"/>
      <c r="DQ171" s="87"/>
      <c r="DR171" s="87"/>
      <c r="DS171" s="87"/>
      <c r="DT171" s="87"/>
      <c r="DU171" s="87"/>
      <c r="DV171" s="87"/>
      <c r="DW171" s="87"/>
      <c r="DX171" s="87"/>
      <c r="DY171" s="87"/>
      <c r="DZ171" s="87"/>
      <c r="EA171" s="87"/>
      <c r="EB171" s="87"/>
      <c r="EC171" s="87"/>
      <c r="ED171" s="87"/>
      <c r="EE171" s="87"/>
      <c r="EF171" s="87"/>
      <c r="EG171" s="87"/>
      <c r="EH171" s="87"/>
      <c r="EI171" s="87"/>
    </row>
    <row r="172" spans="1:139" ht="29.25" hidden="1" thickBot="1" x14ac:dyDescent="0.35">
      <c r="A172" s="200" t="s">
        <v>231</v>
      </c>
      <c r="B172" s="223">
        <v>2</v>
      </c>
      <c r="C172" s="224">
        <f>270*0.1+90*0.65+50*0.85+56*0.1+1.4</f>
        <v>135</v>
      </c>
      <c r="D172" s="217">
        <f>C172/VLOOKUP(B172,'[2]Gas Prod per PADD'!$A$1:$C$6,2,FALSE)</f>
        <v>5.6250000000000001E-2</v>
      </c>
      <c r="E172" s="225">
        <v>45383</v>
      </c>
      <c r="F172" s="226">
        <v>45434</v>
      </c>
      <c r="G172" s="180" t="s">
        <v>428</v>
      </c>
      <c r="H172" s="221" t="s">
        <v>429</v>
      </c>
      <c r="I172" s="84"/>
      <c r="J172" s="85"/>
      <c r="K172" s="85"/>
      <c r="L172" s="85"/>
      <c r="M172" s="85">
        <f>C172*(E172-$M$1)/30</f>
        <v>-130.5</v>
      </c>
      <c r="N172" s="85">
        <f>C172*($M$1-F172)/31</f>
        <v>-95.806451612903231</v>
      </c>
      <c r="O172" s="85"/>
      <c r="P172" s="85"/>
      <c r="Q172" s="85"/>
      <c r="R172" s="85"/>
      <c r="S172" s="85"/>
      <c r="T172" s="85"/>
      <c r="U172" s="85"/>
      <c r="V172" s="84"/>
      <c r="W172" s="84"/>
      <c r="X172" s="84" t="str">
        <f t="shared" si="9"/>
        <v>OK</v>
      </c>
      <c r="Y172" s="105"/>
      <c r="Z172" s="105"/>
      <c r="AA172" s="87"/>
      <c r="AB172" s="87"/>
      <c r="AC172" s="87"/>
      <c r="AD172" s="87"/>
      <c r="AE172" s="105"/>
      <c r="AF172" s="105"/>
      <c r="AG172" s="105"/>
      <c r="AH172" s="105"/>
      <c r="AI172" s="87"/>
      <c r="AJ172" s="87"/>
      <c r="AK172" s="105"/>
      <c r="AL172" s="87"/>
      <c r="AM172" s="105"/>
      <c r="AN172" s="105"/>
      <c r="AO172" s="87"/>
      <c r="AP172" s="87"/>
      <c r="AQ172" s="105"/>
      <c r="AR172" s="105"/>
      <c r="AS172" s="87"/>
      <c r="AT172" s="105"/>
      <c r="AU172" s="87" t="e">
        <f>($E172-#REF!)/7*$C$115*1/3-40</f>
        <v>#REF!</v>
      </c>
      <c r="AV172" s="105" t="e">
        <f>-C172-AU172+40</f>
        <v>#REF!</v>
      </c>
      <c r="AW172" s="105" t="e">
        <f>-C172-AU172-AV172</f>
        <v>#REF!</v>
      </c>
      <c r="AX172" s="105"/>
      <c r="AY172" s="87"/>
      <c r="AZ172" s="105"/>
      <c r="BA172" s="105"/>
      <c r="BB172" s="105">
        <f>3.4/7*160</f>
        <v>77.714285714285708</v>
      </c>
      <c r="BC172" s="105">
        <f>C172-BB172</f>
        <v>57.285714285714292</v>
      </c>
      <c r="BD172" s="105"/>
      <c r="BE172" s="105"/>
      <c r="BF172" s="87"/>
      <c r="BG172" s="87"/>
      <c r="BH172" s="87"/>
      <c r="BI172" s="87"/>
      <c r="BJ172" s="87"/>
      <c r="BK172" s="87"/>
      <c r="BL172" s="87"/>
      <c r="BM172" s="87"/>
      <c r="BN172" s="87"/>
      <c r="BO172" s="87"/>
      <c r="BP172" s="87"/>
      <c r="BQ172" s="87"/>
      <c r="BR172" s="87"/>
      <c r="BS172" s="87"/>
      <c r="BT172" s="87"/>
      <c r="BU172" s="87"/>
      <c r="BV172" s="87"/>
      <c r="BW172" s="87"/>
      <c r="BX172" s="87"/>
      <c r="BY172" s="87"/>
      <c r="BZ172" s="87"/>
      <c r="CA172" s="87"/>
      <c r="CB172" s="87"/>
      <c r="CC172" s="87"/>
      <c r="CD172" s="87"/>
      <c r="CE172" s="87"/>
      <c r="CF172" s="87"/>
      <c r="CG172" s="87"/>
      <c r="CH172" s="87"/>
      <c r="CI172" s="87"/>
      <c r="CJ172" s="87"/>
      <c r="CK172" s="87"/>
      <c r="CL172" s="87"/>
      <c r="CM172" s="87"/>
      <c r="CN172" s="87"/>
      <c r="CO172" s="87"/>
      <c r="CP172" s="87"/>
      <c r="CQ172" s="87"/>
      <c r="CR172" s="87"/>
      <c r="CS172" s="87"/>
      <c r="CT172" s="87"/>
      <c r="CU172" s="87"/>
      <c r="CV172" s="87"/>
      <c r="CW172" s="87"/>
      <c r="CX172" s="87"/>
      <c r="CY172" s="87"/>
      <c r="CZ172" s="87"/>
      <c r="DA172" s="87"/>
      <c r="DB172" s="87"/>
      <c r="DC172" s="87"/>
      <c r="DD172" s="87"/>
      <c r="DE172" s="87"/>
      <c r="DF172" s="87"/>
      <c r="DG172" s="87"/>
      <c r="DH172" s="87"/>
      <c r="DI172" s="87"/>
      <c r="DJ172" s="87"/>
      <c r="DK172" s="87"/>
      <c r="DL172" s="87"/>
      <c r="DM172" s="87"/>
      <c r="DN172" s="87"/>
      <c r="DO172" s="87"/>
      <c r="DP172" s="87"/>
      <c r="DQ172" s="87"/>
      <c r="DR172" s="87"/>
      <c r="DS172" s="87"/>
      <c r="DT172" s="87"/>
      <c r="DU172" s="87"/>
      <c r="DV172" s="87"/>
      <c r="DW172" s="87"/>
      <c r="DX172" s="87"/>
      <c r="DY172" s="87"/>
      <c r="DZ172" s="87"/>
      <c r="EA172" s="87"/>
      <c r="EB172" s="87"/>
      <c r="EC172" s="87"/>
      <c r="ED172" s="87"/>
      <c r="EE172" s="87"/>
      <c r="EF172" s="87"/>
      <c r="EG172" s="87"/>
      <c r="EH172" s="87"/>
      <c r="EI172" s="87"/>
    </row>
    <row r="173" spans="1:139" ht="16.5" hidden="1" thickBot="1" x14ac:dyDescent="0.35">
      <c r="A173" s="218" t="s">
        <v>339</v>
      </c>
      <c r="B173" s="194">
        <v>3</v>
      </c>
      <c r="C173" s="195">
        <f>0.21*50</f>
        <v>10.5</v>
      </c>
      <c r="D173" s="217">
        <f>C173/VLOOKUP(B173,'[2]Gas Prod per PADD'!$A$1:$C$6,2,FALSE)</f>
        <v>2.2826086956521741E-3</v>
      </c>
      <c r="E173" s="196">
        <v>45431</v>
      </c>
      <c r="F173" s="197">
        <v>45435</v>
      </c>
      <c r="G173" s="194" t="s">
        <v>430</v>
      </c>
      <c r="H173" s="198"/>
      <c r="I173" s="84"/>
      <c r="J173" s="85"/>
      <c r="K173" s="85"/>
      <c r="L173" s="85"/>
      <c r="M173" s="85"/>
      <c r="N173" s="85">
        <f>C173*(E173-F173)/31</f>
        <v>-1.3548387096774193</v>
      </c>
      <c r="O173" s="85"/>
      <c r="P173" s="85"/>
      <c r="Q173" s="85"/>
      <c r="R173" s="85"/>
      <c r="S173" s="85"/>
      <c r="T173" s="85"/>
      <c r="U173" s="85"/>
      <c r="V173" s="84"/>
      <c r="W173" s="84"/>
      <c r="X173" s="84" t="str">
        <f t="shared" si="9"/>
        <v>OK</v>
      </c>
      <c r="Y173" s="86"/>
      <c r="Z173" s="87"/>
      <c r="AA173" s="87"/>
      <c r="AB173" s="87"/>
      <c r="AC173" s="87"/>
      <c r="AD173" s="87"/>
      <c r="AE173" s="87"/>
      <c r="AF173" s="87"/>
      <c r="AG173" s="87"/>
      <c r="AH173" s="87"/>
      <c r="AI173" s="87"/>
      <c r="AJ173" s="87"/>
      <c r="AK173" s="87"/>
      <c r="AL173" s="87"/>
      <c r="AM173" s="87"/>
      <c r="AN173" s="87"/>
      <c r="AO173" s="87"/>
      <c r="AP173" s="87"/>
      <c r="AQ173" s="87"/>
      <c r="AR173" s="87"/>
      <c r="AS173" s="87"/>
      <c r="AT173" s="87"/>
      <c r="AU173" s="87"/>
      <c r="AV173" s="87"/>
      <c r="AW173" s="87"/>
      <c r="AX173" s="87"/>
      <c r="AY173" s="87"/>
      <c r="AZ173" s="87"/>
      <c r="BA173" s="87"/>
      <c r="BB173" s="87">
        <f>0.5*C173*-1</f>
        <v>-5.25</v>
      </c>
      <c r="BC173" s="87">
        <f>BB173*-1</f>
        <v>5.25</v>
      </c>
      <c r="BD173" s="87"/>
      <c r="BE173" s="87"/>
      <c r="BF173" s="87"/>
      <c r="BG173" s="87"/>
      <c r="BH173" s="87"/>
      <c r="BI173" s="87"/>
      <c r="BJ173" s="87"/>
      <c r="BK173" s="87"/>
      <c r="BL173" s="87"/>
      <c r="BM173" s="87"/>
      <c r="BN173" s="87"/>
      <c r="BO173" s="87"/>
      <c r="BP173" s="87"/>
      <c r="BQ173" s="87"/>
      <c r="BR173" s="87"/>
      <c r="BS173" s="87"/>
      <c r="BT173" s="87"/>
      <c r="BU173" s="87"/>
      <c r="BV173" s="87"/>
      <c r="BW173" s="87"/>
      <c r="BX173" s="87"/>
      <c r="BY173" s="87"/>
      <c r="BZ173" s="87"/>
      <c r="CA173" s="87"/>
      <c r="CB173" s="87"/>
      <c r="CC173" s="87"/>
      <c r="CD173" s="87"/>
      <c r="CE173" s="87"/>
      <c r="CF173" s="87"/>
      <c r="CG173" s="87"/>
      <c r="CH173" s="87"/>
      <c r="CI173" s="87"/>
      <c r="CJ173" s="87"/>
      <c r="CK173" s="87"/>
      <c r="CL173" s="87"/>
      <c r="CM173" s="87"/>
      <c r="CN173" s="87"/>
      <c r="CO173" s="87"/>
      <c r="CP173" s="87"/>
      <c r="CQ173" s="87"/>
      <c r="CR173" s="87"/>
      <c r="CS173" s="87"/>
      <c r="CT173" s="87"/>
      <c r="CU173" s="87"/>
      <c r="CV173" s="87"/>
      <c r="CW173" s="87"/>
      <c r="CX173" s="87"/>
      <c r="CY173" s="87"/>
      <c r="CZ173" s="87"/>
      <c r="DA173" s="87"/>
      <c r="DB173" s="87"/>
      <c r="DC173" s="87"/>
      <c r="DD173" s="87"/>
      <c r="DE173" s="87"/>
      <c r="DF173" s="87"/>
      <c r="DG173" s="87"/>
      <c r="DH173" s="87"/>
      <c r="DI173" s="87"/>
      <c r="DJ173" s="87"/>
      <c r="DK173" s="87"/>
      <c r="DL173" s="87"/>
      <c r="DM173" s="87"/>
      <c r="DN173" s="87"/>
      <c r="DO173" s="87"/>
      <c r="DP173" s="87"/>
      <c r="DQ173" s="87"/>
      <c r="DR173" s="87"/>
      <c r="DS173" s="87"/>
      <c r="DT173" s="87"/>
      <c r="DU173" s="87"/>
      <c r="DV173" s="87"/>
      <c r="DW173" s="87"/>
      <c r="DX173" s="87"/>
      <c r="DY173" s="87"/>
      <c r="DZ173" s="87"/>
      <c r="EA173" s="87"/>
      <c r="EB173" s="87"/>
      <c r="EC173" s="87"/>
      <c r="ED173" s="87"/>
      <c r="EE173" s="87"/>
      <c r="EF173" s="87"/>
      <c r="EG173" s="87"/>
      <c r="EH173" s="87"/>
      <c r="EI173" s="87"/>
    </row>
    <row r="174" spans="1:139" ht="16.5" hidden="1" thickBot="1" x14ac:dyDescent="0.35">
      <c r="A174" s="113" t="s">
        <v>260</v>
      </c>
      <c r="B174" s="194">
        <v>4</v>
      </c>
      <c r="C174" s="195">
        <f>13*0.65</f>
        <v>8.4500000000000011</v>
      </c>
      <c r="D174" s="217">
        <f>C174/VLOOKUP(B174,'[2]Gas Prod per PADD'!$A$1:$C$6,2,FALSE)</f>
        <v>2.4852941176470592E-2</v>
      </c>
      <c r="E174" s="196">
        <v>45434</v>
      </c>
      <c r="F174" s="197">
        <v>45435</v>
      </c>
      <c r="G174" s="194" t="s">
        <v>221</v>
      </c>
      <c r="H174" s="198"/>
      <c r="I174" s="84"/>
      <c r="J174" s="85"/>
      <c r="K174" s="85"/>
      <c r="L174" s="85"/>
      <c r="M174" s="85"/>
      <c r="N174" s="85">
        <f>C174*(E174-F174)/31</f>
        <v>-0.27258064516129038</v>
      </c>
      <c r="O174" s="85"/>
      <c r="P174" s="85"/>
      <c r="Q174" s="85"/>
      <c r="R174" s="85"/>
      <c r="S174" s="85"/>
      <c r="T174" s="85"/>
      <c r="U174" s="85"/>
      <c r="V174" s="84"/>
      <c r="W174" s="84"/>
      <c r="X174" s="84" t="str">
        <f t="shared" si="9"/>
        <v>OK</v>
      </c>
      <c r="Y174" s="87"/>
      <c r="Z174" s="87"/>
      <c r="AA174" s="87"/>
      <c r="AB174" s="87"/>
      <c r="AC174" s="87"/>
      <c r="AD174" s="87"/>
      <c r="AE174" s="87"/>
      <c r="AF174" s="87"/>
      <c r="AG174" s="87"/>
      <c r="AH174" s="87"/>
      <c r="AI174" s="87"/>
      <c r="AJ174" s="87"/>
      <c r="AK174" s="87"/>
      <c r="AL174" s="87"/>
      <c r="AM174" s="87"/>
      <c r="AN174" s="87"/>
      <c r="AO174" s="87"/>
      <c r="AP174" s="87"/>
      <c r="AQ174" s="87"/>
      <c r="AR174" s="87"/>
      <c r="AS174" s="87"/>
      <c r="AT174" s="87"/>
      <c r="AU174" s="87"/>
      <c r="AV174" s="87"/>
      <c r="AW174" s="87"/>
      <c r="AX174" s="87"/>
      <c r="AY174" s="87"/>
      <c r="AZ174" s="87"/>
      <c r="BA174" s="87"/>
      <c r="BB174" s="87"/>
      <c r="BC174" s="87">
        <f>-C174*0.25</f>
        <v>-2.1125000000000003</v>
      </c>
      <c r="BD174" s="87">
        <f>-BC174</f>
        <v>2.1125000000000003</v>
      </c>
      <c r="BE174" s="87"/>
      <c r="BF174" s="87"/>
      <c r="BG174" s="87"/>
      <c r="BH174" s="87"/>
      <c r="BI174" s="87"/>
      <c r="BJ174" s="87"/>
      <c r="BK174" s="87"/>
      <c r="BL174" s="87"/>
      <c r="BM174" s="87"/>
      <c r="BN174" s="87"/>
      <c r="BO174" s="87"/>
      <c r="BP174" s="87"/>
      <c r="BQ174" s="87"/>
      <c r="BR174" s="87"/>
      <c r="BS174" s="87"/>
      <c r="BT174" s="87"/>
      <c r="BU174" s="87"/>
      <c r="BV174" s="87"/>
      <c r="BW174" s="87"/>
      <c r="BX174" s="87"/>
      <c r="BY174" s="87"/>
      <c r="BZ174" s="87"/>
      <c r="CA174" s="87"/>
      <c r="CB174" s="87"/>
      <c r="CC174" s="87"/>
      <c r="CD174" s="87"/>
      <c r="CE174" s="87"/>
      <c r="CF174" s="87"/>
      <c r="CG174" s="87"/>
      <c r="CH174" s="87"/>
      <c r="CI174" s="87"/>
      <c r="CJ174" s="87"/>
      <c r="CK174" s="87"/>
      <c r="CL174" s="87"/>
      <c r="CM174" s="87"/>
      <c r="CN174" s="87"/>
      <c r="CO174" s="87"/>
      <c r="CP174" s="87"/>
      <c r="CQ174" s="87"/>
      <c r="CR174" s="87"/>
      <c r="CS174" s="87"/>
      <c r="CT174" s="87"/>
      <c r="CU174" s="87"/>
      <c r="CV174" s="87"/>
      <c r="CW174" s="87"/>
      <c r="CX174" s="87"/>
      <c r="CY174" s="87"/>
      <c r="CZ174" s="87"/>
      <c r="DA174" s="87"/>
      <c r="DB174" s="87"/>
      <c r="DC174" s="87"/>
      <c r="DD174" s="87"/>
      <c r="DE174" s="87"/>
      <c r="DF174" s="87"/>
      <c r="DG174" s="87"/>
      <c r="DH174" s="87"/>
      <c r="DI174" s="87"/>
      <c r="DJ174" s="87"/>
      <c r="DK174" s="87"/>
      <c r="DL174" s="87"/>
      <c r="DM174" s="87"/>
      <c r="DN174" s="87"/>
      <c r="DO174" s="87"/>
      <c r="DP174" s="87"/>
      <c r="DQ174" s="87"/>
      <c r="DR174" s="87"/>
      <c r="DS174" s="87"/>
      <c r="DT174" s="87"/>
      <c r="DU174" s="87"/>
      <c r="DV174" s="87"/>
      <c r="DW174" s="87"/>
      <c r="DX174" s="87"/>
      <c r="DY174" s="87"/>
      <c r="DZ174" s="87"/>
      <c r="EA174" s="87"/>
      <c r="EB174" s="87"/>
      <c r="EC174" s="87"/>
      <c r="ED174" s="87"/>
      <c r="EE174" s="87"/>
      <c r="EF174" s="87"/>
      <c r="EG174" s="87"/>
      <c r="EH174" s="87"/>
      <c r="EI174" s="87"/>
    </row>
    <row r="175" spans="1:139" ht="43.5" hidden="1" thickBot="1" x14ac:dyDescent="0.35">
      <c r="A175" s="190" t="s">
        <v>149</v>
      </c>
      <c r="B175" s="176">
        <v>3</v>
      </c>
      <c r="C175" s="177">
        <f>65*0.85</f>
        <v>55.25</v>
      </c>
      <c r="D175" s="217">
        <f>C175/VLOOKUP(B175,'[2]Gas Prod per PADD'!$A$1:$C$6,2,FALSE)</f>
        <v>1.2010869565217391E-2</v>
      </c>
      <c r="E175" s="178">
        <v>45417</v>
      </c>
      <c r="F175" s="179">
        <v>45439</v>
      </c>
      <c r="G175" s="180" t="s">
        <v>431</v>
      </c>
      <c r="H175" s="181" t="s">
        <v>432</v>
      </c>
      <c r="I175" s="84"/>
      <c r="J175" s="85"/>
      <c r="K175" s="85"/>
      <c r="L175" s="85"/>
      <c r="M175" s="85"/>
      <c r="N175" s="85">
        <f>C175*(E175-F175)/31</f>
        <v>-39.20967741935484</v>
      </c>
      <c r="O175" s="85"/>
      <c r="P175" s="85"/>
      <c r="Q175" s="85"/>
      <c r="R175" s="85"/>
      <c r="S175" s="85"/>
      <c r="T175" s="85"/>
      <c r="U175" s="85"/>
      <c r="V175" s="84"/>
      <c r="W175" s="84"/>
      <c r="X175" s="84" t="str">
        <f t="shared" si="9"/>
        <v>OK</v>
      </c>
      <c r="Y175" s="105"/>
      <c r="Z175" s="105"/>
      <c r="AA175" s="87"/>
      <c r="AB175" s="87"/>
      <c r="AC175" s="87"/>
      <c r="AD175" s="87"/>
      <c r="AE175" s="105"/>
      <c r="AF175" s="105"/>
      <c r="AG175" s="105"/>
      <c r="AH175" s="105"/>
      <c r="AI175" s="87"/>
      <c r="AJ175" s="87"/>
      <c r="AK175" s="105"/>
      <c r="AL175" s="87"/>
      <c r="AM175" s="87"/>
      <c r="AN175" s="87"/>
      <c r="AO175" s="87"/>
      <c r="AP175" s="87"/>
      <c r="AQ175" s="105"/>
      <c r="AR175" s="87"/>
      <c r="AS175" s="87"/>
      <c r="AT175" s="87"/>
      <c r="AU175" s="87"/>
      <c r="AV175" s="87"/>
      <c r="AW175" s="87"/>
      <c r="AX175" s="87"/>
      <c r="AY175" s="87"/>
      <c r="AZ175" s="87">
        <f>-C175/2</f>
        <v>-27.625</v>
      </c>
      <c r="BA175" s="87">
        <f>AZ175</f>
        <v>-27.625</v>
      </c>
      <c r="BB175" s="87"/>
      <c r="BC175" s="87">
        <v>55</v>
      </c>
      <c r="BD175" s="87"/>
      <c r="BE175" s="87"/>
      <c r="BF175" s="87"/>
      <c r="BG175" s="87"/>
      <c r="BH175" s="87"/>
      <c r="BI175" s="87"/>
      <c r="BJ175" s="87"/>
      <c r="BK175" s="87"/>
      <c r="BL175" s="87"/>
      <c r="BM175" s="87"/>
      <c r="BN175" s="87"/>
      <c r="BO175" s="87"/>
      <c r="BP175" s="87"/>
      <c r="BQ175" s="87"/>
      <c r="BR175" s="87"/>
      <c r="BS175" s="87"/>
      <c r="BT175" s="87"/>
      <c r="BU175" s="87"/>
      <c r="BV175" s="87"/>
      <c r="BW175" s="87"/>
      <c r="BX175" s="87"/>
      <c r="BY175" s="87"/>
      <c r="BZ175" s="87"/>
      <c r="CA175" s="87"/>
      <c r="CB175" s="87"/>
      <c r="CC175" s="87"/>
      <c r="CD175" s="87"/>
      <c r="CE175" s="87"/>
      <c r="CF175" s="87"/>
      <c r="CG175" s="87"/>
      <c r="CH175" s="87"/>
      <c r="CI175" s="87"/>
      <c r="CJ175" s="87"/>
      <c r="CK175" s="87"/>
      <c r="CL175" s="87"/>
      <c r="CM175" s="87"/>
      <c r="CN175" s="87"/>
      <c r="CO175" s="87"/>
      <c r="CP175" s="87"/>
      <c r="CQ175" s="87"/>
      <c r="CR175" s="87"/>
      <c r="CS175" s="87"/>
      <c r="CT175" s="87"/>
      <c r="CU175" s="87"/>
      <c r="CV175" s="87"/>
      <c r="CW175" s="87"/>
      <c r="CX175" s="87"/>
      <c r="CY175" s="87"/>
      <c r="CZ175" s="87"/>
      <c r="DA175" s="87"/>
      <c r="DB175" s="87"/>
      <c r="DC175" s="87"/>
      <c r="DD175" s="87"/>
      <c r="DE175" s="87"/>
      <c r="DF175" s="87"/>
      <c r="DG175" s="87"/>
      <c r="DH175" s="87"/>
      <c r="DI175" s="87"/>
      <c r="DJ175" s="87"/>
      <c r="DK175" s="87"/>
      <c r="DL175" s="87"/>
      <c r="DM175" s="87"/>
      <c r="DN175" s="87"/>
      <c r="DO175" s="87"/>
      <c r="DP175" s="87"/>
      <c r="DQ175" s="87"/>
      <c r="DR175" s="87"/>
      <c r="DS175" s="87"/>
      <c r="DT175" s="87"/>
      <c r="DU175" s="87"/>
      <c r="DV175" s="87"/>
      <c r="DW175" s="87"/>
      <c r="DX175" s="87"/>
      <c r="DY175" s="87"/>
      <c r="DZ175" s="87"/>
      <c r="EA175" s="87"/>
      <c r="EB175" s="87"/>
      <c r="EC175" s="87"/>
      <c r="ED175" s="87"/>
      <c r="EE175" s="87"/>
      <c r="EF175" s="87"/>
      <c r="EG175" s="87"/>
      <c r="EH175" s="87"/>
      <c r="EI175" s="87"/>
    </row>
    <row r="176" spans="1:139" ht="16.5" hidden="1" thickBot="1" x14ac:dyDescent="0.35">
      <c r="A176" s="222" t="s">
        <v>248</v>
      </c>
      <c r="B176" s="223">
        <v>3</v>
      </c>
      <c r="C176" s="224">
        <f>55*0.65</f>
        <v>35.75</v>
      </c>
      <c r="D176" s="217">
        <f>C176/VLOOKUP(B176,'[2]Gas Prod per PADD'!$A$1:$C$6,2,FALSE)</f>
        <v>7.7717391304347825E-3</v>
      </c>
      <c r="E176" s="196">
        <v>45429</v>
      </c>
      <c r="F176" s="197">
        <v>45439</v>
      </c>
      <c r="G176" s="180" t="s">
        <v>221</v>
      </c>
      <c r="H176" s="230" t="s">
        <v>433</v>
      </c>
      <c r="I176" s="84"/>
      <c r="J176" s="85"/>
      <c r="K176" s="85"/>
      <c r="L176" s="85"/>
      <c r="M176" s="85"/>
      <c r="N176" s="85">
        <f>C176*(E176-F176)/31</f>
        <v>-11.53225806451613</v>
      </c>
      <c r="O176" s="85"/>
      <c r="P176" s="85"/>
      <c r="Q176" s="85"/>
      <c r="R176" s="85"/>
      <c r="S176" s="85"/>
      <c r="T176" s="85"/>
      <c r="U176" s="85"/>
      <c r="V176" s="84"/>
      <c r="W176" s="84"/>
      <c r="X176" s="84" t="str">
        <f t="shared" si="9"/>
        <v>OK</v>
      </c>
      <c r="Y176" s="105"/>
      <c r="Z176" s="105"/>
      <c r="AA176" s="87"/>
      <c r="AB176" s="87"/>
      <c r="AC176" s="87"/>
      <c r="AD176" s="87"/>
      <c r="AE176" s="105"/>
      <c r="AF176" s="105"/>
      <c r="AG176" s="105"/>
      <c r="AH176" s="105"/>
      <c r="AI176" s="87"/>
      <c r="AJ176" s="87"/>
      <c r="AK176" s="105"/>
      <c r="AL176" s="87"/>
      <c r="AM176" s="105"/>
      <c r="AN176" s="105"/>
      <c r="AO176" s="87"/>
      <c r="AP176" s="87"/>
      <c r="AQ176" s="105"/>
      <c r="AR176" s="105"/>
      <c r="AS176" s="87"/>
      <c r="AT176" s="105"/>
      <c r="AU176" s="87"/>
      <c r="AV176" s="87"/>
      <c r="AW176" s="105"/>
      <c r="AX176" s="105"/>
      <c r="AY176" s="87"/>
      <c r="AZ176" s="87"/>
      <c r="BA176" s="105"/>
      <c r="BB176" s="105">
        <f>C176*0.8*-1</f>
        <v>-28.6</v>
      </c>
      <c r="BC176" s="105">
        <v>29</v>
      </c>
      <c r="BD176" s="105"/>
      <c r="BE176" s="87"/>
      <c r="BF176" s="87"/>
      <c r="BG176" s="105"/>
      <c r="BH176" s="105"/>
      <c r="BI176" s="105"/>
      <c r="BJ176" s="87"/>
      <c r="BK176" s="87"/>
      <c r="BL176" s="87"/>
      <c r="BM176" s="87"/>
      <c r="BN176" s="87"/>
      <c r="BO176" s="87"/>
      <c r="BP176" s="87"/>
      <c r="BQ176" s="87"/>
      <c r="BR176" s="87"/>
      <c r="BS176" s="87"/>
      <c r="BT176" s="87"/>
      <c r="BU176" s="87"/>
      <c r="BV176" s="87"/>
      <c r="BW176" s="87"/>
      <c r="BX176" s="87"/>
      <c r="BY176" s="87"/>
      <c r="BZ176" s="87"/>
      <c r="CA176" s="87"/>
      <c r="CB176" s="87"/>
      <c r="CC176" s="87"/>
      <c r="CD176" s="87"/>
      <c r="CE176" s="87"/>
      <c r="CF176" s="87"/>
      <c r="CG176" s="87"/>
      <c r="CH176" s="87"/>
      <c r="CI176" s="87"/>
      <c r="CJ176" s="87"/>
      <c r="CK176" s="87"/>
      <c r="CL176" s="87"/>
      <c r="CM176" s="87"/>
      <c r="CN176" s="87"/>
      <c r="CO176" s="87"/>
      <c r="CP176" s="87"/>
      <c r="CQ176" s="87"/>
      <c r="CR176" s="87"/>
      <c r="CS176" s="87"/>
      <c r="CT176" s="87"/>
      <c r="CU176" s="87"/>
      <c r="CV176" s="87"/>
      <c r="CW176" s="87"/>
      <c r="CX176" s="87"/>
      <c r="CY176" s="87"/>
      <c r="CZ176" s="87"/>
      <c r="DA176" s="87"/>
      <c r="DB176" s="87"/>
      <c r="DC176" s="87"/>
      <c r="DD176" s="87"/>
      <c r="DE176" s="87"/>
      <c r="DF176" s="87"/>
      <c r="DG176" s="87"/>
      <c r="DH176" s="87"/>
      <c r="DI176" s="87"/>
      <c r="DJ176" s="87"/>
      <c r="DK176" s="87"/>
      <c r="DL176" s="87"/>
      <c r="DM176" s="87"/>
      <c r="DN176" s="87"/>
      <c r="DO176" s="87"/>
      <c r="DP176" s="87"/>
      <c r="DQ176" s="87"/>
      <c r="DR176" s="87"/>
      <c r="DS176" s="87"/>
      <c r="DT176" s="87"/>
      <c r="DU176" s="87"/>
      <c r="DV176" s="87"/>
      <c r="DW176" s="87"/>
      <c r="DX176" s="87"/>
      <c r="DY176" s="87"/>
      <c r="DZ176" s="87"/>
      <c r="EA176" s="87"/>
      <c r="EB176" s="87"/>
      <c r="EC176" s="87"/>
      <c r="ED176" s="87"/>
      <c r="EE176" s="87"/>
      <c r="EF176" s="87"/>
      <c r="EG176" s="87"/>
      <c r="EH176" s="87"/>
      <c r="EI176" s="87"/>
    </row>
    <row r="177" spans="1:139" ht="16.5" hidden="1" thickBot="1" x14ac:dyDescent="0.35">
      <c r="A177" s="222" t="s">
        <v>268</v>
      </c>
      <c r="B177" s="223">
        <v>3</v>
      </c>
      <c r="C177" s="224">
        <f>96*0.65</f>
        <v>62.400000000000006</v>
      </c>
      <c r="D177" s="217">
        <f>C177/VLOOKUP(B177,'[2]Gas Prod per PADD'!$A$1:$C$6,2,FALSE)</f>
        <v>1.3565217391304349E-2</v>
      </c>
      <c r="E177" s="196">
        <v>45436</v>
      </c>
      <c r="F177" s="197">
        <v>45440</v>
      </c>
      <c r="G177" s="180" t="s">
        <v>221</v>
      </c>
      <c r="H177" s="221" t="s">
        <v>434</v>
      </c>
      <c r="I177" s="84"/>
      <c r="J177" s="85"/>
      <c r="K177" s="85"/>
      <c r="L177" s="85"/>
      <c r="M177" s="85"/>
      <c r="N177" s="85">
        <f>C177*(E177-F177)/31</f>
        <v>-8.0516129032258075</v>
      </c>
      <c r="O177" s="85"/>
      <c r="P177" s="85"/>
      <c r="Q177" s="85"/>
      <c r="R177" s="85"/>
      <c r="S177" s="85"/>
      <c r="T177" s="85"/>
      <c r="U177" s="85"/>
      <c r="V177" s="84"/>
      <c r="W177" s="84"/>
      <c r="X177" s="84" t="str">
        <f t="shared" si="9"/>
        <v>OK</v>
      </c>
      <c r="Y177" s="105"/>
      <c r="Z177" s="105"/>
      <c r="AA177" s="87"/>
      <c r="AB177" s="87"/>
      <c r="AC177" s="87"/>
      <c r="AD177" s="87"/>
      <c r="AE177" s="105"/>
      <c r="AF177" s="105"/>
      <c r="AG177" s="105"/>
      <c r="AH177" s="105"/>
      <c r="AI177" s="87"/>
      <c r="AJ177" s="87"/>
      <c r="AK177" s="105"/>
      <c r="AL177" s="87"/>
      <c r="AM177" s="105"/>
      <c r="AN177" s="105"/>
      <c r="AO177" s="87"/>
      <c r="AP177" s="87"/>
      <c r="AQ177" s="105"/>
      <c r="AR177" s="105"/>
      <c r="AS177" s="87"/>
      <c r="AT177" s="105"/>
      <c r="AU177" s="87"/>
      <c r="AV177" s="87"/>
      <c r="AW177" s="105"/>
      <c r="AX177" s="105"/>
      <c r="AY177" s="87"/>
      <c r="AZ177" s="87"/>
      <c r="BA177" s="105"/>
      <c r="BB177" s="105"/>
      <c r="BC177" s="105">
        <f>-C177*4/7/2</f>
        <v>-17.828571428571429</v>
      </c>
      <c r="BD177" s="105"/>
      <c r="BE177" s="105">
        <f>BC177*-1</f>
        <v>17.828571428571429</v>
      </c>
      <c r="BF177" s="105"/>
      <c r="BG177" s="105"/>
      <c r="BH177" s="105"/>
      <c r="BI177" s="105"/>
      <c r="BJ177" s="87"/>
      <c r="BK177" s="87"/>
      <c r="BL177" s="87"/>
      <c r="BM177" s="87"/>
      <c r="BN177" s="87"/>
      <c r="BO177" s="87"/>
      <c r="BP177" s="87"/>
      <c r="BQ177" s="87"/>
      <c r="BR177" s="87"/>
      <c r="BS177" s="87"/>
      <c r="BT177" s="87"/>
      <c r="BU177" s="87"/>
      <c r="BV177" s="87"/>
      <c r="BW177" s="87"/>
      <c r="BX177" s="87"/>
      <c r="BY177" s="87"/>
      <c r="BZ177" s="87"/>
      <c r="CA177" s="87"/>
      <c r="CB177" s="87"/>
      <c r="CC177" s="87"/>
      <c r="CD177" s="87"/>
      <c r="CE177" s="87"/>
      <c r="CF177" s="87"/>
      <c r="CG177" s="87"/>
      <c r="CH177" s="87"/>
      <c r="CI177" s="87"/>
      <c r="CJ177" s="87"/>
      <c r="CK177" s="87"/>
      <c r="CL177" s="87"/>
      <c r="CM177" s="87"/>
      <c r="CN177" s="87"/>
      <c r="CO177" s="87"/>
      <c r="CP177" s="87"/>
      <c r="CQ177" s="87"/>
      <c r="CR177" s="87"/>
      <c r="CS177" s="87"/>
      <c r="CT177" s="87"/>
      <c r="CU177" s="87"/>
      <c r="CV177" s="87"/>
      <c r="CW177" s="87"/>
      <c r="CX177" s="87"/>
      <c r="CY177" s="87"/>
      <c r="CZ177" s="87"/>
      <c r="DA177" s="87"/>
      <c r="DB177" s="87"/>
      <c r="DC177" s="87"/>
      <c r="DD177" s="87"/>
      <c r="DE177" s="87"/>
      <c r="DF177" s="87"/>
      <c r="DG177" s="87"/>
      <c r="DH177" s="87"/>
      <c r="DI177" s="87"/>
      <c r="DJ177" s="87"/>
      <c r="DK177" s="87"/>
      <c r="DL177" s="87"/>
      <c r="DM177" s="87"/>
      <c r="DN177" s="87"/>
      <c r="DO177" s="87"/>
      <c r="DP177" s="87"/>
      <c r="DQ177" s="87"/>
      <c r="DR177" s="87"/>
      <c r="DS177" s="87"/>
      <c r="DT177" s="87"/>
      <c r="DU177" s="87"/>
      <c r="DV177" s="87"/>
      <c r="DW177" s="87"/>
      <c r="DX177" s="87"/>
      <c r="DY177" s="87"/>
      <c r="DZ177" s="87"/>
      <c r="EA177" s="87"/>
      <c r="EB177" s="87"/>
      <c r="EC177" s="87"/>
      <c r="ED177" s="87"/>
      <c r="EE177" s="87"/>
      <c r="EF177" s="87"/>
      <c r="EG177" s="87"/>
      <c r="EH177" s="87"/>
      <c r="EI177" s="87"/>
    </row>
    <row r="178" spans="1:139" ht="16.5" hidden="1" thickBot="1" x14ac:dyDescent="0.35">
      <c r="A178" s="190" t="s">
        <v>243</v>
      </c>
      <c r="B178" s="191">
        <v>3</v>
      </c>
      <c r="C178" s="177">
        <f>30*0.65+0.5</f>
        <v>20</v>
      </c>
      <c r="D178" s="217">
        <f>C178/VLOOKUP(B178,'[2]Gas Prod per PADD'!$A$1:$C$6,2,FALSE)</f>
        <v>4.3478260869565218E-3</v>
      </c>
      <c r="E178" s="225">
        <v>45383</v>
      </c>
      <c r="F178" s="179">
        <v>45442</v>
      </c>
      <c r="G178" s="191" t="s">
        <v>244</v>
      </c>
      <c r="H178" s="181" t="s">
        <v>216</v>
      </c>
      <c r="I178" s="73"/>
      <c r="J178" s="229"/>
      <c r="K178" s="229"/>
      <c r="L178" s="229"/>
      <c r="M178" s="85">
        <f>C178*(E178-$M$1)/30</f>
        <v>-19.333333333333332</v>
      </c>
      <c r="N178" s="85">
        <f>C178*($M$1-F178)/31</f>
        <v>-19.35483870967742</v>
      </c>
      <c r="O178" s="85"/>
      <c r="P178" s="85"/>
      <c r="Q178" s="85"/>
      <c r="R178" s="85"/>
      <c r="S178" s="85"/>
      <c r="T178" s="85"/>
      <c r="U178" s="85"/>
      <c r="V178" s="84"/>
      <c r="W178" s="84"/>
      <c r="X178" s="84" t="str">
        <f t="shared" si="9"/>
        <v>OK</v>
      </c>
      <c r="Y178" s="74"/>
      <c r="Z178" s="74"/>
      <c r="AA178" s="74"/>
      <c r="AB178" s="74"/>
      <c r="AC178" s="74"/>
      <c r="AD178" s="74"/>
      <c r="AE178" s="74"/>
      <c r="AF178" s="74"/>
      <c r="AG178" s="75"/>
      <c r="AH178" s="74"/>
      <c r="AI178" s="74"/>
      <c r="AJ178" s="74"/>
      <c r="AK178" s="74"/>
      <c r="AL178" s="74"/>
      <c r="AM178" s="74"/>
      <c r="AN178" s="74"/>
      <c r="AO178" s="74"/>
      <c r="AP178" s="74"/>
      <c r="AQ178" s="74"/>
      <c r="AR178" s="75"/>
      <c r="AS178" s="74"/>
      <c r="AT178" s="74"/>
      <c r="AU178" s="74"/>
      <c r="AV178" s="87">
        <f>-C178/2</f>
        <v>-10</v>
      </c>
      <c r="AW178" s="87">
        <f>AV178</f>
        <v>-10</v>
      </c>
      <c r="AX178" s="87"/>
      <c r="AY178" s="87"/>
      <c r="AZ178" s="87"/>
      <c r="BA178" s="87"/>
      <c r="BB178" s="74"/>
      <c r="BC178" s="74"/>
      <c r="BD178" s="87">
        <f>-AV178</f>
        <v>10</v>
      </c>
      <c r="BE178" s="87">
        <f>BD178</f>
        <v>10</v>
      </c>
      <c r="BF178" s="74"/>
      <c r="BG178" s="74"/>
      <c r="BH178" s="74"/>
      <c r="BI178" s="74"/>
      <c r="BJ178" s="74"/>
      <c r="BK178" s="74"/>
      <c r="BL178" s="74"/>
      <c r="BM178" s="74"/>
      <c r="BN178" s="74"/>
      <c r="BO178" s="74"/>
      <c r="BP178" s="74"/>
      <c r="BQ178" s="74"/>
      <c r="BR178" s="74"/>
      <c r="BS178" s="74"/>
      <c r="BT178" s="74"/>
      <c r="BU178" s="74"/>
      <c r="BV178" s="74"/>
      <c r="BW178" s="74"/>
      <c r="BX178" s="74"/>
      <c r="BY178" s="74"/>
      <c r="BZ178" s="74"/>
      <c r="CA178" s="74"/>
      <c r="CB178" s="74"/>
      <c r="CC178" s="74"/>
      <c r="CD178" s="74"/>
      <c r="CE178" s="74"/>
      <c r="CF178" s="74"/>
      <c r="CG178" s="74"/>
      <c r="CH178" s="87"/>
      <c r="CI178" s="87"/>
      <c r="CJ178" s="87"/>
      <c r="CK178" s="87"/>
      <c r="CL178" s="87"/>
      <c r="CM178" s="87"/>
      <c r="CN178" s="87"/>
      <c r="CO178" s="87"/>
      <c r="CP178" s="87"/>
      <c r="CQ178" s="87"/>
      <c r="CR178" s="87"/>
      <c r="CS178" s="87"/>
      <c r="CT178" s="87"/>
      <c r="CU178" s="87"/>
      <c r="CV178" s="87"/>
      <c r="CW178" s="87"/>
      <c r="CX178" s="87"/>
      <c r="CY178" s="87"/>
      <c r="CZ178" s="87"/>
      <c r="DA178" s="87"/>
      <c r="DB178" s="87"/>
      <c r="DC178" s="87"/>
      <c r="DD178" s="87"/>
      <c r="DE178" s="87"/>
      <c r="DF178" s="87"/>
      <c r="DG178" s="87"/>
      <c r="DH178" s="87"/>
      <c r="DI178" s="87"/>
      <c r="DJ178" s="87"/>
      <c r="DK178" s="87"/>
      <c r="DL178" s="87"/>
      <c r="DM178" s="87"/>
      <c r="DN178" s="87"/>
      <c r="DO178" s="87"/>
      <c r="DP178" s="87"/>
      <c r="DQ178" s="87"/>
      <c r="DR178" s="87"/>
      <c r="DS178" s="87"/>
      <c r="DT178" s="87"/>
      <c r="DU178" s="87"/>
      <c r="DV178" s="87"/>
      <c r="DW178" s="87"/>
      <c r="DX178" s="87"/>
      <c r="DY178" s="87"/>
      <c r="DZ178" s="87"/>
      <c r="EA178" s="87"/>
      <c r="EB178" s="87"/>
      <c r="EC178" s="87"/>
      <c r="ED178" s="87"/>
      <c r="EE178" s="87"/>
      <c r="EF178" s="87"/>
      <c r="EG178" s="87"/>
      <c r="EH178" s="87"/>
      <c r="EI178" s="87"/>
    </row>
    <row r="179" spans="1:139" ht="29.25" hidden="1" thickBot="1" x14ac:dyDescent="0.35">
      <c r="A179" s="190" t="s">
        <v>149</v>
      </c>
      <c r="B179" s="176">
        <v>3</v>
      </c>
      <c r="C179" s="177">
        <v>20</v>
      </c>
      <c r="D179" s="217">
        <f>C179/VLOOKUP(B179,'[2]Gas Prod per PADD'!$A$1:$C$6,2,FALSE)</f>
        <v>4.3478260869565218E-3</v>
      </c>
      <c r="E179" s="178">
        <v>45389</v>
      </c>
      <c r="F179" s="179">
        <v>45443</v>
      </c>
      <c r="G179" s="180" t="s">
        <v>435</v>
      </c>
      <c r="H179" s="181" t="s">
        <v>436</v>
      </c>
      <c r="I179" s="84"/>
      <c r="J179" s="85"/>
      <c r="K179" s="85"/>
      <c r="L179" s="85"/>
      <c r="M179" s="85">
        <f>C179*(E179-$M$1)/30</f>
        <v>-15.333333333333334</v>
      </c>
      <c r="N179" s="85">
        <f>C179*($M$1-F179)/31</f>
        <v>-20</v>
      </c>
      <c r="O179" s="85"/>
      <c r="P179" s="85"/>
      <c r="Q179" s="85"/>
      <c r="R179" s="85"/>
      <c r="S179" s="85"/>
      <c r="T179" s="85"/>
      <c r="U179" s="85"/>
      <c r="V179" s="84"/>
      <c r="W179" s="84"/>
      <c r="X179" s="84" t="str">
        <f t="shared" si="9"/>
        <v>OK</v>
      </c>
      <c r="Y179" s="105"/>
      <c r="Z179" s="105"/>
      <c r="AA179" s="87"/>
      <c r="AB179" s="87"/>
      <c r="AC179" s="87"/>
      <c r="AD179" s="87"/>
      <c r="AE179" s="105"/>
      <c r="AF179" s="105"/>
      <c r="AG179" s="105"/>
      <c r="AH179" s="105"/>
      <c r="AI179" s="87"/>
      <c r="AJ179" s="87"/>
      <c r="AK179" s="105"/>
      <c r="AL179" s="87"/>
      <c r="AM179" s="87"/>
      <c r="AN179" s="87"/>
      <c r="AO179" s="87"/>
      <c r="AP179" s="87"/>
      <c r="AQ179" s="105"/>
      <c r="AR179" s="87"/>
      <c r="AS179" s="87"/>
      <c r="AT179" s="87"/>
      <c r="AU179" s="87"/>
      <c r="AV179" s="87">
        <f>(2/3)*C179*-1</f>
        <v>-13.333333333333332</v>
      </c>
      <c r="AW179" s="87">
        <f>(-1/3)*C179</f>
        <v>-6.6666666666666661</v>
      </c>
      <c r="AX179" s="87"/>
      <c r="AY179" s="87"/>
      <c r="AZ179" s="87"/>
      <c r="BA179" s="87"/>
      <c r="BB179" s="87"/>
      <c r="BC179" s="87"/>
      <c r="BD179" s="87">
        <f>AV179*-1</f>
        <v>13.333333333333332</v>
      </c>
      <c r="BE179" s="87">
        <f>AW179*-1</f>
        <v>6.6666666666666661</v>
      </c>
      <c r="BF179" s="87"/>
      <c r="BG179" s="87"/>
      <c r="BH179" s="87"/>
      <c r="BI179" s="87"/>
      <c r="BJ179" s="87"/>
      <c r="BK179" s="87"/>
      <c r="BL179" s="87"/>
      <c r="BM179" s="87"/>
      <c r="BN179" s="87"/>
      <c r="BO179" s="87"/>
      <c r="BP179" s="87"/>
      <c r="BQ179" s="87"/>
      <c r="BR179" s="87"/>
      <c r="BS179" s="87"/>
      <c r="BT179" s="87"/>
      <c r="BU179" s="87"/>
      <c r="BV179" s="87"/>
      <c r="BW179" s="87"/>
      <c r="BX179" s="87"/>
      <c r="BY179" s="87"/>
      <c r="BZ179" s="87"/>
      <c r="CA179" s="87"/>
      <c r="CB179" s="87"/>
      <c r="CC179" s="87"/>
      <c r="CD179" s="87"/>
      <c r="CE179" s="87"/>
      <c r="CF179" s="87"/>
      <c r="CG179" s="87"/>
      <c r="CH179" s="87"/>
      <c r="CI179" s="87"/>
      <c r="CJ179" s="87"/>
      <c r="CK179" s="87"/>
      <c r="CL179" s="87"/>
      <c r="CM179" s="87"/>
      <c r="CN179" s="87"/>
      <c r="CO179" s="87"/>
      <c r="CP179" s="87"/>
      <c r="CQ179" s="87"/>
      <c r="CR179" s="87"/>
      <c r="CS179" s="87"/>
      <c r="CT179" s="87"/>
      <c r="CU179" s="87"/>
      <c r="CV179" s="87"/>
      <c r="CW179" s="87"/>
      <c r="CX179" s="87"/>
      <c r="CY179" s="87"/>
      <c r="CZ179" s="87"/>
      <c r="DA179" s="87"/>
      <c r="DB179" s="87"/>
      <c r="DC179" s="87"/>
      <c r="DD179" s="87"/>
      <c r="DE179" s="87"/>
      <c r="DF179" s="87"/>
      <c r="DG179" s="87"/>
      <c r="DH179" s="87"/>
      <c r="DI179" s="87"/>
      <c r="DJ179" s="87"/>
      <c r="DK179" s="87"/>
      <c r="DL179" s="87"/>
      <c r="DM179" s="87"/>
      <c r="DN179" s="87"/>
      <c r="DO179" s="87"/>
      <c r="DP179" s="87"/>
      <c r="DQ179" s="87"/>
      <c r="DR179" s="87"/>
      <c r="DS179" s="87"/>
      <c r="DT179" s="87"/>
      <c r="DU179" s="87"/>
      <c r="DV179" s="87"/>
      <c r="DW179" s="87"/>
      <c r="DX179" s="87"/>
      <c r="DY179" s="87"/>
      <c r="DZ179" s="87"/>
      <c r="EA179" s="87"/>
      <c r="EB179" s="87"/>
      <c r="EC179" s="87"/>
      <c r="ED179" s="87"/>
      <c r="EE179" s="87"/>
      <c r="EF179" s="87"/>
      <c r="EG179" s="87"/>
      <c r="EH179" s="87"/>
      <c r="EI179" s="87"/>
    </row>
    <row r="180" spans="1:139" ht="16.5" hidden="1" thickBot="1" x14ac:dyDescent="0.35">
      <c r="A180" s="190" t="s">
        <v>270</v>
      </c>
      <c r="B180" s="176">
        <v>3</v>
      </c>
      <c r="C180" s="177">
        <f>30*0.65</f>
        <v>19.5</v>
      </c>
      <c r="D180" s="217">
        <f>C180/VLOOKUP(B180,'[2]Gas Prod per PADD'!$A$1:$C$6,2,FALSE)</f>
        <v>4.239130434782609E-3</v>
      </c>
      <c r="E180" s="178">
        <v>45446</v>
      </c>
      <c r="F180" s="179">
        <v>45447</v>
      </c>
      <c r="G180" s="180" t="s">
        <v>437</v>
      </c>
      <c r="H180" s="181" t="s">
        <v>272</v>
      </c>
      <c r="I180" s="84"/>
      <c r="J180" s="85"/>
      <c r="K180" s="85"/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84"/>
      <c r="W180" s="84"/>
      <c r="X180" s="84" t="str">
        <f t="shared" si="9"/>
        <v>OK</v>
      </c>
      <c r="Y180" s="105"/>
      <c r="Z180" s="105"/>
      <c r="AA180" s="87"/>
      <c r="AB180" s="87"/>
      <c r="AC180" s="87"/>
      <c r="AD180" s="87"/>
      <c r="AE180" s="105"/>
      <c r="AF180" s="105"/>
      <c r="AG180" s="105"/>
      <c r="AH180" s="105"/>
      <c r="AI180" s="87"/>
      <c r="AJ180" s="87"/>
      <c r="AK180" s="87"/>
      <c r="AL180" s="87"/>
      <c r="AM180" s="87"/>
      <c r="AN180" s="87"/>
      <c r="AO180" s="87"/>
      <c r="AP180" s="87"/>
      <c r="AQ180" s="87"/>
      <c r="AR180" s="87"/>
      <c r="AS180" s="87"/>
      <c r="AT180" s="87"/>
      <c r="AU180" s="87"/>
      <c r="AV180" s="87"/>
      <c r="AW180" s="87"/>
      <c r="AX180" s="87"/>
      <c r="AY180" s="87"/>
      <c r="AZ180" s="87"/>
      <c r="BA180" s="87"/>
      <c r="BB180" s="87"/>
      <c r="BC180" s="87"/>
      <c r="BD180" s="87">
        <f>(-2/7)*C180</f>
        <v>-5.5714285714285712</v>
      </c>
      <c r="BE180" s="87">
        <f>BD180*-1</f>
        <v>5.5714285714285712</v>
      </c>
      <c r="BF180" s="87"/>
      <c r="BG180" s="87"/>
      <c r="BH180" s="87"/>
      <c r="BI180" s="87"/>
      <c r="BJ180" s="87"/>
      <c r="BK180" s="87"/>
      <c r="BL180" s="87"/>
      <c r="BM180" s="87"/>
      <c r="BN180" s="87"/>
      <c r="BO180" s="87"/>
      <c r="BP180" s="87"/>
      <c r="BQ180" s="87"/>
      <c r="BR180" s="87"/>
      <c r="BS180" s="87"/>
      <c r="BT180" s="87"/>
      <c r="BU180" s="87"/>
      <c r="BV180" s="87"/>
      <c r="BW180" s="87"/>
      <c r="BX180" s="87"/>
      <c r="BY180" s="87"/>
      <c r="BZ180" s="87"/>
      <c r="CA180" s="87"/>
      <c r="CB180" s="87"/>
      <c r="CC180" s="87"/>
      <c r="CD180" s="87"/>
      <c r="CE180" s="87"/>
      <c r="CF180" s="87"/>
      <c r="CG180" s="87"/>
      <c r="CH180" s="87"/>
      <c r="CI180" s="87"/>
      <c r="CJ180" s="87"/>
      <c r="CK180" s="87"/>
      <c r="CL180" s="87"/>
      <c r="CM180" s="87"/>
      <c r="CN180" s="87"/>
      <c r="CO180" s="87"/>
      <c r="CP180" s="87"/>
      <c r="CQ180" s="87"/>
      <c r="CR180" s="87"/>
      <c r="CS180" s="87"/>
      <c r="CT180" s="87"/>
      <c r="CU180" s="87"/>
      <c r="CV180" s="87"/>
      <c r="CW180" s="87"/>
      <c r="CX180" s="87"/>
      <c r="CY180" s="87"/>
      <c r="CZ180" s="87"/>
      <c r="DA180" s="87"/>
      <c r="DB180" s="87"/>
      <c r="DC180" s="87"/>
      <c r="DD180" s="87"/>
      <c r="DE180" s="87"/>
      <c r="DF180" s="87"/>
      <c r="DG180" s="87"/>
      <c r="DH180" s="87"/>
      <c r="DI180" s="87"/>
      <c r="DJ180" s="87"/>
      <c r="DK180" s="87"/>
      <c r="DL180" s="87"/>
      <c r="DM180" s="87"/>
      <c r="DN180" s="87"/>
      <c r="DO180" s="87"/>
      <c r="DP180" s="87"/>
      <c r="DQ180" s="87"/>
      <c r="DR180" s="87"/>
      <c r="DS180" s="87"/>
      <c r="DT180" s="87"/>
      <c r="DU180" s="87"/>
      <c r="DV180" s="87"/>
      <c r="DW180" s="87"/>
      <c r="DX180" s="87"/>
      <c r="DY180" s="87"/>
      <c r="DZ180" s="87"/>
      <c r="EA180" s="87"/>
      <c r="EB180" s="87"/>
      <c r="EC180" s="87"/>
      <c r="ED180" s="87"/>
      <c r="EE180" s="87"/>
      <c r="EF180" s="87"/>
      <c r="EG180" s="87"/>
      <c r="EH180" s="87"/>
      <c r="EI180" s="87"/>
    </row>
    <row r="181" spans="1:139" ht="16.5" hidden="1" thickBot="1" x14ac:dyDescent="0.35">
      <c r="A181" s="190" t="s">
        <v>330</v>
      </c>
      <c r="B181" s="176">
        <v>3</v>
      </c>
      <c r="C181" s="177">
        <f>128*0.1+32*0.85</f>
        <v>40</v>
      </c>
      <c r="D181" s="217">
        <f>C181/VLOOKUP(B181,'[2]Gas Prod per PADD'!$A$1:$C$6,2,FALSE)</f>
        <v>8.6956521739130436E-3</v>
      </c>
      <c r="E181" s="178">
        <v>45446</v>
      </c>
      <c r="F181" s="179">
        <v>45449</v>
      </c>
      <c r="G181" s="180" t="s">
        <v>403</v>
      </c>
      <c r="H181" s="181" t="s">
        <v>438</v>
      </c>
      <c r="I181" s="84"/>
      <c r="J181" s="85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4"/>
      <c r="W181" s="84"/>
      <c r="X181" s="84" t="str">
        <f t="shared" si="9"/>
        <v>OK</v>
      </c>
      <c r="Y181" s="105"/>
      <c r="Z181" s="105"/>
      <c r="AA181" s="87"/>
      <c r="AB181" s="87"/>
      <c r="AC181" s="87"/>
      <c r="AD181" s="87"/>
      <c r="AE181" s="105"/>
      <c r="AF181" s="105"/>
      <c r="AG181" s="105"/>
      <c r="AH181" s="105"/>
      <c r="AI181" s="87"/>
      <c r="AJ181" s="87"/>
      <c r="AK181" s="105"/>
      <c r="AL181" s="87"/>
      <c r="AM181" s="105"/>
      <c r="AN181" s="105"/>
      <c r="AO181" s="87"/>
      <c r="AP181" s="87"/>
      <c r="AQ181" s="105"/>
      <c r="AR181" s="105"/>
      <c r="AS181" s="87"/>
      <c r="AT181" s="105"/>
      <c r="AU181" s="105"/>
      <c r="AV181" s="87"/>
      <c r="AW181" s="105"/>
      <c r="AX181" s="105"/>
      <c r="AY181" s="87"/>
      <c r="AZ181" s="105"/>
      <c r="BA181" s="105"/>
      <c r="BB181" s="105"/>
      <c r="BC181" s="87"/>
      <c r="BD181" s="87">
        <f>C181*-1/3</f>
        <v>-13.333333333333334</v>
      </c>
      <c r="BE181" s="87"/>
      <c r="BF181" s="105">
        <f>-BD181</f>
        <v>13.333333333333334</v>
      </c>
      <c r="BG181" s="105"/>
      <c r="BH181" s="105"/>
      <c r="BI181" s="105"/>
      <c r="BJ181" s="87"/>
      <c r="BK181" s="87"/>
      <c r="BL181" s="87"/>
      <c r="BM181" s="87"/>
      <c r="BN181" s="87"/>
      <c r="BO181" s="87"/>
      <c r="BP181" s="87"/>
      <c r="BQ181" s="87"/>
      <c r="BR181" s="87"/>
      <c r="BS181" s="87"/>
      <c r="BT181" s="87"/>
      <c r="BU181" s="87"/>
      <c r="BV181" s="87"/>
      <c r="BW181" s="87"/>
      <c r="BX181" s="87"/>
      <c r="BY181" s="87"/>
      <c r="BZ181" s="87"/>
      <c r="CA181" s="87"/>
      <c r="CB181" s="87"/>
      <c r="CC181" s="87"/>
      <c r="CD181" s="87"/>
      <c r="CE181" s="87"/>
      <c r="CF181" s="87"/>
      <c r="CG181" s="87"/>
      <c r="CH181" s="87"/>
      <c r="CI181" s="87"/>
      <c r="CJ181" s="87"/>
      <c r="CK181" s="87"/>
      <c r="CL181" s="87"/>
      <c r="CM181" s="87"/>
      <c r="CN181" s="87"/>
      <c r="CO181" s="87"/>
      <c r="CP181" s="87"/>
      <c r="CQ181" s="87"/>
      <c r="CR181" s="87"/>
      <c r="CS181" s="87"/>
      <c r="CT181" s="87"/>
      <c r="CU181" s="87"/>
      <c r="CV181" s="87"/>
      <c r="CW181" s="87"/>
      <c r="CX181" s="87"/>
      <c r="CY181" s="87"/>
      <c r="CZ181" s="87"/>
      <c r="DA181" s="87"/>
      <c r="DB181" s="87"/>
      <c r="DC181" s="87"/>
      <c r="DD181" s="87"/>
      <c r="DE181" s="87"/>
      <c r="DF181" s="87"/>
      <c r="DG181" s="87"/>
      <c r="DH181" s="87"/>
      <c r="DI181" s="87"/>
      <c r="DJ181" s="87"/>
      <c r="DK181" s="87"/>
      <c r="DL181" s="87"/>
      <c r="DM181" s="87"/>
      <c r="DN181" s="87"/>
      <c r="DO181" s="87"/>
      <c r="DP181" s="87"/>
      <c r="DQ181" s="87"/>
      <c r="DR181" s="87"/>
      <c r="DS181" s="87"/>
      <c r="DT181" s="87"/>
      <c r="DU181" s="87"/>
      <c r="DV181" s="87"/>
      <c r="DW181" s="87"/>
      <c r="DX181" s="87"/>
      <c r="DY181" s="87"/>
      <c r="DZ181" s="87"/>
      <c r="EA181" s="87"/>
      <c r="EB181" s="87"/>
      <c r="EC181" s="87"/>
      <c r="ED181" s="87"/>
      <c r="EE181" s="87"/>
      <c r="EF181" s="87"/>
      <c r="EG181" s="87"/>
      <c r="EH181" s="87"/>
      <c r="EI181" s="87"/>
    </row>
    <row r="182" spans="1:139" ht="16.5" hidden="1" thickBot="1" x14ac:dyDescent="0.35">
      <c r="A182" s="200" t="s">
        <v>439</v>
      </c>
      <c r="B182" s="176">
        <v>5</v>
      </c>
      <c r="C182" s="177">
        <f>60*0.25</f>
        <v>15</v>
      </c>
      <c r="D182" s="217">
        <f>C182/VLOOKUP(B182,'[2]Gas Prod per PADD'!$A$1:$C$6,2,FALSE)</f>
        <v>1.1111111111111112E-2</v>
      </c>
      <c r="E182" s="220">
        <v>45411</v>
      </c>
      <c r="F182" s="179">
        <v>45450</v>
      </c>
      <c r="G182" s="180" t="s">
        <v>440</v>
      </c>
      <c r="H182" s="181" t="s">
        <v>216</v>
      </c>
      <c r="I182" s="84"/>
      <c r="J182" s="85"/>
      <c r="K182" s="85"/>
      <c r="L182" s="85"/>
      <c r="M182" s="85">
        <f>C182*(E182-$M$1)/30</f>
        <v>-0.5</v>
      </c>
      <c r="N182" s="85"/>
      <c r="O182" s="85"/>
      <c r="P182" s="85"/>
      <c r="Q182" s="85"/>
      <c r="R182" s="85"/>
      <c r="S182" s="85"/>
      <c r="T182" s="85"/>
      <c r="U182" s="85"/>
      <c r="V182" s="84"/>
      <c r="W182" s="84"/>
      <c r="X182" s="84" t="str">
        <f t="shared" si="9"/>
        <v>OK</v>
      </c>
      <c r="Y182" s="105"/>
      <c r="Z182" s="105"/>
      <c r="AA182" s="87"/>
      <c r="AB182" s="87"/>
      <c r="AC182" s="87"/>
      <c r="AD182" s="87"/>
      <c r="AE182" s="105"/>
      <c r="AF182" s="105"/>
      <c r="AG182" s="105"/>
      <c r="AH182" s="105"/>
      <c r="AI182" s="87"/>
      <c r="AJ182" s="87"/>
      <c r="AK182" s="105"/>
      <c r="AL182" s="87"/>
      <c r="AM182" s="105"/>
      <c r="AN182" s="105"/>
      <c r="AO182" s="87"/>
      <c r="AP182" s="87"/>
      <c r="AQ182" s="105"/>
      <c r="AR182" s="105"/>
      <c r="AS182" s="87"/>
      <c r="AT182" s="105"/>
      <c r="AU182" s="87"/>
      <c r="AV182" s="87"/>
      <c r="AW182" s="105"/>
      <c r="AX182" s="105"/>
      <c r="AY182" s="87"/>
      <c r="AZ182" s="87"/>
      <c r="BA182" s="105"/>
      <c r="BB182" s="105"/>
      <c r="BC182" s="87"/>
      <c r="BD182" s="87"/>
      <c r="BE182" s="87">
        <f>C182*0.7</f>
        <v>10.5</v>
      </c>
      <c r="BF182" s="87">
        <f>C182*0.3</f>
        <v>4.5</v>
      </c>
      <c r="BG182" s="87"/>
      <c r="BH182" s="87"/>
      <c r="BI182" s="87"/>
      <c r="BJ182" s="87"/>
      <c r="BK182" s="87"/>
      <c r="BL182" s="87"/>
      <c r="BM182" s="87"/>
      <c r="BN182" s="87"/>
      <c r="BO182" s="87"/>
      <c r="BP182" s="87"/>
      <c r="BQ182" s="87"/>
      <c r="BR182" s="87"/>
      <c r="BS182" s="87"/>
      <c r="BT182" s="87"/>
      <c r="BU182" s="87"/>
      <c r="BV182" s="87"/>
      <c r="BW182" s="87"/>
      <c r="BX182" s="87"/>
      <c r="BY182" s="87"/>
      <c r="BZ182" s="87"/>
      <c r="CA182" s="87"/>
      <c r="CB182" s="87"/>
      <c r="CC182" s="87"/>
      <c r="CD182" s="87"/>
      <c r="CE182" s="87"/>
      <c r="CF182" s="87"/>
      <c r="CG182" s="87"/>
      <c r="CH182" s="87"/>
      <c r="CI182" s="87"/>
      <c r="CJ182" s="87"/>
      <c r="CK182" s="87"/>
      <c r="CL182" s="87"/>
      <c r="CM182" s="87"/>
      <c r="CN182" s="87"/>
      <c r="CO182" s="87"/>
      <c r="CP182" s="87"/>
      <c r="CQ182" s="87"/>
      <c r="CR182" s="87"/>
      <c r="CS182" s="87"/>
      <c r="CT182" s="87"/>
      <c r="CU182" s="87"/>
      <c r="CV182" s="87"/>
      <c r="CW182" s="87"/>
      <c r="CX182" s="87"/>
      <c r="CY182" s="87"/>
      <c r="CZ182" s="87"/>
      <c r="DA182" s="87"/>
      <c r="DB182" s="87"/>
      <c r="DC182" s="87"/>
      <c r="DD182" s="87"/>
      <c r="DE182" s="87"/>
      <c r="DF182" s="87"/>
      <c r="DG182" s="87"/>
      <c r="DH182" s="87"/>
      <c r="DI182" s="87"/>
      <c r="DJ182" s="87"/>
      <c r="DK182" s="87"/>
      <c r="DL182" s="87"/>
      <c r="DM182" s="87"/>
      <c r="DN182" s="87"/>
      <c r="DO182" s="87"/>
      <c r="DP182" s="87"/>
      <c r="DQ182" s="87"/>
      <c r="DR182" s="87"/>
      <c r="DS182" s="87"/>
      <c r="DT182" s="87"/>
      <c r="DU182" s="87"/>
      <c r="DV182" s="87"/>
      <c r="DW182" s="87"/>
      <c r="DX182" s="87"/>
      <c r="DY182" s="87"/>
      <c r="DZ182" s="87"/>
      <c r="EA182" s="87"/>
      <c r="EB182" s="87"/>
      <c r="EC182" s="87"/>
      <c r="ED182" s="87"/>
      <c r="EE182" s="87"/>
      <c r="EF182" s="87"/>
      <c r="EG182" s="75">
        <v>46017</v>
      </c>
      <c r="EH182" s="75">
        <v>46024</v>
      </c>
      <c r="EI182" s="75">
        <v>46031</v>
      </c>
    </row>
    <row r="183" spans="1:139" ht="57.75" hidden="1" thickBot="1" x14ac:dyDescent="0.35">
      <c r="A183" s="190" t="s">
        <v>210</v>
      </c>
      <c r="B183" s="176">
        <v>3</v>
      </c>
      <c r="C183" s="177">
        <f>0.1*206+108*0.65+0.85*33.8+0.1*71-15</f>
        <v>111.63</v>
      </c>
      <c r="D183" s="217">
        <f>C183/VLOOKUP(B183,'[2]Gas Prod per PADD'!$A$1:$C$6,2,FALSE)</f>
        <v>2.4267391304347824E-2</v>
      </c>
      <c r="E183" s="178">
        <v>45443</v>
      </c>
      <c r="F183" s="179">
        <f>E183+7</f>
        <v>45450</v>
      </c>
      <c r="G183" s="180" t="s">
        <v>441</v>
      </c>
      <c r="H183" s="181" t="s">
        <v>442</v>
      </c>
      <c r="I183" s="84"/>
      <c r="J183" s="85"/>
      <c r="K183" s="85"/>
      <c r="L183" s="85"/>
      <c r="M183" s="85"/>
      <c r="N183" s="85">
        <f>C183*(E183-$N$1)/31</f>
        <v>0</v>
      </c>
      <c r="O183" s="85"/>
      <c r="P183" s="85"/>
      <c r="Q183" s="85"/>
      <c r="R183" s="85"/>
      <c r="S183" s="85"/>
      <c r="T183" s="85"/>
      <c r="U183" s="85"/>
      <c r="V183" s="84"/>
      <c r="W183" s="84"/>
      <c r="X183" s="84" t="str">
        <f t="shared" si="9"/>
        <v>OK</v>
      </c>
      <c r="Y183" s="105"/>
      <c r="Z183" s="105"/>
      <c r="AA183" s="87"/>
      <c r="AB183" s="87"/>
      <c r="AC183" s="87"/>
      <c r="AD183" s="87"/>
      <c r="AE183" s="105"/>
      <c r="AF183" s="105"/>
      <c r="AG183" s="105"/>
      <c r="AH183" s="87"/>
      <c r="AI183" s="87"/>
      <c r="AJ183" s="87"/>
      <c r="AK183" s="105"/>
      <c r="AL183" s="105"/>
      <c r="AM183" s="105"/>
      <c r="AN183" s="87"/>
      <c r="AO183" s="87"/>
      <c r="AP183" s="105"/>
      <c r="AQ183" s="105"/>
      <c r="AR183" s="105"/>
      <c r="AS183" s="105"/>
      <c r="AT183" s="105"/>
      <c r="AU183" s="87"/>
      <c r="AV183" s="105"/>
      <c r="AW183" s="105"/>
      <c r="AX183" s="87"/>
      <c r="AY183" s="87"/>
      <c r="AZ183" s="87"/>
      <c r="BA183" s="87"/>
      <c r="BB183" s="87"/>
      <c r="BC183" s="87"/>
      <c r="BD183" s="87">
        <f>0.5*-1*C183/2</f>
        <v>-27.907499999999999</v>
      </c>
      <c r="BE183" s="87"/>
      <c r="BF183" s="87">
        <f>BD183*-1</f>
        <v>27.907499999999999</v>
      </c>
      <c r="BG183" s="87"/>
      <c r="BH183" s="87"/>
      <c r="BI183" s="87"/>
      <c r="BJ183" s="87"/>
      <c r="BK183" s="87"/>
      <c r="BL183" s="87"/>
      <c r="BM183" s="87"/>
      <c r="BN183" s="87"/>
      <c r="BO183" s="87"/>
      <c r="BP183" s="87"/>
      <c r="BQ183" s="87"/>
      <c r="BR183" s="87"/>
      <c r="BS183" s="87"/>
      <c r="BT183" s="87"/>
      <c r="BU183" s="87"/>
      <c r="BV183" s="87"/>
      <c r="BW183" s="87"/>
      <c r="BX183" s="87"/>
      <c r="BY183" s="87"/>
      <c r="BZ183" s="87"/>
      <c r="CA183" s="87"/>
      <c r="CB183" s="87"/>
      <c r="CC183" s="87"/>
      <c r="CD183" s="87"/>
      <c r="CE183" s="87"/>
      <c r="CF183" s="87"/>
      <c r="CG183" s="87"/>
      <c r="CH183" s="87"/>
      <c r="CI183" s="87"/>
      <c r="CJ183" s="87"/>
      <c r="CK183" s="87"/>
      <c r="CL183" s="87"/>
      <c r="CM183" s="87"/>
      <c r="CN183" s="87"/>
      <c r="CO183" s="87"/>
      <c r="CP183" s="87"/>
      <c r="CQ183" s="87"/>
      <c r="CR183" s="87"/>
      <c r="CS183" s="87"/>
      <c r="CT183" s="87"/>
      <c r="CU183" s="87"/>
      <c r="CV183" s="87"/>
      <c r="CW183" s="87"/>
      <c r="CX183" s="87"/>
      <c r="CY183" s="87"/>
      <c r="CZ183" s="87"/>
      <c r="DA183" s="87"/>
      <c r="DB183" s="87"/>
      <c r="DC183" s="87"/>
      <c r="DD183" s="87"/>
      <c r="DE183" s="87"/>
      <c r="DF183" s="87"/>
      <c r="DG183" s="87"/>
      <c r="DH183" s="87"/>
      <c r="DI183" s="87"/>
      <c r="DJ183" s="87"/>
      <c r="DK183" s="87"/>
      <c r="DL183" s="87"/>
      <c r="DM183" s="87"/>
      <c r="DN183" s="87"/>
      <c r="DO183" s="87"/>
      <c r="DP183" s="87"/>
      <c r="DQ183" s="87"/>
      <c r="DR183" s="87"/>
      <c r="DS183" s="87"/>
      <c r="DT183" s="87"/>
      <c r="DU183" s="87"/>
      <c r="DV183" s="87"/>
      <c r="DW183" s="87"/>
      <c r="DX183" s="87"/>
      <c r="DY183" s="87"/>
      <c r="DZ183" s="87"/>
      <c r="EA183" s="87"/>
      <c r="EB183" s="87"/>
      <c r="EC183" s="87"/>
      <c r="ED183" s="87"/>
      <c r="EE183" s="87"/>
      <c r="EF183" s="87"/>
      <c r="EG183" s="87"/>
      <c r="EH183" s="87"/>
      <c r="EI183" s="87"/>
    </row>
    <row r="184" spans="1:139" ht="57.75" hidden="1" thickBot="1" x14ac:dyDescent="0.35">
      <c r="A184" s="190" t="s">
        <v>334</v>
      </c>
      <c r="B184" s="176">
        <v>3</v>
      </c>
      <c r="C184" s="177">
        <f>73*0.3</f>
        <v>21.9</v>
      </c>
      <c r="D184" s="217">
        <f>C184/VLOOKUP(B184,'[2]Gas Prod per PADD'!$A$1:$C$6,2,FALSE)</f>
        <v>4.7608695652173912E-3</v>
      </c>
      <c r="E184" s="178">
        <v>45443</v>
      </c>
      <c r="F184" s="179">
        <f>E184+7</f>
        <v>45450</v>
      </c>
      <c r="G184" s="180" t="s">
        <v>443</v>
      </c>
      <c r="H184" s="221" t="s">
        <v>444</v>
      </c>
      <c r="I184" s="84"/>
      <c r="J184" s="85"/>
      <c r="K184" s="85"/>
      <c r="L184" s="85"/>
      <c r="M184" s="85"/>
      <c r="N184" s="85">
        <f>C184*(E184-$N$1)/31</f>
        <v>0</v>
      </c>
      <c r="O184" s="85"/>
      <c r="P184" s="85"/>
      <c r="Q184" s="85"/>
      <c r="R184" s="85"/>
      <c r="S184" s="85"/>
      <c r="T184" s="85"/>
      <c r="U184" s="85"/>
      <c r="V184" s="84"/>
      <c r="W184" s="84"/>
      <c r="X184" s="84" t="str">
        <f t="shared" si="9"/>
        <v>OK</v>
      </c>
      <c r="Y184" s="105"/>
      <c r="Z184" s="105"/>
      <c r="AA184" s="87"/>
      <c r="AB184" s="87"/>
      <c r="AC184" s="87"/>
      <c r="AD184" s="87"/>
      <c r="AE184" s="105"/>
      <c r="AF184" s="105"/>
      <c r="AG184" s="105"/>
      <c r="AH184" s="87"/>
      <c r="AI184" s="87"/>
      <c r="AJ184" s="87"/>
      <c r="AK184" s="105"/>
      <c r="AL184" s="105"/>
      <c r="AM184" s="105"/>
      <c r="AN184" s="87"/>
      <c r="AO184" s="87"/>
      <c r="AP184" s="105"/>
      <c r="AQ184" s="105"/>
      <c r="AR184" s="105"/>
      <c r="AS184" s="105"/>
      <c r="AT184" s="105"/>
      <c r="AU184" s="87"/>
      <c r="AV184" s="87"/>
      <c r="AW184" s="105"/>
      <c r="AX184" s="87"/>
      <c r="AY184" s="87"/>
      <c r="AZ184" s="87"/>
      <c r="BA184" s="87"/>
      <c r="BB184" s="87"/>
      <c r="BC184" s="87"/>
      <c r="BD184" s="87">
        <f>C184*0.7*-1</f>
        <v>-15.329999999999998</v>
      </c>
      <c r="BE184" s="87">
        <f>BD184*0.3*-1</f>
        <v>4.5989999999999993</v>
      </c>
      <c r="BF184" s="87">
        <f>BD184*0.7*-1</f>
        <v>10.730999999999998</v>
      </c>
      <c r="BG184" s="87"/>
      <c r="BH184" s="87"/>
      <c r="BI184" s="87"/>
      <c r="BJ184" s="87"/>
      <c r="BK184" s="87"/>
      <c r="BL184" s="87"/>
      <c r="BM184" s="87"/>
      <c r="BN184" s="87"/>
      <c r="BO184" s="87"/>
      <c r="BP184" s="87"/>
      <c r="BQ184" s="87"/>
      <c r="BR184" s="87"/>
      <c r="BS184" s="87"/>
      <c r="BT184" s="87"/>
      <c r="BU184" s="87"/>
      <c r="BV184" s="87"/>
      <c r="BW184" s="87"/>
      <c r="BX184" s="87"/>
      <c r="BY184" s="87"/>
      <c r="BZ184" s="87"/>
      <c r="CA184" s="87"/>
      <c r="CB184" s="87"/>
      <c r="CC184" s="87"/>
      <c r="CD184" s="87"/>
      <c r="CE184" s="87"/>
      <c r="CF184" s="87"/>
      <c r="CG184" s="87"/>
      <c r="CH184" s="87"/>
      <c r="CI184" s="87"/>
      <c r="CJ184" s="87"/>
      <c r="CK184" s="87"/>
      <c r="CL184" s="87"/>
      <c r="CM184" s="87"/>
      <c r="CN184" s="87"/>
      <c r="CO184" s="87"/>
      <c r="CP184" s="87"/>
      <c r="CQ184" s="87"/>
      <c r="CR184" s="87"/>
      <c r="CS184" s="87"/>
      <c r="CT184" s="87"/>
      <c r="CU184" s="87"/>
      <c r="CV184" s="87"/>
      <c r="CW184" s="87"/>
      <c r="CX184" s="87"/>
      <c r="CY184" s="87"/>
      <c r="CZ184" s="87"/>
      <c r="DA184" s="87"/>
      <c r="DB184" s="87"/>
      <c r="DC184" s="87"/>
      <c r="DD184" s="87"/>
      <c r="DE184" s="87"/>
      <c r="DF184" s="87"/>
      <c r="DG184" s="87"/>
      <c r="DH184" s="87"/>
      <c r="DI184" s="87"/>
      <c r="DJ184" s="87"/>
      <c r="DK184" s="87"/>
      <c r="DL184" s="87"/>
      <c r="DM184" s="87"/>
      <c r="DN184" s="87"/>
      <c r="DO184" s="87"/>
      <c r="DP184" s="87"/>
      <c r="DQ184" s="87"/>
      <c r="DR184" s="87"/>
      <c r="DS184" s="87"/>
      <c r="DT184" s="87"/>
      <c r="DU184" s="87"/>
      <c r="DV184" s="87"/>
      <c r="DW184" s="87"/>
      <c r="DX184" s="87"/>
      <c r="DY184" s="87"/>
      <c r="DZ184" s="87"/>
      <c r="EA184" s="87"/>
      <c r="EB184" s="87"/>
      <c r="EC184" s="87"/>
      <c r="ED184" s="87"/>
      <c r="EE184" s="87"/>
      <c r="EF184" s="87"/>
      <c r="EG184" s="87"/>
      <c r="EH184" s="87"/>
      <c r="EI184" s="87"/>
    </row>
    <row r="185" spans="1:139" ht="16.5" hidden="1" thickBot="1" x14ac:dyDescent="0.35">
      <c r="A185" s="200" t="s">
        <v>445</v>
      </c>
      <c r="B185" s="223">
        <v>5</v>
      </c>
      <c r="C185" s="224">
        <f>52*0.65</f>
        <v>33.800000000000004</v>
      </c>
      <c r="D185" s="217">
        <f>C185/VLOOKUP(B185,'[2]Gas Prod per PADD'!$A$1:$C$6,2,FALSE)</f>
        <v>2.5037037037037042E-2</v>
      </c>
      <c r="E185" s="228">
        <v>45448</v>
      </c>
      <c r="F185" s="226">
        <v>45453</v>
      </c>
      <c r="G185" s="180" t="s">
        <v>446</v>
      </c>
      <c r="H185" s="221" t="s">
        <v>216</v>
      </c>
      <c r="I185" s="84"/>
      <c r="J185" s="85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4"/>
      <c r="W185" s="84"/>
      <c r="X185" s="84" t="str">
        <f t="shared" si="9"/>
        <v>OK</v>
      </c>
      <c r="Y185" s="105"/>
      <c r="Z185" s="105"/>
      <c r="AA185" s="87"/>
      <c r="AB185" s="87"/>
      <c r="AC185" s="87"/>
      <c r="AD185" s="87"/>
      <c r="AE185" s="105"/>
      <c r="AF185" s="105"/>
      <c r="AG185" s="105"/>
      <c r="AH185" s="105"/>
      <c r="AI185" s="87"/>
      <c r="AJ185" s="87"/>
      <c r="AK185" s="105"/>
      <c r="AL185" s="87"/>
      <c r="AM185" s="105"/>
      <c r="AN185" s="105"/>
      <c r="AO185" s="87"/>
      <c r="AP185" s="87"/>
      <c r="AQ185" s="105"/>
      <c r="AR185" s="105"/>
      <c r="AS185" s="87"/>
      <c r="AT185" s="105"/>
      <c r="AU185" s="87"/>
      <c r="AV185" s="87"/>
      <c r="AW185" s="105"/>
      <c r="AX185" s="105"/>
      <c r="AY185" s="87"/>
      <c r="AZ185" s="105"/>
      <c r="BA185" s="105"/>
      <c r="BB185" s="105"/>
      <c r="BC185" s="105"/>
      <c r="BD185" s="105"/>
      <c r="BE185" s="87">
        <f>C185*-5/7</f>
        <v>-24.142857142857146</v>
      </c>
      <c r="BF185" s="105">
        <f>BE185*-1</f>
        <v>24.142857142857146</v>
      </c>
      <c r="BG185" s="105"/>
      <c r="BH185" s="105"/>
      <c r="BI185" s="105"/>
      <c r="BJ185" s="87"/>
      <c r="BK185" s="87"/>
      <c r="BL185" s="87"/>
      <c r="BM185" s="87"/>
      <c r="BN185" s="87"/>
      <c r="BO185" s="87"/>
      <c r="BP185" s="87"/>
      <c r="BQ185" s="87"/>
      <c r="BR185" s="87"/>
      <c r="BS185" s="87"/>
      <c r="BT185" s="87"/>
      <c r="BU185" s="87"/>
      <c r="BV185" s="87"/>
      <c r="BW185" s="87"/>
      <c r="BX185" s="87"/>
      <c r="BY185" s="87"/>
      <c r="BZ185" s="87"/>
      <c r="CA185" s="87"/>
      <c r="CB185" s="87"/>
      <c r="CC185" s="87"/>
      <c r="CD185" s="87"/>
      <c r="CE185" s="87"/>
      <c r="CF185" s="87"/>
      <c r="CG185" s="87"/>
      <c r="CH185" s="87"/>
      <c r="CI185" s="87"/>
      <c r="CJ185" s="87"/>
      <c r="CK185" s="87"/>
      <c r="CL185" s="87"/>
      <c r="CM185" s="87"/>
      <c r="CN185" s="87"/>
      <c r="CO185" s="87"/>
      <c r="CP185" s="87"/>
      <c r="CQ185" s="87"/>
      <c r="CR185" s="87"/>
      <c r="CS185" s="87"/>
      <c r="CT185" s="87"/>
      <c r="CU185" s="87"/>
      <c r="CV185" s="87"/>
      <c r="CW185" s="87"/>
      <c r="CX185" s="87"/>
      <c r="CY185" s="87"/>
      <c r="CZ185" s="87"/>
      <c r="DA185" s="87"/>
      <c r="DB185" s="87"/>
      <c r="DC185" s="87"/>
      <c r="DD185" s="87"/>
      <c r="DE185" s="87"/>
      <c r="DF185" s="87"/>
      <c r="DG185" s="87"/>
      <c r="DH185" s="87"/>
      <c r="DI185" s="87"/>
      <c r="DJ185" s="87"/>
      <c r="DK185" s="87"/>
      <c r="DL185" s="87"/>
      <c r="DM185" s="87"/>
      <c r="DN185" s="87"/>
      <c r="DO185" s="87"/>
      <c r="DP185" s="87"/>
      <c r="DQ185" s="87"/>
      <c r="DR185" s="87"/>
      <c r="DS185" s="87"/>
      <c r="DT185" s="87"/>
      <c r="DU185" s="87"/>
      <c r="DV185" s="87"/>
      <c r="DW185" s="87"/>
      <c r="DX185" s="87"/>
      <c r="DY185" s="87"/>
      <c r="DZ185" s="87"/>
      <c r="EA185" s="87"/>
      <c r="EB185" s="87"/>
      <c r="EC185" s="87"/>
      <c r="ED185" s="87"/>
      <c r="EE185" s="87"/>
      <c r="EF185" s="87"/>
      <c r="EG185" s="75">
        <v>46017</v>
      </c>
      <c r="EH185" s="75">
        <v>46024</v>
      </c>
      <c r="EI185" s="75">
        <v>46031</v>
      </c>
    </row>
    <row r="186" spans="1:139" ht="16.5" hidden="1" thickBot="1" x14ac:dyDescent="0.35">
      <c r="A186" s="222" t="s">
        <v>158</v>
      </c>
      <c r="B186" s="176">
        <v>3</v>
      </c>
      <c r="C186" s="177">
        <f>145*0.65</f>
        <v>94.25</v>
      </c>
      <c r="D186" s="217">
        <f>C186/VLOOKUP(B186,'[2]Gas Prod per PADD'!$A$1:$C$6,2,FALSE)</f>
        <v>2.0489130434782607E-2</v>
      </c>
      <c r="E186" s="178">
        <v>45446</v>
      </c>
      <c r="F186" s="179">
        <f>E186+8</f>
        <v>45454</v>
      </c>
      <c r="G186" s="180" t="s">
        <v>221</v>
      </c>
      <c r="H186" s="181" t="s">
        <v>447</v>
      </c>
      <c r="I186" s="84"/>
      <c r="J186" s="85"/>
      <c r="K186" s="85"/>
      <c r="L186" s="85"/>
      <c r="M186" s="85"/>
      <c r="N186" s="85"/>
      <c r="O186" s="85"/>
      <c r="P186" s="85"/>
      <c r="Q186" s="85"/>
      <c r="R186" s="85"/>
      <c r="S186" s="85"/>
      <c r="T186" s="85"/>
      <c r="U186" s="85"/>
      <c r="V186" s="84"/>
      <c r="W186" s="84"/>
      <c r="X186" s="84" t="str">
        <f t="shared" si="9"/>
        <v>OK</v>
      </c>
      <c r="Y186" s="105"/>
      <c r="Z186" s="105"/>
      <c r="AA186" s="87"/>
      <c r="AB186" s="87"/>
      <c r="AC186" s="87"/>
      <c r="AD186" s="87"/>
      <c r="AE186" s="105"/>
      <c r="AF186" s="105"/>
      <c r="AG186" s="105"/>
      <c r="AH186" s="105"/>
      <c r="AI186" s="87"/>
      <c r="AJ186" s="87"/>
      <c r="AK186" s="105"/>
      <c r="AL186" s="87"/>
      <c r="AM186" s="105"/>
      <c r="AN186" s="105"/>
      <c r="AO186" s="87"/>
      <c r="AP186" s="87"/>
      <c r="AQ186" s="105"/>
      <c r="AR186" s="105"/>
      <c r="AS186" s="87"/>
      <c r="AT186" s="105"/>
      <c r="AU186" s="105"/>
      <c r="AV186" s="87"/>
      <c r="AW186" s="105"/>
      <c r="AX186" s="105"/>
      <c r="AY186" s="87"/>
      <c r="AZ186" s="105"/>
      <c r="BA186" s="105"/>
      <c r="BB186" s="105"/>
      <c r="BC186" s="87"/>
      <c r="BD186" s="87">
        <f>-1/3*C186</f>
        <v>-31.416666666666664</v>
      </c>
      <c r="BE186" s="105">
        <v>5</v>
      </c>
      <c r="BF186" s="105">
        <v>15</v>
      </c>
      <c r="BG186" s="105">
        <f>(BD186*-1)-BE186-BF186</f>
        <v>11.416666666666664</v>
      </c>
      <c r="BH186" s="105"/>
      <c r="BI186" s="105"/>
      <c r="BJ186" s="87"/>
      <c r="BK186" s="87"/>
      <c r="BL186" s="87"/>
      <c r="BM186" s="87"/>
      <c r="BN186" s="87"/>
      <c r="BO186" s="87"/>
      <c r="BP186" s="87"/>
      <c r="BQ186" s="87"/>
      <c r="BR186" s="87"/>
      <c r="BS186" s="87"/>
      <c r="BT186" s="87"/>
      <c r="BU186" s="87"/>
      <c r="BV186" s="87"/>
      <c r="BW186" s="87"/>
      <c r="BX186" s="87"/>
      <c r="BY186" s="87"/>
      <c r="BZ186" s="87"/>
      <c r="CA186" s="87"/>
      <c r="CB186" s="87"/>
      <c r="CC186" s="87"/>
      <c r="CD186" s="87"/>
      <c r="CE186" s="87"/>
      <c r="CF186" s="87"/>
      <c r="CG186" s="87"/>
      <c r="CH186" s="87"/>
      <c r="CI186" s="87"/>
      <c r="CJ186" s="87"/>
      <c r="CK186" s="87"/>
      <c r="CL186" s="87"/>
      <c r="CM186" s="87"/>
      <c r="CN186" s="87"/>
      <c r="CO186" s="87"/>
      <c r="CP186" s="87"/>
      <c r="CQ186" s="87"/>
      <c r="CR186" s="87"/>
      <c r="CS186" s="87"/>
      <c r="CT186" s="87"/>
      <c r="CU186" s="87"/>
      <c r="CV186" s="87"/>
      <c r="CW186" s="87"/>
      <c r="CX186" s="87"/>
      <c r="CY186" s="87"/>
      <c r="CZ186" s="87"/>
      <c r="DA186" s="87"/>
      <c r="DB186" s="87"/>
      <c r="DC186" s="87"/>
      <c r="DD186" s="87"/>
      <c r="DE186" s="87"/>
      <c r="DF186" s="87"/>
      <c r="DG186" s="87"/>
      <c r="DH186" s="87"/>
      <c r="DI186" s="87"/>
      <c r="DJ186" s="87"/>
      <c r="DK186" s="87"/>
      <c r="DL186" s="87"/>
      <c r="DM186" s="87"/>
      <c r="DN186" s="87"/>
      <c r="DO186" s="87"/>
      <c r="DP186" s="87"/>
      <c r="DQ186" s="87"/>
      <c r="DR186" s="87"/>
      <c r="DS186" s="87"/>
      <c r="DT186" s="87"/>
      <c r="DU186" s="87"/>
      <c r="DV186" s="87"/>
      <c r="DW186" s="87"/>
      <c r="DX186" s="87"/>
      <c r="DY186" s="87"/>
      <c r="DZ186" s="87"/>
      <c r="EA186" s="87"/>
      <c r="EB186" s="87"/>
      <c r="EC186" s="87"/>
      <c r="ED186" s="87"/>
      <c r="EE186" s="87"/>
      <c r="EF186" s="87"/>
      <c r="EG186" s="87"/>
      <c r="EH186" s="87"/>
      <c r="EI186" s="87"/>
    </row>
    <row r="187" spans="1:139" ht="86.25" hidden="1" thickBot="1" x14ac:dyDescent="0.35">
      <c r="A187" s="190" t="s">
        <v>152</v>
      </c>
      <c r="B187" s="176">
        <v>3</v>
      </c>
      <c r="C187" s="177">
        <f>0.3*25+0.65*20</f>
        <v>20.5</v>
      </c>
      <c r="D187" s="217">
        <f>C187/VLOOKUP(B187,'[2]Gas Prod per PADD'!$A$1:$C$6,2,FALSE)</f>
        <v>4.4565217391304346E-3</v>
      </c>
      <c r="E187" s="178">
        <v>45434</v>
      </c>
      <c r="F187" s="179">
        <f>E187+21</f>
        <v>45455</v>
      </c>
      <c r="G187" s="180" t="s">
        <v>448</v>
      </c>
      <c r="H187" s="181" t="s">
        <v>449</v>
      </c>
      <c r="I187" s="84"/>
      <c r="J187" s="85"/>
      <c r="K187" s="85"/>
      <c r="L187" s="85"/>
      <c r="M187" s="85"/>
      <c r="N187" s="85">
        <f>C187*(E187-$N$1)/31</f>
        <v>-5.9516129032258061</v>
      </c>
      <c r="O187" s="85"/>
      <c r="P187" s="85"/>
      <c r="Q187" s="85"/>
      <c r="R187" s="85"/>
      <c r="S187" s="85"/>
      <c r="T187" s="85"/>
      <c r="U187" s="85"/>
      <c r="V187" s="84"/>
      <c r="W187" s="84"/>
      <c r="X187" s="84" t="str">
        <f t="shared" si="9"/>
        <v>OK</v>
      </c>
      <c r="Y187" s="105"/>
      <c r="Z187" s="105"/>
      <c r="AA187" s="87"/>
      <c r="AB187" s="87"/>
      <c r="AC187" s="87"/>
      <c r="AD187" s="87"/>
      <c r="AE187" s="105"/>
      <c r="AF187" s="105"/>
      <c r="AG187" s="105"/>
      <c r="AH187" s="105"/>
      <c r="AI187" s="87"/>
      <c r="AJ187" s="87"/>
      <c r="AK187" s="87"/>
      <c r="AL187" s="87"/>
      <c r="AM187" s="87"/>
      <c r="AN187" s="87">
        <f>-C187</f>
        <v>-20.5</v>
      </c>
      <c r="AO187" s="87">
        <f>1/3*C187</f>
        <v>6.833333333333333</v>
      </c>
      <c r="AP187" s="87">
        <f>C187-AO187</f>
        <v>13.666666666666668</v>
      </c>
      <c r="AQ187" s="87"/>
      <c r="AR187" s="87"/>
      <c r="AS187" s="87"/>
      <c r="AT187" s="87"/>
      <c r="AU187" s="87"/>
      <c r="AV187" s="87"/>
      <c r="AW187" s="87"/>
      <c r="AX187" s="87"/>
      <c r="AY187" s="87"/>
      <c r="AZ187" s="87"/>
      <c r="BA187" s="87"/>
      <c r="BB187" s="86">
        <f>-1/7*C187</f>
        <v>-2.9285714285714284</v>
      </c>
      <c r="BC187" s="86">
        <f>(-6/7)*C187*0.75</f>
        <v>-13.178571428571427</v>
      </c>
      <c r="BD187" s="86">
        <f>(-1*C187)-BB187-BC187</f>
        <v>-4.3928571428571459</v>
      </c>
      <c r="BE187" s="86">
        <f>BB187*-1</f>
        <v>2.9285714285714284</v>
      </c>
      <c r="BF187" s="86">
        <f>BC187*-1</f>
        <v>13.178571428571427</v>
      </c>
      <c r="BG187" s="86">
        <f>BD187*-1</f>
        <v>4.3928571428571459</v>
      </c>
      <c r="BH187" s="87"/>
      <c r="BI187" s="87"/>
      <c r="BJ187" s="87"/>
      <c r="BK187" s="87"/>
      <c r="BL187" s="87"/>
      <c r="BM187" s="87"/>
      <c r="BN187" s="87"/>
      <c r="BO187" s="87"/>
      <c r="BP187" s="87"/>
      <c r="BQ187" s="87"/>
      <c r="BR187" s="87"/>
      <c r="BS187" s="87"/>
      <c r="BT187" s="87"/>
      <c r="BU187" s="87"/>
      <c r="BV187" s="87"/>
      <c r="BW187" s="87"/>
      <c r="BX187" s="87"/>
      <c r="BY187" s="87"/>
      <c r="BZ187" s="87"/>
      <c r="CA187" s="87"/>
      <c r="CB187" s="87"/>
      <c r="CC187" s="87"/>
      <c r="CD187" s="87"/>
      <c r="CE187" s="87"/>
      <c r="CF187" s="87"/>
      <c r="CG187" s="87"/>
      <c r="CH187" s="87"/>
      <c r="CI187" s="87"/>
      <c r="CJ187" s="87"/>
      <c r="CK187" s="87"/>
      <c r="CL187" s="87"/>
      <c r="CM187" s="87"/>
      <c r="CN187" s="87"/>
      <c r="CO187" s="87"/>
      <c r="CP187" s="87"/>
      <c r="CQ187" s="87"/>
      <c r="CR187" s="87"/>
      <c r="CS187" s="87"/>
      <c r="CT187" s="87"/>
      <c r="CU187" s="87"/>
      <c r="CV187" s="87"/>
      <c r="CW187" s="87"/>
      <c r="CX187" s="87"/>
      <c r="CY187" s="87"/>
      <c r="CZ187" s="87"/>
      <c r="DA187" s="87"/>
      <c r="DB187" s="87"/>
      <c r="DC187" s="87"/>
      <c r="DD187" s="87"/>
      <c r="DE187" s="87"/>
      <c r="DF187" s="87"/>
      <c r="DG187" s="87"/>
      <c r="DH187" s="87"/>
      <c r="DI187" s="87"/>
      <c r="DJ187" s="87"/>
      <c r="DK187" s="87"/>
      <c r="DL187" s="87"/>
      <c r="DM187" s="87"/>
      <c r="DN187" s="87"/>
      <c r="DO187" s="87"/>
      <c r="DP187" s="87"/>
      <c r="DQ187" s="87"/>
      <c r="DR187" s="87"/>
      <c r="DS187" s="87"/>
      <c r="DT187" s="87"/>
      <c r="DU187" s="87"/>
      <c r="DV187" s="87"/>
      <c r="DW187" s="87"/>
      <c r="DX187" s="87"/>
      <c r="DY187" s="87"/>
      <c r="DZ187" s="87"/>
      <c r="EA187" s="87"/>
      <c r="EB187" s="87"/>
      <c r="EC187" s="87"/>
      <c r="ED187" s="87"/>
      <c r="EE187" s="87"/>
      <c r="EF187" s="87"/>
      <c r="EG187" s="87"/>
      <c r="EH187" s="87"/>
      <c r="EI187" s="87"/>
    </row>
    <row r="188" spans="1:139" ht="16.5" hidden="1" thickBot="1" x14ac:dyDescent="0.35">
      <c r="A188" s="222" t="s">
        <v>182</v>
      </c>
      <c r="B188" s="191">
        <v>3</v>
      </c>
      <c r="C188" s="177">
        <f>55*0.85-1.75</f>
        <v>45</v>
      </c>
      <c r="D188" s="217">
        <f>C188/VLOOKUP(B188,'[2]Gas Prod per PADD'!$A$1:$C$6,2,FALSE)</f>
        <v>9.7826086956521747E-3</v>
      </c>
      <c r="E188" s="178">
        <v>45446</v>
      </c>
      <c r="F188" s="226">
        <v>45457</v>
      </c>
      <c r="G188" s="180" t="s">
        <v>183</v>
      </c>
      <c r="H188" s="181" t="s">
        <v>450</v>
      </c>
      <c r="I188" s="84"/>
      <c r="J188" s="85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4"/>
      <c r="W188" s="84"/>
      <c r="X188" s="84" t="str">
        <f t="shared" si="9"/>
        <v>OK</v>
      </c>
      <c r="Y188" s="105"/>
      <c r="Z188" s="105"/>
      <c r="AA188" s="87"/>
      <c r="AB188" s="87"/>
      <c r="AC188" s="87"/>
      <c r="AD188" s="87"/>
      <c r="AE188" s="105"/>
      <c r="AF188" s="105"/>
      <c r="AG188" s="105"/>
      <c r="AH188" s="105"/>
      <c r="AI188" s="87"/>
      <c r="AJ188" s="87"/>
      <c r="AK188" s="87"/>
      <c r="AL188" s="87"/>
      <c r="AM188" s="87"/>
      <c r="AN188" s="87"/>
      <c r="AO188" s="87"/>
      <c r="AP188" s="87"/>
      <c r="AQ188" s="87"/>
      <c r="AR188" s="87"/>
      <c r="AS188" s="87"/>
      <c r="AT188" s="87"/>
      <c r="AU188" s="105"/>
      <c r="AV188" s="87"/>
      <c r="AW188" s="87"/>
      <c r="AX188" s="105"/>
      <c r="AY188" s="87"/>
      <c r="AZ188" s="87"/>
      <c r="BA188" s="87"/>
      <c r="BB188" s="87"/>
      <c r="BC188" s="87"/>
      <c r="BD188" s="87"/>
      <c r="BE188" s="87">
        <f>-0.8*C188</f>
        <v>-36</v>
      </c>
      <c r="BF188" s="87"/>
      <c r="BG188" s="87">
        <f>BE188*-1</f>
        <v>36</v>
      </c>
      <c r="BH188" s="87"/>
      <c r="BI188" s="87"/>
      <c r="BJ188" s="87"/>
      <c r="BK188" s="87"/>
      <c r="BL188" s="87"/>
      <c r="BM188" s="87"/>
      <c r="BN188" s="87"/>
      <c r="BO188" s="87"/>
      <c r="BP188" s="87"/>
      <c r="BQ188" s="87"/>
      <c r="BR188" s="87"/>
      <c r="BS188" s="87"/>
      <c r="BT188" s="87"/>
      <c r="BU188" s="87"/>
      <c r="BV188" s="87"/>
      <c r="BW188" s="87"/>
      <c r="BX188" s="87"/>
      <c r="BY188" s="87"/>
      <c r="BZ188" s="87"/>
      <c r="CA188" s="87"/>
      <c r="CB188" s="87"/>
      <c r="CC188" s="87"/>
      <c r="CD188" s="87"/>
      <c r="CE188" s="87"/>
      <c r="CF188" s="87"/>
      <c r="CG188" s="87"/>
      <c r="CH188" s="87"/>
      <c r="CI188" s="87"/>
      <c r="CJ188" s="87"/>
      <c r="CK188" s="87"/>
      <c r="CL188" s="87"/>
      <c r="CM188" s="87"/>
      <c r="CN188" s="87"/>
      <c r="CO188" s="87"/>
      <c r="CP188" s="87"/>
      <c r="CQ188" s="87"/>
      <c r="CR188" s="87"/>
      <c r="CS188" s="87"/>
      <c r="CT188" s="87"/>
      <c r="CU188" s="87"/>
      <c r="CV188" s="87"/>
      <c r="CW188" s="87"/>
      <c r="CX188" s="87"/>
      <c r="CY188" s="87"/>
      <c r="CZ188" s="87"/>
      <c r="DA188" s="87"/>
      <c r="DB188" s="87"/>
      <c r="DC188" s="87"/>
      <c r="DD188" s="87"/>
      <c r="DE188" s="87"/>
      <c r="DF188" s="87"/>
      <c r="DG188" s="87"/>
      <c r="DH188" s="87"/>
      <c r="DI188" s="87"/>
      <c r="DJ188" s="87"/>
      <c r="DK188" s="87"/>
      <c r="DL188" s="87"/>
      <c r="DM188" s="87"/>
      <c r="DN188" s="87"/>
      <c r="DO188" s="87"/>
      <c r="DP188" s="87"/>
      <c r="DQ188" s="87"/>
      <c r="DR188" s="87"/>
      <c r="DS188" s="87"/>
      <c r="DT188" s="87"/>
      <c r="DU188" s="87"/>
      <c r="DV188" s="87"/>
      <c r="DW188" s="87"/>
      <c r="DX188" s="87"/>
      <c r="DY188" s="87"/>
      <c r="DZ188" s="87"/>
      <c r="EA188" s="87"/>
      <c r="EB188" s="87"/>
      <c r="EC188" s="87"/>
      <c r="ED188" s="87"/>
      <c r="EE188" s="87"/>
      <c r="EF188" s="87"/>
      <c r="EG188" s="87"/>
      <c r="EH188" s="87"/>
      <c r="EI188" s="87"/>
    </row>
    <row r="189" spans="1:139" ht="29.25" hidden="1" thickBot="1" x14ac:dyDescent="0.35">
      <c r="A189" s="222" t="s">
        <v>451</v>
      </c>
      <c r="B189" s="191">
        <v>3</v>
      </c>
      <c r="C189" s="177">
        <f>149*0.25+57*0.3</f>
        <v>54.349999999999994</v>
      </c>
      <c r="D189" s="217">
        <f>C189/VLOOKUP(B189,'[2]Gas Prod per PADD'!$A$1:$C$6,2,FALSE)</f>
        <v>1.1815217391304346E-2</v>
      </c>
      <c r="E189" s="178">
        <v>45452</v>
      </c>
      <c r="F189" s="179">
        <v>45457</v>
      </c>
      <c r="G189" s="180" t="s">
        <v>452</v>
      </c>
      <c r="H189" s="181" t="s">
        <v>453</v>
      </c>
      <c r="I189" s="84"/>
      <c r="J189" s="85"/>
      <c r="K189" s="85"/>
      <c r="L189" s="85"/>
      <c r="M189" s="85"/>
      <c r="N189" s="85"/>
      <c r="O189" s="85"/>
      <c r="P189" s="85"/>
      <c r="Q189" s="85"/>
      <c r="R189" s="85"/>
      <c r="S189" s="85"/>
      <c r="T189" s="85"/>
      <c r="U189" s="85"/>
      <c r="V189" s="84"/>
      <c r="W189" s="84"/>
      <c r="X189" s="84" t="str">
        <f t="shared" si="9"/>
        <v>OK</v>
      </c>
      <c r="Y189" s="105"/>
      <c r="Z189" s="105"/>
      <c r="AA189" s="87"/>
      <c r="AB189" s="87"/>
      <c r="AC189" s="87"/>
      <c r="AD189" s="87"/>
      <c r="AE189" s="105"/>
      <c r="AF189" s="105"/>
      <c r="AG189" s="105"/>
      <c r="AH189" s="105"/>
      <c r="AI189" s="87"/>
      <c r="AJ189" s="87"/>
      <c r="AK189" s="105"/>
      <c r="AL189" s="87"/>
      <c r="AM189" s="105"/>
      <c r="AN189" s="105"/>
      <c r="AO189" s="87"/>
      <c r="AP189" s="87"/>
      <c r="AQ189" s="105"/>
      <c r="AR189" s="105"/>
      <c r="AS189" s="87"/>
      <c r="AT189" s="105"/>
      <c r="AU189" s="105"/>
      <c r="AV189" s="87"/>
      <c r="AW189" s="105"/>
      <c r="AX189" s="105"/>
      <c r="AY189" s="87"/>
      <c r="AZ189" s="105"/>
      <c r="BA189" s="105"/>
      <c r="BB189" s="105"/>
      <c r="BC189" s="87"/>
      <c r="BD189" s="87"/>
      <c r="BE189" s="105">
        <f>-C189*1/2</f>
        <v>-27.174999999999997</v>
      </c>
      <c r="BF189" s="105"/>
      <c r="BG189" s="105">
        <f>-BE189</f>
        <v>27.174999999999997</v>
      </c>
      <c r="BH189" s="105"/>
      <c r="BI189" s="105"/>
      <c r="BJ189" s="87"/>
      <c r="BK189" s="87"/>
      <c r="BL189" s="87"/>
      <c r="BM189" s="87"/>
      <c r="BN189" s="87"/>
      <c r="BO189" s="87"/>
      <c r="BP189" s="87"/>
      <c r="BQ189" s="87"/>
      <c r="BR189" s="87"/>
      <c r="BS189" s="87"/>
      <c r="BT189" s="87"/>
      <c r="BU189" s="87"/>
      <c r="BV189" s="87"/>
      <c r="BW189" s="87"/>
      <c r="BX189" s="87"/>
      <c r="BY189" s="87"/>
      <c r="BZ189" s="87"/>
      <c r="CA189" s="87"/>
      <c r="CB189" s="87"/>
      <c r="CC189" s="87"/>
      <c r="CD189" s="87"/>
      <c r="CE189" s="87"/>
      <c r="CF189" s="87"/>
      <c r="CG189" s="87"/>
      <c r="CH189" s="87"/>
      <c r="CI189" s="87"/>
      <c r="CJ189" s="87"/>
      <c r="CK189" s="87"/>
      <c r="CL189" s="87"/>
      <c r="CM189" s="87"/>
      <c r="CN189" s="87"/>
      <c r="CO189" s="87"/>
      <c r="CP189" s="87"/>
      <c r="CQ189" s="87"/>
      <c r="CR189" s="87"/>
      <c r="CS189" s="87"/>
      <c r="CT189" s="87"/>
      <c r="CU189" s="87"/>
      <c r="CV189" s="87"/>
      <c r="CW189" s="87"/>
      <c r="CX189" s="87"/>
      <c r="CY189" s="87"/>
      <c r="CZ189" s="87"/>
      <c r="DA189" s="87"/>
      <c r="DB189" s="87"/>
      <c r="DC189" s="87"/>
      <c r="DD189" s="87"/>
      <c r="DE189" s="87"/>
      <c r="DF189" s="87"/>
      <c r="DG189" s="87"/>
      <c r="DH189" s="87"/>
      <c r="DI189" s="87"/>
      <c r="DJ189" s="87"/>
      <c r="DK189" s="87"/>
      <c r="DL189" s="87"/>
      <c r="DM189" s="87"/>
      <c r="DN189" s="87"/>
      <c r="DO189" s="87"/>
      <c r="DP189" s="87"/>
      <c r="DQ189" s="87"/>
      <c r="DR189" s="87"/>
      <c r="DS189" s="87"/>
      <c r="DT189" s="87"/>
      <c r="DU189" s="87"/>
      <c r="DV189" s="87"/>
      <c r="DW189" s="87"/>
      <c r="DX189" s="87"/>
      <c r="DY189" s="87"/>
      <c r="DZ189" s="87"/>
      <c r="EA189" s="87"/>
      <c r="EB189" s="87"/>
      <c r="EC189" s="87"/>
      <c r="ED189" s="87"/>
      <c r="EE189" s="87"/>
      <c r="EF189" s="87"/>
      <c r="EG189" s="87"/>
      <c r="EH189" s="87"/>
      <c r="EI189" s="87"/>
    </row>
    <row r="190" spans="1:139" ht="16.5" hidden="1" thickBot="1" x14ac:dyDescent="0.35">
      <c r="A190" s="88" t="s">
        <v>117</v>
      </c>
      <c r="B190" s="194">
        <v>3</v>
      </c>
      <c r="C190" s="195">
        <f>67*0.08</f>
        <v>5.36</v>
      </c>
      <c r="D190" s="217">
        <f>C190/VLOOKUP(B190,'[2]Gas Prod per PADD'!$A$1:$C$6,2,FALSE)</f>
        <v>1.1652173913043479E-3</v>
      </c>
      <c r="E190" s="196">
        <v>45455</v>
      </c>
      <c r="F190" s="197">
        <v>45457</v>
      </c>
      <c r="G190" s="194" t="s">
        <v>454</v>
      </c>
      <c r="H190" s="230" t="s">
        <v>395</v>
      </c>
      <c r="I190" s="84"/>
      <c r="J190" s="85"/>
      <c r="K190" s="85"/>
      <c r="L190" s="85"/>
      <c r="M190" s="85"/>
      <c r="N190" s="85"/>
      <c r="O190" s="85"/>
      <c r="P190" s="85"/>
      <c r="Q190" s="85"/>
      <c r="R190" s="85"/>
      <c r="S190" s="85"/>
      <c r="T190" s="85"/>
      <c r="U190" s="85"/>
      <c r="V190" s="84"/>
      <c r="W190" s="84"/>
      <c r="X190" s="84" t="str">
        <f t="shared" si="9"/>
        <v>OK</v>
      </c>
      <c r="Y190" s="87"/>
      <c r="Z190" s="87"/>
      <c r="AA190" s="87"/>
      <c r="AB190" s="87"/>
      <c r="AC190" s="87"/>
      <c r="AD190" s="87"/>
      <c r="AE190" s="87"/>
      <c r="AF190" s="87"/>
      <c r="AG190" s="87"/>
      <c r="AH190" s="87"/>
      <c r="AI190" s="87"/>
      <c r="AJ190" s="87"/>
      <c r="AK190" s="87"/>
      <c r="AL190" s="87"/>
      <c r="AM190" s="87"/>
      <c r="AN190" s="87"/>
      <c r="AO190" s="87"/>
      <c r="AP190" s="87"/>
      <c r="AQ190" s="87"/>
      <c r="AR190" s="87"/>
      <c r="AS190" s="87"/>
      <c r="AT190" s="87"/>
      <c r="AU190" s="87"/>
      <c r="AV190" s="87"/>
      <c r="AW190" s="87"/>
      <c r="AX190" s="87"/>
      <c r="AY190" s="87"/>
      <c r="AZ190" s="87"/>
      <c r="BA190" s="87"/>
      <c r="BB190" s="87"/>
      <c r="BC190" s="87"/>
      <c r="BD190" s="87"/>
      <c r="BE190" s="87">
        <f>-C190/2</f>
        <v>-2.68</v>
      </c>
      <c r="BF190" s="87"/>
      <c r="BG190" s="87">
        <f>-BE190</f>
        <v>2.68</v>
      </c>
      <c r="BH190" s="87"/>
      <c r="BI190" s="87"/>
      <c r="BJ190" s="87"/>
      <c r="BK190" s="87"/>
      <c r="BL190" s="87"/>
      <c r="BM190" s="87"/>
      <c r="BN190" s="87"/>
      <c r="BO190" s="87"/>
      <c r="BP190" s="87"/>
      <c r="BQ190" s="87"/>
      <c r="BR190" s="87"/>
      <c r="BS190" s="87"/>
      <c r="BT190" s="87"/>
      <c r="BU190" s="87"/>
      <c r="BV190" s="87"/>
      <c r="BW190" s="87"/>
      <c r="BX190" s="87"/>
      <c r="BY190" s="87"/>
      <c r="BZ190" s="87"/>
      <c r="CA190" s="87"/>
      <c r="CB190" s="87"/>
      <c r="CC190" s="87"/>
      <c r="CD190" s="87"/>
      <c r="CE190" s="87"/>
      <c r="CF190" s="87"/>
      <c r="CG190" s="87"/>
      <c r="CH190" s="87"/>
      <c r="CI190" s="87"/>
      <c r="CJ190" s="87"/>
      <c r="CK190" s="87"/>
      <c r="CL190" s="87"/>
      <c r="CM190" s="87"/>
      <c r="CN190" s="87"/>
      <c r="CO190" s="87"/>
      <c r="CP190" s="87"/>
      <c r="CQ190" s="87"/>
      <c r="CR190" s="87"/>
      <c r="CS190" s="87"/>
      <c r="CT190" s="87"/>
      <c r="CU190" s="87"/>
      <c r="CV190" s="87"/>
      <c r="CW190" s="87"/>
      <c r="CX190" s="87"/>
      <c r="CY190" s="87"/>
      <c r="CZ190" s="87"/>
      <c r="DA190" s="87"/>
      <c r="DB190" s="87"/>
      <c r="DC190" s="87"/>
      <c r="DD190" s="87"/>
      <c r="DE190" s="87"/>
      <c r="DF190" s="87"/>
      <c r="DG190" s="87"/>
      <c r="DH190" s="87"/>
      <c r="DI190" s="87"/>
      <c r="DJ190" s="87"/>
      <c r="DK190" s="87"/>
      <c r="DL190" s="87"/>
      <c r="DM190" s="87"/>
      <c r="DN190" s="87"/>
      <c r="DO190" s="87"/>
      <c r="DP190" s="87"/>
      <c r="DQ190" s="87"/>
      <c r="DR190" s="87"/>
      <c r="DS190" s="87"/>
      <c r="DT190" s="87"/>
      <c r="DU190" s="87"/>
      <c r="DV190" s="87"/>
      <c r="DW190" s="87"/>
      <c r="DX190" s="87"/>
      <c r="DY190" s="87"/>
      <c r="DZ190" s="87"/>
      <c r="EA190" s="87"/>
      <c r="EB190" s="87"/>
      <c r="EC190" s="87"/>
      <c r="ED190" s="87"/>
      <c r="EE190" s="87"/>
      <c r="EF190" s="87"/>
      <c r="EG190" s="87"/>
      <c r="EH190" s="87"/>
      <c r="EI190" s="87"/>
    </row>
    <row r="191" spans="1:139" ht="29.25" hidden="1" thickBot="1" x14ac:dyDescent="0.35">
      <c r="A191" s="222" t="s">
        <v>225</v>
      </c>
      <c r="B191" s="191">
        <v>3</v>
      </c>
      <c r="C191" s="177">
        <f>85*0.85/2</f>
        <v>36.125</v>
      </c>
      <c r="D191" s="217">
        <f>C191/VLOOKUP(B191,'[2]Gas Prod per PADD'!$A$1:$C$6,2,FALSE)</f>
        <v>7.8532608695652175E-3</v>
      </c>
      <c r="E191" s="196">
        <v>45450</v>
      </c>
      <c r="F191" s="197">
        <v>45459</v>
      </c>
      <c r="G191" s="180" t="s">
        <v>455</v>
      </c>
      <c r="H191" s="181" t="s">
        <v>453</v>
      </c>
      <c r="I191" s="84"/>
      <c r="J191" s="85"/>
      <c r="K191" s="85"/>
      <c r="L191" s="85"/>
      <c r="M191" s="85"/>
      <c r="N191" s="85"/>
      <c r="O191" s="85"/>
      <c r="P191" s="85"/>
      <c r="Q191" s="85"/>
      <c r="R191" s="85"/>
      <c r="S191" s="85"/>
      <c r="T191" s="85"/>
      <c r="U191" s="85"/>
      <c r="V191" s="84"/>
      <c r="W191" s="84"/>
      <c r="X191" s="84" t="str">
        <f t="shared" si="9"/>
        <v>OK</v>
      </c>
      <c r="Y191" s="105"/>
      <c r="Z191" s="105"/>
      <c r="AA191" s="87"/>
      <c r="AB191" s="87"/>
      <c r="AC191" s="87"/>
      <c r="AD191" s="87"/>
      <c r="AE191" s="105"/>
      <c r="AF191" s="105"/>
      <c r="AG191" s="105"/>
      <c r="AH191" s="105"/>
      <c r="AI191" s="87"/>
      <c r="AJ191" s="87"/>
      <c r="AK191" s="105"/>
      <c r="AL191" s="87"/>
      <c r="AM191" s="105"/>
      <c r="AN191" s="105"/>
      <c r="AO191" s="87"/>
      <c r="AP191" s="87"/>
      <c r="AQ191" s="105"/>
      <c r="AR191" s="105"/>
      <c r="AS191" s="87"/>
      <c r="AT191" s="105"/>
      <c r="AU191" s="105"/>
      <c r="AV191" s="87"/>
      <c r="AW191" s="105"/>
      <c r="AX191" s="105"/>
      <c r="AY191" s="87"/>
      <c r="AZ191" s="105"/>
      <c r="BA191" s="105"/>
      <c r="BB191" s="105"/>
      <c r="BC191" s="87"/>
      <c r="BD191" s="87"/>
      <c r="BE191" s="105">
        <f>-C191*1/2</f>
        <v>-18.0625</v>
      </c>
      <c r="BF191" s="105"/>
      <c r="BG191" s="105">
        <f>-BE191</f>
        <v>18.0625</v>
      </c>
      <c r="BH191" s="105"/>
      <c r="BI191" s="105"/>
      <c r="BJ191" s="87"/>
      <c r="BK191" s="87"/>
      <c r="BL191" s="87"/>
      <c r="BM191" s="87"/>
      <c r="BN191" s="87"/>
      <c r="BO191" s="87"/>
      <c r="BP191" s="87"/>
      <c r="BQ191" s="87"/>
      <c r="BR191" s="87"/>
      <c r="BS191" s="87"/>
      <c r="BT191" s="87"/>
      <c r="BU191" s="87"/>
      <c r="BV191" s="87"/>
      <c r="BW191" s="87"/>
      <c r="BX191" s="87"/>
      <c r="BY191" s="87"/>
      <c r="BZ191" s="87"/>
      <c r="CA191" s="87"/>
      <c r="CB191" s="87"/>
      <c r="CC191" s="87"/>
      <c r="CD191" s="87"/>
      <c r="CE191" s="87"/>
      <c r="CF191" s="87"/>
      <c r="CG191" s="87"/>
      <c r="CH191" s="87"/>
      <c r="CI191" s="87"/>
      <c r="CJ191" s="87"/>
      <c r="CK191" s="87"/>
      <c r="CL191" s="87"/>
      <c r="CM191" s="87"/>
      <c r="CN191" s="87"/>
      <c r="CO191" s="87"/>
      <c r="CP191" s="87"/>
      <c r="CQ191" s="87"/>
      <c r="CR191" s="87"/>
      <c r="CS191" s="87"/>
      <c r="CT191" s="87"/>
      <c r="CU191" s="87"/>
      <c r="CV191" s="87"/>
      <c r="CW191" s="87"/>
      <c r="CX191" s="87"/>
      <c r="CY191" s="87"/>
      <c r="CZ191" s="87"/>
      <c r="DA191" s="87"/>
      <c r="DB191" s="87"/>
      <c r="DC191" s="87"/>
      <c r="DD191" s="87"/>
      <c r="DE191" s="87"/>
      <c r="DF191" s="87"/>
      <c r="DG191" s="87"/>
      <c r="DH191" s="87"/>
      <c r="DI191" s="87"/>
      <c r="DJ191" s="87"/>
      <c r="DK191" s="87"/>
      <c r="DL191" s="87"/>
      <c r="DM191" s="87"/>
      <c r="DN191" s="87"/>
      <c r="DO191" s="87"/>
      <c r="DP191" s="87"/>
      <c r="DQ191" s="87"/>
      <c r="DR191" s="87"/>
      <c r="DS191" s="87"/>
      <c r="DT191" s="87"/>
      <c r="DU191" s="87"/>
      <c r="DV191" s="87"/>
      <c r="DW191" s="87"/>
      <c r="DX191" s="87"/>
      <c r="DY191" s="87"/>
      <c r="DZ191" s="87"/>
      <c r="EA191" s="87"/>
      <c r="EB191" s="87"/>
      <c r="EC191" s="87"/>
      <c r="ED191" s="87"/>
      <c r="EE191" s="87"/>
      <c r="EF191" s="87"/>
      <c r="EG191" s="87"/>
      <c r="EH191" s="87"/>
      <c r="EI191" s="87"/>
    </row>
    <row r="192" spans="1:139" ht="16.5" hidden="1" thickBot="1" x14ac:dyDescent="0.35">
      <c r="A192" s="175" t="s">
        <v>237</v>
      </c>
      <c r="B192" s="191">
        <v>2</v>
      </c>
      <c r="C192" s="177">
        <f>65*0.85</f>
        <v>55.25</v>
      </c>
      <c r="D192" s="217">
        <f>C192/VLOOKUP(B192,'[2]Gas Prod per PADD'!$A$1:$C$6,2,FALSE)</f>
        <v>2.3020833333333334E-2</v>
      </c>
      <c r="E192" s="196">
        <v>45457</v>
      </c>
      <c r="F192" s="197">
        <v>45459</v>
      </c>
      <c r="G192" s="180" t="s">
        <v>456</v>
      </c>
      <c r="H192" s="181" t="s">
        <v>364</v>
      </c>
      <c r="I192" s="84"/>
      <c r="J192" s="85"/>
      <c r="K192" s="85"/>
      <c r="L192" s="85"/>
      <c r="M192" s="85"/>
      <c r="N192" s="85"/>
      <c r="O192" s="85"/>
      <c r="P192" s="85"/>
      <c r="Q192" s="85"/>
      <c r="R192" s="85"/>
      <c r="S192" s="85"/>
      <c r="T192" s="85"/>
      <c r="U192" s="85"/>
      <c r="V192" s="84"/>
      <c r="W192" s="84"/>
      <c r="X192" s="84" t="str">
        <f t="shared" si="9"/>
        <v>OK</v>
      </c>
      <c r="Y192" s="105"/>
      <c r="Z192" s="105"/>
      <c r="AA192" s="87"/>
      <c r="AB192" s="87"/>
      <c r="AC192" s="87"/>
      <c r="AD192" s="87"/>
      <c r="AE192" s="105"/>
      <c r="AF192" s="105"/>
      <c r="AG192" s="105"/>
      <c r="AH192" s="105"/>
      <c r="AI192" s="87"/>
      <c r="AJ192" s="87"/>
      <c r="AK192" s="105"/>
      <c r="AL192" s="87"/>
      <c r="AM192" s="105"/>
      <c r="AN192" s="105"/>
      <c r="AO192" s="87"/>
      <c r="AP192" s="87"/>
      <c r="AQ192" s="105"/>
      <c r="AR192" s="105"/>
      <c r="AS192" s="87"/>
      <c r="AT192" s="105"/>
      <c r="AU192" s="105"/>
      <c r="AV192" s="87"/>
      <c r="AW192" s="105"/>
      <c r="AX192" s="105"/>
      <c r="AY192" s="87"/>
      <c r="AZ192" s="105"/>
      <c r="BA192" s="105"/>
      <c r="BB192" s="105"/>
      <c r="BC192" s="87"/>
      <c r="BD192" s="87"/>
      <c r="BE192" s="105"/>
      <c r="BF192" s="105">
        <f>-C192*2/7</f>
        <v>-15.785714285714286</v>
      </c>
      <c r="BG192" s="105">
        <f>-BF192</f>
        <v>15.785714285714286</v>
      </c>
      <c r="BH192" s="105"/>
      <c r="BI192" s="105"/>
      <c r="BJ192" s="87"/>
      <c r="BK192" s="87"/>
      <c r="BL192" s="87"/>
      <c r="BM192" s="87"/>
      <c r="BN192" s="87"/>
      <c r="BO192" s="87"/>
      <c r="BP192" s="87"/>
      <c r="BQ192" s="87"/>
      <c r="BR192" s="87"/>
      <c r="BS192" s="87"/>
      <c r="BT192" s="87"/>
      <c r="BU192" s="87"/>
      <c r="BV192" s="87"/>
      <c r="BW192" s="87"/>
      <c r="BX192" s="87"/>
      <c r="BY192" s="87"/>
      <c r="BZ192" s="87"/>
      <c r="CA192" s="87"/>
      <c r="CB192" s="87"/>
      <c r="CC192" s="87"/>
      <c r="CD192" s="87"/>
      <c r="CE192" s="87"/>
      <c r="CF192" s="87"/>
      <c r="CG192" s="87"/>
      <c r="CH192" s="87"/>
      <c r="CI192" s="87"/>
      <c r="CJ192" s="87"/>
      <c r="CK192" s="87"/>
      <c r="CL192" s="87"/>
      <c r="CM192" s="87"/>
      <c r="CN192" s="87"/>
      <c r="CO192" s="87"/>
      <c r="CP192" s="87"/>
      <c r="CQ192" s="87"/>
      <c r="CR192" s="87"/>
      <c r="CS192" s="87"/>
      <c r="CT192" s="87"/>
      <c r="CU192" s="87"/>
      <c r="CV192" s="87"/>
      <c r="CW192" s="87"/>
      <c r="CX192" s="87"/>
      <c r="CY192" s="87"/>
      <c r="CZ192" s="87"/>
      <c r="DA192" s="87"/>
      <c r="DB192" s="87"/>
      <c r="DC192" s="87"/>
      <c r="DD192" s="87"/>
      <c r="DE192" s="87"/>
      <c r="DF192" s="87"/>
      <c r="DG192" s="87"/>
      <c r="DH192" s="87"/>
      <c r="DI192" s="87"/>
      <c r="DJ192" s="87"/>
      <c r="DK192" s="87"/>
      <c r="DL192" s="87"/>
      <c r="DM192" s="87"/>
      <c r="DN192" s="87"/>
      <c r="DO192" s="87"/>
      <c r="DP192" s="87"/>
      <c r="DQ192" s="87"/>
      <c r="DR192" s="87"/>
      <c r="DS192" s="87"/>
      <c r="DT192" s="87"/>
      <c r="DU192" s="87"/>
      <c r="DV192" s="87"/>
      <c r="DW192" s="87"/>
      <c r="DX192" s="87"/>
      <c r="DY192" s="87"/>
      <c r="DZ192" s="87"/>
      <c r="EA192" s="87"/>
      <c r="EB192" s="87"/>
      <c r="EC192" s="87"/>
      <c r="ED192" s="87"/>
      <c r="EE192" s="87"/>
      <c r="EF192" s="87"/>
      <c r="EG192" s="87"/>
      <c r="EH192" s="87"/>
      <c r="EI192" s="87"/>
    </row>
    <row r="193" spans="1:139" ht="16.5" hidden="1" thickBot="1" x14ac:dyDescent="0.35">
      <c r="A193" s="161" t="s">
        <v>212</v>
      </c>
      <c r="B193" s="194">
        <v>5</v>
      </c>
      <c r="C193" s="195">
        <v>0</v>
      </c>
      <c r="D193" s="217">
        <f>C193/VLOOKUP(B193,'[2]Gas Prod per PADD'!$A$1:$C$6,2,FALSE)</f>
        <v>0</v>
      </c>
      <c r="E193" s="231">
        <v>45442</v>
      </c>
      <c r="F193" s="197">
        <v>45461</v>
      </c>
      <c r="G193" s="194" t="s">
        <v>457</v>
      </c>
      <c r="H193" s="230" t="s">
        <v>458</v>
      </c>
      <c r="I193" s="84"/>
      <c r="J193" s="85"/>
      <c r="K193" s="85"/>
      <c r="L193" s="85"/>
      <c r="M193" s="85"/>
      <c r="N193" s="85">
        <f>C193*(E193-$N$1)/31</f>
        <v>0</v>
      </c>
      <c r="O193" s="85"/>
      <c r="P193" s="85"/>
      <c r="Q193" s="85"/>
      <c r="R193" s="85"/>
      <c r="S193" s="85"/>
      <c r="T193" s="85"/>
      <c r="U193" s="85"/>
      <c r="V193" s="84"/>
      <c r="W193" s="84"/>
      <c r="X193" s="84" t="str">
        <f t="shared" si="9"/>
        <v>OK</v>
      </c>
      <c r="Y193" s="105"/>
      <c r="Z193" s="105"/>
      <c r="AA193" s="87"/>
      <c r="AB193" s="87"/>
      <c r="AC193" s="87"/>
      <c r="AD193" s="87"/>
      <c r="AE193" s="105"/>
      <c r="AF193" s="105"/>
      <c r="AG193" s="105"/>
      <c r="AH193" s="105"/>
      <c r="AI193" s="87"/>
      <c r="AJ193" s="87"/>
      <c r="AK193" s="105"/>
      <c r="AL193" s="87"/>
      <c r="AM193" s="105"/>
      <c r="AN193" s="105"/>
      <c r="AO193" s="87"/>
      <c r="AP193" s="87"/>
      <c r="AQ193" s="105"/>
      <c r="AR193" s="105"/>
      <c r="AS193" s="87"/>
      <c r="AT193" s="105"/>
      <c r="AU193" s="87"/>
      <c r="AV193" s="87"/>
      <c r="AW193" s="105"/>
      <c r="AX193" s="105"/>
      <c r="AY193" s="87"/>
      <c r="AZ193" s="105"/>
      <c r="BA193" s="105"/>
      <c r="BB193" s="105"/>
      <c r="BC193" s="105"/>
      <c r="BD193" s="105"/>
      <c r="BE193" s="105"/>
      <c r="BF193" s="105"/>
      <c r="BG193" s="105"/>
      <c r="BH193" s="105"/>
      <c r="BI193" s="105"/>
      <c r="BJ193" s="87"/>
      <c r="BK193" s="87"/>
      <c r="BL193" s="87"/>
      <c r="BM193" s="87"/>
      <c r="BN193" s="87"/>
      <c r="BO193" s="87"/>
      <c r="BP193" s="87"/>
      <c r="BQ193" s="87"/>
      <c r="BR193" s="87"/>
      <c r="BS193" s="87"/>
      <c r="BT193" s="87"/>
      <c r="BU193" s="87"/>
      <c r="BV193" s="87"/>
      <c r="BW193" s="87"/>
      <c r="BX193" s="87"/>
      <c r="BY193" s="87"/>
      <c r="BZ193" s="87"/>
      <c r="CA193" s="87"/>
      <c r="CB193" s="87"/>
      <c r="CC193" s="87"/>
      <c r="CD193" s="87"/>
      <c r="CE193" s="87"/>
      <c r="CF193" s="87"/>
      <c r="CG193" s="87"/>
      <c r="CH193" s="87"/>
      <c r="CI193" s="87"/>
      <c r="CJ193" s="87"/>
      <c r="CK193" s="87"/>
      <c r="CL193" s="87"/>
      <c r="CM193" s="87"/>
      <c r="CN193" s="87"/>
      <c r="CO193" s="87"/>
      <c r="CP193" s="87"/>
      <c r="CQ193" s="87"/>
      <c r="CR193" s="87"/>
      <c r="CS193" s="87"/>
      <c r="CT193" s="87"/>
      <c r="CU193" s="87"/>
      <c r="CV193" s="87"/>
      <c r="CW193" s="87"/>
      <c r="CX193" s="87"/>
      <c r="CY193" s="87"/>
      <c r="CZ193" s="87"/>
      <c r="DA193" s="87"/>
      <c r="DB193" s="87"/>
      <c r="DC193" s="87"/>
      <c r="DD193" s="87"/>
      <c r="DE193" s="87"/>
      <c r="DF193" s="87"/>
      <c r="DG193" s="87"/>
      <c r="DH193" s="87"/>
      <c r="DI193" s="87"/>
      <c r="DJ193" s="87"/>
      <c r="DK193" s="87"/>
      <c r="DL193" s="87"/>
      <c r="DM193" s="87"/>
      <c r="DN193" s="87"/>
      <c r="DO193" s="87"/>
      <c r="DP193" s="87"/>
      <c r="DQ193" s="87"/>
      <c r="DR193" s="87"/>
      <c r="DS193" s="87"/>
      <c r="DT193" s="87"/>
      <c r="DU193" s="87"/>
      <c r="DV193" s="87"/>
      <c r="DW193" s="87"/>
      <c r="DX193" s="87"/>
      <c r="DY193" s="87"/>
      <c r="DZ193" s="87"/>
      <c r="EA193" s="87"/>
      <c r="EB193" s="87"/>
      <c r="EC193" s="87"/>
      <c r="ED193" s="87"/>
      <c r="EE193" s="87"/>
      <c r="EF193" s="87"/>
      <c r="EG193" s="75">
        <v>46017</v>
      </c>
      <c r="EH193" s="75">
        <v>46024</v>
      </c>
      <c r="EI193" s="75">
        <v>46031</v>
      </c>
    </row>
    <row r="194" spans="1:139" ht="16.5" hidden="1" thickBot="1" x14ac:dyDescent="0.35">
      <c r="A194" s="161" t="s">
        <v>212</v>
      </c>
      <c r="B194" s="194">
        <v>5</v>
      </c>
      <c r="C194" s="195">
        <f>166*0.2+0.1*100</f>
        <v>43.2</v>
      </c>
      <c r="D194" s="217">
        <f>C194/VLOOKUP(B194,'[2]Gas Prod per PADD'!$A$1:$C$6,2,FALSE)</f>
        <v>3.2000000000000001E-2</v>
      </c>
      <c r="E194" s="231">
        <v>45442</v>
      </c>
      <c r="F194" s="197">
        <v>45461</v>
      </c>
      <c r="G194" s="194" t="s">
        <v>457</v>
      </c>
      <c r="H194" s="230" t="s">
        <v>458</v>
      </c>
      <c r="I194" s="84"/>
      <c r="J194" s="85"/>
      <c r="K194" s="85"/>
      <c r="L194" s="85"/>
      <c r="M194" s="85"/>
      <c r="N194" s="85">
        <f>C194*(E194-$N$1)/31</f>
        <v>-1.3935483870967742</v>
      </c>
      <c r="O194" s="85"/>
      <c r="P194" s="85"/>
      <c r="Q194" s="85"/>
      <c r="R194" s="85"/>
      <c r="S194" s="85"/>
      <c r="T194" s="85"/>
      <c r="U194" s="85"/>
      <c r="V194" s="84"/>
      <c r="W194" s="84"/>
      <c r="X194" s="84" t="str">
        <f t="shared" ref="X194:X257" si="11">IF(COUNTA(Y194:EI194)=0,"Missing","OK")</f>
        <v>OK</v>
      </c>
      <c r="Y194" s="87"/>
      <c r="Z194" s="87"/>
      <c r="AA194" s="87"/>
      <c r="AB194" s="87"/>
      <c r="AC194" s="87"/>
      <c r="AD194" s="87"/>
      <c r="AE194" s="87"/>
      <c r="AF194" s="87"/>
      <c r="AG194" s="87"/>
      <c r="AH194" s="87"/>
      <c r="AI194" s="87"/>
      <c r="AJ194" s="87"/>
      <c r="AK194" s="87"/>
      <c r="AL194" s="87"/>
      <c r="AM194" s="87"/>
      <c r="AN194" s="87"/>
      <c r="AO194" s="87"/>
      <c r="AP194" s="87"/>
      <c r="AQ194" s="87"/>
      <c r="AR194" s="87"/>
      <c r="AS194" s="87"/>
      <c r="AT194" s="87"/>
      <c r="AU194" s="87"/>
      <c r="AV194" s="87"/>
      <c r="AW194" s="87"/>
      <c r="AX194" s="87"/>
      <c r="AY194" s="87"/>
      <c r="AZ194" s="87"/>
      <c r="BA194" s="87"/>
      <c r="BB194" s="87"/>
      <c r="BC194" s="87"/>
      <c r="BD194" s="87">
        <f>C194*0.75*-1</f>
        <v>-32.400000000000006</v>
      </c>
      <c r="BE194" s="87">
        <f>-C194-BD194</f>
        <v>-10.799999999999997</v>
      </c>
      <c r="BF194" s="87">
        <f>C194</f>
        <v>43.2</v>
      </c>
      <c r="BG194" s="87"/>
      <c r="BH194" s="87"/>
      <c r="BI194" s="87"/>
      <c r="BJ194" s="87"/>
      <c r="BK194" s="87"/>
      <c r="BL194" s="87"/>
      <c r="BM194" s="87"/>
      <c r="BN194" s="87"/>
      <c r="BO194" s="87"/>
      <c r="BP194" s="87"/>
      <c r="BQ194" s="87"/>
      <c r="BR194" s="87"/>
      <c r="BS194" s="87"/>
      <c r="BT194" s="87"/>
      <c r="BU194" s="87"/>
      <c r="BV194" s="87"/>
      <c r="BW194" s="87"/>
      <c r="BX194" s="87"/>
      <c r="BY194" s="87"/>
      <c r="BZ194" s="87"/>
      <c r="CA194" s="87"/>
      <c r="CB194" s="87"/>
      <c r="CC194" s="87"/>
      <c r="CD194" s="87"/>
      <c r="CE194" s="87"/>
      <c r="CF194" s="87"/>
      <c r="CG194" s="87"/>
      <c r="CH194" s="87"/>
      <c r="CI194" s="87"/>
      <c r="CJ194" s="87"/>
      <c r="CK194" s="87"/>
      <c r="CL194" s="87"/>
      <c r="CM194" s="87"/>
      <c r="CN194" s="87"/>
      <c r="CO194" s="87"/>
      <c r="CP194" s="87"/>
      <c r="CQ194" s="87"/>
      <c r="CR194" s="87"/>
      <c r="CS194" s="87"/>
      <c r="CT194" s="87"/>
      <c r="CU194" s="87"/>
      <c r="CV194" s="87"/>
      <c r="CW194" s="87"/>
      <c r="CX194" s="87"/>
      <c r="CY194" s="87"/>
      <c r="CZ194" s="87"/>
      <c r="DA194" s="87"/>
      <c r="DB194" s="87"/>
      <c r="DC194" s="87"/>
      <c r="DD194" s="87"/>
      <c r="DE194" s="87"/>
      <c r="DF194" s="87"/>
      <c r="DG194" s="87"/>
      <c r="DH194" s="87"/>
      <c r="DI194" s="87"/>
      <c r="DJ194" s="87"/>
      <c r="DK194" s="87"/>
      <c r="DL194" s="87"/>
      <c r="DM194" s="87"/>
      <c r="DN194" s="87"/>
      <c r="DO194" s="87"/>
      <c r="DP194" s="87"/>
      <c r="DQ194" s="87"/>
      <c r="DR194" s="87"/>
      <c r="DS194" s="87"/>
      <c r="DT194" s="87"/>
      <c r="DU194" s="87"/>
      <c r="DV194" s="87"/>
      <c r="DW194" s="87"/>
      <c r="DX194" s="87"/>
      <c r="DY194" s="87"/>
      <c r="DZ194" s="87"/>
      <c r="EA194" s="87"/>
      <c r="EB194" s="87"/>
      <c r="EC194" s="87"/>
      <c r="ED194" s="87"/>
      <c r="EE194" s="87"/>
      <c r="EF194" s="87"/>
      <c r="EG194" s="75">
        <v>46017</v>
      </c>
      <c r="EH194" s="75">
        <v>46024</v>
      </c>
      <c r="EI194" s="75">
        <v>46031</v>
      </c>
    </row>
    <row r="195" spans="1:139" ht="16.5" hidden="1" thickBot="1" x14ac:dyDescent="0.35">
      <c r="A195" s="113" t="s">
        <v>352</v>
      </c>
      <c r="B195" s="194">
        <v>5</v>
      </c>
      <c r="C195" s="195">
        <f>15*0.85</f>
        <v>12.75</v>
      </c>
      <c r="D195" s="217">
        <f>C195/VLOOKUP(B195,'[2]Gas Prod per PADD'!$A$1:$C$6,2,FALSE)</f>
        <v>9.4444444444444445E-3</v>
      </c>
      <c r="E195" s="231">
        <v>45452</v>
      </c>
      <c r="F195" s="197">
        <v>45461</v>
      </c>
      <c r="G195" s="194" t="s">
        <v>163</v>
      </c>
      <c r="H195" s="198" t="s">
        <v>216</v>
      </c>
      <c r="I195" s="84"/>
      <c r="J195" s="85"/>
      <c r="K195" s="85"/>
      <c r="L195" s="85"/>
      <c r="M195" s="85"/>
      <c r="N195" s="85"/>
      <c r="O195" s="85"/>
      <c r="P195" s="85"/>
      <c r="Q195" s="85"/>
      <c r="R195" s="85"/>
      <c r="S195" s="85"/>
      <c r="T195" s="85"/>
      <c r="U195" s="85"/>
      <c r="V195" s="84"/>
      <c r="W195" s="84"/>
      <c r="X195" s="84" t="str">
        <f t="shared" si="11"/>
        <v>OK</v>
      </c>
      <c r="Y195" s="87"/>
      <c r="Z195" s="87"/>
      <c r="AA195" s="87"/>
      <c r="AB195" s="87"/>
      <c r="AC195" s="87"/>
      <c r="AD195" s="87"/>
      <c r="AE195" s="87"/>
      <c r="AF195" s="87"/>
      <c r="AG195" s="87"/>
      <c r="AH195" s="87"/>
      <c r="AI195" s="87"/>
      <c r="AJ195" s="87"/>
      <c r="AK195" s="87"/>
      <c r="AL195" s="87"/>
      <c r="AM195" s="87"/>
      <c r="AN195" s="87"/>
      <c r="AO195" s="87"/>
      <c r="AP195" s="87"/>
      <c r="AQ195" s="87"/>
      <c r="AR195" s="87"/>
      <c r="AS195" s="87"/>
      <c r="AT195" s="87"/>
      <c r="AU195" s="87"/>
      <c r="AV195" s="87"/>
      <c r="AW195" s="87"/>
      <c r="AX195" s="87"/>
      <c r="AY195" s="87"/>
      <c r="AZ195" s="87"/>
      <c r="BA195" s="87"/>
      <c r="BB195" s="87"/>
      <c r="BC195" s="87"/>
      <c r="BD195" s="87"/>
      <c r="BE195" s="87">
        <f>-C195*2/3</f>
        <v>-8.5</v>
      </c>
      <c r="BF195" s="87">
        <f>-BE195</f>
        <v>8.5</v>
      </c>
      <c r="BG195" s="87"/>
      <c r="BH195" s="87"/>
      <c r="BI195" s="87"/>
      <c r="BJ195" s="87"/>
      <c r="BK195" s="87"/>
      <c r="BL195" s="87"/>
      <c r="BM195" s="87"/>
      <c r="BN195" s="87"/>
      <c r="BO195" s="87"/>
      <c r="BP195" s="87"/>
      <c r="BQ195" s="87"/>
      <c r="BR195" s="87"/>
      <c r="BS195" s="87"/>
      <c r="BT195" s="87"/>
      <c r="BU195" s="87"/>
      <c r="BV195" s="87"/>
      <c r="BW195" s="87"/>
      <c r="BX195" s="87"/>
      <c r="BY195" s="87"/>
      <c r="BZ195" s="87"/>
      <c r="CA195" s="87"/>
      <c r="CB195" s="87"/>
      <c r="CC195" s="87"/>
      <c r="CD195" s="87"/>
      <c r="CE195" s="87"/>
      <c r="CF195" s="87"/>
      <c r="CG195" s="87"/>
      <c r="CH195" s="87"/>
      <c r="CI195" s="87"/>
      <c r="CJ195" s="87"/>
      <c r="CK195" s="87"/>
      <c r="CL195" s="87"/>
      <c r="CM195" s="87"/>
      <c r="CN195" s="87"/>
      <c r="CO195" s="87"/>
      <c r="CP195" s="87"/>
      <c r="CQ195" s="87"/>
      <c r="CR195" s="87"/>
      <c r="CS195" s="87"/>
      <c r="CT195" s="87"/>
      <c r="CU195" s="87"/>
      <c r="CV195" s="87"/>
      <c r="CW195" s="87"/>
      <c r="CX195" s="87"/>
      <c r="CY195" s="87"/>
      <c r="CZ195" s="87"/>
      <c r="DA195" s="87"/>
      <c r="DB195" s="87"/>
      <c r="DC195" s="87"/>
      <c r="DD195" s="87"/>
      <c r="DE195" s="87"/>
      <c r="DF195" s="87"/>
      <c r="DG195" s="87"/>
      <c r="DH195" s="87"/>
      <c r="DI195" s="87"/>
      <c r="DJ195" s="87"/>
      <c r="DK195" s="87"/>
      <c r="DL195" s="87"/>
      <c r="DM195" s="87"/>
      <c r="DN195" s="87"/>
      <c r="DO195" s="87"/>
      <c r="DP195" s="87"/>
      <c r="DQ195" s="87"/>
      <c r="DR195" s="87"/>
      <c r="DS195" s="87"/>
      <c r="DT195" s="87"/>
      <c r="DU195" s="87"/>
      <c r="DV195" s="87"/>
      <c r="DW195" s="87"/>
      <c r="DX195" s="87"/>
      <c r="DY195" s="87"/>
      <c r="DZ195" s="87"/>
      <c r="EA195" s="87"/>
      <c r="EB195" s="87"/>
      <c r="EC195" s="87"/>
      <c r="ED195" s="87"/>
      <c r="EE195" s="87"/>
      <c r="EF195" s="87"/>
      <c r="EG195" s="75">
        <v>46017</v>
      </c>
      <c r="EH195" s="75">
        <v>46024</v>
      </c>
      <c r="EI195" s="75">
        <v>46031</v>
      </c>
    </row>
    <row r="196" spans="1:139" ht="29.25" hidden="1" thickBot="1" x14ac:dyDescent="0.35">
      <c r="A196" s="200" t="s">
        <v>285</v>
      </c>
      <c r="B196" s="180">
        <v>5</v>
      </c>
      <c r="C196" s="224">
        <f>0.85*28</f>
        <v>23.8</v>
      </c>
      <c r="D196" s="217">
        <f>C196/VLOOKUP(B196,'[2]Gas Prod per PADD'!$A$1:$C$6,2,FALSE)</f>
        <v>1.7629629629629631E-2</v>
      </c>
      <c r="E196" s="231">
        <v>45455</v>
      </c>
      <c r="F196" s="197">
        <v>45463</v>
      </c>
      <c r="G196" s="180" t="s">
        <v>459</v>
      </c>
      <c r="H196" s="221" t="s">
        <v>460</v>
      </c>
      <c r="I196" s="84"/>
      <c r="J196" s="85"/>
      <c r="K196" s="85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V196" s="84"/>
      <c r="W196" s="84"/>
      <c r="X196" s="84" t="str">
        <f t="shared" si="11"/>
        <v>OK</v>
      </c>
      <c r="Y196" s="105"/>
      <c r="Z196" s="105"/>
      <c r="AA196" s="87"/>
      <c r="AB196" s="87"/>
      <c r="AC196" s="87"/>
      <c r="AD196" s="87"/>
      <c r="AE196" s="105"/>
      <c r="AF196" s="105"/>
      <c r="AG196" s="105"/>
      <c r="AH196" s="105"/>
      <c r="AI196" s="87"/>
      <c r="AJ196" s="87"/>
      <c r="AK196" s="105"/>
      <c r="AL196" s="87"/>
      <c r="AM196" s="105"/>
      <c r="AN196" s="105"/>
      <c r="AO196" s="87"/>
      <c r="AP196" s="87"/>
      <c r="AQ196" s="105"/>
      <c r="AR196" s="105"/>
      <c r="AS196" s="87"/>
      <c r="AT196" s="105"/>
      <c r="AU196" s="87"/>
      <c r="AV196" s="87"/>
      <c r="AW196" s="105"/>
      <c r="AX196" s="105"/>
      <c r="AY196" s="87"/>
      <c r="AZ196" s="105"/>
      <c r="BA196" s="105"/>
      <c r="BB196" s="105"/>
      <c r="BC196" s="105"/>
      <c r="BD196" s="105"/>
      <c r="BE196" s="87">
        <f>0.2*C196*-1</f>
        <v>-4.7600000000000007</v>
      </c>
      <c r="BF196" s="105">
        <v>-11</v>
      </c>
      <c r="BG196" s="105">
        <f>BF196*-1</f>
        <v>11</v>
      </c>
      <c r="BH196" s="105">
        <f>BE196*-1</f>
        <v>4.7600000000000007</v>
      </c>
      <c r="BI196" s="105"/>
      <c r="BJ196" s="87"/>
      <c r="BK196" s="87"/>
      <c r="BL196" s="87"/>
      <c r="BM196" s="87"/>
      <c r="BN196" s="87"/>
      <c r="BO196" s="87"/>
      <c r="BP196" s="87"/>
      <c r="BQ196" s="87"/>
      <c r="BR196" s="87"/>
      <c r="BS196" s="87"/>
      <c r="BT196" s="87"/>
      <c r="BU196" s="87"/>
      <c r="BV196" s="87"/>
      <c r="BW196" s="87"/>
      <c r="BX196" s="87"/>
      <c r="BY196" s="87"/>
      <c r="BZ196" s="87"/>
      <c r="CA196" s="87"/>
      <c r="CB196" s="87"/>
      <c r="CC196" s="87"/>
      <c r="CD196" s="87"/>
      <c r="CE196" s="87"/>
      <c r="CF196" s="87"/>
      <c r="CG196" s="87"/>
      <c r="CH196" s="87"/>
      <c r="CI196" s="87"/>
      <c r="CJ196" s="87"/>
      <c r="CK196" s="87"/>
      <c r="CL196" s="87"/>
      <c r="CM196" s="87"/>
      <c r="CN196" s="87"/>
      <c r="CO196" s="87"/>
      <c r="CP196" s="87"/>
      <c r="CQ196" s="87"/>
      <c r="CR196" s="87"/>
      <c r="CS196" s="87"/>
      <c r="CT196" s="87"/>
      <c r="CU196" s="87"/>
      <c r="CV196" s="87"/>
      <c r="CW196" s="87"/>
      <c r="CX196" s="87"/>
      <c r="CY196" s="87"/>
      <c r="CZ196" s="87"/>
      <c r="DA196" s="87"/>
      <c r="DB196" s="87"/>
      <c r="DC196" s="87"/>
      <c r="DD196" s="87"/>
      <c r="DE196" s="87"/>
      <c r="DF196" s="87"/>
      <c r="DG196" s="87"/>
      <c r="DH196" s="87"/>
      <c r="DI196" s="87"/>
      <c r="DJ196" s="87"/>
      <c r="DK196" s="87"/>
      <c r="DL196" s="87"/>
      <c r="DM196" s="87"/>
      <c r="DN196" s="87"/>
      <c r="DO196" s="87"/>
      <c r="DP196" s="87"/>
      <c r="DQ196" s="87"/>
      <c r="DR196" s="87"/>
      <c r="DS196" s="87"/>
      <c r="DT196" s="87"/>
      <c r="DU196" s="87"/>
      <c r="DV196" s="87"/>
      <c r="DW196" s="87"/>
      <c r="DX196" s="87"/>
      <c r="DY196" s="87"/>
      <c r="DZ196" s="87"/>
      <c r="EA196" s="87"/>
      <c r="EB196" s="87"/>
      <c r="EC196" s="87"/>
      <c r="ED196" s="87"/>
      <c r="EE196" s="87"/>
      <c r="EF196" s="87"/>
      <c r="EG196" s="75">
        <v>46017</v>
      </c>
      <c r="EH196" s="75">
        <v>46024</v>
      </c>
      <c r="EI196" s="75">
        <v>46031</v>
      </c>
    </row>
    <row r="197" spans="1:139" ht="16.5" hidden="1" thickBot="1" x14ac:dyDescent="0.35">
      <c r="A197" s="219" t="s">
        <v>339</v>
      </c>
      <c r="B197" s="194">
        <v>3</v>
      </c>
      <c r="C197" s="195">
        <f>0.21*50</f>
        <v>10.5</v>
      </c>
      <c r="D197" s="217">
        <f>C197/VLOOKUP(B197,'[2]Gas Prod per PADD'!$A$1:$C$6,2,FALSE)</f>
        <v>2.2826086956521741E-3</v>
      </c>
      <c r="E197" s="196">
        <v>45459</v>
      </c>
      <c r="F197" s="197">
        <v>45463</v>
      </c>
      <c r="G197" s="194" t="s">
        <v>159</v>
      </c>
      <c r="H197" s="198" t="s">
        <v>364</v>
      </c>
      <c r="I197" s="84"/>
      <c r="J197" s="85"/>
      <c r="K197" s="85"/>
      <c r="L197" s="85"/>
      <c r="M197" s="85"/>
      <c r="N197" s="85"/>
      <c r="O197" s="85"/>
      <c r="P197" s="85"/>
      <c r="Q197" s="85"/>
      <c r="R197" s="85"/>
      <c r="S197" s="85"/>
      <c r="T197" s="85"/>
      <c r="U197" s="85"/>
      <c r="V197" s="84"/>
      <c r="W197" s="84"/>
      <c r="X197" s="84" t="str">
        <f t="shared" si="11"/>
        <v>OK</v>
      </c>
      <c r="Y197" s="86"/>
      <c r="Z197" s="87"/>
      <c r="AA197" s="87"/>
      <c r="AB197" s="87"/>
      <c r="AC197" s="87"/>
      <c r="AD197" s="87"/>
      <c r="AE197" s="87"/>
      <c r="AF197" s="87"/>
      <c r="AG197" s="87"/>
      <c r="AH197" s="87"/>
      <c r="AI197" s="87"/>
      <c r="AJ197" s="87"/>
      <c r="AK197" s="87"/>
      <c r="AL197" s="87"/>
      <c r="AM197" s="87"/>
      <c r="AN197" s="87"/>
      <c r="AO197" s="87"/>
      <c r="AP197" s="87"/>
      <c r="AQ197" s="87"/>
      <c r="AR197" s="87"/>
      <c r="AS197" s="87"/>
      <c r="AT197" s="87"/>
      <c r="AU197" s="87"/>
      <c r="AV197" s="87"/>
      <c r="AW197" s="87"/>
      <c r="AX197" s="87"/>
      <c r="AY197" s="87"/>
      <c r="AZ197" s="87"/>
      <c r="BA197" s="87"/>
      <c r="BB197" s="87"/>
      <c r="BC197" s="87"/>
      <c r="BD197" s="87"/>
      <c r="BE197" s="87"/>
      <c r="BF197" s="87">
        <f>-C197*4/7</f>
        <v>-6</v>
      </c>
      <c r="BG197" s="87">
        <f>BF197*-1</f>
        <v>6</v>
      </c>
      <c r="BH197" s="87"/>
      <c r="BI197" s="87"/>
      <c r="BJ197" s="87"/>
      <c r="BK197" s="87"/>
      <c r="BL197" s="87"/>
      <c r="BM197" s="87"/>
      <c r="BN197" s="87"/>
      <c r="BO197" s="87"/>
      <c r="BP197" s="87"/>
      <c r="BQ197" s="87"/>
      <c r="BR197" s="87"/>
      <c r="BS197" s="87"/>
      <c r="BT197" s="87"/>
      <c r="BU197" s="87"/>
      <c r="BV197" s="87"/>
      <c r="BW197" s="87"/>
      <c r="BX197" s="87"/>
      <c r="BY197" s="87"/>
      <c r="BZ197" s="87"/>
      <c r="CA197" s="87"/>
      <c r="CB197" s="87"/>
      <c r="CC197" s="87"/>
      <c r="CD197" s="87"/>
      <c r="CE197" s="87"/>
      <c r="CF197" s="87"/>
      <c r="CG197" s="87"/>
      <c r="CH197" s="87"/>
      <c r="CI197" s="87"/>
      <c r="CJ197" s="87"/>
      <c r="CK197" s="87"/>
      <c r="CL197" s="87"/>
      <c r="CM197" s="87"/>
      <c r="CN197" s="87"/>
      <c r="CO197" s="87"/>
      <c r="CP197" s="87"/>
      <c r="CQ197" s="87"/>
      <c r="CR197" s="87"/>
      <c r="CS197" s="87"/>
      <c r="CT197" s="87"/>
      <c r="CU197" s="87"/>
      <c r="CV197" s="87"/>
      <c r="CW197" s="87"/>
      <c r="CX197" s="87"/>
      <c r="CY197" s="87"/>
      <c r="CZ197" s="87"/>
      <c r="DA197" s="87"/>
      <c r="DB197" s="87"/>
      <c r="DC197" s="87"/>
      <c r="DD197" s="87"/>
      <c r="DE197" s="87"/>
      <c r="DF197" s="87"/>
      <c r="DG197" s="87"/>
      <c r="DH197" s="87"/>
      <c r="DI197" s="87"/>
      <c r="DJ197" s="87"/>
      <c r="DK197" s="87"/>
      <c r="DL197" s="87"/>
      <c r="DM197" s="87"/>
      <c r="DN197" s="87"/>
      <c r="DO197" s="87"/>
      <c r="DP197" s="87"/>
      <c r="DQ197" s="87"/>
      <c r="DR197" s="87"/>
      <c r="DS197" s="87"/>
      <c r="DT197" s="87"/>
      <c r="DU197" s="87"/>
      <c r="DV197" s="87"/>
      <c r="DW197" s="87"/>
      <c r="DX197" s="87"/>
      <c r="DY197" s="87"/>
      <c r="DZ197" s="87"/>
      <c r="EA197" s="87"/>
      <c r="EB197" s="87"/>
      <c r="EC197" s="87"/>
      <c r="ED197" s="87"/>
      <c r="EE197" s="87"/>
      <c r="EF197" s="87"/>
      <c r="EG197" s="87"/>
      <c r="EH197" s="87"/>
      <c r="EI197" s="87"/>
    </row>
    <row r="198" spans="1:139" ht="16.5" hidden="1" thickBot="1" x14ac:dyDescent="0.35">
      <c r="A198" s="175" t="s">
        <v>207</v>
      </c>
      <c r="B198" s="176">
        <v>5</v>
      </c>
      <c r="C198" s="177">
        <f>175*0.25</f>
        <v>43.75</v>
      </c>
      <c r="D198" s="217">
        <f>C198/VLOOKUP(B198,'[2]Gas Prod per PADD'!$A$1:$C$6,2,FALSE)</f>
        <v>3.2407407407407406E-2</v>
      </c>
      <c r="E198" s="220">
        <v>45460</v>
      </c>
      <c r="F198" s="232">
        <v>45465</v>
      </c>
      <c r="G198" s="180" t="s">
        <v>141</v>
      </c>
      <c r="H198" s="181" t="s">
        <v>461</v>
      </c>
      <c r="I198" s="84"/>
      <c r="J198" s="85"/>
      <c r="K198" s="85"/>
      <c r="L198" s="85"/>
      <c r="M198" s="85"/>
      <c r="N198" s="85"/>
      <c r="O198" s="85"/>
      <c r="P198" s="85"/>
      <c r="Q198" s="85"/>
      <c r="R198" s="85"/>
      <c r="S198" s="85"/>
      <c r="T198" s="85"/>
      <c r="U198" s="85"/>
      <c r="V198" s="84"/>
      <c r="W198" s="84"/>
      <c r="X198" s="84" t="str">
        <f t="shared" si="11"/>
        <v>OK</v>
      </c>
      <c r="Y198" s="105"/>
      <c r="Z198" s="105"/>
      <c r="AA198" s="87"/>
      <c r="AB198" s="87"/>
      <c r="AC198" s="87"/>
      <c r="AD198" s="87"/>
      <c r="AE198" s="105"/>
      <c r="AF198" s="105"/>
      <c r="AG198" s="105"/>
      <c r="AH198" s="105"/>
      <c r="AI198" s="87"/>
      <c r="AJ198" s="87"/>
      <c r="AK198" s="105"/>
      <c r="AL198" s="87"/>
      <c r="AM198" s="105"/>
      <c r="AN198" s="105"/>
      <c r="AO198" s="87"/>
      <c r="AP198" s="87"/>
      <c r="AQ198" s="105"/>
      <c r="AR198" s="105"/>
      <c r="AS198" s="87"/>
      <c r="AT198" s="105"/>
      <c r="AU198" s="105"/>
      <c r="AV198" s="87"/>
      <c r="AW198" s="105"/>
      <c r="AX198" s="105"/>
      <c r="AY198" s="87"/>
      <c r="AZ198" s="105"/>
      <c r="BA198" s="105"/>
      <c r="BB198" s="105"/>
      <c r="BC198" s="87"/>
      <c r="BD198" s="87"/>
      <c r="BE198" s="105"/>
      <c r="BF198" s="105">
        <f>-C198*4/7</f>
        <v>-25</v>
      </c>
      <c r="BG198" s="105">
        <f>-BF198-15</f>
        <v>10</v>
      </c>
      <c r="BH198" s="105">
        <v>15</v>
      </c>
      <c r="BI198" s="105"/>
      <c r="BJ198" s="87"/>
      <c r="BK198" s="87"/>
      <c r="BL198" s="87"/>
      <c r="BM198" s="87"/>
      <c r="BN198" s="87"/>
      <c r="BO198" s="87"/>
      <c r="BP198" s="87"/>
      <c r="BQ198" s="87"/>
      <c r="BR198" s="87"/>
      <c r="BS198" s="87"/>
      <c r="BT198" s="87"/>
      <c r="BU198" s="87"/>
      <c r="BV198" s="87"/>
      <c r="BW198" s="87"/>
      <c r="BX198" s="87"/>
      <c r="BY198" s="87"/>
      <c r="BZ198" s="87"/>
      <c r="CA198" s="87"/>
      <c r="CB198" s="87"/>
      <c r="CC198" s="87"/>
      <c r="CD198" s="87"/>
      <c r="CE198" s="87"/>
      <c r="CF198" s="87"/>
      <c r="CG198" s="87"/>
      <c r="CH198" s="87"/>
      <c r="CI198" s="87"/>
      <c r="CJ198" s="87"/>
      <c r="CK198" s="87"/>
      <c r="CL198" s="87"/>
      <c r="CM198" s="87"/>
      <c r="CN198" s="87"/>
      <c r="CO198" s="87"/>
      <c r="CP198" s="87"/>
      <c r="CQ198" s="87"/>
      <c r="CR198" s="87"/>
      <c r="CS198" s="87"/>
      <c r="CT198" s="87"/>
      <c r="CU198" s="87"/>
      <c r="CV198" s="87"/>
      <c r="CW198" s="87"/>
      <c r="CX198" s="87"/>
      <c r="CY198" s="87"/>
      <c r="CZ198" s="87"/>
      <c r="DA198" s="87"/>
      <c r="DB198" s="87"/>
      <c r="DC198" s="87"/>
      <c r="DD198" s="87"/>
      <c r="DE198" s="87"/>
      <c r="DF198" s="87"/>
      <c r="DG198" s="87"/>
      <c r="DH198" s="87"/>
      <c r="DI198" s="87"/>
      <c r="DJ198" s="87"/>
      <c r="DK198" s="87"/>
      <c r="DL198" s="87"/>
      <c r="DM198" s="87"/>
      <c r="DN198" s="87"/>
      <c r="DO198" s="87"/>
      <c r="DP198" s="87"/>
      <c r="DQ198" s="87"/>
      <c r="DR198" s="87"/>
      <c r="DS198" s="87"/>
      <c r="DT198" s="87"/>
      <c r="DU198" s="87"/>
      <c r="DV198" s="87"/>
      <c r="DW198" s="87"/>
      <c r="DX198" s="87"/>
      <c r="DY198" s="87"/>
      <c r="DZ198" s="87"/>
      <c r="EA198" s="87"/>
      <c r="EB198" s="87"/>
      <c r="EC198" s="87"/>
      <c r="ED198" s="87"/>
      <c r="EE198" s="87"/>
      <c r="EF198" s="87"/>
      <c r="EG198" s="75">
        <v>46017</v>
      </c>
      <c r="EH198" s="75">
        <v>46024</v>
      </c>
      <c r="EI198" s="75">
        <v>46031</v>
      </c>
    </row>
    <row r="199" spans="1:139" ht="43.5" hidden="1" thickBot="1" x14ac:dyDescent="0.35">
      <c r="A199" s="190" t="s">
        <v>462</v>
      </c>
      <c r="B199" s="191">
        <v>3</v>
      </c>
      <c r="C199" s="177">
        <f>44*0.1+30*0.85+0.1</f>
        <v>30</v>
      </c>
      <c r="D199" s="217">
        <f>C199/VLOOKUP(B199,'[2]Gas Prod per PADD'!$A$1:$C$6,2,FALSE)</f>
        <v>6.5217391304347823E-3</v>
      </c>
      <c r="E199" s="178">
        <v>45412</v>
      </c>
      <c r="F199" s="232">
        <v>45466</v>
      </c>
      <c r="G199" s="180" t="s">
        <v>463</v>
      </c>
      <c r="H199" s="233" t="s">
        <v>464</v>
      </c>
      <c r="I199" s="84"/>
      <c r="J199" s="85"/>
      <c r="K199" s="85"/>
      <c r="L199" s="85"/>
      <c r="M199" s="85">
        <f>C199*(E199-$M$1)/30</f>
        <v>0</v>
      </c>
      <c r="N199" s="85"/>
      <c r="O199" s="85"/>
      <c r="P199" s="85"/>
      <c r="Q199" s="85"/>
      <c r="R199" s="85"/>
      <c r="S199" s="85"/>
      <c r="T199" s="85"/>
      <c r="U199" s="85"/>
      <c r="V199" s="84"/>
      <c r="W199" s="84"/>
      <c r="X199" s="84" t="str">
        <f t="shared" si="11"/>
        <v>OK</v>
      </c>
      <c r="Y199" s="105"/>
      <c r="Z199" s="105"/>
      <c r="AA199" s="87"/>
      <c r="AB199" s="87"/>
      <c r="AC199" s="87"/>
      <c r="AD199" s="87"/>
      <c r="AE199" s="105"/>
      <c r="AF199" s="105"/>
      <c r="AG199" s="105"/>
      <c r="AH199" s="105"/>
      <c r="AI199" s="87"/>
      <c r="AJ199" s="87"/>
      <c r="AK199" s="105"/>
      <c r="AL199" s="87"/>
      <c r="AM199" s="105"/>
      <c r="AN199" s="105"/>
      <c r="AO199" s="87"/>
      <c r="AP199" s="87"/>
      <c r="AQ199" s="105"/>
      <c r="AR199" s="105"/>
      <c r="AS199" s="87"/>
      <c r="AT199" s="105"/>
      <c r="AU199" s="87"/>
      <c r="AV199" s="87"/>
      <c r="AW199" s="105"/>
      <c r="AX199" s="105"/>
      <c r="AY199" s="105">
        <v>-12.857142857142856</v>
      </c>
      <c r="AZ199" s="105">
        <v>-17.142857142857146</v>
      </c>
      <c r="BA199" s="87"/>
      <c r="BB199" s="87"/>
      <c r="BC199" s="87"/>
      <c r="BD199" s="87"/>
      <c r="BE199" s="87"/>
      <c r="BF199" s="87"/>
      <c r="BG199" s="105">
        <v>12.8571428571429</v>
      </c>
      <c r="BH199" s="105">
        <v>17.142857142857146</v>
      </c>
      <c r="BI199" s="105"/>
      <c r="BJ199" s="87"/>
      <c r="BK199" s="87"/>
      <c r="BL199" s="87"/>
      <c r="BM199" s="87"/>
      <c r="BN199" s="87"/>
      <c r="BO199" s="87"/>
      <c r="BP199" s="87"/>
      <c r="BQ199" s="87"/>
      <c r="BR199" s="87"/>
      <c r="BS199" s="87"/>
      <c r="BT199" s="87"/>
      <c r="BU199" s="87"/>
      <c r="BV199" s="87"/>
      <c r="BW199" s="87"/>
      <c r="BX199" s="87"/>
      <c r="BY199" s="87"/>
      <c r="BZ199" s="87"/>
      <c r="CA199" s="87"/>
      <c r="CB199" s="87"/>
      <c r="CC199" s="87"/>
      <c r="CD199" s="87"/>
      <c r="CE199" s="87"/>
      <c r="CF199" s="87"/>
      <c r="CG199" s="87"/>
      <c r="CH199" s="87"/>
      <c r="CI199" s="87"/>
      <c r="CJ199" s="87"/>
      <c r="CK199" s="87"/>
      <c r="CL199" s="87"/>
      <c r="CM199" s="87"/>
      <c r="CN199" s="87"/>
      <c r="CO199" s="87"/>
      <c r="CP199" s="87"/>
      <c r="CQ199" s="87"/>
      <c r="CR199" s="87"/>
      <c r="CS199" s="87"/>
      <c r="CT199" s="87"/>
      <c r="CU199" s="87"/>
      <c r="CV199" s="87"/>
      <c r="CW199" s="87"/>
      <c r="CX199" s="87"/>
      <c r="CY199" s="87"/>
      <c r="CZ199" s="87"/>
      <c r="DA199" s="87"/>
      <c r="DB199" s="87"/>
      <c r="DC199" s="87"/>
      <c r="DD199" s="87"/>
      <c r="DE199" s="87"/>
      <c r="DF199" s="87"/>
      <c r="DG199" s="87"/>
      <c r="DH199" s="87"/>
      <c r="DI199" s="87"/>
      <c r="DJ199" s="87"/>
      <c r="DK199" s="87"/>
      <c r="DL199" s="87"/>
      <c r="DM199" s="87"/>
      <c r="DN199" s="87"/>
      <c r="DO199" s="87"/>
      <c r="DP199" s="87"/>
      <c r="DQ199" s="87"/>
      <c r="DR199" s="87"/>
      <c r="DS199" s="87"/>
      <c r="DT199" s="87"/>
      <c r="DU199" s="87"/>
      <c r="DV199" s="87"/>
      <c r="DW199" s="87"/>
      <c r="DX199" s="87"/>
      <c r="DY199" s="87"/>
      <c r="DZ199" s="87"/>
      <c r="EA199" s="87"/>
      <c r="EB199" s="87"/>
      <c r="EC199" s="87"/>
      <c r="ED199" s="87"/>
      <c r="EE199" s="87"/>
      <c r="EF199" s="87"/>
      <c r="EG199" s="87"/>
      <c r="EH199" s="87"/>
      <c r="EI199" s="87"/>
    </row>
    <row r="200" spans="1:139" ht="16.5" hidden="1" thickBot="1" x14ac:dyDescent="0.35">
      <c r="A200" s="161" t="s">
        <v>445</v>
      </c>
      <c r="B200" s="180">
        <v>5</v>
      </c>
      <c r="C200" s="224">
        <f>32*0.85</f>
        <v>27.2</v>
      </c>
      <c r="D200" s="234">
        <f>C200/VLOOKUP(B200,'[2]Gas Prod per PADD'!$A$1:$C$6,2,FALSE)</f>
        <v>2.0148148148148148E-2</v>
      </c>
      <c r="E200" s="231">
        <v>45450</v>
      </c>
      <c r="F200" s="197">
        <v>45468</v>
      </c>
      <c r="G200" s="180" t="s">
        <v>465</v>
      </c>
      <c r="H200" s="221" t="s">
        <v>466</v>
      </c>
      <c r="I200" s="84"/>
      <c r="J200" s="85"/>
      <c r="K200" s="85"/>
      <c r="L200" s="85"/>
      <c r="M200" s="85"/>
      <c r="N200" s="85"/>
      <c r="O200" s="85"/>
      <c r="P200" s="85"/>
      <c r="Q200" s="85"/>
      <c r="R200" s="85"/>
      <c r="S200" s="85"/>
      <c r="T200" s="85"/>
      <c r="U200" s="85"/>
      <c r="V200" s="84"/>
      <c r="W200" s="84"/>
      <c r="X200" s="84" t="str">
        <f t="shared" si="11"/>
        <v>OK</v>
      </c>
      <c r="Y200" s="105"/>
      <c r="Z200" s="105"/>
      <c r="AA200" s="87"/>
      <c r="AB200" s="87"/>
      <c r="AC200" s="87"/>
      <c r="AD200" s="87"/>
      <c r="AE200" s="105"/>
      <c r="AF200" s="105"/>
      <c r="AG200" s="105"/>
      <c r="AH200" s="105"/>
      <c r="AI200" s="87"/>
      <c r="AJ200" s="87"/>
      <c r="AK200" s="105"/>
      <c r="AL200" s="87"/>
      <c r="AM200" s="105"/>
      <c r="AN200" s="105"/>
      <c r="AO200" s="87"/>
      <c r="AP200" s="87"/>
      <c r="AQ200" s="105"/>
      <c r="AR200" s="105"/>
      <c r="AS200" s="87"/>
      <c r="AT200" s="105"/>
      <c r="AU200" s="87"/>
      <c r="AV200" s="87"/>
      <c r="AW200" s="105"/>
      <c r="AX200" s="105"/>
      <c r="AY200" s="87"/>
      <c r="AZ200" s="105"/>
      <c r="BA200" s="105"/>
      <c r="BB200" s="105"/>
      <c r="BC200" s="105"/>
      <c r="BD200" s="105"/>
      <c r="BE200" s="105">
        <f>-C200</f>
        <v>-27.2</v>
      </c>
      <c r="BF200" s="105"/>
      <c r="BG200" s="105"/>
      <c r="BH200" s="105">
        <f>-BE200-BG200-12</f>
        <v>15.2</v>
      </c>
      <c r="BI200" s="105">
        <f>C200-BH200</f>
        <v>12</v>
      </c>
      <c r="BJ200" s="87"/>
      <c r="BK200" s="87"/>
      <c r="BL200" s="87"/>
      <c r="BM200" s="87"/>
      <c r="BN200" s="87"/>
      <c r="BO200" s="87"/>
      <c r="BP200" s="87"/>
      <c r="BQ200" s="87"/>
      <c r="BR200" s="87"/>
      <c r="BS200" s="87"/>
      <c r="BT200" s="87"/>
      <c r="BU200" s="87"/>
      <c r="BV200" s="87"/>
      <c r="BW200" s="87"/>
      <c r="BX200" s="87"/>
      <c r="BY200" s="87"/>
      <c r="BZ200" s="87"/>
      <c r="CA200" s="87"/>
      <c r="CB200" s="87"/>
      <c r="CC200" s="87"/>
      <c r="CD200" s="87"/>
      <c r="CE200" s="87"/>
      <c r="CF200" s="87"/>
      <c r="CG200" s="87"/>
      <c r="CH200" s="87"/>
      <c r="CI200" s="87"/>
      <c r="CJ200" s="87"/>
      <c r="CK200" s="87"/>
      <c r="CL200" s="87"/>
      <c r="CM200" s="87"/>
      <c r="CN200" s="87"/>
      <c r="CO200" s="87"/>
      <c r="CP200" s="87"/>
      <c r="CQ200" s="87"/>
      <c r="CR200" s="87"/>
      <c r="CS200" s="87"/>
      <c r="CT200" s="87"/>
      <c r="CU200" s="87"/>
      <c r="CV200" s="87"/>
      <c r="CW200" s="87"/>
      <c r="CX200" s="87"/>
      <c r="CY200" s="87"/>
      <c r="CZ200" s="87"/>
      <c r="DA200" s="87"/>
      <c r="DB200" s="87"/>
      <c r="DC200" s="87"/>
      <c r="DD200" s="87"/>
      <c r="DE200" s="87"/>
      <c r="DF200" s="87"/>
      <c r="DG200" s="87"/>
      <c r="DH200" s="87"/>
      <c r="DI200" s="87"/>
      <c r="DJ200" s="87"/>
      <c r="DK200" s="87"/>
      <c r="DL200" s="87"/>
      <c r="DM200" s="87"/>
      <c r="DN200" s="87"/>
      <c r="DO200" s="87"/>
      <c r="DP200" s="87"/>
      <c r="DQ200" s="87"/>
      <c r="DR200" s="87"/>
      <c r="DS200" s="87"/>
      <c r="DT200" s="87"/>
      <c r="DU200" s="87"/>
      <c r="DV200" s="87"/>
      <c r="DW200" s="87"/>
      <c r="DX200" s="87"/>
      <c r="DY200" s="87"/>
      <c r="DZ200" s="87"/>
      <c r="EA200" s="87"/>
      <c r="EB200" s="87"/>
      <c r="EC200" s="87"/>
      <c r="ED200" s="87"/>
      <c r="EE200" s="87"/>
      <c r="EF200" s="87"/>
      <c r="EG200" s="75">
        <v>46017</v>
      </c>
      <c r="EH200" s="75">
        <v>46024</v>
      </c>
      <c r="EI200" s="75">
        <v>46031</v>
      </c>
    </row>
    <row r="201" spans="1:139" ht="16.5" hidden="1" thickBot="1" x14ac:dyDescent="0.35">
      <c r="A201" s="113" t="s">
        <v>467</v>
      </c>
      <c r="B201" s="194">
        <v>2</v>
      </c>
      <c r="C201" s="195">
        <f>20*0.3</f>
        <v>6</v>
      </c>
      <c r="D201" s="217">
        <f>C201/VLOOKUP(B201,'[2]Gas Prod per PADD'!$A$1:$C$6,2,FALSE)</f>
        <v>2.5000000000000001E-3</v>
      </c>
      <c r="E201" s="196">
        <v>45465</v>
      </c>
      <c r="F201" s="235">
        <v>45469</v>
      </c>
      <c r="G201" s="194" t="s">
        <v>218</v>
      </c>
      <c r="H201" s="198" t="s">
        <v>468</v>
      </c>
      <c r="I201" s="84"/>
      <c r="J201" s="85"/>
      <c r="K201" s="85"/>
      <c r="L201" s="85"/>
      <c r="M201" s="85"/>
      <c r="N201" s="85"/>
      <c r="O201" s="85"/>
      <c r="P201" s="85"/>
      <c r="Q201" s="85"/>
      <c r="R201" s="85"/>
      <c r="S201" s="85"/>
      <c r="T201" s="85"/>
      <c r="U201" s="85"/>
      <c r="V201" s="84"/>
      <c r="W201" s="84"/>
      <c r="X201" s="84" t="str">
        <f t="shared" si="11"/>
        <v>OK</v>
      </c>
      <c r="Y201" s="87"/>
      <c r="Z201" s="87"/>
      <c r="AA201" s="87"/>
      <c r="AB201" s="87"/>
      <c r="AC201" s="87"/>
      <c r="AD201" s="87"/>
      <c r="AE201" s="87"/>
      <c r="AF201" s="87"/>
      <c r="AG201" s="87"/>
      <c r="AH201" s="87"/>
      <c r="AI201" s="87"/>
      <c r="AJ201" s="87"/>
      <c r="AK201" s="87"/>
      <c r="AL201" s="87"/>
      <c r="AM201" s="87"/>
      <c r="AN201" s="87"/>
      <c r="AO201" s="87"/>
      <c r="AP201" s="87"/>
      <c r="AQ201" s="87"/>
      <c r="AR201" s="87"/>
      <c r="AS201" s="87"/>
      <c r="AT201" s="87"/>
      <c r="AU201" s="87"/>
      <c r="AV201" s="87"/>
      <c r="AW201" s="87"/>
      <c r="AX201" s="87"/>
      <c r="AY201" s="87"/>
      <c r="AZ201" s="87"/>
      <c r="BA201" s="87"/>
      <c r="BB201" s="87"/>
      <c r="BC201" s="87"/>
      <c r="BD201" s="87"/>
      <c r="BE201" s="87"/>
      <c r="BF201" s="87"/>
      <c r="BG201" s="87">
        <f>C201*-3/7</f>
        <v>-2.5714285714285716</v>
      </c>
      <c r="BH201" s="87">
        <f>-BG201</f>
        <v>2.5714285714285716</v>
      </c>
      <c r="BI201" s="87"/>
      <c r="BJ201" s="87"/>
      <c r="BK201" s="87"/>
      <c r="BL201" s="87"/>
      <c r="BM201" s="87"/>
      <c r="BN201" s="87"/>
      <c r="BO201" s="87"/>
      <c r="BP201" s="87"/>
      <c r="BQ201" s="87"/>
      <c r="BR201" s="87"/>
      <c r="BS201" s="87"/>
      <c r="BT201" s="87"/>
      <c r="BU201" s="87"/>
      <c r="BV201" s="87"/>
      <c r="BW201" s="87"/>
      <c r="BX201" s="87"/>
      <c r="BY201" s="87"/>
      <c r="BZ201" s="87"/>
      <c r="CA201" s="87"/>
      <c r="CB201" s="87"/>
      <c r="CC201" s="87"/>
      <c r="CD201" s="87"/>
      <c r="CE201" s="87"/>
      <c r="CF201" s="87"/>
      <c r="CG201" s="87"/>
      <c r="CH201" s="87"/>
      <c r="CI201" s="87"/>
      <c r="CJ201" s="87"/>
      <c r="CK201" s="87"/>
      <c r="CL201" s="87"/>
      <c r="CM201" s="87"/>
      <c r="CN201" s="87"/>
      <c r="CO201" s="87"/>
      <c r="CP201" s="87"/>
      <c r="CQ201" s="87"/>
      <c r="CR201" s="87"/>
      <c r="CS201" s="87"/>
      <c r="CT201" s="87"/>
      <c r="CU201" s="87"/>
      <c r="CV201" s="87"/>
      <c r="CW201" s="87"/>
      <c r="CX201" s="87"/>
      <c r="CY201" s="87"/>
      <c r="CZ201" s="87"/>
      <c r="DA201" s="87"/>
      <c r="DB201" s="87"/>
      <c r="DC201" s="87"/>
      <c r="DD201" s="87"/>
      <c r="DE201" s="87"/>
      <c r="DF201" s="87"/>
      <c r="DG201" s="87"/>
      <c r="DH201" s="87"/>
      <c r="DI201" s="87"/>
      <c r="DJ201" s="87"/>
      <c r="DK201" s="87"/>
      <c r="DL201" s="87"/>
      <c r="DM201" s="87"/>
      <c r="DN201" s="87"/>
      <c r="DO201" s="87"/>
      <c r="DP201" s="87"/>
      <c r="DQ201" s="87"/>
      <c r="DR201" s="87"/>
      <c r="DS201" s="87"/>
      <c r="DT201" s="87"/>
      <c r="DU201" s="87"/>
      <c r="DV201" s="87"/>
      <c r="DW201" s="87"/>
      <c r="DX201" s="87"/>
      <c r="DY201" s="87"/>
      <c r="DZ201" s="87"/>
      <c r="EA201" s="87"/>
      <c r="EB201" s="87"/>
      <c r="EC201" s="87"/>
      <c r="ED201" s="87"/>
      <c r="EE201" s="87"/>
      <c r="EF201" s="87"/>
      <c r="EG201" s="87"/>
      <c r="EH201" s="87"/>
      <c r="EI201" s="87"/>
    </row>
    <row r="202" spans="1:139" ht="16.5" hidden="1" thickBot="1" x14ac:dyDescent="0.35">
      <c r="A202" s="222" t="s">
        <v>469</v>
      </c>
      <c r="B202" s="180">
        <v>3</v>
      </c>
      <c r="C202" s="224">
        <f>78*0.85</f>
        <v>66.3</v>
      </c>
      <c r="D202" s="217">
        <f>C202/VLOOKUP(B202,'[2]Gas Prod per PADD'!$A$1:$C$6,2,FALSE)</f>
        <v>1.4413043478260869E-2</v>
      </c>
      <c r="E202" s="196">
        <v>45464</v>
      </c>
      <c r="F202" s="197">
        <f>E202+7</f>
        <v>45471</v>
      </c>
      <c r="G202" s="180" t="s">
        <v>470</v>
      </c>
      <c r="H202" s="221" t="s">
        <v>471</v>
      </c>
      <c r="I202" s="84"/>
      <c r="J202" s="85"/>
      <c r="K202" s="85"/>
      <c r="L202" s="85"/>
      <c r="M202" s="85"/>
      <c r="N202" s="85"/>
      <c r="O202" s="85"/>
      <c r="P202" s="85"/>
      <c r="Q202" s="85"/>
      <c r="R202" s="85"/>
      <c r="S202" s="85"/>
      <c r="T202" s="85"/>
      <c r="U202" s="85"/>
      <c r="V202" s="84"/>
      <c r="W202" s="84"/>
      <c r="X202" s="84" t="str">
        <f t="shared" si="11"/>
        <v>OK</v>
      </c>
      <c r="Y202" s="105"/>
      <c r="Z202" s="105"/>
      <c r="AA202" s="87"/>
      <c r="AB202" s="87"/>
      <c r="AC202" s="87"/>
      <c r="AD202" s="87"/>
      <c r="AE202" s="105"/>
      <c r="AF202" s="105"/>
      <c r="AG202" s="105"/>
      <c r="AH202" s="105"/>
      <c r="AI202" s="87"/>
      <c r="AJ202" s="87"/>
      <c r="AK202" s="105"/>
      <c r="AL202" s="87"/>
      <c r="AM202" s="105"/>
      <c r="AN202" s="105"/>
      <c r="AO202" s="87"/>
      <c r="AP202" s="87"/>
      <c r="AQ202" s="105"/>
      <c r="AR202" s="105"/>
      <c r="AS202" s="87"/>
      <c r="AT202" s="105"/>
      <c r="AU202" s="87"/>
      <c r="AV202" s="87"/>
      <c r="AW202" s="105"/>
      <c r="AX202" s="105"/>
      <c r="AY202" s="87"/>
      <c r="AZ202" s="87"/>
      <c r="BA202" s="105"/>
      <c r="BB202" s="105"/>
      <c r="BC202" s="105"/>
      <c r="BD202" s="105"/>
      <c r="BE202" s="105"/>
      <c r="BF202" s="87"/>
      <c r="BG202" s="105">
        <f>-C202/2</f>
        <v>-33.15</v>
      </c>
      <c r="BH202" s="105"/>
      <c r="BI202" s="105">
        <f>-BG202</f>
        <v>33.15</v>
      </c>
      <c r="BJ202" s="87"/>
      <c r="BK202" s="87"/>
      <c r="BL202" s="87"/>
      <c r="BM202" s="105"/>
      <c r="BN202" s="87"/>
      <c r="BO202" s="87"/>
      <c r="BP202" s="87"/>
      <c r="BQ202" s="87"/>
      <c r="BR202" s="87"/>
      <c r="BS202" s="87"/>
      <c r="BT202" s="87"/>
      <c r="BU202" s="87"/>
      <c r="BV202" s="87"/>
      <c r="BW202" s="87"/>
      <c r="BX202" s="87"/>
      <c r="BY202" s="87"/>
      <c r="BZ202" s="87"/>
      <c r="CA202" s="87"/>
      <c r="CB202" s="87"/>
      <c r="CC202" s="87"/>
      <c r="CD202" s="87"/>
      <c r="CE202" s="87"/>
      <c r="CF202" s="87"/>
      <c r="CG202" s="87"/>
      <c r="CH202" s="87"/>
      <c r="CI202" s="87"/>
      <c r="CJ202" s="87"/>
      <c r="CK202" s="87"/>
      <c r="CL202" s="87"/>
      <c r="CM202" s="87"/>
      <c r="CN202" s="87"/>
      <c r="CO202" s="87"/>
      <c r="CP202" s="87"/>
      <c r="CQ202" s="87"/>
      <c r="CR202" s="87"/>
      <c r="CS202" s="87"/>
      <c r="CT202" s="87"/>
      <c r="CU202" s="87"/>
      <c r="CV202" s="87"/>
      <c r="CW202" s="87"/>
      <c r="CX202" s="87"/>
      <c r="CY202" s="87"/>
      <c r="CZ202" s="87"/>
      <c r="DA202" s="87"/>
      <c r="DB202" s="87"/>
      <c r="DC202" s="87"/>
      <c r="DD202" s="87"/>
      <c r="DE202" s="87"/>
      <c r="DF202" s="87"/>
      <c r="DG202" s="87"/>
      <c r="DH202" s="87"/>
      <c r="DI202" s="87"/>
      <c r="DJ202" s="87"/>
      <c r="DK202" s="87"/>
      <c r="DL202" s="87"/>
      <c r="DM202" s="87"/>
      <c r="DN202" s="87"/>
      <c r="DO202" s="87"/>
      <c r="DP202" s="87"/>
      <c r="DQ202" s="87"/>
      <c r="DR202" s="87"/>
      <c r="DS202" s="87"/>
      <c r="DT202" s="87"/>
      <c r="DU202" s="87"/>
      <c r="DV202" s="87"/>
      <c r="DW202" s="87"/>
      <c r="DX202" s="87"/>
      <c r="DY202" s="87"/>
      <c r="DZ202" s="87"/>
      <c r="EA202" s="87"/>
      <c r="EB202" s="87"/>
      <c r="EC202" s="87"/>
      <c r="ED202" s="87"/>
      <c r="EE202" s="87"/>
      <c r="EF202" s="87"/>
      <c r="EG202" s="87"/>
      <c r="EH202" s="87"/>
      <c r="EI202" s="87"/>
    </row>
    <row r="203" spans="1:139" ht="16.5" hidden="1" thickBot="1" x14ac:dyDescent="0.35">
      <c r="A203" s="222" t="s">
        <v>149</v>
      </c>
      <c r="B203" s="180">
        <v>3</v>
      </c>
      <c r="C203" s="224">
        <f>30*0.1</f>
        <v>3</v>
      </c>
      <c r="D203" s="217">
        <f>C203/VLOOKUP(B203,'[2]Gas Prod per PADD'!$A$1:$C$6,2,FALSE)</f>
        <v>6.5217391304347831E-4</v>
      </c>
      <c r="E203" s="196">
        <v>45446</v>
      </c>
      <c r="F203" s="197">
        <v>45473</v>
      </c>
      <c r="G203" s="180" t="s">
        <v>472</v>
      </c>
      <c r="H203" s="221" t="s">
        <v>379</v>
      </c>
      <c r="I203" s="84"/>
      <c r="J203" s="85"/>
      <c r="K203" s="85"/>
      <c r="L203" s="85"/>
      <c r="M203" s="85"/>
      <c r="N203" s="85"/>
      <c r="O203" s="85"/>
      <c r="P203" s="85"/>
      <c r="Q203" s="85"/>
      <c r="R203" s="85"/>
      <c r="S203" s="85"/>
      <c r="T203" s="85"/>
      <c r="U203" s="85"/>
      <c r="V203" s="84"/>
      <c r="W203" s="84"/>
      <c r="X203" s="84" t="str">
        <f t="shared" si="11"/>
        <v>OK</v>
      </c>
      <c r="Y203" s="105"/>
      <c r="Z203" s="105"/>
      <c r="AA203" s="87"/>
      <c r="AB203" s="87"/>
      <c r="AC203" s="87"/>
      <c r="AD203" s="87"/>
      <c r="AE203" s="105"/>
      <c r="AF203" s="105"/>
      <c r="AG203" s="105"/>
      <c r="AH203" s="105"/>
      <c r="AI203" s="87"/>
      <c r="AJ203" s="87"/>
      <c r="AK203" s="105"/>
      <c r="AL203" s="87"/>
      <c r="AM203" s="105"/>
      <c r="AN203" s="105"/>
      <c r="AO203" s="87"/>
      <c r="AP203" s="87"/>
      <c r="AQ203" s="105"/>
      <c r="AR203" s="105"/>
      <c r="AS203" s="87"/>
      <c r="AT203" s="105"/>
      <c r="AU203" s="87"/>
      <c r="AV203" s="87"/>
      <c r="AW203" s="105"/>
      <c r="AX203" s="105"/>
      <c r="AY203" s="87"/>
      <c r="AZ203" s="87"/>
      <c r="BA203" s="105"/>
      <c r="BB203" s="105"/>
      <c r="BC203" s="105"/>
      <c r="BD203" s="105">
        <f>-C203</f>
        <v>-3</v>
      </c>
      <c r="BE203" s="105"/>
      <c r="BF203" s="87"/>
      <c r="BG203" s="105"/>
      <c r="BH203" s="105">
        <f>-BD203</f>
        <v>3</v>
      </c>
      <c r="BI203" s="105"/>
      <c r="BJ203" s="87"/>
      <c r="BK203" s="87"/>
      <c r="BL203" s="87"/>
      <c r="BM203" s="105"/>
      <c r="BN203" s="87"/>
      <c r="BO203" s="87"/>
      <c r="BP203" s="87"/>
      <c r="BQ203" s="87"/>
      <c r="BR203" s="87"/>
      <c r="BS203" s="87"/>
      <c r="BT203" s="87"/>
      <c r="BU203" s="87"/>
      <c r="BV203" s="87"/>
      <c r="BW203" s="87"/>
      <c r="BX203" s="87"/>
      <c r="BY203" s="87"/>
      <c r="BZ203" s="87"/>
      <c r="CA203" s="87"/>
      <c r="CB203" s="87"/>
      <c r="CC203" s="87"/>
      <c r="CD203" s="87"/>
      <c r="CE203" s="87"/>
      <c r="CF203" s="87"/>
      <c r="CG203" s="87"/>
      <c r="CH203" s="87"/>
      <c r="CI203" s="87"/>
      <c r="CJ203" s="87"/>
      <c r="CK203" s="87"/>
      <c r="CL203" s="87"/>
      <c r="CM203" s="87"/>
      <c r="CN203" s="87"/>
      <c r="CO203" s="87"/>
      <c r="CP203" s="87"/>
      <c r="CQ203" s="87"/>
      <c r="CR203" s="87"/>
      <c r="CS203" s="87"/>
      <c r="CT203" s="87"/>
      <c r="CU203" s="87"/>
      <c r="CV203" s="87"/>
      <c r="CW203" s="87"/>
      <c r="CX203" s="87"/>
      <c r="CY203" s="87"/>
      <c r="CZ203" s="87"/>
      <c r="DA203" s="87"/>
      <c r="DB203" s="87"/>
      <c r="DC203" s="87"/>
      <c r="DD203" s="87"/>
      <c r="DE203" s="87"/>
      <c r="DF203" s="87"/>
      <c r="DG203" s="87"/>
      <c r="DH203" s="87"/>
      <c r="DI203" s="87"/>
      <c r="DJ203" s="87"/>
      <c r="DK203" s="87"/>
      <c r="DL203" s="87"/>
      <c r="DM203" s="87"/>
      <c r="DN203" s="87"/>
      <c r="DO203" s="87"/>
      <c r="DP203" s="87"/>
      <c r="DQ203" s="87"/>
      <c r="DR203" s="87"/>
      <c r="DS203" s="87"/>
      <c r="DT203" s="87"/>
      <c r="DU203" s="87"/>
      <c r="DV203" s="87"/>
      <c r="DW203" s="87"/>
      <c r="DX203" s="87"/>
      <c r="DY203" s="87"/>
      <c r="DZ203" s="87"/>
      <c r="EA203" s="87"/>
      <c r="EB203" s="87"/>
      <c r="EC203" s="87"/>
      <c r="ED203" s="87"/>
      <c r="EE203" s="87"/>
      <c r="EF203" s="87"/>
      <c r="EG203" s="87"/>
      <c r="EH203" s="87"/>
      <c r="EI203" s="87"/>
    </row>
    <row r="204" spans="1:139" ht="16.5" hidden="1" thickBot="1" x14ac:dyDescent="0.35">
      <c r="A204" s="222" t="s">
        <v>268</v>
      </c>
      <c r="B204" s="223">
        <v>3</v>
      </c>
      <c r="C204" s="224">
        <f>(105*0.3)+(0.1*17)</f>
        <v>33.200000000000003</v>
      </c>
      <c r="D204" s="217">
        <f>C204/VLOOKUP(B204,'[2]Gas Prod per PADD'!$A$1:$C$6,2,FALSE)</f>
        <v>7.2173913043478265E-3</v>
      </c>
      <c r="E204" s="196">
        <v>45466</v>
      </c>
      <c r="F204" s="197">
        <f>E204+7</f>
        <v>45473</v>
      </c>
      <c r="G204" s="180" t="s">
        <v>378</v>
      </c>
      <c r="H204" s="221" t="s">
        <v>473</v>
      </c>
      <c r="I204" s="84"/>
      <c r="J204" s="85"/>
      <c r="K204" s="85"/>
      <c r="L204" s="85"/>
      <c r="M204" s="85"/>
      <c r="N204" s="85"/>
      <c r="O204" s="85"/>
      <c r="P204" s="85"/>
      <c r="Q204" s="85"/>
      <c r="R204" s="85"/>
      <c r="S204" s="85"/>
      <c r="T204" s="85"/>
      <c r="U204" s="85"/>
      <c r="V204" s="84"/>
      <c r="W204" s="84"/>
      <c r="X204" s="84" t="str">
        <f t="shared" si="11"/>
        <v>OK</v>
      </c>
      <c r="Y204" s="105"/>
      <c r="Z204" s="105"/>
      <c r="AA204" s="87"/>
      <c r="AB204" s="87"/>
      <c r="AC204" s="87"/>
      <c r="AD204" s="87"/>
      <c r="AE204" s="105"/>
      <c r="AF204" s="105"/>
      <c r="AG204" s="105"/>
      <c r="AH204" s="105"/>
      <c r="AI204" s="87"/>
      <c r="AJ204" s="87"/>
      <c r="AK204" s="105"/>
      <c r="AL204" s="87"/>
      <c r="AM204" s="105"/>
      <c r="AN204" s="105"/>
      <c r="AO204" s="87"/>
      <c r="AP204" s="87"/>
      <c r="AQ204" s="105"/>
      <c r="AR204" s="105"/>
      <c r="AS204" s="87"/>
      <c r="AT204" s="105"/>
      <c r="AU204" s="87"/>
      <c r="AV204" s="87"/>
      <c r="AW204" s="105"/>
      <c r="AX204" s="105"/>
      <c r="AY204" s="87"/>
      <c r="AZ204" s="87"/>
      <c r="BA204" s="105"/>
      <c r="BB204" s="105"/>
      <c r="BC204" s="105"/>
      <c r="BD204" s="105"/>
      <c r="BE204" s="87"/>
      <c r="BF204" s="87"/>
      <c r="BG204" s="105">
        <f>-0.7*C204</f>
        <v>-23.240000000000002</v>
      </c>
      <c r="BH204" s="105"/>
      <c r="BI204" s="105">
        <f>BG204*-1</f>
        <v>23.240000000000002</v>
      </c>
      <c r="BJ204" s="87"/>
      <c r="BK204" s="87"/>
      <c r="BL204" s="87"/>
      <c r="BM204" s="87"/>
      <c r="BN204" s="87"/>
      <c r="BO204" s="87"/>
      <c r="BP204" s="87"/>
      <c r="BQ204" s="87"/>
      <c r="BR204" s="87"/>
      <c r="BS204" s="87"/>
      <c r="BT204" s="87"/>
      <c r="BU204" s="87"/>
      <c r="BV204" s="87"/>
      <c r="BW204" s="87"/>
      <c r="BX204" s="87"/>
      <c r="BY204" s="87"/>
      <c r="BZ204" s="87"/>
      <c r="CA204" s="87"/>
      <c r="CB204" s="87"/>
      <c r="CC204" s="87"/>
      <c r="CD204" s="87"/>
      <c r="CE204" s="87"/>
      <c r="CF204" s="87"/>
      <c r="CG204" s="87"/>
      <c r="CH204" s="87"/>
      <c r="CI204" s="87"/>
      <c r="CJ204" s="87"/>
      <c r="CK204" s="87"/>
      <c r="CL204" s="87"/>
      <c r="CM204" s="87"/>
      <c r="CN204" s="87"/>
      <c r="CO204" s="87"/>
      <c r="CP204" s="87"/>
      <c r="CQ204" s="87"/>
      <c r="CR204" s="87"/>
      <c r="CS204" s="87"/>
      <c r="CT204" s="87"/>
      <c r="CU204" s="87"/>
      <c r="CV204" s="87"/>
      <c r="CW204" s="87"/>
      <c r="CX204" s="87"/>
      <c r="CY204" s="87"/>
      <c r="CZ204" s="87"/>
      <c r="DA204" s="87"/>
      <c r="DB204" s="87"/>
      <c r="DC204" s="87"/>
      <c r="DD204" s="87"/>
      <c r="DE204" s="87"/>
      <c r="DF204" s="87"/>
      <c r="DG204" s="87"/>
      <c r="DH204" s="87"/>
      <c r="DI204" s="87"/>
      <c r="DJ204" s="87"/>
      <c r="DK204" s="87"/>
      <c r="DL204" s="87"/>
      <c r="DM204" s="87"/>
      <c r="DN204" s="87"/>
      <c r="DO204" s="87"/>
      <c r="DP204" s="87"/>
      <c r="DQ204" s="87"/>
      <c r="DR204" s="87"/>
      <c r="DS204" s="87"/>
      <c r="DT204" s="87"/>
      <c r="DU204" s="87"/>
      <c r="DV204" s="87"/>
      <c r="DW204" s="87"/>
      <c r="DX204" s="87"/>
      <c r="DY204" s="87"/>
      <c r="DZ204" s="87"/>
      <c r="EA204" s="87"/>
      <c r="EB204" s="87"/>
      <c r="EC204" s="87"/>
      <c r="ED204" s="87"/>
      <c r="EE204" s="87"/>
      <c r="EF204" s="87"/>
      <c r="EG204" s="87"/>
      <c r="EH204" s="87"/>
      <c r="EI204" s="87"/>
    </row>
    <row r="205" spans="1:139" ht="16.5" hidden="1" thickBot="1" x14ac:dyDescent="0.35">
      <c r="A205" s="218" t="s">
        <v>285</v>
      </c>
      <c r="B205" s="194">
        <v>5</v>
      </c>
      <c r="C205" s="195">
        <f>80*0.65+60*0.05</f>
        <v>55</v>
      </c>
      <c r="D205" s="217">
        <f>C205/VLOOKUP(B205,'[2]Gas Prod per PADD'!$A$1:$C$6,2,FALSE)</f>
        <v>4.0740740740740744E-2</v>
      </c>
      <c r="E205" s="225">
        <v>45414</v>
      </c>
      <c r="F205" s="226">
        <v>45474</v>
      </c>
      <c r="G205" s="180" t="s">
        <v>474</v>
      </c>
      <c r="H205" s="221" t="s">
        <v>475</v>
      </c>
      <c r="I205" s="84"/>
      <c r="J205" s="85"/>
      <c r="K205" s="85"/>
      <c r="L205" s="85"/>
      <c r="M205" s="85"/>
      <c r="N205" s="85">
        <f>C205*(E205-$N$1)/31</f>
        <v>-51.451612903225808</v>
      </c>
      <c r="O205" s="85"/>
      <c r="P205" s="85"/>
      <c r="Q205" s="85"/>
      <c r="R205" s="85"/>
      <c r="S205" s="85"/>
      <c r="T205" s="85"/>
      <c r="U205" s="85"/>
      <c r="V205" s="84"/>
      <c r="W205" s="84"/>
      <c r="X205" s="84" t="str">
        <f t="shared" si="11"/>
        <v>OK</v>
      </c>
      <c r="Y205" s="105"/>
      <c r="Z205" s="105"/>
      <c r="AA205" s="87"/>
      <c r="AB205" s="87"/>
      <c r="AC205" s="87"/>
      <c r="AD205" s="87"/>
      <c r="AE205" s="105"/>
      <c r="AF205" s="105"/>
      <c r="AG205" s="105"/>
      <c r="AH205" s="105"/>
      <c r="AI205" s="87"/>
      <c r="AJ205" s="87"/>
      <c r="AK205" s="105"/>
      <c r="AL205" s="87"/>
      <c r="AM205" s="105"/>
      <c r="AN205" s="105"/>
      <c r="AO205" s="87"/>
      <c r="AP205" s="87"/>
      <c r="AQ205" s="105"/>
      <c r="AR205" s="105"/>
      <c r="AS205" s="87"/>
      <c r="AT205" s="105"/>
      <c r="AU205" s="87"/>
      <c r="AV205" s="87"/>
      <c r="AW205" s="105"/>
      <c r="AX205" s="105"/>
      <c r="AY205" s="87">
        <f>-C205*1/7</f>
        <v>-7.8571428571428568</v>
      </c>
      <c r="AZ205" s="87">
        <f>-C205/2-20</f>
        <v>-47.5</v>
      </c>
      <c r="BA205" s="105"/>
      <c r="BB205" s="105"/>
      <c r="BC205" s="105"/>
      <c r="BD205" s="105"/>
      <c r="BE205" s="87"/>
      <c r="BF205" s="87"/>
      <c r="BG205" s="105"/>
      <c r="BH205" s="105">
        <f>-AZ205</f>
        <v>47.5</v>
      </c>
      <c r="BI205" s="105">
        <f>BH205</f>
        <v>47.5</v>
      </c>
      <c r="BJ205" s="87"/>
      <c r="BK205" s="87"/>
      <c r="BL205" s="87"/>
      <c r="BM205" s="87"/>
      <c r="BN205" s="87"/>
      <c r="BO205" s="87"/>
      <c r="BP205" s="87"/>
      <c r="BQ205" s="87"/>
      <c r="BR205" s="87"/>
      <c r="BS205" s="87"/>
      <c r="BT205" s="87"/>
      <c r="BU205" s="87"/>
      <c r="BV205" s="87"/>
      <c r="BW205" s="87"/>
      <c r="BX205" s="87"/>
      <c r="BY205" s="87"/>
      <c r="BZ205" s="87"/>
      <c r="CA205" s="87"/>
      <c r="CB205" s="87"/>
      <c r="CC205" s="87"/>
      <c r="CD205" s="87"/>
      <c r="CE205" s="87"/>
      <c r="CF205" s="87"/>
      <c r="CG205" s="87"/>
      <c r="CH205" s="87"/>
      <c r="CI205" s="87"/>
      <c r="CJ205" s="87"/>
      <c r="CK205" s="87"/>
      <c r="CL205" s="87"/>
      <c r="CM205" s="87"/>
      <c r="CN205" s="87"/>
      <c r="CO205" s="87"/>
      <c r="CP205" s="87"/>
      <c r="CQ205" s="87"/>
      <c r="CR205" s="87"/>
      <c r="CS205" s="87"/>
      <c r="CT205" s="87"/>
      <c r="CU205" s="87"/>
      <c r="CV205" s="87"/>
      <c r="CW205" s="87"/>
      <c r="CX205" s="87"/>
      <c r="CY205" s="87"/>
      <c r="CZ205" s="87"/>
      <c r="DA205" s="87"/>
      <c r="DB205" s="87"/>
      <c r="DC205" s="87"/>
      <c r="DD205" s="87"/>
      <c r="DE205" s="87"/>
      <c r="DF205" s="87"/>
      <c r="DG205" s="87"/>
      <c r="DH205" s="87"/>
      <c r="DI205" s="87"/>
      <c r="DJ205" s="87"/>
      <c r="DK205" s="87"/>
      <c r="DL205" s="87"/>
      <c r="DM205" s="87"/>
      <c r="DN205" s="87"/>
      <c r="DO205" s="87"/>
      <c r="DP205" s="87"/>
      <c r="DQ205" s="87"/>
      <c r="DR205" s="87"/>
      <c r="DS205" s="87"/>
      <c r="DT205" s="87"/>
      <c r="DU205" s="87"/>
      <c r="DV205" s="87"/>
      <c r="DW205" s="87"/>
      <c r="DX205" s="87"/>
      <c r="DY205" s="87"/>
      <c r="DZ205" s="87"/>
      <c r="EA205" s="87"/>
      <c r="EB205" s="87"/>
      <c r="EC205" s="87"/>
      <c r="ED205" s="87"/>
      <c r="EE205" s="87"/>
      <c r="EF205" s="87"/>
      <c r="EG205" s="75">
        <v>46017</v>
      </c>
      <c r="EH205" s="75">
        <v>46024</v>
      </c>
      <c r="EI205" s="75">
        <v>46031</v>
      </c>
    </row>
    <row r="206" spans="1:139" ht="16.5" hidden="1" thickBot="1" x14ac:dyDescent="0.35">
      <c r="A206" s="175" t="s">
        <v>324</v>
      </c>
      <c r="B206" s="191">
        <v>5</v>
      </c>
      <c r="C206" s="177">
        <f>50*0.65</f>
        <v>32.5</v>
      </c>
      <c r="D206" s="217">
        <f>C206/VLOOKUP(B206,'[2]Gas Prod per PADD'!$A$1:$C$6,2,FALSE)</f>
        <v>2.4074074074074074E-2</v>
      </c>
      <c r="E206" s="178">
        <v>45446</v>
      </c>
      <c r="F206" s="232">
        <v>45474</v>
      </c>
      <c r="G206" s="236" t="s">
        <v>221</v>
      </c>
      <c r="H206" s="233" t="s">
        <v>476</v>
      </c>
      <c r="I206" s="84"/>
      <c r="J206" s="85"/>
      <c r="K206" s="85"/>
      <c r="L206" s="85"/>
      <c r="M206" s="85"/>
      <c r="N206" s="85"/>
      <c r="O206" s="85"/>
      <c r="P206" s="85"/>
      <c r="Q206" s="85"/>
      <c r="R206" s="85"/>
      <c r="S206" s="85"/>
      <c r="T206" s="85"/>
      <c r="U206" s="85"/>
      <c r="V206" s="84"/>
      <c r="W206" s="84"/>
      <c r="X206" s="84" t="str">
        <f t="shared" si="11"/>
        <v>OK</v>
      </c>
      <c r="Y206" s="105"/>
      <c r="Z206" s="105"/>
      <c r="AA206" s="87"/>
      <c r="AB206" s="87"/>
      <c r="AC206" s="87"/>
      <c r="AD206" s="87"/>
      <c r="AE206" s="105"/>
      <c r="AF206" s="105"/>
      <c r="AG206" s="105"/>
      <c r="AH206" s="105"/>
      <c r="AI206" s="87"/>
      <c r="AJ206" s="87"/>
      <c r="AK206" s="105"/>
      <c r="AL206" s="87"/>
      <c r="AM206" s="105"/>
      <c r="AN206" s="105"/>
      <c r="AO206" s="87"/>
      <c r="AP206" s="87"/>
      <c r="AQ206" s="105"/>
      <c r="AR206" s="105"/>
      <c r="AS206" s="87"/>
      <c r="AT206" s="105"/>
      <c r="AU206" s="105"/>
      <c r="AV206" s="87"/>
      <c r="AW206" s="105"/>
      <c r="AX206" s="105"/>
      <c r="AY206" s="87"/>
      <c r="AZ206" s="105"/>
      <c r="BA206" s="105"/>
      <c r="BB206" s="105"/>
      <c r="BC206" s="87"/>
      <c r="BD206" s="87"/>
      <c r="BE206" s="105"/>
      <c r="BF206" s="105"/>
      <c r="BG206" s="105"/>
      <c r="BH206" s="105"/>
      <c r="BI206" s="105"/>
      <c r="BJ206" s="87"/>
      <c r="BK206" s="87"/>
      <c r="BL206" s="87"/>
      <c r="BM206" s="87"/>
      <c r="BN206" s="87"/>
      <c r="BO206" s="87"/>
      <c r="BP206" s="87"/>
      <c r="BQ206" s="87"/>
      <c r="BR206" s="87"/>
      <c r="BS206" s="87"/>
      <c r="BT206" s="87"/>
      <c r="BU206" s="87"/>
      <c r="BV206" s="87"/>
      <c r="BW206" s="87"/>
      <c r="BX206" s="87"/>
      <c r="BY206" s="87"/>
      <c r="BZ206" s="87"/>
      <c r="CA206" s="87"/>
      <c r="CB206" s="87"/>
      <c r="CC206" s="87"/>
      <c r="CD206" s="87"/>
      <c r="CE206" s="87"/>
      <c r="CF206" s="87"/>
      <c r="CG206" s="87"/>
      <c r="CH206" s="87"/>
      <c r="CI206" s="87"/>
      <c r="CJ206" s="87"/>
      <c r="CK206" s="87"/>
      <c r="CL206" s="87"/>
      <c r="CM206" s="87"/>
      <c r="CN206" s="87"/>
      <c r="CO206" s="87"/>
      <c r="CP206" s="87"/>
      <c r="CQ206" s="87"/>
      <c r="CR206" s="87"/>
      <c r="CS206" s="87"/>
      <c r="CT206" s="87"/>
      <c r="CU206" s="87"/>
      <c r="CV206" s="87"/>
      <c r="CW206" s="87"/>
      <c r="CX206" s="87"/>
      <c r="CY206" s="87"/>
      <c r="CZ206" s="87"/>
      <c r="DA206" s="87"/>
      <c r="DB206" s="87"/>
      <c r="DC206" s="87"/>
      <c r="DD206" s="87"/>
      <c r="DE206" s="87"/>
      <c r="DF206" s="87"/>
      <c r="DG206" s="87"/>
      <c r="DH206" s="87"/>
      <c r="DI206" s="87"/>
      <c r="DJ206" s="87"/>
      <c r="DK206" s="87"/>
      <c r="DL206" s="87"/>
      <c r="DM206" s="87"/>
      <c r="DN206" s="87"/>
      <c r="DO206" s="87"/>
      <c r="DP206" s="87"/>
      <c r="DQ206" s="87"/>
      <c r="DR206" s="87"/>
      <c r="DS206" s="87"/>
      <c r="DT206" s="87"/>
      <c r="DU206" s="87"/>
      <c r="DV206" s="87"/>
      <c r="DW206" s="87"/>
      <c r="DX206" s="87"/>
      <c r="DY206" s="87"/>
      <c r="DZ206" s="87"/>
      <c r="EA206" s="87"/>
      <c r="EB206" s="87"/>
      <c r="EC206" s="87"/>
      <c r="ED206" s="87"/>
      <c r="EE206" s="87"/>
      <c r="EF206" s="87"/>
      <c r="EG206" s="75">
        <v>46017</v>
      </c>
      <c r="EH206" s="75">
        <v>46024</v>
      </c>
      <c r="EI206" s="75">
        <v>46031</v>
      </c>
    </row>
    <row r="207" spans="1:139" ht="16.5" hidden="1" thickBot="1" x14ac:dyDescent="0.35">
      <c r="A207" s="219" t="s">
        <v>127</v>
      </c>
      <c r="B207" s="194">
        <v>3</v>
      </c>
      <c r="C207" s="195">
        <f>40*0.25</f>
        <v>10</v>
      </c>
      <c r="D207" s="217">
        <f>C207/VLOOKUP(B207,'[2]Gas Prod per PADD'!$A$1:$C$6,2,FALSE)</f>
        <v>2.1739130434782609E-3</v>
      </c>
      <c r="E207" s="178">
        <v>45470</v>
      </c>
      <c r="F207" s="197">
        <v>45474</v>
      </c>
      <c r="G207" s="194" t="s">
        <v>351</v>
      </c>
      <c r="H207" s="198" t="s">
        <v>477</v>
      </c>
      <c r="I207" s="84"/>
      <c r="J207" s="85"/>
      <c r="K207" s="85"/>
      <c r="L207" s="85"/>
      <c r="M207" s="85"/>
      <c r="N207" s="85"/>
      <c r="O207" s="85"/>
      <c r="P207" s="85"/>
      <c r="Q207" s="85"/>
      <c r="R207" s="85"/>
      <c r="S207" s="85"/>
      <c r="T207" s="85"/>
      <c r="U207" s="85"/>
      <c r="V207" s="84"/>
      <c r="W207" s="84"/>
      <c r="X207" s="84" t="str">
        <f t="shared" si="11"/>
        <v>OK</v>
      </c>
      <c r="Y207" s="86"/>
      <c r="Z207" s="87"/>
      <c r="AA207" s="87"/>
      <c r="AB207" s="87"/>
      <c r="AC207" s="87"/>
      <c r="AD207" s="87"/>
      <c r="AE207" s="87"/>
      <c r="AF207" s="87"/>
      <c r="AG207" s="87"/>
      <c r="AH207" s="87"/>
      <c r="AI207" s="87"/>
      <c r="AJ207" s="87"/>
      <c r="AK207" s="87"/>
      <c r="AL207" s="87"/>
      <c r="AM207" s="87"/>
      <c r="AN207" s="87"/>
      <c r="AO207" s="87"/>
      <c r="AP207" s="87"/>
      <c r="AQ207" s="87"/>
      <c r="AR207" s="87"/>
      <c r="AS207" s="87"/>
      <c r="AT207" s="87"/>
      <c r="AU207" s="87"/>
      <c r="AV207" s="87"/>
      <c r="AW207" s="87"/>
      <c r="AX207" s="87"/>
      <c r="AY207" s="87"/>
      <c r="AZ207" s="87"/>
      <c r="BA207" s="87"/>
      <c r="BB207" s="87"/>
      <c r="BC207" s="87"/>
      <c r="BD207" s="87"/>
      <c r="BE207" s="87"/>
      <c r="BF207" s="87"/>
      <c r="BG207" s="87"/>
      <c r="BH207" s="87">
        <f>-C207</f>
        <v>-10</v>
      </c>
      <c r="BI207" s="87">
        <f>BH207*-1</f>
        <v>10</v>
      </c>
      <c r="BJ207" s="87"/>
      <c r="BK207" s="87"/>
      <c r="BL207" s="87"/>
      <c r="BM207" s="87"/>
      <c r="BN207" s="87"/>
      <c r="BO207" s="87"/>
      <c r="BP207" s="87"/>
      <c r="BQ207" s="87"/>
      <c r="BR207" s="87"/>
      <c r="BS207" s="87"/>
      <c r="BT207" s="87"/>
      <c r="BU207" s="87"/>
      <c r="BV207" s="87"/>
      <c r="BW207" s="87"/>
      <c r="BX207" s="87"/>
      <c r="BY207" s="87"/>
      <c r="BZ207" s="87"/>
      <c r="CA207" s="87"/>
      <c r="CB207" s="87"/>
      <c r="CC207" s="87"/>
      <c r="CD207" s="87"/>
      <c r="CE207" s="87"/>
      <c r="CF207" s="87"/>
      <c r="CG207" s="87"/>
      <c r="CH207" s="87"/>
      <c r="CI207" s="87"/>
      <c r="CJ207" s="87"/>
      <c r="CK207" s="87"/>
      <c r="CL207" s="87"/>
      <c r="CM207" s="87"/>
      <c r="CN207" s="87"/>
      <c r="CO207" s="87"/>
      <c r="CP207" s="87"/>
      <c r="CQ207" s="87"/>
      <c r="CR207" s="87"/>
      <c r="CS207" s="87"/>
      <c r="CT207" s="87"/>
      <c r="CU207" s="87"/>
      <c r="CV207" s="87"/>
      <c r="CW207" s="87"/>
      <c r="CX207" s="87"/>
      <c r="CY207" s="87"/>
      <c r="CZ207" s="87"/>
      <c r="DA207" s="87"/>
      <c r="DB207" s="87"/>
      <c r="DC207" s="87"/>
      <c r="DD207" s="87"/>
      <c r="DE207" s="87"/>
      <c r="DF207" s="87"/>
      <c r="DG207" s="87"/>
      <c r="DH207" s="87"/>
      <c r="DI207" s="87"/>
      <c r="DJ207" s="87"/>
      <c r="DK207" s="87"/>
      <c r="DL207" s="87"/>
      <c r="DM207" s="87"/>
      <c r="DN207" s="87"/>
      <c r="DO207" s="87"/>
      <c r="DP207" s="87"/>
      <c r="DQ207" s="87"/>
      <c r="DR207" s="87"/>
      <c r="DS207" s="87"/>
      <c r="DT207" s="87"/>
      <c r="DU207" s="87"/>
      <c r="DV207" s="87"/>
      <c r="DW207" s="87"/>
      <c r="DX207" s="87"/>
      <c r="DY207" s="87"/>
      <c r="DZ207" s="87"/>
      <c r="EA207" s="87"/>
      <c r="EB207" s="87"/>
      <c r="EC207" s="87"/>
      <c r="ED207" s="87"/>
      <c r="EE207" s="87"/>
      <c r="EF207" s="87"/>
      <c r="EG207" s="87"/>
      <c r="EH207" s="87"/>
      <c r="EI207" s="87"/>
    </row>
    <row r="208" spans="1:139" ht="16.5" hidden="1" thickBot="1" x14ac:dyDescent="0.35">
      <c r="A208" s="237" t="s">
        <v>314</v>
      </c>
      <c r="B208" s="194">
        <v>2</v>
      </c>
      <c r="C208" s="195">
        <f>39*0.25</f>
        <v>9.75</v>
      </c>
      <c r="D208" s="217">
        <f>C208/VLOOKUP(B208,'[2]Gas Prod per PADD'!$A$1:$C$6,2,FALSE)</f>
        <v>4.0625000000000001E-3</v>
      </c>
      <c r="E208" s="196">
        <v>45474</v>
      </c>
      <c r="F208" s="197">
        <v>45476</v>
      </c>
      <c r="G208" s="194" t="s">
        <v>141</v>
      </c>
      <c r="H208" s="198" t="s">
        <v>478</v>
      </c>
      <c r="I208" s="84"/>
      <c r="J208" s="85"/>
      <c r="K208" s="85"/>
      <c r="L208" s="85"/>
      <c r="M208" s="85"/>
      <c r="N208" s="85"/>
      <c r="O208" s="85"/>
      <c r="P208" s="85"/>
      <c r="Q208" s="85"/>
      <c r="R208" s="85"/>
      <c r="S208" s="85"/>
      <c r="T208" s="85"/>
      <c r="U208" s="85"/>
      <c r="V208" s="84"/>
      <c r="W208" s="84"/>
      <c r="X208" s="84" t="str">
        <f t="shared" si="11"/>
        <v>OK</v>
      </c>
      <c r="Y208" s="86"/>
      <c r="Z208" s="87"/>
      <c r="AA208" s="87"/>
      <c r="AB208" s="87"/>
      <c r="AC208" s="87"/>
      <c r="AD208" s="87"/>
      <c r="AE208" s="87"/>
      <c r="AF208" s="87"/>
      <c r="AG208" s="87"/>
      <c r="AH208" s="87"/>
      <c r="AI208" s="87"/>
      <c r="AJ208" s="87"/>
      <c r="AK208" s="87"/>
      <c r="AL208" s="87"/>
      <c r="AM208" s="87"/>
      <c r="AN208" s="87"/>
      <c r="AO208" s="87"/>
      <c r="AP208" s="87"/>
      <c r="AQ208" s="87"/>
      <c r="AR208" s="87"/>
      <c r="AS208" s="87"/>
      <c r="AT208" s="87"/>
      <c r="AU208" s="87"/>
      <c r="AV208" s="87"/>
      <c r="AW208" s="87"/>
      <c r="AX208" s="87"/>
      <c r="AY208" s="87"/>
      <c r="AZ208" s="87"/>
      <c r="BA208" s="87"/>
      <c r="BB208" s="87"/>
      <c r="BC208" s="87"/>
      <c r="BD208" s="87"/>
      <c r="BE208" s="87"/>
      <c r="BF208" s="87"/>
      <c r="BG208" s="87"/>
      <c r="BH208" s="87">
        <f>-3/7*C208</f>
        <v>-4.1785714285714279</v>
      </c>
      <c r="BI208" s="87">
        <f>-BH208</f>
        <v>4.1785714285714279</v>
      </c>
      <c r="BJ208" s="87"/>
      <c r="BK208" s="87"/>
      <c r="BL208" s="87"/>
      <c r="BM208" s="87"/>
      <c r="BN208" s="87"/>
      <c r="BO208" s="87"/>
      <c r="BP208" s="87"/>
      <c r="BQ208" s="87"/>
      <c r="BR208" s="87"/>
      <c r="BS208" s="87"/>
      <c r="BT208" s="87"/>
      <c r="BU208" s="87"/>
      <c r="BV208" s="87"/>
      <c r="BW208" s="87"/>
      <c r="BX208" s="87"/>
      <c r="BY208" s="87"/>
      <c r="BZ208" s="87"/>
      <c r="CA208" s="87"/>
      <c r="CB208" s="87"/>
      <c r="CC208" s="87"/>
      <c r="CD208" s="87"/>
      <c r="CE208" s="87"/>
      <c r="CF208" s="87"/>
      <c r="CG208" s="87"/>
      <c r="CH208" s="87"/>
      <c r="CI208" s="87"/>
      <c r="CJ208" s="87"/>
      <c r="CK208" s="87"/>
      <c r="CL208" s="87"/>
      <c r="CM208" s="87"/>
      <c r="CN208" s="87"/>
      <c r="CO208" s="87"/>
      <c r="CP208" s="87"/>
      <c r="CQ208" s="87"/>
      <c r="CR208" s="87"/>
      <c r="CS208" s="87"/>
      <c r="CT208" s="87"/>
      <c r="CU208" s="87"/>
      <c r="CV208" s="87"/>
      <c r="CW208" s="87"/>
      <c r="CX208" s="87"/>
      <c r="CY208" s="87"/>
      <c r="CZ208" s="87"/>
      <c r="DA208" s="87"/>
      <c r="DB208" s="87"/>
      <c r="DC208" s="87"/>
      <c r="DD208" s="87"/>
      <c r="DE208" s="87"/>
      <c r="DF208" s="87"/>
      <c r="DG208" s="87"/>
      <c r="DH208" s="87"/>
      <c r="DI208" s="87"/>
      <c r="DJ208" s="87"/>
      <c r="DK208" s="87"/>
      <c r="DL208" s="87"/>
      <c r="DM208" s="87"/>
      <c r="DN208" s="87"/>
      <c r="DO208" s="87"/>
      <c r="DP208" s="87"/>
      <c r="DQ208" s="87"/>
      <c r="DR208" s="87"/>
      <c r="DS208" s="87"/>
      <c r="DT208" s="87"/>
      <c r="DU208" s="87"/>
      <c r="DV208" s="87"/>
      <c r="DW208" s="87"/>
      <c r="DX208" s="87"/>
      <c r="DY208" s="87"/>
      <c r="DZ208" s="87"/>
      <c r="EA208" s="87"/>
      <c r="EB208" s="87"/>
      <c r="EC208" s="87"/>
      <c r="ED208" s="87"/>
      <c r="EE208" s="87"/>
      <c r="EF208" s="87"/>
      <c r="EG208" s="87"/>
      <c r="EH208" s="87"/>
      <c r="EI208" s="87"/>
    </row>
    <row r="209" spans="1:139" ht="16.5" hidden="1" thickBot="1" x14ac:dyDescent="0.35">
      <c r="A209" s="113" t="s">
        <v>479</v>
      </c>
      <c r="B209" s="194">
        <v>2</v>
      </c>
      <c r="C209" s="195">
        <f>8.5*0.3</f>
        <v>2.5499999999999998</v>
      </c>
      <c r="D209" s="217">
        <f>C209/VLOOKUP(B209,'[2]Gas Prod per PADD'!$A$1:$C$6,2,FALSE)</f>
        <v>1.0624999999999999E-3</v>
      </c>
      <c r="E209" s="196">
        <v>45446</v>
      </c>
      <c r="F209" s="197">
        <v>45477</v>
      </c>
      <c r="G209" s="194" t="s">
        <v>480</v>
      </c>
      <c r="H209" s="198" t="s">
        <v>481</v>
      </c>
      <c r="I209" s="84"/>
      <c r="J209" s="85"/>
      <c r="K209" s="85"/>
      <c r="L209" s="85"/>
      <c r="M209" s="85"/>
      <c r="N209" s="85"/>
      <c r="O209" s="85"/>
      <c r="P209" s="85"/>
      <c r="Q209" s="85"/>
      <c r="R209" s="85"/>
      <c r="S209" s="85"/>
      <c r="T209" s="85"/>
      <c r="U209" s="85"/>
      <c r="V209" s="84"/>
      <c r="W209" s="84"/>
      <c r="X209" s="84" t="str">
        <f t="shared" si="11"/>
        <v>OK</v>
      </c>
      <c r="Y209" s="87"/>
      <c r="Z209" s="87"/>
      <c r="AA209" s="87"/>
      <c r="AB209" s="87"/>
      <c r="AC209" s="87"/>
      <c r="AD209" s="87"/>
      <c r="AE209" s="87"/>
      <c r="AF209" s="87"/>
      <c r="AG209" s="87"/>
      <c r="AH209" s="87"/>
      <c r="AI209" s="87"/>
      <c r="AJ209" s="87"/>
      <c r="AK209" s="87"/>
      <c r="AL209" s="87"/>
      <c r="AM209" s="87"/>
      <c r="AN209" s="87"/>
      <c r="AO209" s="87"/>
      <c r="AP209" s="87"/>
      <c r="AQ209" s="87"/>
      <c r="AR209" s="87"/>
      <c r="AS209" s="87"/>
      <c r="AT209" s="87"/>
      <c r="AU209" s="87"/>
      <c r="AV209" s="87"/>
      <c r="AW209" s="87"/>
      <c r="AX209" s="87"/>
      <c r="AY209" s="87"/>
      <c r="AZ209" s="87"/>
      <c r="BA209" s="87"/>
      <c r="BB209" s="87"/>
      <c r="BC209" s="87"/>
      <c r="BD209" s="87">
        <f>-C209/2</f>
        <v>-1.2749999999999999</v>
      </c>
      <c r="BE209" s="87">
        <f>BD209</f>
        <v>-1.2749999999999999</v>
      </c>
      <c r="BF209" s="87"/>
      <c r="BG209" s="87"/>
      <c r="BH209" s="87"/>
      <c r="BI209" s="87">
        <f>C209</f>
        <v>2.5499999999999998</v>
      </c>
      <c r="BJ209" s="87"/>
      <c r="BK209" s="87"/>
      <c r="BL209" s="87"/>
      <c r="BM209" s="87"/>
      <c r="BN209" s="87"/>
      <c r="BO209" s="87"/>
      <c r="BP209" s="87"/>
      <c r="BQ209" s="87"/>
      <c r="BR209" s="87"/>
      <c r="BS209" s="87"/>
      <c r="BT209" s="87"/>
      <c r="BU209" s="87"/>
      <c r="BV209" s="87"/>
      <c r="BW209" s="87"/>
      <c r="BX209" s="87"/>
      <c r="BY209" s="87"/>
      <c r="BZ209" s="87"/>
      <c r="CA209" s="87"/>
      <c r="CB209" s="87"/>
      <c r="CC209" s="87"/>
      <c r="CD209" s="87"/>
      <c r="CE209" s="87"/>
      <c r="CF209" s="87"/>
      <c r="CG209" s="87"/>
      <c r="CH209" s="87"/>
      <c r="CI209" s="87"/>
      <c r="CJ209" s="87"/>
      <c r="CK209" s="87"/>
      <c r="CL209" s="87"/>
      <c r="CM209" s="87"/>
      <c r="CN209" s="87"/>
      <c r="CO209" s="87"/>
      <c r="CP209" s="87"/>
      <c r="CQ209" s="87"/>
      <c r="CR209" s="87"/>
      <c r="CS209" s="87"/>
      <c r="CT209" s="87"/>
      <c r="CU209" s="87"/>
      <c r="CV209" s="87"/>
      <c r="CW209" s="87"/>
      <c r="CX209" s="87"/>
      <c r="CY209" s="87"/>
      <c r="CZ209" s="87"/>
      <c r="DA209" s="87"/>
      <c r="DB209" s="87"/>
      <c r="DC209" s="87"/>
      <c r="DD209" s="87"/>
      <c r="DE209" s="87"/>
      <c r="DF209" s="87"/>
      <c r="DG209" s="87"/>
      <c r="DH209" s="87"/>
      <c r="DI209" s="87"/>
      <c r="DJ209" s="87"/>
      <c r="DK209" s="87"/>
      <c r="DL209" s="87"/>
      <c r="DM209" s="87"/>
      <c r="DN209" s="87"/>
      <c r="DO209" s="87"/>
      <c r="DP209" s="87"/>
      <c r="DQ209" s="87"/>
      <c r="DR209" s="87"/>
      <c r="DS209" s="87"/>
      <c r="DT209" s="87"/>
      <c r="DU209" s="87"/>
      <c r="DV209" s="87"/>
      <c r="DW209" s="87"/>
      <c r="DX209" s="87"/>
      <c r="DY209" s="87"/>
      <c r="DZ209" s="87"/>
      <c r="EA209" s="87"/>
      <c r="EB209" s="87"/>
      <c r="EC209" s="87"/>
      <c r="ED209" s="87"/>
      <c r="EE209" s="87"/>
      <c r="EF209" s="87"/>
      <c r="EG209" s="87"/>
      <c r="EH209" s="87"/>
      <c r="EI209" s="87"/>
    </row>
    <row r="210" spans="1:139" ht="16.5" hidden="1" thickBot="1" x14ac:dyDescent="0.35">
      <c r="A210" s="175" t="s">
        <v>207</v>
      </c>
      <c r="B210" s="176">
        <v>5</v>
      </c>
      <c r="C210" s="177">
        <f>0.85*20</f>
        <v>17</v>
      </c>
      <c r="D210" s="217">
        <f>C210/VLOOKUP(B210,'[2]Gas Prod per PADD'!$A$1:$C$6,2,FALSE)</f>
        <v>1.2592592592592593E-2</v>
      </c>
      <c r="E210" s="220">
        <v>45472</v>
      </c>
      <c r="F210" s="232">
        <v>45477</v>
      </c>
      <c r="G210" s="180" t="s">
        <v>197</v>
      </c>
      <c r="H210" s="181" t="s">
        <v>482</v>
      </c>
      <c r="I210" s="84"/>
      <c r="J210" s="85"/>
      <c r="K210" s="85"/>
      <c r="L210" s="85"/>
      <c r="M210" s="85"/>
      <c r="N210" s="85"/>
      <c r="O210" s="85"/>
      <c r="P210" s="85"/>
      <c r="Q210" s="85"/>
      <c r="R210" s="85"/>
      <c r="S210" s="85"/>
      <c r="T210" s="85"/>
      <c r="U210" s="85"/>
      <c r="V210" s="84"/>
      <c r="W210" s="84"/>
      <c r="X210" s="84" t="str">
        <f t="shared" si="11"/>
        <v>OK</v>
      </c>
      <c r="Y210" s="105"/>
      <c r="Z210" s="105"/>
      <c r="AA210" s="87"/>
      <c r="AB210" s="87"/>
      <c r="AC210" s="87"/>
      <c r="AD210" s="87"/>
      <c r="AE210" s="105"/>
      <c r="AF210" s="105"/>
      <c r="AG210" s="105"/>
      <c r="AH210" s="105"/>
      <c r="AI210" s="87"/>
      <c r="AJ210" s="87"/>
      <c r="AK210" s="105"/>
      <c r="AL210" s="87"/>
      <c r="AM210" s="105"/>
      <c r="AN210" s="105"/>
      <c r="AO210" s="87"/>
      <c r="AP210" s="87"/>
      <c r="AQ210" s="105"/>
      <c r="AR210" s="105"/>
      <c r="AS210" s="87"/>
      <c r="AT210" s="105"/>
      <c r="AU210" s="87"/>
      <c r="AV210" s="87"/>
      <c r="AW210" s="105"/>
      <c r="AX210" s="105"/>
      <c r="AY210" s="105"/>
      <c r="AZ210" s="105"/>
      <c r="BA210" s="87"/>
      <c r="BB210" s="87"/>
      <c r="BC210" s="87"/>
      <c r="BD210" s="87"/>
      <c r="BE210" s="87"/>
      <c r="BF210" s="87"/>
      <c r="BG210" s="105"/>
      <c r="BH210" s="105">
        <f>-0.8*$C210</f>
        <v>-13.600000000000001</v>
      </c>
      <c r="BI210" s="105">
        <f>BH210*-1</f>
        <v>13.600000000000001</v>
      </c>
      <c r="BJ210" s="87"/>
      <c r="BK210" s="87"/>
      <c r="BL210" s="87"/>
      <c r="BM210" s="87"/>
      <c r="BN210" s="87"/>
      <c r="BO210" s="87"/>
      <c r="BP210" s="87"/>
      <c r="BQ210" s="87"/>
      <c r="BR210" s="87"/>
      <c r="BS210" s="87"/>
      <c r="BT210" s="87"/>
      <c r="BU210" s="87"/>
      <c r="BV210" s="87"/>
      <c r="BW210" s="87"/>
      <c r="BX210" s="87"/>
      <c r="BY210" s="87"/>
      <c r="BZ210" s="87"/>
      <c r="CA210" s="87"/>
      <c r="CB210" s="87"/>
      <c r="CC210" s="87"/>
      <c r="CD210" s="87"/>
      <c r="CE210" s="87"/>
      <c r="CF210" s="87"/>
      <c r="CG210" s="87"/>
      <c r="CH210" s="87"/>
      <c r="CI210" s="87"/>
      <c r="CJ210" s="87"/>
      <c r="CK210" s="87"/>
      <c r="CL210" s="87"/>
      <c r="CM210" s="87"/>
      <c r="CN210" s="87"/>
      <c r="CO210" s="87"/>
      <c r="CP210" s="87"/>
      <c r="CQ210" s="87"/>
      <c r="CR210" s="87"/>
      <c r="CS210" s="87"/>
      <c r="CT210" s="87"/>
      <c r="CU210" s="87"/>
      <c r="CV210" s="87"/>
      <c r="CW210" s="87"/>
      <c r="CX210" s="87"/>
      <c r="CY210" s="87"/>
      <c r="CZ210" s="87"/>
      <c r="DA210" s="87"/>
      <c r="DB210" s="87"/>
      <c r="DC210" s="87"/>
      <c r="DD210" s="87"/>
      <c r="DE210" s="87"/>
      <c r="DF210" s="87"/>
      <c r="DG210" s="87"/>
      <c r="DH210" s="87"/>
      <c r="DI210" s="87"/>
      <c r="DJ210" s="87"/>
      <c r="DK210" s="87"/>
      <c r="DL210" s="87"/>
      <c r="DM210" s="87"/>
      <c r="DN210" s="87"/>
      <c r="DO210" s="87"/>
      <c r="DP210" s="87"/>
      <c r="DQ210" s="87"/>
      <c r="DR210" s="87"/>
      <c r="DS210" s="87"/>
      <c r="DT210" s="87"/>
      <c r="DU210" s="87"/>
      <c r="DV210" s="87"/>
      <c r="DW210" s="87"/>
      <c r="DX210" s="87"/>
      <c r="DY210" s="87"/>
      <c r="DZ210" s="87"/>
      <c r="EA210" s="87"/>
      <c r="EB210" s="87"/>
      <c r="EC210" s="87"/>
      <c r="ED210" s="87"/>
      <c r="EE210" s="87"/>
      <c r="EF210" s="87"/>
      <c r="EG210" s="75">
        <v>46017</v>
      </c>
      <c r="EH210" s="75">
        <v>46024</v>
      </c>
      <c r="EI210" s="75">
        <v>46031</v>
      </c>
    </row>
    <row r="211" spans="1:139" ht="16.5" hidden="1" thickBot="1" x14ac:dyDescent="0.35">
      <c r="A211" s="113" t="s">
        <v>384</v>
      </c>
      <c r="B211" s="194">
        <v>2</v>
      </c>
      <c r="C211" s="195">
        <f>12*0.3</f>
        <v>3.5999999999999996</v>
      </c>
      <c r="D211" s="217">
        <f>C211/VLOOKUP(B211,'[2]Gas Prod per PADD'!$A$1:$C$6,2,FALSE)</f>
        <v>1.4999999999999998E-3</v>
      </c>
      <c r="E211" s="196">
        <v>45474</v>
      </c>
      <c r="F211" s="197">
        <v>45477</v>
      </c>
      <c r="G211" s="194" t="s">
        <v>218</v>
      </c>
      <c r="H211" s="198"/>
      <c r="I211" s="84"/>
      <c r="J211" s="85"/>
      <c r="K211" s="85"/>
      <c r="L211" s="85"/>
      <c r="M211" s="85"/>
      <c r="N211" s="85"/>
      <c r="O211" s="85"/>
      <c r="P211" s="85"/>
      <c r="Q211" s="85"/>
      <c r="R211" s="85"/>
      <c r="S211" s="85"/>
      <c r="T211" s="85"/>
      <c r="U211" s="85"/>
      <c r="V211" s="84"/>
      <c r="W211" s="84"/>
      <c r="X211" s="84" t="str">
        <f t="shared" si="11"/>
        <v>OK</v>
      </c>
      <c r="Y211" s="87"/>
      <c r="Z211" s="87"/>
      <c r="AA211" s="87"/>
      <c r="AB211" s="87"/>
      <c r="AC211" s="87"/>
      <c r="AD211" s="87"/>
      <c r="AE211" s="87"/>
      <c r="AF211" s="87"/>
      <c r="AG211" s="87"/>
      <c r="AH211" s="87"/>
      <c r="AI211" s="87"/>
      <c r="AJ211" s="87"/>
      <c r="AK211" s="87"/>
      <c r="AL211" s="87"/>
      <c r="AM211" s="87"/>
      <c r="AN211" s="87"/>
      <c r="AO211" s="87"/>
      <c r="AP211" s="87"/>
      <c r="AQ211" s="87"/>
      <c r="AR211" s="87"/>
      <c r="AS211" s="87"/>
      <c r="AT211" s="87"/>
      <c r="AU211" s="87"/>
      <c r="AV211" s="87"/>
      <c r="AW211" s="87"/>
      <c r="AX211" s="87"/>
      <c r="AY211" s="87"/>
      <c r="AZ211" s="87"/>
      <c r="BA211" s="87"/>
      <c r="BB211" s="87"/>
      <c r="BC211" s="87"/>
      <c r="BD211" s="87"/>
      <c r="BE211" s="87"/>
      <c r="BF211" s="87"/>
      <c r="BG211" s="87"/>
      <c r="BH211" s="87">
        <f>C211*-4/7</f>
        <v>-2.0571428571428569</v>
      </c>
      <c r="BI211" s="87">
        <f>-BH211</f>
        <v>2.0571428571428569</v>
      </c>
      <c r="BJ211" s="87"/>
      <c r="BK211" s="87"/>
      <c r="BL211" s="87"/>
      <c r="BM211" s="87"/>
      <c r="BN211" s="87"/>
      <c r="BO211" s="87"/>
      <c r="BP211" s="87"/>
      <c r="BQ211" s="87"/>
      <c r="BR211" s="87"/>
      <c r="BS211" s="87"/>
      <c r="BT211" s="87"/>
      <c r="BU211" s="87"/>
      <c r="BV211" s="87"/>
      <c r="BW211" s="87"/>
      <c r="BX211" s="87"/>
      <c r="BY211" s="87"/>
      <c r="BZ211" s="87"/>
      <c r="CA211" s="87"/>
      <c r="CB211" s="87"/>
      <c r="CC211" s="87"/>
      <c r="CD211" s="87"/>
      <c r="CE211" s="87"/>
      <c r="CF211" s="87"/>
      <c r="CG211" s="87"/>
      <c r="CH211" s="87"/>
      <c r="CI211" s="87"/>
      <c r="CJ211" s="87"/>
      <c r="CK211" s="87"/>
      <c r="CL211" s="87"/>
      <c r="CM211" s="87"/>
      <c r="CN211" s="87"/>
      <c r="CO211" s="87"/>
      <c r="CP211" s="87"/>
      <c r="CQ211" s="87"/>
      <c r="CR211" s="87"/>
      <c r="CS211" s="87"/>
      <c r="CT211" s="87"/>
      <c r="CU211" s="87"/>
      <c r="CV211" s="87"/>
      <c r="CW211" s="87"/>
      <c r="CX211" s="87"/>
      <c r="CY211" s="87"/>
      <c r="CZ211" s="87"/>
      <c r="DA211" s="87"/>
      <c r="DB211" s="87"/>
      <c r="DC211" s="87"/>
      <c r="DD211" s="87"/>
      <c r="DE211" s="87"/>
      <c r="DF211" s="87"/>
      <c r="DG211" s="87"/>
      <c r="DH211" s="87"/>
      <c r="DI211" s="87"/>
      <c r="DJ211" s="87"/>
      <c r="DK211" s="87"/>
      <c r="DL211" s="87"/>
      <c r="DM211" s="87"/>
      <c r="DN211" s="87"/>
      <c r="DO211" s="87"/>
      <c r="DP211" s="87"/>
      <c r="DQ211" s="87"/>
      <c r="DR211" s="87"/>
      <c r="DS211" s="87"/>
      <c r="DT211" s="87"/>
      <c r="DU211" s="87"/>
      <c r="DV211" s="87"/>
      <c r="DW211" s="87"/>
      <c r="DX211" s="87"/>
      <c r="DY211" s="87"/>
      <c r="DZ211" s="87"/>
      <c r="EA211" s="87"/>
      <c r="EB211" s="87"/>
      <c r="EC211" s="87"/>
      <c r="ED211" s="87"/>
      <c r="EE211" s="87"/>
      <c r="EF211" s="87"/>
      <c r="EG211" s="87"/>
      <c r="EH211" s="87"/>
      <c r="EI211" s="87"/>
    </row>
    <row r="212" spans="1:139" ht="16.5" hidden="1" thickBot="1" x14ac:dyDescent="0.35">
      <c r="A212" s="237" t="s">
        <v>483</v>
      </c>
      <c r="B212" s="194">
        <v>2</v>
      </c>
      <c r="C212" s="195">
        <f>75*0.2+26*0.65</f>
        <v>31.900000000000002</v>
      </c>
      <c r="D212" s="217">
        <f>C212/VLOOKUP(B212,'[2]Gas Prod per PADD'!$A$1:$C$6,2,FALSE)</f>
        <v>1.3291666666666667E-2</v>
      </c>
      <c r="E212" s="196">
        <v>45479</v>
      </c>
      <c r="F212" s="197">
        <v>45480</v>
      </c>
      <c r="G212" s="194" t="s">
        <v>484</v>
      </c>
      <c r="H212" s="198" t="s">
        <v>485</v>
      </c>
      <c r="I212" s="84"/>
      <c r="J212" s="85"/>
      <c r="K212" s="85"/>
      <c r="L212" s="85"/>
      <c r="M212" s="85"/>
      <c r="N212" s="85"/>
      <c r="O212" s="85"/>
      <c r="P212" s="85"/>
      <c r="Q212" s="85"/>
      <c r="R212" s="85"/>
      <c r="S212" s="85"/>
      <c r="T212" s="85"/>
      <c r="U212" s="85"/>
      <c r="V212" s="84"/>
      <c r="W212" s="84"/>
      <c r="X212" s="84" t="str">
        <f t="shared" si="11"/>
        <v>OK</v>
      </c>
      <c r="Y212" s="86"/>
      <c r="Z212" s="87"/>
      <c r="AA212" s="87"/>
      <c r="AB212" s="87"/>
      <c r="AC212" s="87"/>
      <c r="AD212" s="87"/>
      <c r="AE212" s="87"/>
      <c r="AF212" s="87"/>
      <c r="AG212" s="87"/>
      <c r="AH212" s="87"/>
      <c r="AI212" s="87"/>
      <c r="AJ212" s="87"/>
      <c r="AK212" s="87"/>
      <c r="AL212" s="87"/>
      <c r="AM212" s="87"/>
      <c r="AN212" s="87"/>
      <c r="AO212" s="87"/>
      <c r="AP212" s="87"/>
      <c r="AQ212" s="87"/>
      <c r="AR212" s="87"/>
      <c r="AS212" s="87"/>
      <c r="AT212" s="87"/>
      <c r="AU212" s="87"/>
      <c r="AV212" s="87"/>
      <c r="AW212" s="87"/>
      <c r="AX212" s="87"/>
      <c r="AY212" s="87"/>
      <c r="AZ212" s="87"/>
      <c r="BA212" s="87"/>
      <c r="BB212" s="87"/>
      <c r="BC212" s="87"/>
      <c r="BD212" s="87"/>
      <c r="BE212" s="87"/>
      <c r="BF212" s="87"/>
      <c r="BG212" s="87"/>
      <c r="BH212" s="87"/>
      <c r="BI212" s="87">
        <f>-1/7*C212</f>
        <v>-4.5571428571428569</v>
      </c>
      <c r="BJ212" s="87">
        <f t="shared" ref="BJ212:BJ217" si="12">-BI212</f>
        <v>4.5571428571428569</v>
      </c>
      <c r="BK212" s="87"/>
      <c r="BL212" s="87"/>
      <c r="BM212" s="87"/>
      <c r="BN212" s="87"/>
      <c r="BO212" s="87"/>
      <c r="BP212" s="87"/>
      <c r="BQ212" s="87"/>
      <c r="BR212" s="87"/>
      <c r="BS212" s="87"/>
      <c r="BT212" s="87"/>
      <c r="BU212" s="87"/>
      <c r="BV212" s="87"/>
      <c r="BW212" s="87"/>
      <c r="BX212" s="87"/>
      <c r="BY212" s="87"/>
      <c r="BZ212" s="87"/>
      <c r="CA212" s="87"/>
      <c r="CB212" s="87"/>
      <c r="CC212" s="87"/>
      <c r="CD212" s="87"/>
      <c r="CE212" s="87"/>
      <c r="CF212" s="87"/>
      <c r="CG212" s="87"/>
      <c r="CH212" s="87"/>
      <c r="CI212" s="87"/>
      <c r="CJ212" s="87"/>
      <c r="CK212" s="87"/>
      <c r="CL212" s="87"/>
      <c r="CM212" s="87"/>
      <c r="CN212" s="87"/>
      <c r="CO212" s="87"/>
      <c r="CP212" s="87"/>
      <c r="CQ212" s="87"/>
      <c r="CR212" s="87"/>
      <c r="CS212" s="87"/>
      <c r="CT212" s="87"/>
      <c r="CU212" s="87"/>
      <c r="CV212" s="87"/>
      <c r="CW212" s="87"/>
      <c r="CX212" s="87"/>
      <c r="CY212" s="87"/>
      <c r="CZ212" s="87"/>
      <c r="DA212" s="87"/>
      <c r="DB212" s="87"/>
      <c r="DC212" s="87"/>
      <c r="DD212" s="87"/>
      <c r="DE212" s="87"/>
      <c r="DF212" s="87"/>
      <c r="DG212" s="87"/>
      <c r="DH212" s="87"/>
      <c r="DI212" s="87"/>
      <c r="DJ212" s="87"/>
      <c r="DK212" s="87"/>
      <c r="DL212" s="87"/>
      <c r="DM212" s="87"/>
      <c r="DN212" s="87"/>
      <c r="DO212" s="87"/>
      <c r="DP212" s="87"/>
      <c r="DQ212" s="87"/>
      <c r="DR212" s="87"/>
      <c r="DS212" s="87"/>
      <c r="DT212" s="87"/>
      <c r="DU212" s="87"/>
      <c r="DV212" s="87"/>
      <c r="DW212" s="87"/>
      <c r="DX212" s="87"/>
      <c r="DY212" s="87"/>
      <c r="DZ212" s="87"/>
      <c r="EA212" s="87"/>
      <c r="EB212" s="87"/>
      <c r="EC212" s="87"/>
      <c r="ED212" s="87"/>
      <c r="EE212" s="87"/>
      <c r="EF212" s="87"/>
      <c r="EG212" s="87"/>
      <c r="EH212" s="87"/>
      <c r="EI212" s="87"/>
    </row>
    <row r="213" spans="1:139" ht="16.5" hidden="1" thickBot="1" x14ac:dyDescent="0.35">
      <c r="A213" s="238" t="s">
        <v>322</v>
      </c>
      <c r="B213" s="239">
        <v>3</v>
      </c>
      <c r="C213" s="240">
        <v>140</v>
      </c>
      <c r="D213" s="217">
        <f>C213/VLOOKUP(B213,'[2]Gas Prod per PADD'!$A$1:$C$6,2,FALSE)</f>
        <v>3.0434782608695653E-2</v>
      </c>
      <c r="E213" s="196">
        <v>45478</v>
      </c>
      <c r="F213" s="197">
        <f>E213+3</f>
        <v>45481</v>
      </c>
      <c r="G213" s="239" t="s">
        <v>486</v>
      </c>
      <c r="H213" s="241" t="s">
        <v>487</v>
      </c>
      <c r="I213" s="84"/>
      <c r="J213" s="85"/>
      <c r="K213" s="85"/>
      <c r="L213" s="85"/>
      <c r="M213" s="85"/>
      <c r="N213" s="85"/>
      <c r="O213" s="85"/>
      <c r="P213" s="85"/>
      <c r="Q213" s="85"/>
      <c r="R213" s="85"/>
      <c r="S213" s="85"/>
      <c r="T213" s="85"/>
      <c r="U213" s="85"/>
      <c r="V213" s="84"/>
      <c r="W213" s="84"/>
      <c r="X213" s="84" t="str">
        <f t="shared" si="11"/>
        <v>OK</v>
      </c>
      <c r="Y213" s="86"/>
      <c r="Z213" s="87"/>
      <c r="AA213" s="87"/>
      <c r="AB213" s="87"/>
      <c r="AC213" s="87"/>
      <c r="AD213" s="87"/>
      <c r="AE213" s="87"/>
      <c r="AF213" s="87"/>
      <c r="AG213" s="87"/>
      <c r="AH213" s="87"/>
      <c r="AI213" s="87"/>
      <c r="AJ213" s="87"/>
      <c r="AK213" s="87"/>
      <c r="AL213" s="87"/>
      <c r="AM213" s="87"/>
      <c r="AN213" s="87"/>
      <c r="AO213" s="87"/>
      <c r="AP213" s="87"/>
      <c r="AQ213" s="87"/>
      <c r="AR213" s="87"/>
      <c r="AS213" s="87"/>
      <c r="AT213" s="87"/>
      <c r="AU213" s="87"/>
      <c r="AV213" s="87"/>
      <c r="AW213" s="87"/>
      <c r="AX213" s="87"/>
      <c r="AY213" s="87"/>
      <c r="AZ213" s="87"/>
      <c r="BA213" s="87"/>
      <c r="BB213" s="87"/>
      <c r="BC213" s="87"/>
      <c r="BD213" s="87"/>
      <c r="BE213" s="87"/>
      <c r="BF213" s="87"/>
      <c r="BG213" s="87"/>
      <c r="BH213" s="87"/>
      <c r="BI213" s="87">
        <f>-C213*2/7</f>
        <v>-40</v>
      </c>
      <c r="BJ213" s="87">
        <f t="shared" si="12"/>
        <v>40</v>
      </c>
      <c r="BK213" s="87"/>
      <c r="BL213" s="87"/>
      <c r="BM213" s="87"/>
      <c r="BN213" s="87"/>
      <c r="BO213" s="87"/>
      <c r="BP213" s="87"/>
      <c r="BQ213" s="87"/>
      <c r="BR213" s="87"/>
      <c r="BS213" s="87"/>
      <c r="BT213" s="87"/>
      <c r="BU213" s="87"/>
      <c r="BV213" s="87"/>
      <c r="BW213" s="87"/>
      <c r="BX213" s="87"/>
      <c r="BY213" s="87"/>
      <c r="BZ213" s="87"/>
      <c r="CA213" s="87"/>
      <c r="CB213" s="87"/>
      <c r="CC213" s="87"/>
      <c r="CD213" s="87"/>
      <c r="CE213" s="87"/>
      <c r="CF213" s="87"/>
      <c r="CG213" s="87"/>
      <c r="CH213" s="87"/>
      <c r="CI213" s="87"/>
      <c r="CJ213" s="87"/>
      <c r="CK213" s="87"/>
      <c r="CL213" s="87"/>
      <c r="CM213" s="87"/>
      <c r="CN213" s="87"/>
      <c r="CO213" s="87"/>
      <c r="CP213" s="87"/>
      <c r="CQ213" s="87"/>
      <c r="CR213" s="87"/>
      <c r="CS213" s="87"/>
      <c r="CT213" s="87"/>
      <c r="CU213" s="87"/>
      <c r="CV213" s="87"/>
      <c r="CW213" s="87"/>
      <c r="CX213" s="87"/>
      <c r="CY213" s="87"/>
      <c r="CZ213" s="87"/>
      <c r="DA213" s="87"/>
      <c r="DB213" s="87"/>
      <c r="DC213" s="87"/>
      <c r="DD213" s="87"/>
      <c r="DE213" s="87"/>
      <c r="DF213" s="87"/>
      <c r="DG213" s="87"/>
      <c r="DH213" s="87"/>
      <c r="DI213" s="87"/>
      <c r="DJ213" s="87"/>
      <c r="DK213" s="87"/>
      <c r="DL213" s="87"/>
      <c r="DM213" s="87"/>
      <c r="DN213" s="87"/>
      <c r="DO213" s="87"/>
      <c r="DP213" s="87"/>
      <c r="DQ213" s="87"/>
      <c r="DR213" s="87"/>
      <c r="DS213" s="87"/>
      <c r="DT213" s="87"/>
      <c r="DU213" s="87"/>
      <c r="DV213" s="87"/>
      <c r="DW213" s="87"/>
      <c r="DX213" s="87"/>
      <c r="DY213" s="87"/>
      <c r="DZ213" s="87"/>
      <c r="EA213" s="87"/>
      <c r="EB213" s="87"/>
      <c r="EC213" s="87"/>
      <c r="ED213" s="87"/>
      <c r="EE213" s="87"/>
      <c r="EF213" s="87"/>
      <c r="EG213" s="87"/>
      <c r="EH213" s="87"/>
      <c r="EI213" s="87"/>
    </row>
    <row r="214" spans="1:139" ht="16.5" hidden="1" thickBot="1" x14ac:dyDescent="0.35">
      <c r="A214" s="242" t="s">
        <v>251</v>
      </c>
      <c r="B214" s="194">
        <v>5</v>
      </c>
      <c r="C214" s="195">
        <f>25*0.3</f>
        <v>7.5</v>
      </c>
      <c r="D214" s="217">
        <f>C214/VLOOKUP(B214,'[2]Gas Prod per PADD'!$A$1:$C$6,2,FALSE)</f>
        <v>5.5555555555555558E-3</v>
      </c>
      <c r="E214" s="196">
        <v>45478</v>
      </c>
      <c r="F214" s="197">
        <v>45482</v>
      </c>
      <c r="G214" s="194" t="s">
        <v>218</v>
      </c>
      <c r="H214" s="198" t="s">
        <v>488</v>
      </c>
      <c r="I214" s="84"/>
      <c r="J214" s="85"/>
      <c r="K214" s="85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4"/>
      <c r="W214" s="84"/>
      <c r="X214" s="84" t="str">
        <f t="shared" si="11"/>
        <v>OK</v>
      </c>
      <c r="Y214" s="87"/>
      <c r="Z214" s="87"/>
      <c r="AA214" s="87"/>
      <c r="AB214" s="87"/>
      <c r="AC214" s="87"/>
      <c r="AD214" s="87"/>
      <c r="AE214" s="87"/>
      <c r="AF214" s="87"/>
      <c r="AG214" s="87"/>
      <c r="AH214" s="87"/>
      <c r="AI214" s="87"/>
      <c r="AJ214" s="87"/>
      <c r="AK214" s="87"/>
      <c r="AL214" s="87"/>
      <c r="AM214" s="87"/>
      <c r="AN214" s="87"/>
      <c r="AO214" s="87"/>
      <c r="AP214" s="87"/>
      <c r="AQ214" s="87"/>
      <c r="AR214" s="87"/>
      <c r="AS214" s="87"/>
      <c r="AT214" s="87"/>
      <c r="AU214" s="87"/>
      <c r="AV214" s="87"/>
      <c r="AW214" s="87"/>
      <c r="AX214" s="87"/>
      <c r="AY214" s="87"/>
      <c r="AZ214" s="87"/>
      <c r="BA214" s="87"/>
      <c r="BB214" s="87"/>
      <c r="BC214" s="87"/>
      <c r="BD214" s="87"/>
      <c r="BE214" s="87"/>
      <c r="BF214" s="87"/>
      <c r="BG214" s="87"/>
      <c r="BH214" s="87"/>
      <c r="BI214" s="87">
        <f>-C214*4/7</f>
        <v>-4.2857142857142856</v>
      </c>
      <c r="BJ214" s="87">
        <f t="shared" si="12"/>
        <v>4.2857142857142856</v>
      </c>
      <c r="BK214" s="87"/>
      <c r="BL214" s="87"/>
      <c r="BM214" s="87"/>
      <c r="BN214" s="87"/>
      <c r="BO214" s="87"/>
      <c r="BP214" s="87"/>
      <c r="BQ214" s="87"/>
      <c r="BR214" s="87"/>
      <c r="BS214" s="87"/>
      <c r="BT214" s="87"/>
      <c r="BU214" s="87"/>
      <c r="BV214" s="87"/>
      <c r="BW214" s="87"/>
      <c r="BX214" s="87"/>
      <c r="BY214" s="87"/>
      <c r="BZ214" s="87"/>
      <c r="CA214" s="87"/>
      <c r="CB214" s="87"/>
      <c r="CC214" s="87"/>
      <c r="CD214" s="87"/>
      <c r="CE214" s="87"/>
      <c r="CF214" s="87"/>
      <c r="CG214" s="87"/>
      <c r="CH214" s="87"/>
      <c r="CI214" s="87"/>
      <c r="CJ214" s="87"/>
      <c r="CK214" s="87"/>
      <c r="CL214" s="87"/>
      <c r="CM214" s="87"/>
      <c r="CN214" s="87"/>
      <c r="CO214" s="87"/>
      <c r="CP214" s="87"/>
      <c r="CQ214" s="87"/>
      <c r="CR214" s="87"/>
      <c r="CS214" s="87"/>
      <c r="CT214" s="87"/>
      <c r="CU214" s="87"/>
      <c r="CV214" s="87"/>
      <c r="CW214" s="87"/>
      <c r="CX214" s="87"/>
      <c r="CY214" s="87"/>
      <c r="CZ214" s="87"/>
      <c r="DA214" s="87"/>
      <c r="DB214" s="87"/>
      <c r="DC214" s="87"/>
      <c r="DD214" s="87"/>
      <c r="DE214" s="87"/>
      <c r="DF214" s="87"/>
      <c r="DG214" s="87"/>
      <c r="DH214" s="87"/>
      <c r="DI214" s="87"/>
      <c r="DJ214" s="87"/>
      <c r="DK214" s="87"/>
      <c r="DL214" s="87"/>
      <c r="DM214" s="87"/>
      <c r="DN214" s="87"/>
      <c r="DO214" s="87"/>
      <c r="DP214" s="87"/>
      <c r="DQ214" s="87"/>
      <c r="DR214" s="87"/>
      <c r="DS214" s="87"/>
      <c r="DT214" s="87"/>
      <c r="DU214" s="87"/>
      <c r="DV214" s="87"/>
      <c r="DW214" s="87"/>
      <c r="DX214" s="87"/>
      <c r="DY214" s="87"/>
      <c r="DZ214" s="87"/>
      <c r="EA214" s="87"/>
      <c r="EB214" s="87"/>
      <c r="EC214" s="87"/>
      <c r="ED214" s="87"/>
      <c r="EE214" s="87"/>
      <c r="EF214" s="87"/>
      <c r="EG214" s="75">
        <v>46017</v>
      </c>
      <c r="EH214" s="75">
        <v>46024</v>
      </c>
      <c r="EI214" s="75">
        <v>46031</v>
      </c>
    </row>
    <row r="215" spans="1:139" ht="16.5" hidden="1" thickBot="1" x14ac:dyDescent="0.35">
      <c r="A215" s="238" t="s">
        <v>489</v>
      </c>
      <c r="B215" s="243">
        <v>3</v>
      </c>
      <c r="C215" s="244">
        <v>16</v>
      </c>
      <c r="D215" s="217">
        <f>C215/VLOOKUP(B215,'[2]Gas Prod per PADD'!$A$1:$C$6,2,FALSE)</f>
        <v>3.4782608695652175E-3</v>
      </c>
      <c r="E215" s="196">
        <v>45480</v>
      </c>
      <c r="F215" s="197">
        <v>45482</v>
      </c>
      <c r="G215" s="239" t="s">
        <v>490</v>
      </c>
      <c r="H215" s="241" t="s">
        <v>487</v>
      </c>
      <c r="I215" s="84"/>
      <c r="J215" s="85"/>
      <c r="K215" s="85"/>
      <c r="L215" s="85"/>
      <c r="M215" s="85"/>
      <c r="N215" s="85"/>
      <c r="O215" s="85"/>
      <c r="P215" s="85"/>
      <c r="Q215" s="85"/>
      <c r="R215" s="85"/>
      <c r="S215" s="85"/>
      <c r="T215" s="85"/>
      <c r="U215" s="85"/>
      <c r="V215" s="84"/>
      <c r="W215" s="84"/>
      <c r="X215" s="84" t="str">
        <f t="shared" si="11"/>
        <v>OK</v>
      </c>
      <c r="Y215" s="86"/>
      <c r="Z215" s="87"/>
      <c r="AA215" s="87"/>
      <c r="AB215" s="87"/>
      <c r="AC215" s="87"/>
      <c r="AD215" s="87"/>
      <c r="AE215" s="87"/>
      <c r="AF215" s="87"/>
      <c r="AG215" s="87"/>
      <c r="AH215" s="87"/>
      <c r="AI215" s="87"/>
      <c r="AJ215" s="87"/>
      <c r="AK215" s="87"/>
      <c r="AL215" s="87"/>
      <c r="AM215" s="87"/>
      <c r="AN215" s="87"/>
      <c r="AO215" s="87"/>
      <c r="AP215" s="87"/>
      <c r="AQ215" s="87"/>
      <c r="AR215" s="87"/>
      <c r="AS215" s="87"/>
      <c r="AT215" s="87"/>
      <c r="AU215" s="87"/>
      <c r="AV215" s="87"/>
      <c r="AW215" s="87"/>
      <c r="AX215" s="87"/>
      <c r="AY215" s="87"/>
      <c r="AZ215" s="87"/>
      <c r="BA215" s="87"/>
      <c r="BB215" s="87"/>
      <c r="BC215" s="87"/>
      <c r="BD215" s="87"/>
      <c r="BE215" s="87"/>
      <c r="BF215" s="87"/>
      <c r="BG215" s="87"/>
      <c r="BH215" s="87"/>
      <c r="BI215" s="87">
        <f>-2/7*C215</f>
        <v>-4.5714285714285712</v>
      </c>
      <c r="BJ215" s="87">
        <f t="shared" si="12"/>
        <v>4.5714285714285712</v>
      </c>
      <c r="BK215" s="87"/>
      <c r="BL215" s="87"/>
      <c r="BM215" s="87"/>
      <c r="BN215" s="87"/>
      <c r="BO215" s="87"/>
      <c r="BP215" s="87"/>
      <c r="BQ215" s="87"/>
      <c r="BR215" s="87"/>
      <c r="BS215" s="87"/>
      <c r="BT215" s="87"/>
      <c r="BU215" s="87"/>
      <c r="BV215" s="87"/>
      <c r="BW215" s="87"/>
      <c r="BX215" s="87"/>
      <c r="BY215" s="87"/>
      <c r="BZ215" s="87"/>
      <c r="CA215" s="87"/>
      <c r="CB215" s="87"/>
      <c r="CC215" s="87"/>
      <c r="CD215" s="87"/>
      <c r="CE215" s="87"/>
      <c r="CF215" s="87"/>
      <c r="CG215" s="87"/>
      <c r="CH215" s="87"/>
      <c r="CI215" s="87"/>
      <c r="CJ215" s="87"/>
      <c r="CK215" s="87"/>
      <c r="CL215" s="87"/>
      <c r="CM215" s="87"/>
      <c r="CN215" s="87"/>
      <c r="CO215" s="87"/>
      <c r="CP215" s="87"/>
      <c r="CQ215" s="87"/>
      <c r="CR215" s="87"/>
      <c r="CS215" s="87"/>
      <c r="CT215" s="87"/>
      <c r="CU215" s="87"/>
      <c r="CV215" s="87"/>
      <c r="CW215" s="87"/>
      <c r="CX215" s="87"/>
      <c r="CY215" s="87"/>
      <c r="CZ215" s="87"/>
      <c r="DA215" s="87"/>
      <c r="DB215" s="87"/>
      <c r="DC215" s="87"/>
      <c r="DD215" s="87"/>
      <c r="DE215" s="87"/>
      <c r="DF215" s="87"/>
      <c r="DG215" s="87"/>
      <c r="DH215" s="87"/>
      <c r="DI215" s="87"/>
      <c r="DJ215" s="87"/>
      <c r="DK215" s="87"/>
      <c r="DL215" s="87"/>
      <c r="DM215" s="87"/>
      <c r="DN215" s="87"/>
      <c r="DO215" s="87"/>
      <c r="DP215" s="87"/>
      <c r="DQ215" s="87"/>
      <c r="DR215" s="87"/>
      <c r="DS215" s="87"/>
      <c r="DT215" s="87"/>
      <c r="DU215" s="87"/>
      <c r="DV215" s="87"/>
      <c r="DW215" s="87"/>
      <c r="DX215" s="87"/>
      <c r="DY215" s="87"/>
      <c r="DZ215" s="87"/>
      <c r="EA215" s="87"/>
      <c r="EB215" s="87"/>
      <c r="EC215" s="87"/>
      <c r="ED215" s="87"/>
      <c r="EE215" s="87"/>
      <c r="EF215" s="87"/>
      <c r="EG215" s="87"/>
      <c r="EH215" s="87"/>
      <c r="EI215" s="87"/>
    </row>
    <row r="216" spans="1:139" ht="16.5" hidden="1" thickBot="1" x14ac:dyDescent="0.35">
      <c r="A216" s="245" t="s">
        <v>149</v>
      </c>
      <c r="B216" s="239">
        <v>3</v>
      </c>
      <c r="C216" s="240">
        <v>26</v>
      </c>
      <c r="D216" s="217">
        <f>C216/VLOOKUP(B216,'[2]Gas Prod per PADD'!$A$1:$C$6,2,FALSE)</f>
        <v>5.6521739130434784E-3</v>
      </c>
      <c r="E216" s="196">
        <v>45481</v>
      </c>
      <c r="F216" s="197">
        <v>45482</v>
      </c>
      <c r="G216" s="239" t="s">
        <v>491</v>
      </c>
      <c r="H216" s="241" t="s">
        <v>492</v>
      </c>
      <c r="I216" s="84"/>
      <c r="J216" s="85"/>
      <c r="K216" s="85"/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V216" s="84"/>
      <c r="W216" s="84"/>
      <c r="X216" s="84" t="str">
        <f t="shared" si="11"/>
        <v>OK</v>
      </c>
      <c r="Y216" s="86"/>
      <c r="Z216" s="87"/>
      <c r="AA216" s="87"/>
      <c r="AB216" s="87"/>
      <c r="AC216" s="87"/>
      <c r="AD216" s="87"/>
      <c r="AE216" s="87"/>
      <c r="AF216" s="87"/>
      <c r="AG216" s="87"/>
      <c r="AH216" s="87"/>
      <c r="AI216" s="87"/>
      <c r="AJ216" s="87"/>
      <c r="AK216" s="87"/>
      <c r="AL216" s="87"/>
      <c r="AM216" s="87"/>
      <c r="AN216" s="87"/>
      <c r="AO216" s="87"/>
      <c r="AP216" s="87"/>
      <c r="AQ216" s="87"/>
      <c r="AR216" s="87"/>
      <c r="AS216" s="87"/>
      <c r="AT216" s="87"/>
      <c r="AU216" s="87"/>
      <c r="AV216" s="87"/>
      <c r="AW216" s="87"/>
      <c r="AX216" s="87"/>
      <c r="AY216" s="87"/>
      <c r="AZ216" s="87"/>
      <c r="BA216" s="87"/>
      <c r="BB216" s="87"/>
      <c r="BC216" s="87"/>
      <c r="BD216" s="87"/>
      <c r="BE216" s="87"/>
      <c r="BF216" s="87"/>
      <c r="BG216" s="87"/>
      <c r="BH216" s="87"/>
      <c r="BI216" s="87">
        <f>-C216*2/7</f>
        <v>-7.4285714285714288</v>
      </c>
      <c r="BJ216" s="87">
        <f t="shared" si="12"/>
        <v>7.4285714285714288</v>
      </c>
      <c r="BK216" s="87"/>
      <c r="BL216" s="87"/>
      <c r="BM216" s="87"/>
      <c r="BN216" s="87"/>
      <c r="BO216" s="87"/>
      <c r="BP216" s="87"/>
      <c r="BQ216" s="87"/>
      <c r="BR216" s="87"/>
      <c r="BS216" s="87"/>
      <c r="BT216" s="87"/>
      <c r="BU216" s="87"/>
      <c r="BV216" s="87"/>
      <c r="BW216" s="87"/>
      <c r="BX216" s="87"/>
      <c r="BY216" s="87"/>
      <c r="BZ216" s="87"/>
      <c r="CA216" s="87"/>
      <c r="CB216" s="87"/>
      <c r="CC216" s="87"/>
      <c r="CD216" s="87"/>
      <c r="CE216" s="87"/>
      <c r="CF216" s="87"/>
      <c r="CG216" s="87"/>
      <c r="CH216" s="87"/>
      <c r="CI216" s="87"/>
      <c r="CJ216" s="87"/>
      <c r="CK216" s="87"/>
      <c r="CL216" s="87"/>
      <c r="CM216" s="87"/>
      <c r="CN216" s="87"/>
      <c r="CO216" s="87"/>
      <c r="CP216" s="87"/>
      <c r="CQ216" s="87"/>
      <c r="CR216" s="87"/>
      <c r="CS216" s="87"/>
      <c r="CT216" s="87"/>
      <c r="CU216" s="87"/>
      <c r="CV216" s="87"/>
      <c r="CW216" s="87"/>
      <c r="CX216" s="87"/>
      <c r="CY216" s="87"/>
      <c r="CZ216" s="87"/>
      <c r="DA216" s="87"/>
      <c r="DB216" s="87"/>
      <c r="DC216" s="87"/>
      <c r="DD216" s="87"/>
      <c r="DE216" s="87"/>
      <c r="DF216" s="87"/>
      <c r="DG216" s="87"/>
      <c r="DH216" s="87"/>
      <c r="DI216" s="87"/>
      <c r="DJ216" s="87"/>
      <c r="DK216" s="87"/>
      <c r="DL216" s="87"/>
      <c r="DM216" s="87"/>
      <c r="DN216" s="87"/>
      <c r="DO216" s="87"/>
      <c r="DP216" s="87"/>
      <c r="DQ216" s="87"/>
      <c r="DR216" s="87"/>
      <c r="DS216" s="87"/>
      <c r="DT216" s="87"/>
      <c r="DU216" s="87"/>
      <c r="DV216" s="87"/>
      <c r="DW216" s="87"/>
      <c r="DX216" s="87"/>
      <c r="DY216" s="87"/>
      <c r="DZ216" s="87"/>
      <c r="EA216" s="87"/>
      <c r="EB216" s="87"/>
      <c r="EC216" s="87"/>
      <c r="ED216" s="87"/>
      <c r="EE216" s="87"/>
      <c r="EF216" s="87"/>
      <c r="EG216" s="87"/>
      <c r="EH216" s="87"/>
      <c r="EI216" s="87"/>
    </row>
    <row r="217" spans="1:139" ht="16.5" hidden="1" thickBot="1" x14ac:dyDescent="0.35">
      <c r="A217" s="219" t="s">
        <v>280</v>
      </c>
      <c r="B217" s="194">
        <v>3</v>
      </c>
      <c r="C217" s="195">
        <f>80*0.65+300*0.1+53*0.85</f>
        <v>127.05</v>
      </c>
      <c r="D217" s="217">
        <f>C217/VLOOKUP(B217,'[2]Gas Prod per PADD'!$A$1:$C$6,2,FALSE)</f>
        <v>2.7619565217391305E-2</v>
      </c>
      <c r="E217" s="196">
        <v>45482</v>
      </c>
      <c r="F217" s="197">
        <v>45483</v>
      </c>
      <c r="G217" s="194" t="s">
        <v>493</v>
      </c>
      <c r="H217" s="230" t="s">
        <v>494</v>
      </c>
      <c r="I217" s="84"/>
      <c r="J217" s="85"/>
      <c r="K217" s="85"/>
      <c r="L217" s="85"/>
      <c r="M217" s="85"/>
      <c r="N217" s="85"/>
      <c r="O217" s="85"/>
      <c r="P217" s="85"/>
      <c r="Q217" s="85"/>
      <c r="R217" s="85"/>
      <c r="S217" s="85"/>
      <c r="T217" s="85"/>
      <c r="U217" s="85"/>
      <c r="V217" s="84"/>
      <c r="W217" s="84"/>
      <c r="X217" s="84" t="str">
        <f t="shared" si="11"/>
        <v>OK</v>
      </c>
      <c r="Y217" s="86"/>
      <c r="Z217" s="87"/>
      <c r="AA217" s="87"/>
      <c r="AB217" s="87"/>
      <c r="AC217" s="87"/>
      <c r="AD217" s="87"/>
      <c r="AE217" s="87"/>
      <c r="AF217" s="87"/>
      <c r="AG217" s="87"/>
      <c r="AH217" s="87"/>
      <c r="AI217" s="87"/>
      <c r="AJ217" s="87"/>
      <c r="AK217" s="87"/>
      <c r="AL217" s="87"/>
      <c r="AM217" s="87"/>
      <c r="AN217" s="87"/>
      <c r="AO217" s="87"/>
      <c r="AP217" s="87"/>
      <c r="AQ217" s="87"/>
      <c r="AR217" s="87"/>
      <c r="AS217" s="87"/>
      <c r="AT217" s="87"/>
      <c r="AU217" s="87"/>
      <c r="AV217" s="87"/>
      <c r="AW217" s="87"/>
      <c r="AX217" s="87"/>
      <c r="AY217" s="87"/>
      <c r="AZ217" s="87"/>
      <c r="BA217" s="87"/>
      <c r="BB217" s="87"/>
      <c r="BC217" s="87"/>
      <c r="BD217" s="87"/>
      <c r="BE217" s="87"/>
      <c r="BF217" s="87"/>
      <c r="BG217" s="87"/>
      <c r="BH217" s="87"/>
      <c r="BI217" s="87">
        <f>-C217*1/7</f>
        <v>-18.149999999999999</v>
      </c>
      <c r="BJ217" s="87">
        <f t="shared" si="12"/>
        <v>18.149999999999999</v>
      </c>
      <c r="BK217" s="87"/>
      <c r="BL217" s="87"/>
      <c r="BM217" s="87"/>
      <c r="BN217" s="87"/>
      <c r="BO217" s="87"/>
      <c r="BP217" s="87"/>
      <c r="BQ217" s="87"/>
      <c r="BR217" s="87"/>
      <c r="BS217" s="87"/>
      <c r="BT217" s="87"/>
      <c r="BU217" s="87"/>
      <c r="BV217" s="87"/>
      <c r="BW217" s="87"/>
      <c r="BX217" s="87"/>
      <c r="BY217" s="87"/>
      <c r="BZ217" s="87"/>
      <c r="CA217" s="87"/>
      <c r="CB217" s="87"/>
      <c r="CC217" s="87"/>
      <c r="CD217" s="87"/>
      <c r="CE217" s="87"/>
      <c r="CF217" s="87"/>
      <c r="CG217" s="87"/>
      <c r="CH217" s="87"/>
      <c r="CI217" s="87"/>
      <c r="CJ217" s="87"/>
      <c r="CK217" s="87"/>
      <c r="CL217" s="87"/>
      <c r="CM217" s="87"/>
      <c r="CN217" s="87"/>
      <c r="CO217" s="87"/>
      <c r="CP217" s="87"/>
      <c r="CQ217" s="87"/>
      <c r="CR217" s="87"/>
      <c r="CS217" s="87"/>
      <c r="CT217" s="87"/>
      <c r="CU217" s="87"/>
      <c r="CV217" s="87"/>
      <c r="CW217" s="87"/>
      <c r="CX217" s="87"/>
      <c r="CY217" s="87"/>
      <c r="CZ217" s="87"/>
      <c r="DA217" s="87"/>
      <c r="DB217" s="87"/>
      <c r="DC217" s="87"/>
      <c r="DD217" s="87"/>
      <c r="DE217" s="87"/>
      <c r="DF217" s="87"/>
      <c r="DG217" s="87"/>
      <c r="DH217" s="87"/>
      <c r="DI217" s="87"/>
      <c r="DJ217" s="87"/>
      <c r="DK217" s="87"/>
      <c r="DL217" s="87"/>
      <c r="DM217" s="87"/>
      <c r="DN217" s="87"/>
      <c r="DO217" s="87"/>
      <c r="DP217" s="87"/>
      <c r="DQ217" s="87"/>
      <c r="DR217" s="87"/>
      <c r="DS217" s="87"/>
      <c r="DT217" s="87"/>
      <c r="DU217" s="87"/>
      <c r="DV217" s="87"/>
      <c r="DW217" s="87"/>
      <c r="DX217" s="87"/>
      <c r="DY217" s="87"/>
      <c r="DZ217" s="87"/>
      <c r="EA217" s="87"/>
      <c r="EB217" s="87"/>
      <c r="EC217" s="87"/>
      <c r="ED217" s="87"/>
      <c r="EE217" s="87"/>
      <c r="EF217" s="87"/>
      <c r="EG217" s="87"/>
      <c r="EH217" s="87"/>
      <c r="EI217" s="87"/>
    </row>
    <row r="218" spans="1:139" ht="16.5" hidden="1" thickBot="1" x14ac:dyDescent="0.35">
      <c r="A218" s="245" t="s">
        <v>158</v>
      </c>
      <c r="B218" s="239">
        <v>3</v>
      </c>
      <c r="C218" s="240">
        <f>(555-170)*0.1+130*0.65+140*0.85+140*0.1+31*0.1-25</f>
        <v>234.10000000000002</v>
      </c>
      <c r="D218" s="217">
        <f>C218/VLOOKUP(B218,'[2]Gas Prod per PADD'!$A$1:$C$6,2,FALSE)</f>
        <v>5.0891304347826093E-2</v>
      </c>
      <c r="E218" s="196">
        <v>45482</v>
      </c>
      <c r="F218" s="197">
        <f>E218+7</f>
        <v>45489</v>
      </c>
      <c r="G218" s="239" t="s">
        <v>495</v>
      </c>
      <c r="H218" s="241" t="s">
        <v>496</v>
      </c>
      <c r="I218" s="84"/>
      <c r="J218" s="85"/>
      <c r="K218" s="85"/>
      <c r="L218" s="85"/>
      <c r="M218" s="85"/>
      <c r="N218" s="85"/>
      <c r="O218" s="85"/>
      <c r="P218" s="85"/>
      <c r="Q218" s="85"/>
      <c r="R218" s="85"/>
      <c r="S218" s="85"/>
      <c r="T218" s="85"/>
      <c r="U218" s="85"/>
      <c r="V218" s="84"/>
      <c r="W218" s="84"/>
      <c r="X218" s="84" t="str">
        <f t="shared" si="11"/>
        <v>OK</v>
      </c>
      <c r="Y218" s="86"/>
      <c r="Z218" s="87"/>
      <c r="AA218" s="87"/>
      <c r="AB218" s="87"/>
      <c r="AC218" s="87"/>
      <c r="AD218" s="87"/>
      <c r="AE218" s="87"/>
      <c r="AF218" s="87"/>
      <c r="AG218" s="87"/>
      <c r="AH218" s="87"/>
      <c r="AI218" s="87"/>
      <c r="AJ218" s="87"/>
      <c r="AK218" s="87"/>
      <c r="AL218" s="87"/>
      <c r="AM218" s="87"/>
      <c r="AN218" s="87"/>
      <c r="AO218" s="87"/>
      <c r="AP218" s="87"/>
      <c r="AQ218" s="87"/>
      <c r="AR218" s="87"/>
      <c r="AS218" s="87"/>
      <c r="AT218" s="87"/>
      <c r="AU218" s="87"/>
      <c r="AV218" s="87"/>
      <c r="AW218" s="87"/>
      <c r="AX218" s="87"/>
      <c r="AY218" s="87"/>
      <c r="AZ218" s="87"/>
      <c r="BA218" s="87"/>
      <c r="BB218" s="87"/>
      <c r="BC218" s="87"/>
      <c r="BD218" s="87"/>
      <c r="BE218" s="87"/>
      <c r="BF218" s="87"/>
      <c r="BG218" s="87"/>
      <c r="BH218" s="87"/>
      <c r="BI218" s="87">
        <f>C218*-4/7</f>
        <v>-133.77142857142857</v>
      </c>
      <c r="BJ218" s="87">
        <f>-3/7*C218+(380*0.1+143*0.85+33*0.1)*4/7</f>
        <v>-7.2714285714285722</v>
      </c>
      <c r="BK218" s="105">
        <f>(380*0.1+143*0.85+33*0.1)*3/7</f>
        <v>69.792857142857159</v>
      </c>
      <c r="BL218" s="87"/>
      <c r="BM218" s="105">
        <f>145*0.65*1/3</f>
        <v>31.416666666666668</v>
      </c>
      <c r="BN218" s="87">
        <f>145*0.65-BM218</f>
        <v>62.833333333333329</v>
      </c>
      <c r="BO218" s="87"/>
      <c r="BP218" s="87"/>
      <c r="BQ218" s="87"/>
      <c r="BR218" s="87"/>
      <c r="BS218" s="87"/>
      <c r="BT218" s="87"/>
      <c r="BU218" s="87"/>
      <c r="BV218" s="87"/>
      <c r="BW218" s="87"/>
      <c r="BX218" s="87"/>
      <c r="BY218" s="87"/>
      <c r="BZ218" s="87"/>
      <c r="CA218" s="87"/>
      <c r="CB218" s="87"/>
      <c r="CC218" s="87"/>
      <c r="CD218" s="87"/>
      <c r="CE218" s="87"/>
      <c r="CF218" s="87"/>
      <c r="CG218" s="87"/>
      <c r="CH218" s="87"/>
      <c r="CI218" s="87"/>
      <c r="CJ218" s="87"/>
      <c r="CK218" s="87"/>
      <c r="CL218" s="87"/>
      <c r="CM218" s="87"/>
      <c r="CN218" s="87"/>
      <c r="CO218" s="87"/>
      <c r="CP218" s="87"/>
      <c r="CQ218" s="87"/>
      <c r="CR218" s="87"/>
      <c r="CS218" s="87"/>
      <c r="CT218" s="87"/>
      <c r="CU218" s="87"/>
      <c r="CV218" s="87"/>
      <c r="CW218" s="87"/>
      <c r="CX218" s="87"/>
      <c r="CY218" s="87"/>
      <c r="CZ218" s="87"/>
      <c r="DA218" s="87"/>
      <c r="DB218" s="87"/>
      <c r="DC218" s="87"/>
      <c r="DD218" s="87"/>
      <c r="DE218" s="87"/>
      <c r="DF218" s="87"/>
      <c r="DG218" s="87"/>
      <c r="DH218" s="87"/>
      <c r="DI218" s="87"/>
      <c r="DJ218" s="87"/>
      <c r="DK218" s="87"/>
      <c r="DL218" s="87"/>
      <c r="DM218" s="87"/>
      <c r="DN218" s="87"/>
      <c r="DO218" s="87"/>
      <c r="DP218" s="87"/>
      <c r="DQ218" s="87"/>
      <c r="DR218" s="87"/>
      <c r="DS218" s="87"/>
      <c r="DT218" s="87"/>
      <c r="DU218" s="87"/>
      <c r="DV218" s="87"/>
      <c r="DW218" s="87"/>
      <c r="DX218" s="87"/>
      <c r="DY218" s="87"/>
      <c r="DZ218" s="87"/>
      <c r="EA218" s="87"/>
      <c r="EB218" s="87"/>
      <c r="EC218" s="87"/>
      <c r="ED218" s="87"/>
      <c r="EE218" s="87"/>
      <c r="EF218" s="87"/>
      <c r="EG218" s="87"/>
      <c r="EH218" s="87"/>
      <c r="EI218" s="87"/>
    </row>
    <row r="219" spans="1:139" ht="16.5" hidden="1" thickBot="1" x14ac:dyDescent="0.35">
      <c r="A219" s="245" t="s">
        <v>339</v>
      </c>
      <c r="B219" s="239">
        <v>3</v>
      </c>
      <c r="C219" s="240">
        <f>50*0.25</f>
        <v>12.5</v>
      </c>
      <c r="D219" s="217">
        <f>C219/VLOOKUP(B219,'[2]Gas Prod per PADD'!$A$1:$C$6,2,FALSE)</f>
        <v>2.717391304347826E-3</v>
      </c>
      <c r="E219" s="196">
        <v>45482</v>
      </c>
      <c r="F219" s="197">
        <f>E219+7</f>
        <v>45489</v>
      </c>
      <c r="G219" s="239"/>
      <c r="H219" s="241" t="s">
        <v>216</v>
      </c>
      <c r="I219" s="84"/>
      <c r="J219" s="85"/>
      <c r="K219" s="85"/>
      <c r="L219" s="85"/>
      <c r="M219" s="85"/>
      <c r="N219" s="85"/>
      <c r="O219" s="85"/>
      <c r="P219" s="85"/>
      <c r="Q219" s="85"/>
      <c r="R219" s="85"/>
      <c r="S219" s="85"/>
      <c r="T219" s="85"/>
      <c r="U219" s="85"/>
      <c r="V219" s="84"/>
      <c r="W219" s="84"/>
      <c r="X219" s="84" t="str">
        <f t="shared" si="11"/>
        <v>OK</v>
      </c>
      <c r="Y219" s="86"/>
      <c r="Z219" s="87"/>
      <c r="AA219" s="87"/>
      <c r="AB219" s="87"/>
      <c r="AC219" s="87"/>
      <c r="AD219" s="87"/>
      <c r="AE219" s="87"/>
      <c r="AF219" s="87"/>
      <c r="AG219" s="87"/>
      <c r="AH219" s="87"/>
      <c r="AI219" s="87"/>
      <c r="AJ219" s="87"/>
      <c r="AK219" s="87"/>
      <c r="AL219" s="87"/>
      <c r="AM219" s="87"/>
      <c r="AN219" s="87"/>
      <c r="AO219" s="87"/>
      <c r="AP219" s="87"/>
      <c r="AQ219" s="87"/>
      <c r="AR219" s="87"/>
      <c r="AS219" s="87"/>
      <c r="AT219" s="87"/>
      <c r="AU219" s="87"/>
      <c r="AV219" s="87"/>
      <c r="AW219" s="87"/>
      <c r="AX219" s="87"/>
      <c r="AY219" s="87"/>
      <c r="AZ219" s="87"/>
      <c r="BA219" s="87"/>
      <c r="BB219" s="87"/>
      <c r="BC219" s="87"/>
      <c r="BD219" s="87"/>
      <c r="BE219" s="87"/>
      <c r="BF219" s="87"/>
      <c r="BG219" s="87"/>
      <c r="BH219" s="87"/>
      <c r="BI219" s="87">
        <f>C219*-4/7</f>
        <v>-7.1428571428571432</v>
      </c>
      <c r="BJ219" s="87"/>
      <c r="BK219" s="87">
        <f>-BI219</f>
        <v>7.1428571428571432</v>
      </c>
      <c r="BL219" s="87"/>
      <c r="BM219" s="87"/>
      <c r="BN219" s="87"/>
      <c r="BO219" s="87"/>
      <c r="BP219" s="87"/>
      <c r="BQ219" s="87"/>
      <c r="BR219" s="87"/>
      <c r="BS219" s="87"/>
      <c r="BT219" s="87"/>
      <c r="BU219" s="87"/>
      <c r="BV219" s="87"/>
      <c r="BW219" s="87"/>
      <c r="BX219" s="87"/>
      <c r="BY219" s="87"/>
      <c r="BZ219" s="87"/>
      <c r="CA219" s="87"/>
      <c r="CB219" s="87"/>
      <c r="CC219" s="87"/>
      <c r="CD219" s="87"/>
      <c r="CE219" s="87"/>
      <c r="CF219" s="87"/>
      <c r="CG219" s="87"/>
      <c r="CH219" s="87"/>
      <c r="CI219" s="87"/>
      <c r="CJ219" s="87"/>
      <c r="CK219" s="87"/>
      <c r="CL219" s="87"/>
      <c r="CM219" s="87"/>
      <c r="CN219" s="87"/>
      <c r="CO219" s="87"/>
      <c r="CP219" s="87"/>
      <c r="CQ219" s="87"/>
      <c r="CR219" s="87"/>
      <c r="CS219" s="87"/>
      <c r="CT219" s="87"/>
      <c r="CU219" s="87"/>
      <c r="CV219" s="87"/>
      <c r="CW219" s="87"/>
      <c r="CX219" s="87"/>
      <c r="CY219" s="87"/>
      <c r="CZ219" s="87"/>
      <c r="DA219" s="87"/>
      <c r="DB219" s="87"/>
      <c r="DC219" s="87"/>
      <c r="DD219" s="87"/>
      <c r="DE219" s="87"/>
      <c r="DF219" s="87"/>
      <c r="DG219" s="87"/>
      <c r="DH219" s="87"/>
      <c r="DI219" s="87"/>
      <c r="DJ219" s="87"/>
      <c r="DK219" s="87"/>
      <c r="DL219" s="87"/>
      <c r="DM219" s="87"/>
      <c r="DN219" s="87"/>
      <c r="DO219" s="87"/>
      <c r="DP219" s="87"/>
      <c r="DQ219" s="87"/>
      <c r="DR219" s="87"/>
      <c r="DS219" s="87"/>
      <c r="DT219" s="87"/>
      <c r="DU219" s="87"/>
      <c r="DV219" s="87"/>
      <c r="DW219" s="87"/>
      <c r="DX219" s="87"/>
      <c r="DY219" s="87"/>
      <c r="DZ219" s="87"/>
      <c r="EA219" s="87"/>
      <c r="EB219" s="87"/>
      <c r="EC219" s="87"/>
      <c r="ED219" s="87"/>
      <c r="EE219" s="87"/>
      <c r="EF219" s="87"/>
      <c r="EG219" s="87"/>
      <c r="EH219" s="87"/>
      <c r="EI219" s="87"/>
    </row>
    <row r="220" spans="1:139" ht="16.5" hidden="1" thickBot="1" x14ac:dyDescent="0.35">
      <c r="A220" s="219" t="s">
        <v>127</v>
      </c>
      <c r="B220" s="194">
        <v>3</v>
      </c>
      <c r="C220" s="195">
        <f>(0.1*80)+(0.85*40)+(60*0.1)</f>
        <v>48</v>
      </c>
      <c r="D220" s="217">
        <f>C220/VLOOKUP(B220,'[2]Gas Prod per PADD'!$A$1:$C$6,2,FALSE)</f>
        <v>1.0434782608695653E-2</v>
      </c>
      <c r="E220" s="196">
        <v>45486</v>
      </c>
      <c r="F220" s="197">
        <v>45489</v>
      </c>
      <c r="G220" s="194" t="s">
        <v>497</v>
      </c>
      <c r="H220" s="230" t="s">
        <v>498</v>
      </c>
      <c r="I220" s="84"/>
      <c r="J220" s="85"/>
      <c r="K220" s="85"/>
      <c r="L220" s="85"/>
      <c r="M220" s="85"/>
      <c r="N220" s="85"/>
      <c r="O220" s="85"/>
      <c r="P220" s="85"/>
      <c r="Q220" s="85"/>
      <c r="R220" s="85"/>
      <c r="S220" s="85"/>
      <c r="T220" s="85"/>
      <c r="U220" s="85"/>
      <c r="V220" s="84"/>
      <c r="W220" s="84"/>
      <c r="X220" s="84" t="str">
        <f t="shared" si="11"/>
        <v>OK</v>
      </c>
      <c r="Y220" s="86"/>
      <c r="Z220" s="87"/>
      <c r="AA220" s="87"/>
      <c r="AB220" s="87"/>
      <c r="AC220" s="87"/>
      <c r="AD220" s="87"/>
      <c r="AE220" s="87"/>
      <c r="AF220" s="87"/>
      <c r="AG220" s="87"/>
      <c r="AH220" s="87"/>
      <c r="AI220" s="87"/>
      <c r="AJ220" s="87"/>
      <c r="AK220" s="87"/>
      <c r="AL220" s="87"/>
      <c r="AM220" s="87"/>
      <c r="AN220" s="87"/>
      <c r="AO220" s="87"/>
      <c r="AP220" s="87"/>
      <c r="AQ220" s="87"/>
      <c r="AR220" s="87"/>
      <c r="AS220" s="87"/>
      <c r="AT220" s="87"/>
      <c r="AU220" s="87"/>
      <c r="AV220" s="87"/>
      <c r="AW220" s="87"/>
      <c r="AX220" s="87"/>
      <c r="AY220" s="87"/>
      <c r="AZ220" s="87"/>
      <c r="BA220" s="87"/>
      <c r="BB220" s="87"/>
      <c r="BC220" s="87"/>
      <c r="BD220" s="87"/>
      <c r="BE220" s="87"/>
      <c r="BF220" s="87"/>
      <c r="BG220" s="87"/>
      <c r="BH220" s="87"/>
      <c r="BI220" s="87"/>
      <c r="BJ220" s="87">
        <f>-4/7*C220</f>
        <v>-27.428571428571427</v>
      </c>
      <c r="BK220" s="87">
        <v>16.8</v>
      </c>
      <c r="BL220" s="87">
        <f>-BJ220-BK220</f>
        <v>10.628571428571426</v>
      </c>
      <c r="BM220" s="87"/>
      <c r="BN220" s="87"/>
      <c r="BO220" s="87"/>
      <c r="BP220" s="87"/>
      <c r="BQ220" s="87"/>
      <c r="BR220" s="87"/>
      <c r="BS220" s="87"/>
      <c r="BT220" s="87"/>
      <c r="BU220" s="87"/>
      <c r="BV220" s="87"/>
      <c r="BW220" s="87"/>
      <c r="BX220" s="87"/>
      <c r="BY220" s="87"/>
      <c r="BZ220" s="87"/>
      <c r="CA220" s="87"/>
      <c r="CB220" s="87"/>
      <c r="CC220" s="87"/>
      <c r="CD220" s="87"/>
      <c r="CE220" s="87"/>
      <c r="CF220" s="87"/>
      <c r="CG220" s="87"/>
      <c r="CH220" s="87"/>
      <c r="CI220" s="87"/>
      <c r="CJ220" s="87"/>
      <c r="CK220" s="87"/>
      <c r="CL220" s="87"/>
      <c r="CM220" s="87"/>
      <c r="CN220" s="87"/>
      <c r="CO220" s="87"/>
      <c r="CP220" s="87"/>
      <c r="CQ220" s="87"/>
      <c r="CR220" s="87"/>
      <c r="CS220" s="87"/>
      <c r="CT220" s="87"/>
      <c r="CU220" s="87"/>
      <c r="CV220" s="87"/>
      <c r="CW220" s="87"/>
      <c r="CX220" s="87"/>
      <c r="CY220" s="87"/>
      <c r="CZ220" s="87"/>
      <c r="DA220" s="87"/>
      <c r="DB220" s="87"/>
      <c r="DC220" s="87"/>
      <c r="DD220" s="87"/>
      <c r="DE220" s="87"/>
      <c r="DF220" s="87"/>
      <c r="DG220" s="87"/>
      <c r="DH220" s="87"/>
      <c r="DI220" s="87"/>
      <c r="DJ220" s="87"/>
      <c r="DK220" s="87"/>
      <c r="DL220" s="87"/>
      <c r="DM220" s="87"/>
      <c r="DN220" s="87"/>
      <c r="DO220" s="87"/>
      <c r="DP220" s="87"/>
      <c r="DQ220" s="87"/>
      <c r="DR220" s="87"/>
      <c r="DS220" s="87"/>
      <c r="DT220" s="87"/>
      <c r="DU220" s="87"/>
      <c r="DV220" s="87"/>
      <c r="DW220" s="87"/>
      <c r="DX220" s="87"/>
      <c r="DY220" s="87"/>
      <c r="DZ220" s="87"/>
      <c r="EA220" s="87"/>
      <c r="EB220" s="87"/>
      <c r="EC220" s="87"/>
      <c r="ED220" s="87"/>
      <c r="EE220" s="87"/>
      <c r="EF220" s="87"/>
      <c r="EG220" s="87"/>
      <c r="EH220" s="87"/>
      <c r="EI220" s="87"/>
    </row>
    <row r="221" spans="1:139" ht="16.5" hidden="1" thickBot="1" x14ac:dyDescent="0.35">
      <c r="A221" s="219" t="s">
        <v>451</v>
      </c>
      <c r="B221" s="194">
        <v>3</v>
      </c>
      <c r="C221" s="195">
        <f>97*0.65</f>
        <v>63.050000000000004</v>
      </c>
      <c r="D221" s="217">
        <f>C221/VLOOKUP(B221,'[2]Gas Prod per PADD'!$A$1:$C$6,2,FALSE)</f>
        <v>1.3706521739130435E-2</v>
      </c>
      <c r="E221" s="196">
        <v>45489</v>
      </c>
      <c r="F221" s="197">
        <v>45490</v>
      </c>
      <c r="G221" s="194" t="s">
        <v>221</v>
      </c>
      <c r="H221" s="230" t="s">
        <v>499</v>
      </c>
      <c r="I221" s="84"/>
      <c r="J221" s="85"/>
      <c r="K221" s="85"/>
      <c r="L221" s="85"/>
      <c r="M221" s="85"/>
      <c r="N221" s="85"/>
      <c r="O221" s="85"/>
      <c r="P221" s="85"/>
      <c r="Q221" s="85"/>
      <c r="R221" s="85"/>
      <c r="S221" s="85"/>
      <c r="T221" s="85"/>
      <c r="U221" s="85"/>
      <c r="V221" s="84"/>
      <c r="W221" s="84"/>
      <c r="X221" s="84" t="str">
        <f t="shared" si="11"/>
        <v>OK</v>
      </c>
      <c r="Y221" s="86"/>
      <c r="Z221" s="87"/>
      <c r="AA221" s="87"/>
      <c r="AB221" s="87"/>
      <c r="AC221" s="87"/>
      <c r="AD221" s="87"/>
      <c r="AE221" s="87"/>
      <c r="AF221" s="87"/>
      <c r="AG221" s="87"/>
      <c r="AH221" s="87"/>
      <c r="AI221" s="87"/>
      <c r="AJ221" s="87"/>
      <c r="AK221" s="87"/>
      <c r="AL221" s="87"/>
      <c r="AM221" s="87"/>
      <c r="AN221" s="87"/>
      <c r="AO221" s="87"/>
      <c r="AP221" s="87"/>
      <c r="AQ221" s="87"/>
      <c r="AR221" s="87"/>
      <c r="AS221" s="87"/>
      <c r="AT221" s="87"/>
      <c r="AU221" s="87"/>
      <c r="AV221" s="87"/>
      <c r="AW221" s="87"/>
      <c r="AX221" s="87"/>
      <c r="AY221" s="87"/>
      <c r="AZ221" s="87"/>
      <c r="BA221" s="87"/>
      <c r="BB221" s="87"/>
      <c r="BC221" s="87"/>
      <c r="BD221" s="87"/>
      <c r="BE221" s="87"/>
      <c r="BF221" s="87"/>
      <c r="BG221" s="87"/>
      <c r="BH221" s="87"/>
      <c r="BI221" s="87"/>
      <c r="BJ221" s="87">
        <f>-2/7*C221</f>
        <v>-18.014285714285716</v>
      </c>
      <c r="BK221" s="87">
        <f>-BJ221</f>
        <v>18.014285714285716</v>
      </c>
      <c r="BL221" s="87"/>
      <c r="BM221" s="87"/>
      <c r="BN221" s="87"/>
      <c r="BO221" s="87"/>
      <c r="BP221" s="87"/>
      <c r="BQ221" s="87"/>
      <c r="BR221" s="87"/>
      <c r="BS221" s="87"/>
      <c r="BT221" s="87"/>
      <c r="BU221" s="87"/>
      <c r="BV221" s="87"/>
      <c r="BW221" s="87"/>
      <c r="BX221" s="87"/>
      <c r="BY221" s="87"/>
      <c r="BZ221" s="87"/>
      <c r="CA221" s="87"/>
      <c r="CB221" s="87"/>
      <c r="CC221" s="87"/>
      <c r="CD221" s="87"/>
      <c r="CE221" s="87"/>
      <c r="CF221" s="87"/>
      <c r="CG221" s="87"/>
      <c r="CH221" s="87"/>
      <c r="CI221" s="87"/>
      <c r="CJ221" s="87"/>
      <c r="CK221" s="87"/>
      <c r="CL221" s="87"/>
      <c r="CM221" s="87"/>
      <c r="CN221" s="87"/>
      <c r="CO221" s="87"/>
      <c r="CP221" s="87"/>
      <c r="CQ221" s="87"/>
      <c r="CR221" s="87"/>
      <c r="CS221" s="87"/>
      <c r="CT221" s="87"/>
      <c r="CU221" s="87"/>
      <c r="CV221" s="87"/>
      <c r="CW221" s="87"/>
      <c r="CX221" s="87"/>
      <c r="CY221" s="87"/>
      <c r="CZ221" s="87"/>
      <c r="DA221" s="87"/>
      <c r="DB221" s="87"/>
      <c r="DC221" s="87"/>
      <c r="DD221" s="87"/>
      <c r="DE221" s="87"/>
      <c r="DF221" s="87"/>
      <c r="DG221" s="87"/>
      <c r="DH221" s="87"/>
      <c r="DI221" s="87"/>
      <c r="DJ221" s="87"/>
      <c r="DK221" s="87"/>
      <c r="DL221" s="87"/>
      <c r="DM221" s="87"/>
      <c r="DN221" s="87"/>
      <c r="DO221" s="87"/>
      <c r="DP221" s="87"/>
      <c r="DQ221" s="87"/>
      <c r="DR221" s="87"/>
      <c r="DS221" s="87"/>
      <c r="DT221" s="87"/>
      <c r="DU221" s="87"/>
      <c r="DV221" s="87"/>
      <c r="DW221" s="87"/>
      <c r="DX221" s="87"/>
      <c r="DY221" s="87"/>
      <c r="DZ221" s="87"/>
      <c r="EA221" s="87"/>
      <c r="EB221" s="87"/>
      <c r="EC221" s="87"/>
      <c r="ED221" s="87"/>
      <c r="EE221" s="87"/>
      <c r="EF221" s="87"/>
      <c r="EG221" s="87"/>
      <c r="EH221" s="87"/>
      <c r="EI221" s="87"/>
    </row>
    <row r="222" spans="1:139" ht="16.5" hidden="1" thickBot="1" x14ac:dyDescent="0.35">
      <c r="A222" s="200" t="s">
        <v>123</v>
      </c>
      <c r="B222" s="223">
        <v>1</v>
      </c>
      <c r="C222" s="224">
        <f>53*0.65</f>
        <v>34.450000000000003</v>
      </c>
      <c r="D222" s="217">
        <f>C222/VLOOKUP(B222,'[2]Gas Prod per PADD'!$A$1:$C$6,2,FALSE)</f>
        <v>7.1770833333333339E-2</v>
      </c>
      <c r="E222" s="225">
        <v>45489</v>
      </c>
      <c r="F222" s="226">
        <v>45491</v>
      </c>
      <c r="G222" s="180" t="s">
        <v>500</v>
      </c>
      <c r="H222" s="221" t="s">
        <v>501</v>
      </c>
      <c r="I222" s="84"/>
      <c r="J222" s="85"/>
      <c r="K222" s="85"/>
      <c r="L222" s="85"/>
      <c r="M222" s="85"/>
      <c r="N222" s="85"/>
      <c r="O222" s="85"/>
      <c r="P222" s="85"/>
      <c r="Q222" s="85"/>
      <c r="R222" s="85"/>
      <c r="S222" s="85"/>
      <c r="T222" s="85"/>
      <c r="U222" s="85"/>
      <c r="V222" s="84"/>
      <c r="W222" s="84"/>
      <c r="X222" s="84" t="str">
        <f t="shared" si="11"/>
        <v>OK</v>
      </c>
      <c r="Y222" s="105"/>
      <c r="Z222" s="105"/>
      <c r="AA222" s="87"/>
      <c r="AB222" s="87"/>
      <c r="AC222" s="87"/>
      <c r="AD222" s="87"/>
      <c r="AE222" s="105"/>
      <c r="AF222" s="105"/>
      <c r="AG222" s="105"/>
      <c r="AH222" s="105"/>
      <c r="AI222" s="87"/>
      <c r="AJ222" s="87"/>
      <c r="AK222" s="105"/>
      <c r="AL222" s="87"/>
      <c r="AM222" s="105"/>
      <c r="AN222" s="105"/>
      <c r="AO222" s="87"/>
      <c r="AP222" s="87"/>
      <c r="AQ222" s="105"/>
      <c r="AR222" s="105"/>
      <c r="AS222" s="87"/>
      <c r="AT222" s="105"/>
      <c r="AU222" s="87"/>
      <c r="AV222" s="87"/>
      <c r="AW222" s="105"/>
      <c r="AX222" s="105"/>
      <c r="AY222" s="105"/>
      <c r="AZ222" s="105"/>
      <c r="BA222" s="105"/>
      <c r="BB222" s="105"/>
      <c r="BC222" s="105"/>
      <c r="BD222" s="87"/>
      <c r="BE222" s="87"/>
      <c r="BF222" s="87"/>
      <c r="BG222" s="87"/>
      <c r="BH222" s="87"/>
      <c r="BI222" s="87"/>
      <c r="BJ222" s="87">
        <f>-3/7*C222</f>
        <v>-14.764285714285714</v>
      </c>
      <c r="BK222" s="87">
        <f>-BJ222-10</f>
        <v>4.7642857142857142</v>
      </c>
      <c r="BL222" s="87">
        <f>-BJ222-BK222</f>
        <v>10</v>
      </c>
      <c r="BM222" s="87"/>
      <c r="BN222" s="87"/>
      <c r="BO222" s="87"/>
      <c r="BP222" s="87"/>
      <c r="BQ222" s="87"/>
      <c r="BR222" s="87"/>
      <c r="BS222" s="87"/>
      <c r="BT222" s="87"/>
      <c r="BU222" s="87"/>
      <c r="BV222" s="87"/>
      <c r="BW222" s="87"/>
      <c r="BX222" s="87"/>
      <c r="BY222" s="87"/>
      <c r="BZ222" s="87"/>
      <c r="CA222" s="87"/>
      <c r="CB222" s="87"/>
      <c r="CC222" s="87"/>
      <c r="CD222" s="87"/>
      <c r="CE222" s="87"/>
      <c r="CF222" s="87"/>
      <c r="CG222" s="87"/>
      <c r="CH222" s="87"/>
      <c r="CI222" s="87"/>
      <c r="CJ222" s="87"/>
      <c r="CK222" s="87"/>
      <c r="CL222" s="87"/>
      <c r="CM222" s="87"/>
      <c r="CN222" s="87"/>
      <c r="CO222" s="87"/>
      <c r="CP222" s="87"/>
      <c r="CQ222" s="87"/>
      <c r="CR222" s="87"/>
      <c r="CS222" s="87"/>
      <c r="CT222" s="87"/>
      <c r="CU222" s="87"/>
      <c r="CV222" s="87"/>
      <c r="CW222" s="87"/>
      <c r="CX222" s="87"/>
      <c r="CY222" s="87"/>
      <c r="CZ222" s="87"/>
      <c r="DA222" s="87"/>
      <c r="DB222" s="87"/>
      <c r="DC222" s="87"/>
      <c r="DD222" s="87"/>
      <c r="DE222" s="87"/>
      <c r="DF222" s="87"/>
      <c r="DG222" s="87"/>
      <c r="DH222" s="87"/>
      <c r="DI222" s="87"/>
      <c r="DJ222" s="87"/>
      <c r="DK222" s="87"/>
      <c r="DL222" s="87"/>
      <c r="DM222" s="87"/>
      <c r="DN222" s="87"/>
      <c r="DO222" s="87"/>
      <c r="DP222" s="87"/>
      <c r="DQ222" s="87"/>
      <c r="DR222" s="87"/>
      <c r="DS222" s="87"/>
      <c r="DT222" s="87"/>
      <c r="DU222" s="87"/>
      <c r="DV222" s="87"/>
      <c r="DW222" s="87"/>
      <c r="DX222" s="87"/>
      <c r="DY222" s="87"/>
      <c r="DZ222" s="87"/>
      <c r="EA222" s="87"/>
      <c r="EB222" s="87"/>
      <c r="EC222" s="87"/>
      <c r="ED222" s="87"/>
      <c r="EE222" s="87"/>
      <c r="EF222" s="87"/>
      <c r="EG222" s="87"/>
      <c r="EH222" s="87"/>
      <c r="EI222" s="87"/>
    </row>
    <row r="223" spans="1:139" ht="16.5" hidden="1" thickBot="1" x14ac:dyDescent="0.35">
      <c r="A223" s="113" t="s">
        <v>502</v>
      </c>
      <c r="B223" s="194">
        <v>3</v>
      </c>
      <c r="C223" s="195">
        <f>24*0.85</f>
        <v>20.399999999999999</v>
      </c>
      <c r="D223" s="217">
        <f>C223/VLOOKUP(B223,'[2]Gas Prod per PADD'!$A$1:$C$6,2,FALSE)</f>
        <v>4.434782608695652E-3</v>
      </c>
      <c r="E223" s="196">
        <v>45489</v>
      </c>
      <c r="F223" s="197">
        <v>45491</v>
      </c>
      <c r="G223" s="194" t="s">
        <v>197</v>
      </c>
      <c r="H223" s="198" t="s">
        <v>433</v>
      </c>
      <c r="I223" s="84"/>
      <c r="J223" s="85"/>
      <c r="K223" s="85"/>
      <c r="L223" s="85"/>
      <c r="M223" s="85"/>
      <c r="N223" s="85"/>
      <c r="O223" s="85"/>
      <c r="P223" s="85"/>
      <c r="Q223" s="85"/>
      <c r="R223" s="85"/>
      <c r="S223" s="85"/>
      <c r="T223" s="85"/>
      <c r="U223" s="85"/>
      <c r="V223" s="84"/>
      <c r="W223" s="84"/>
      <c r="X223" s="84" t="str">
        <f t="shared" si="11"/>
        <v>OK</v>
      </c>
      <c r="Y223" s="87"/>
      <c r="Z223" s="87"/>
      <c r="AA223" s="87"/>
      <c r="AB223" s="87"/>
      <c r="AC223" s="87"/>
      <c r="AD223" s="87"/>
      <c r="AE223" s="87"/>
      <c r="AF223" s="87"/>
      <c r="AG223" s="87"/>
      <c r="AH223" s="87"/>
      <c r="AI223" s="87"/>
      <c r="AJ223" s="87"/>
      <c r="AK223" s="87"/>
      <c r="AL223" s="87"/>
      <c r="AM223" s="87"/>
      <c r="AN223" s="87"/>
      <c r="AO223" s="87"/>
      <c r="AP223" s="87"/>
      <c r="AQ223" s="87"/>
      <c r="AR223" s="87"/>
      <c r="AS223" s="87"/>
      <c r="AT223" s="87"/>
      <c r="AU223" s="87"/>
      <c r="AV223" s="87"/>
      <c r="AW223" s="87"/>
      <c r="AX223" s="87"/>
      <c r="AY223" s="87"/>
      <c r="AZ223" s="87"/>
      <c r="BA223" s="87"/>
      <c r="BB223" s="87"/>
      <c r="BC223" s="87"/>
      <c r="BD223" s="87"/>
      <c r="BE223" s="87"/>
      <c r="BF223" s="87"/>
      <c r="BG223" s="87"/>
      <c r="BH223" s="87"/>
      <c r="BI223" s="87"/>
      <c r="BJ223" s="87">
        <f>-2/7*C223</f>
        <v>-5.8285714285714274</v>
      </c>
      <c r="BK223" s="87">
        <f>-BJ223</f>
        <v>5.8285714285714274</v>
      </c>
      <c r="BL223" s="87"/>
      <c r="BM223" s="87"/>
      <c r="BN223" s="87"/>
      <c r="BO223" s="87"/>
      <c r="BP223" s="87"/>
      <c r="BQ223" s="87"/>
      <c r="BR223" s="87"/>
      <c r="BS223" s="87"/>
      <c r="BT223" s="87"/>
      <c r="BU223" s="87"/>
      <c r="BV223" s="87"/>
      <c r="BW223" s="87"/>
      <c r="BX223" s="87"/>
      <c r="BY223" s="87"/>
      <c r="BZ223" s="87"/>
      <c r="CA223" s="87"/>
      <c r="CB223" s="87"/>
      <c r="CC223" s="87"/>
      <c r="CD223" s="87"/>
      <c r="CE223" s="87"/>
      <c r="CF223" s="87"/>
      <c r="CG223" s="87"/>
      <c r="CH223" s="87"/>
      <c r="CI223" s="87"/>
      <c r="CJ223" s="87"/>
      <c r="CK223" s="87"/>
      <c r="CL223" s="87"/>
      <c r="CM223" s="87"/>
      <c r="CN223" s="87"/>
      <c r="CO223" s="87"/>
      <c r="CP223" s="87"/>
      <c r="CQ223" s="87"/>
      <c r="CR223" s="87"/>
      <c r="CS223" s="87"/>
      <c r="CT223" s="87"/>
      <c r="CU223" s="87"/>
      <c r="CV223" s="87"/>
      <c r="CW223" s="87"/>
      <c r="CX223" s="87"/>
      <c r="CY223" s="87"/>
      <c r="CZ223" s="87"/>
      <c r="DA223" s="87"/>
      <c r="DB223" s="87"/>
      <c r="DC223" s="87"/>
      <c r="DD223" s="87"/>
      <c r="DE223" s="87"/>
      <c r="DF223" s="87"/>
      <c r="DG223" s="87"/>
      <c r="DH223" s="87"/>
      <c r="DI223" s="87"/>
      <c r="DJ223" s="87"/>
      <c r="DK223" s="87"/>
      <c r="DL223" s="87"/>
      <c r="DM223" s="87"/>
      <c r="DN223" s="87"/>
      <c r="DO223" s="87"/>
      <c r="DP223" s="87"/>
      <c r="DQ223" s="87"/>
      <c r="DR223" s="87"/>
      <c r="DS223" s="87"/>
      <c r="DT223" s="87"/>
      <c r="DU223" s="87"/>
      <c r="DV223" s="87"/>
      <c r="DW223" s="87"/>
      <c r="DX223" s="87"/>
      <c r="DY223" s="87"/>
      <c r="DZ223" s="87"/>
      <c r="EA223" s="87"/>
      <c r="EB223" s="87"/>
      <c r="EC223" s="87"/>
      <c r="ED223" s="87"/>
      <c r="EE223" s="87"/>
      <c r="EF223" s="87"/>
      <c r="EG223" s="87"/>
      <c r="EH223" s="87"/>
      <c r="EI223" s="87"/>
    </row>
    <row r="224" spans="1:139" ht="16.5" hidden="1" thickBot="1" x14ac:dyDescent="0.35">
      <c r="A224" s="237" t="s">
        <v>314</v>
      </c>
      <c r="B224" s="194">
        <v>2</v>
      </c>
      <c r="C224" s="195">
        <f>21*0.65</f>
        <v>13.65</v>
      </c>
      <c r="D224" s="217">
        <f>C224/VLOOKUP(B224,'[2]Gas Prod per PADD'!$A$1:$C$6,2,FALSE)</f>
        <v>5.6874999999999998E-3</v>
      </c>
      <c r="E224" s="196">
        <v>45482</v>
      </c>
      <c r="F224" s="197">
        <v>45492</v>
      </c>
      <c r="G224" s="194" t="s">
        <v>221</v>
      </c>
      <c r="H224" s="198" t="s">
        <v>503</v>
      </c>
      <c r="I224" s="84"/>
      <c r="J224" s="85"/>
      <c r="K224" s="85"/>
      <c r="L224" s="85"/>
      <c r="M224" s="85"/>
      <c r="N224" s="85"/>
      <c r="O224" s="85"/>
      <c r="P224" s="85"/>
      <c r="Q224" s="85"/>
      <c r="R224" s="85"/>
      <c r="S224" s="85"/>
      <c r="T224" s="85"/>
      <c r="U224" s="85"/>
      <c r="V224" s="84"/>
      <c r="W224" s="84"/>
      <c r="X224" s="84" t="str">
        <f t="shared" si="11"/>
        <v>OK</v>
      </c>
      <c r="Y224" s="86"/>
      <c r="Z224" s="87"/>
      <c r="AA224" s="87"/>
      <c r="AB224" s="87"/>
      <c r="AC224" s="87"/>
      <c r="AD224" s="87"/>
      <c r="AE224" s="87"/>
      <c r="AF224" s="87"/>
      <c r="AG224" s="87"/>
      <c r="AH224" s="87"/>
      <c r="AI224" s="87"/>
      <c r="AJ224" s="87"/>
      <c r="AK224" s="87"/>
      <c r="AL224" s="87"/>
      <c r="AM224" s="87"/>
      <c r="AN224" s="87"/>
      <c r="AO224" s="87"/>
      <c r="AP224" s="87"/>
      <c r="AQ224" s="87"/>
      <c r="AR224" s="87"/>
      <c r="AS224" s="87"/>
      <c r="AT224" s="87"/>
      <c r="AU224" s="87"/>
      <c r="AV224" s="87"/>
      <c r="AW224" s="87"/>
      <c r="AX224" s="87"/>
      <c r="AY224" s="87"/>
      <c r="AZ224" s="87"/>
      <c r="BA224" s="87"/>
      <c r="BB224" s="87"/>
      <c r="BC224" s="87"/>
      <c r="BD224" s="87"/>
      <c r="BE224" s="87"/>
      <c r="BF224" s="87"/>
      <c r="BG224" s="87"/>
      <c r="BH224" s="87"/>
      <c r="BI224" s="87">
        <f>-4/7*C224</f>
        <v>-7.8</v>
      </c>
      <c r="BJ224" s="87"/>
      <c r="BK224" s="87">
        <f>-BI224</f>
        <v>7.8</v>
      </c>
      <c r="BL224" s="87"/>
      <c r="BM224" s="87"/>
      <c r="BN224" s="87"/>
      <c r="BO224" s="87"/>
      <c r="BP224" s="87"/>
      <c r="BQ224" s="87"/>
      <c r="BR224" s="87"/>
      <c r="BS224" s="87"/>
      <c r="BT224" s="87"/>
      <c r="BU224" s="87"/>
      <c r="BV224" s="87"/>
      <c r="BW224" s="87"/>
      <c r="BX224" s="87"/>
      <c r="BY224" s="87"/>
      <c r="BZ224" s="87"/>
      <c r="CA224" s="87"/>
      <c r="CB224" s="87"/>
      <c r="CC224" s="87"/>
      <c r="CD224" s="87"/>
      <c r="CE224" s="87"/>
      <c r="CF224" s="87"/>
      <c r="CG224" s="87"/>
      <c r="CH224" s="87"/>
      <c r="CI224" s="87"/>
      <c r="CJ224" s="87"/>
      <c r="CK224" s="87"/>
      <c r="CL224" s="87"/>
      <c r="CM224" s="87"/>
      <c r="CN224" s="87"/>
      <c r="CO224" s="87"/>
      <c r="CP224" s="87"/>
      <c r="CQ224" s="87"/>
      <c r="CR224" s="87"/>
      <c r="CS224" s="87"/>
      <c r="CT224" s="87"/>
      <c r="CU224" s="87"/>
      <c r="CV224" s="87"/>
      <c r="CW224" s="87"/>
      <c r="CX224" s="87"/>
      <c r="CY224" s="87"/>
      <c r="CZ224" s="87"/>
      <c r="DA224" s="87"/>
      <c r="DB224" s="87"/>
      <c r="DC224" s="87"/>
      <c r="DD224" s="87"/>
      <c r="DE224" s="87"/>
      <c r="DF224" s="87"/>
      <c r="DG224" s="87"/>
      <c r="DH224" s="87"/>
      <c r="DI224" s="87"/>
      <c r="DJ224" s="87"/>
      <c r="DK224" s="87"/>
      <c r="DL224" s="87"/>
      <c r="DM224" s="87"/>
      <c r="DN224" s="87"/>
      <c r="DO224" s="87"/>
      <c r="DP224" s="87"/>
      <c r="DQ224" s="87"/>
      <c r="DR224" s="87"/>
      <c r="DS224" s="87"/>
      <c r="DT224" s="87"/>
      <c r="DU224" s="87"/>
      <c r="DV224" s="87"/>
      <c r="DW224" s="87"/>
      <c r="DX224" s="87"/>
      <c r="DY224" s="87"/>
      <c r="DZ224" s="87"/>
      <c r="EA224" s="87"/>
      <c r="EB224" s="87"/>
      <c r="EC224" s="87"/>
      <c r="ED224" s="87"/>
      <c r="EE224" s="87"/>
      <c r="EF224" s="87"/>
      <c r="EG224" s="87"/>
      <c r="EH224" s="87"/>
      <c r="EI224" s="87"/>
    </row>
    <row r="225" spans="1:139" ht="16.5" hidden="1" thickBot="1" x14ac:dyDescent="0.35">
      <c r="A225" s="219" t="s">
        <v>152</v>
      </c>
      <c r="B225" s="194">
        <v>3</v>
      </c>
      <c r="C225" s="195">
        <f>100*0.1+20*0.1+15*0.65+30*0.05+79*0.85</f>
        <v>90.399999999999991</v>
      </c>
      <c r="D225" s="217">
        <f>C225/VLOOKUP(B225,'[2]Gas Prod per PADD'!$A$1:$C$6,2,FALSE)</f>
        <v>1.9652173913043476E-2</v>
      </c>
      <c r="E225" s="196">
        <v>45490</v>
      </c>
      <c r="F225" s="197">
        <f>E225+4</f>
        <v>45494</v>
      </c>
      <c r="G225" s="194" t="s">
        <v>504</v>
      </c>
      <c r="H225" s="246" t="s">
        <v>505</v>
      </c>
      <c r="I225" s="84"/>
      <c r="J225" s="85"/>
      <c r="K225" s="85"/>
      <c r="L225" s="85"/>
      <c r="M225" s="85"/>
      <c r="N225" s="85"/>
      <c r="O225" s="85"/>
      <c r="P225" s="85"/>
      <c r="Q225" s="85"/>
      <c r="R225" s="85"/>
      <c r="S225" s="85"/>
      <c r="T225" s="85"/>
      <c r="U225" s="85"/>
      <c r="V225" s="84"/>
      <c r="W225" s="84"/>
      <c r="X225" s="84" t="str">
        <f t="shared" si="11"/>
        <v>OK</v>
      </c>
      <c r="Y225" s="86"/>
      <c r="Z225" s="87"/>
      <c r="AA225" s="87"/>
      <c r="AB225" s="87"/>
      <c r="AC225" s="87"/>
      <c r="AD225" s="87"/>
      <c r="AE225" s="87"/>
      <c r="AF225" s="87"/>
      <c r="AG225" s="87"/>
      <c r="AH225" s="87"/>
      <c r="AI225" s="87"/>
      <c r="AJ225" s="87"/>
      <c r="AK225" s="87"/>
      <c r="AL225" s="87"/>
      <c r="AM225" s="87"/>
      <c r="AN225" s="87"/>
      <c r="AO225" s="87"/>
      <c r="AP225" s="87"/>
      <c r="AQ225" s="87"/>
      <c r="AR225" s="87"/>
      <c r="AS225" s="87"/>
      <c r="AT225" s="87"/>
      <c r="AU225" s="87"/>
      <c r="AV225" s="87"/>
      <c r="AW225" s="87"/>
      <c r="AX225" s="87"/>
      <c r="AY225" s="87"/>
      <c r="AZ225" s="87"/>
      <c r="BA225" s="87"/>
      <c r="BB225" s="87"/>
      <c r="BC225" s="87"/>
      <c r="BD225" s="87"/>
      <c r="BE225" s="87"/>
      <c r="BF225" s="87"/>
      <c r="BG225" s="87"/>
      <c r="BH225" s="87"/>
      <c r="BI225" s="87"/>
      <c r="BJ225" s="105">
        <f>(-3/7)*$C225</f>
        <v>-38.74285714285714</v>
      </c>
      <c r="BK225" s="87">
        <v>30</v>
      </c>
      <c r="BL225" s="105">
        <f>BJ225*-1-BK225</f>
        <v>8.7428571428571402</v>
      </c>
      <c r="BM225" s="87"/>
      <c r="BN225" s="87"/>
      <c r="BO225" s="87"/>
      <c r="BP225" s="87"/>
      <c r="BQ225" s="87"/>
      <c r="BR225" s="87"/>
      <c r="BS225" s="87"/>
      <c r="BT225" s="87"/>
      <c r="BU225" s="87"/>
      <c r="BV225" s="87"/>
      <c r="BW225" s="87"/>
      <c r="BX225" s="87"/>
      <c r="BY225" s="87"/>
      <c r="BZ225" s="87"/>
      <c r="CA225" s="87"/>
      <c r="CB225" s="87"/>
      <c r="CC225" s="87"/>
      <c r="CD225" s="87"/>
      <c r="CE225" s="87"/>
      <c r="CF225" s="87"/>
      <c r="CG225" s="87"/>
      <c r="CH225" s="87"/>
      <c r="CI225" s="87"/>
      <c r="CJ225" s="87"/>
      <c r="CK225" s="87"/>
      <c r="CL225" s="87"/>
      <c r="CM225" s="87"/>
      <c r="CN225" s="87"/>
      <c r="CO225" s="87"/>
      <c r="CP225" s="87"/>
      <c r="CQ225" s="87"/>
      <c r="CR225" s="87"/>
      <c r="CS225" s="87"/>
      <c r="CT225" s="87"/>
      <c r="CU225" s="87"/>
      <c r="CV225" s="87"/>
      <c r="CW225" s="87"/>
      <c r="CX225" s="87"/>
      <c r="CY225" s="87"/>
      <c r="CZ225" s="87"/>
      <c r="DA225" s="87"/>
      <c r="DB225" s="87"/>
      <c r="DC225" s="87"/>
      <c r="DD225" s="87"/>
      <c r="DE225" s="87"/>
      <c r="DF225" s="87"/>
      <c r="DG225" s="87"/>
      <c r="DH225" s="87"/>
      <c r="DI225" s="87"/>
      <c r="DJ225" s="87"/>
      <c r="DK225" s="87"/>
      <c r="DL225" s="87"/>
      <c r="DM225" s="87"/>
      <c r="DN225" s="87"/>
      <c r="DO225" s="87"/>
      <c r="DP225" s="87"/>
      <c r="DQ225" s="87"/>
      <c r="DR225" s="87"/>
      <c r="DS225" s="87"/>
      <c r="DT225" s="87"/>
      <c r="DU225" s="87"/>
      <c r="DV225" s="87"/>
      <c r="DW225" s="87"/>
      <c r="DX225" s="87"/>
      <c r="DY225" s="87"/>
      <c r="DZ225" s="87"/>
      <c r="EA225" s="87"/>
      <c r="EB225" s="87"/>
      <c r="EC225" s="87"/>
      <c r="ED225" s="87"/>
      <c r="EE225" s="87"/>
      <c r="EF225" s="87"/>
      <c r="EG225" s="87"/>
      <c r="EH225" s="87"/>
      <c r="EI225" s="87"/>
    </row>
    <row r="226" spans="1:139" ht="16.5" hidden="1" thickBot="1" x14ac:dyDescent="0.35">
      <c r="A226" s="113" t="s">
        <v>312</v>
      </c>
      <c r="B226" s="194">
        <v>4</v>
      </c>
      <c r="C226" s="195">
        <f>26*0.65</f>
        <v>16.900000000000002</v>
      </c>
      <c r="D226" s="217">
        <f>C226/VLOOKUP(B226,'[2]Gas Prod per PADD'!$A$1:$C$6,2,FALSE)</f>
        <v>4.9705882352941183E-2</v>
      </c>
      <c r="E226" s="196">
        <v>45488</v>
      </c>
      <c r="F226" s="197">
        <v>45496</v>
      </c>
      <c r="G226" s="194" t="s">
        <v>221</v>
      </c>
      <c r="H226" s="198" t="s">
        <v>395</v>
      </c>
      <c r="I226" s="84"/>
      <c r="J226" s="85"/>
      <c r="K226" s="85"/>
      <c r="L226" s="85"/>
      <c r="M226" s="85"/>
      <c r="N226" s="85"/>
      <c r="O226" s="85"/>
      <c r="P226" s="85"/>
      <c r="Q226" s="85"/>
      <c r="R226" s="85"/>
      <c r="S226" s="85"/>
      <c r="T226" s="85"/>
      <c r="U226" s="85"/>
      <c r="V226" s="84"/>
      <c r="W226" s="84"/>
      <c r="X226" s="84" t="str">
        <f t="shared" si="11"/>
        <v>OK</v>
      </c>
      <c r="Y226" s="87"/>
      <c r="Z226" s="87"/>
      <c r="AA226" s="87"/>
      <c r="AB226" s="87"/>
      <c r="AC226" s="87"/>
      <c r="AD226" s="87"/>
      <c r="AE226" s="87"/>
      <c r="AF226" s="87"/>
      <c r="AG226" s="87"/>
      <c r="AH226" s="87"/>
      <c r="AI226" s="87"/>
      <c r="AJ226" s="87"/>
      <c r="AK226" s="87"/>
      <c r="AL226" s="87"/>
      <c r="AM226" s="87"/>
      <c r="AN226" s="87"/>
      <c r="AO226" s="87"/>
      <c r="AP226" s="87"/>
      <c r="AQ226" s="87"/>
      <c r="AR226" s="87"/>
      <c r="AS226" s="87"/>
      <c r="AT226" s="87"/>
      <c r="AU226" s="87"/>
      <c r="AV226" s="87"/>
      <c r="AW226" s="87"/>
      <c r="AX226" s="87"/>
      <c r="AY226" s="87"/>
      <c r="AZ226" s="87"/>
      <c r="BA226" s="87"/>
      <c r="BB226" s="87"/>
      <c r="BC226" s="87"/>
      <c r="BD226" s="87"/>
      <c r="BE226" s="87"/>
      <c r="BF226" s="87"/>
      <c r="BG226" s="87"/>
      <c r="BH226" s="87"/>
      <c r="BI226" s="87"/>
      <c r="BJ226" s="87">
        <f>-4/7*C226</f>
        <v>-9.6571428571428584</v>
      </c>
      <c r="BK226" s="87"/>
      <c r="BL226" s="87">
        <f>-BJ226</f>
        <v>9.6571428571428584</v>
      </c>
      <c r="BM226" s="87"/>
      <c r="BN226" s="87"/>
      <c r="BO226" s="87"/>
      <c r="BP226" s="87"/>
      <c r="BQ226" s="87"/>
      <c r="BR226" s="87"/>
      <c r="BS226" s="87"/>
      <c r="BT226" s="87"/>
      <c r="BU226" s="87"/>
      <c r="BV226" s="87"/>
      <c r="BW226" s="87"/>
      <c r="BX226" s="87"/>
      <c r="BY226" s="87"/>
      <c r="BZ226" s="87"/>
      <c r="CA226" s="87"/>
      <c r="CB226" s="87"/>
      <c r="CC226" s="87"/>
      <c r="CD226" s="87"/>
      <c r="CE226" s="87"/>
      <c r="CF226" s="87"/>
      <c r="CG226" s="87"/>
      <c r="CH226" s="87"/>
      <c r="CI226" s="87"/>
      <c r="CJ226" s="87"/>
      <c r="CK226" s="87"/>
      <c r="CL226" s="87"/>
      <c r="CM226" s="87"/>
      <c r="CN226" s="87"/>
      <c r="CO226" s="87"/>
      <c r="CP226" s="87"/>
      <c r="CQ226" s="87"/>
      <c r="CR226" s="87"/>
      <c r="CS226" s="87"/>
      <c r="CT226" s="87"/>
      <c r="CU226" s="87"/>
      <c r="CV226" s="87"/>
      <c r="CW226" s="87"/>
      <c r="CX226" s="87"/>
      <c r="CY226" s="87"/>
      <c r="CZ226" s="87"/>
      <c r="DA226" s="87"/>
      <c r="DB226" s="87"/>
      <c r="DC226" s="87"/>
      <c r="DD226" s="87"/>
      <c r="DE226" s="87"/>
      <c r="DF226" s="87"/>
      <c r="DG226" s="87"/>
      <c r="DH226" s="87"/>
      <c r="DI226" s="87"/>
      <c r="DJ226" s="87"/>
      <c r="DK226" s="87"/>
      <c r="DL226" s="87"/>
      <c r="DM226" s="87"/>
      <c r="DN226" s="87"/>
      <c r="DO226" s="87"/>
      <c r="DP226" s="87"/>
      <c r="DQ226" s="87"/>
      <c r="DR226" s="87"/>
      <c r="DS226" s="87"/>
      <c r="DT226" s="87"/>
      <c r="DU226" s="87"/>
      <c r="DV226" s="87"/>
      <c r="DW226" s="87"/>
      <c r="DX226" s="87"/>
      <c r="DY226" s="87"/>
      <c r="DZ226" s="87"/>
      <c r="EA226" s="87"/>
      <c r="EB226" s="87"/>
      <c r="EC226" s="87"/>
      <c r="ED226" s="87"/>
      <c r="EE226" s="87"/>
      <c r="EF226" s="87"/>
      <c r="EG226" s="87"/>
      <c r="EH226" s="87"/>
      <c r="EI226" s="87"/>
    </row>
    <row r="227" spans="1:139" ht="43.5" hidden="1" thickBot="1" x14ac:dyDescent="0.35">
      <c r="A227" s="190" t="s">
        <v>334</v>
      </c>
      <c r="B227" s="176">
        <v>3</v>
      </c>
      <c r="C227" s="177">
        <f>135*0.3</f>
        <v>40.5</v>
      </c>
      <c r="D227" s="217">
        <f>C227/VLOOKUP(B227,'[2]Gas Prod per PADD'!$A$1:$C$6,2,FALSE)</f>
        <v>8.8043478260869563E-3</v>
      </c>
      <c r="E227" s="178">
        <v>45491</v>
      </c>
      <c r="F227" s="179">
        <v>45498</v>
      </c>
      <c r="G227" s="180" t="s">
        <v>506</v>
      </c>
      <c r="H227" s="221" t="s">
        <v>503</v>
      </c>
      <c r="I227" s="84"/>
      <c r="J227" s="85"/>
      <c r="K227" s="85"/>
      <c r="L227" s="85"/>
      <c r="M227" s="85"/>
      <c r="N227" s="85"/>
      <c r="O227" s="85"/>
      <c r="P227" s="85"/>
      <c r="Q227" s="85"/>
      <c r="R227" s="85"/>
      <c r="S227" s="85"/>
      <c r="T227" s="85"/>
      <c r="U227" s="85"/>
      <c r="V227" s="84"/>
      <c r="W227" s="84"/>
      <c r="X227" s="84" t="str">
        <f t="shared" si="11"/>
        <v>OK</v>
      </c>
      <c r="Y227" s="105"/>
      <c r="Z227" s="105"/>
      <c r="AA227" s="87"/>
      <c r="AB227" s="87"/>
      <c r="AC227" s="87"/>
      <c r="AD227" s="87"/>
      <c r="AE227" s="105"/>
      <c r="AF227" s="105"/>
      <c r="AG227" s="105"/>
      <c r="AH227" s="87"/>
      <c r="AI227" s="87"/>
      <c r="AJ227" s="87"/>
      <c r="AK227" s="105"/>
      <c r="AL227" s="105"/>
      <c r="AM227" s="105"/>
      <c r="AN227" s="87"/>
      <c r="AO227" s="87"/>
      <c r="AP227" s="105"/>
      <c r="AQ227" s="105"/>
      <c r="AR227" s="105"/>
      <c r="AS227" s="105"/>
      <c r="AT227" s="105"/>
      <c r="AU227" s="87"/>
      <c r="AV227" s="105"/>
      <c r="AW227" s="105"/>
      <c r="AX227" s="87"/>
      <c r="AY227" s="87"/>
      <c r="AZ227" s="87"/>
      <c r="BA227" s="87"/>
      <c r="BB227" s="87"/>
      <c r="BC227" s="87"/>
      <c r="BD227" s="87"/>
      <c r="BE227" s="87"/>
      <c r="BF227" s="87"/>
      <c r="BG227" s="87"/>
      <c r="BH227" s="87"/>
      <c r="BI227" s="87"/>
      <c r="BJ227" s="87">
        <f>(-2/7)*$C$74</f>
        <v>-2.9857142857142853</v>
      </c>
      <c r="BK227" s="87">
        <f>-C227-BJ227</f>
        <v>-37.514285714285712</v>
      </c>
      <c r="BL227" s="87">
        <f>BK227*-1</f>
        <v>37.514285714285712</v>
      </c>
      <c r="BM227" s="87">
        <f>BJ227*-1</f>
        <v>2.9857142857142853</v>
      </c>
      <c r="BN227" s="87"/>
      <c r="BO227" s="87"/>
      <c r="BP227" s="87"/>
      <c r="BQ227" s="87"/>
      <c r="BR227" s="87"/>
      <c r="BS227" s="87"/>
      <c r="BT227" s="87"/>
      <c r="BU227" s="87"/>
      <c r="BV227" s="87"/>
      <c r="BW227" s="87"/>
      <c r="BX227" s="87"/>
      <c r="BY227" s="87"/>
      <c r="BZ227" s="87"/>
      <c r="CA227" s="87"/>
      <c r="CB227" s="87"/>
      <c r="CC227" s="87"/>
      <c r="CD227" s="87"/>
      <c r="CE227" s="87"/>
      <c r="CF227" s="87"/>
      <c r="CG227" s="87"/>
      <c r="CH227" s="87"/>
      <c r="CI227" s="87"/>
      <c r="CJ227" s="87"/>
      <c r="CK227" s="87"/>
      <c r="CL227" s="87"/>
      <c r="CM227" s="87"/>
      <c r="CN227" s="87"/>
      <c r="CO227" s="87"/>
      <c r="CP227" s="87"/>
      <c r="CQ227" s="87"/>
      <c r="CR227" s="87"/>
      <c r="CS227" s="87"/>
      <c r="CT227" s="87"/>
      <c r="CU227" s="87"/>
      <c r="CV227" s="87"/>
      <c r="CW227" s="87"/>
      <c r="CX227" s="87"/>
      <c r="CY227" s="87"/>
      <c r="CZ227" s="87"/>
      <c r="DA227" s="87"/>
      <c r="DB227" s="87"/>
      <c r="DC227" s="87"/>
      <c r="DD227" s="87"/>
      <c r="DE227" s="87"/>
      <c r="DF227" s="87"/>
      <c r="DG227" s="87"/>
      <c r="DH227" s="87"/>
      <c r="DI227" s="87"/>
      <c r="DJ227" s="87"/>
      <c r="DK227" s="87"/>
      <c r="DL227" s="87"/>
      <c r="DM227" s="87"/>
      <c r="DN227" s="87"/>
      <c r="DO227" s="87"/>
      <c r="DP227" s="87"/>
      <c r="DQ227" s="87"/>
      <c r="DR227" s="87"/>
      <c r="DS227" s="87"/>
      <c r="DT227" s="87"/>
      <c r="DU227" s="87"/>
      <c r="DV227" s="87"/>
      <c r="DW227" s="87"/>
      <c r="DX227" s="87"/>
      <c r="DY227" s="87"/>
      <c r="DZ227" s="87"/>
      <c r="EA227" s="87"/>
      <c r="EB227" s="87"/>
      <c r="EC227" s="87"/>
      <c r="ED227" s="87"/>
      <c r="EE227" s="87"/>
      <c r="EF227" s="87"/>
      <c r="EG227" s="87"/>
      <c r="EH227" s="87"/>
      <c r="EI227" s="87"/>
    </row>
    <row r="228" spans="1:139" ht="16.5" hidden="1" thickBot="1" x14ac:dyDescent="0.35">
      <c r="A228" s="190" t="s">
        <v>243</v>
      </c>
      <c r="B228" s="191">
        <v>3</v>
      </c>
      <c r="C228" s="177">
        <f>30*0.65</f>
        <v>19.5</v>
      </c>
      <c r="D228" s="217">
        <f>C228/VLOOKUP(B228,'[2]Gas Prod per PADD'!$A$1:$C$6,2,FALSE)</f>
        <v>4.239130434782609E-3</v>
      </c>
      <c r="E228" s="225">
        <v>45496</v>
      </c>
      <c r="F228" s="179">
        <v>45498</v>
      </c>
      <c r="G228" s="191" t="s">
        <v>507</v>
      </c>
      <c r="H228" s="181" t="s">
        <v>508</v>
      </c>
      <c r="I228" s="73"/>
      <c r="J228" s="229"/>
      <c r="K228" s="229"/>
      <c r="L228" s="229"/>
      <c r="M228" s="229"/>
      <c r="N228" s="229"/>
      <c r="O228" s="229"/>
      <c r="P228" s="229"/>
      <c r="Q228" s="229"/>
      <c r="R228" s="229"/>
      <c r="S228" s="229"/>
      <c r="T228" s="85"/>
      <c r="U228" s="85"/>
      <c r="V228" s="84"/>
      <c r="W228" s="84"/>
      <c r="X228" s="84" t="str">
        <f t="shared" si="11"/>
        <v>OK</v>
      </c>
      <c r="Y228" s="74"/>
      <c r="Z228" s="74"/>
      <c r="AA228" s="74"/>
      <c r="AB228" s="74"/>
      <c r="AC228" s="74"/>
      <c r="AD228" s="74"/>
      <c r="AE228" s="74"/>
      <c r="AF228" s="74"/>
      <c r="AG228" s="75"/>
      <c r="AH228" s="74"/>
      <c r="AI228" s="74"/>
      <c r="AJ228" s="74"/>
      <c r="AK228" s="74"/>
      <c r="AL228" s="74"/>
      <c r="AM228" s="74"/>
      <c r="AN228" s="74"/>
      <c r="AO228" s="74"/>
      <c r="AP228" s="74"/>
      <c r="AQ228" s="74"/>
      <c r="AR228" s="75"/>
      <c r="AS228" s="74"/>
      <c r="AT228" s="74"/>
      <c r="AU228" s="74"/>
      <c r="AV228" s="87"/>
      <c r="AW228" s="87"/>
      <c r="AX228" s="87"/>
      <c r="AY228" s="87"/>
      <c r="AZ228" s="87"/>
      <c r="BA228" s="87"/>
      <c r="BB228" s="74"/>
      <c r="BC228" s="74"/>
      <c r="BD228" s="87"/>
      <c r="BE228" s="87"/>
      <c r="BF228" s="74"/>
      <c r="BG228" s="74"/>
      <c r="BH228" s="74"/>
      <c r="BI228" s="74"/>
      <c r="BJ228" s="74"/>
      <c r="BK228" s="247">
        <f>(-2/7)*C228</f>
        <v>-5.5714285714285712</v>
      </c>
      <c r="BL228" s="247">
        <f>-BK228</f>
        <v>5.5714285714285712</v>
      </c>
      <c r="BM228" s="247"/>
      <c r="BN228" s="247"/>
      <c r="BO228" s="247"/>
      <c r="BP228" s="74"/>
      <c r="BQ228" s="74"/>
      <c r="BR228" s="74"/>
      <c r="BS228" s="74"/>
      <c r="BT228" s="74"/>
      <c r="BU228" s="74"/>
      <c r="BV228" s="74"/>
      <c r="BW228" s="74"/>
      <c r="BX228" s="74"/>
      <c r="BY228" s="74"/>
      <c r="BZ228" s="74"/>
      <c r="CA228" s="74"/>
      <c r="CB228" s="74"/>
      <c r="CC228" s="74"/>
      <c r="CD228" s="74"/>
      <c r="CE228" s="74"/>
      <c r="CF228" s="74"/>
      <c r="CG228" s="74"/>
      <c r="CH228" s="87"/>
      <c r="CI228" s="87"/>
      <c r="CJ228" s="87"/>
      <c r="CK228" s="87"/>
      <c r="CL228" s="87"/>
      <c r="CM228" s="87"/>
      <c r="CN228" s="87"/>
      <c r="CO228" s="87"/>
      <c r="CP228" s="87"/>
      <c r="CQ228" s="87"/>
      <c r="CR228" s="87"/>
      <c r="CS228" s="87"/>
      <c r="CT228" s="87"/>
      <c r="CU228" s="87"/>
      <c r="CV228" s="87"/>
      <c r="CW228" s="87"/>
      <c r="CX228" s="87"/>
      <c r="CY228" s="87"/>
      <c r="CZ228" s="87"/>
      <c r="DA228" s="87"/>
      <c r="DB228" s="87"/>
      <c r="DC228" s="87"/>
      <c r="DD228" s="87"/>
      <c r="DE228" s="87"/>
      <c r="DF228" s="87"/>
      <c r="DG228" s="87"/>
      <c r="DH228" s="87"/>
      <c r="DI228" s="87"/>
      <c r="DJ228" s="87"/>
      <c r="DK228" s="87"/>
      <c r="DL228" s="87"/>
      <c r="DM228" s="87"/>
      <c r="DN228" s="87"/>
      <c r="DO228" s="87"/>
      <c r="DP228" s="87"/>
      <c r="DQ228" s="87"/>
      <c r="DR228" s="87"/>
      <c r="DS228" s="87"/>
      <c r="DT228" s="87"/>
      <c r="DU228" s="87"/>
      <c r="DV228" s="87"/>
      <c r="DW228" s="87"/>
      <c r="DX228" s="87"/>
      <c r="DY228" s="87"/>
      <c r="DZ228" s="87"/>
      <c r="EA228" s="87"/>
      <c r="EB228" s="87"/>
      <c r="EC228" s="87"/>
      <c r="ED228" s="87"/>
      <c r="EE228" s="87"/>
      <c r="EF228" s="87"/>
      <c r="EG228" s="87"/>
      <c r="EH228" s="87"/>
      <c r="EI228" s="87"/>
    </row>
    <row r="229" spans="1:139" ht="16.5" hidden="1" thickBot="1" x14ac:dyDescent="0.35">
      <c r="A229" s="219" t="s">
        <v>345</v>
      </c>
      <c r="B229" s="194">
        <v>3</v>
      </c>
      <c r="C229" s="195">
        <f>100*0.1+23*0.85+5</f>
        <v>34.549999999999997</v>
      </c>
      <c r="D229" s="217">
        <f>C229/VLOOKUP(B229,'[2]Gas Prod per PADD'!$A$1:$C$6,2,FALSE)</f>
        <v>7.510869565217391E-3</v>
      </c>
      <c r="E229" s="178">
        <v>45491</v>
      </c>
      <c r="F229" s="179">
        <v>45499</v>
      </c>
      <c r="G229" s="194" t="s">
        <v>509</v>
      </c>
      <c r="H229" s="230" t="s">
        <v>510</v>
      </c>
      <c r="I229" s="248"/>
      <c r="J229" s="85"/>
      <c r="K229" s="85"/>
      <c r="L229" s="85"/>
      <c r="M229" s="85"/>
      <c r="N229" s="85"/>
      <c r="O229" s="85"/>
      <c r="P229" s="85"/>
      <c r="Q229" s="85"/>
      <c r="R229" s="85"/>
      <c r="S229" s="85"/>
      <c r="T229" s="85"/>
      <c r="U229" s="85"/>
      <c r="V229" s="84"/>
      <c r="W229" s="84"/>
      <c r="X229" s="84" t="str">
        <f t="shared" si="11"/>
        <v>OK</v>
      </c>
      <c r="Y229" s="86"/>
      <c r="Z229" s="87"/>
      <c r="AA229" s="87"/>
      <c r="AB229" s="87"/>
      <c r="AC229" s="87"/>
      <c r="AD229" s="87"/>
      <c r="AE229" s="87"/>
      <c r="AF229" s="87"/>
      <c r="AG229" s="87"/>
      <c r="AH229" s="87"/>
      <c r="AI229" s="87"/>
      <c r="AJ229" s="87"/>
      <c r="AK229" s="87"/>
      <c r="AL229" s="87"/>
      <c r="AM229" s="87"/>
      <c r="AN229" s="87"/>
      <c r="AO229" s="87"/>
      <c r="AP229" s="87"/>
      <c r="AQ229" s="87"/>
      <c r="AR229" s="87"/>
      <c r="AS229" s="87"/>
      <c r="AT229" s="87"/>
      <c r="AU229" s="87"/>
      <c r="AV229" s="87"/>
      <c r="AW229" s="87"/>
      <c r="AX229" s="87"/>
      <c r="AY229" s="87"/>
      <c r="AZ229" s="87"/>
      <c r="BA229" s="87"/>
      <c r="BB229" s="87"/>
      <c r="BC229" s="87"/>
      <c r="BD229" s="87"/>
      <c r="BE229" s="87"/>
      <c r="BF229" s="87"/>
      <c r="BG229" s="87"/>
      <c r="BH229" s="87"/>
      <c r="BI229" s="87"/>
      <c r="BJ229" s="105"/>
      <c r="BK229" s="87">
        <f>-C229*2/3</f>
        <v>-23.033333333333331</v>
      </c>
      <c r="BL229" s="105"/>
      <c r="BM229" s="87">
        <f>-BK229</f>
        <v>23.033333333333331</v>
      </c>
      <c r="BN229" s="105"/>
      <c r="BO229" s="87"/>
      <c r="BP229" s="105"/>
      <c r="BQ229" s="87"/>
      <c r="BR229" s="87"/>
      <c r="BS229" s="87"/>
      <c r="BT229" s="87"/>
      <c r="BU229" s="87"/>
      <c r="BV229" s="87"/>
      <c r="BW229" s="87"/>
      <c r="BX229" s="87"/>
      <c r="BY229" s="87"/>
      <c r="BZ229" s="87"/>
      <c r="CA229" s="87"/>
      <c r="CB229" s="87"/>
      <c r="CC229" s="87"/>
      <c r="CD229" s="87"/>
      <c r="CE229" s="87"/>
      <c r="CF229" s="87"/>
      <c r="CG229" s="87"/>
      <c r="CH229" s="87"/>
      <c r="CI229" s="87"/>
      <c r="CJ229" s="87"/>
      <c r="CK229" s="87"/>
      <c r="CL229" s="87"/>
      <c r="CM229" s="87"/>
      <c r="CN229" s="87"/>
      <c r="CO229" s="87"/>
      <c r="CP229" s="87"/>
      <c r="CQ229" s="87"/>
      <c r="CR229" s="87"/>
      <c r="CS229" s="87"/>
      <c r="CT229" s="87"/>
      <c r="CU229" s="87"/>
      <c r="CV229" s="87"/>
      <c r="CW229" s="87"/>
      <c r="CX229" s="87"/>
      <c r="CY229" s="87"/>
      <c r="CZ229" s="87"/>
      <c r="DA229" s="87"/>
      <c r="DB229" s="87"/>
      <c r="DC229" s="87"/>
      <c r="DD229" s="87"/>
      <c r="DE229" s="87"/>
      <c r="DF229" s="87"/>
      <c r="DG229" s="87"/>
      <c r="DH229" s="87"/>
      <c r="DI229" s="87"/>
      <c r="DJ229" s="87"/>
      <c r="DK229" s="87"/>
      <c r="DL229" s="87"/>
      <c r="DM229" s="87"/>
      <c r="DN229" s="87"/>
      <c r="DO229" s="87"/>
      <c r="DP229" s="87"/>
      <c r="DQ229" s="87"/>
      <c r="DR229" s="87"/>
      <c r="DS229" s="87"/>
      <c r="DT229" s="87"/>
      <c r="DU229" s="87"/>
      <c r="DV229" s="87"/>
      <c r="DW229" s="87"/>
      <c r="DX229" s="87"/>
      <c r="DY229" s="87"/>
      <c r="DZ229" s="87"/>
      <c r="EA229" s="87"/>
      <c r="EB229" s="87"/>
      <c r="EC229" s="87"/>
      <c r="ED229" s="87"/>
      <c r="EE229" s="87"/>
      <c r="EF229" s="87"/>
      <c r="EG229" s="87"/>
      <c r="EH229" s="87"/>
      <c r="EI229" s="87"/>
    </row>
    <row r="230" spans="1:139" ht="16.5" hidden="1" thickBot="1" x14ac:dyDescent="0.35">
      <c r="A230" s="190" t="s">
        <v>294</v>
      </c>
      <c r="B230" s="191">
        <v>3</v>
      </c>
      <c r="C230" s="177">
        <f>180*0.25+45*0.3</f>
        <v>58.5</v>
      </c>
      <c r="D230" s="217">
        <f>C230/VLOOKUP(B230,'[2]Gas Prod per PADD'!$A$1:$C$6,2,FALSE)</f>
        <v>1.2717391304347826E-2</v>
      </c>
      <c r="E230" s="178">
        <v>45479</v>
      </c>
      <c r="F230" s="179">
        <v>45503</v>
      </c>
      <c r="G230" s="180" t="s">
        <v>454</v>
      </c>
      <c r="H230" s="181" t="s">
        <v>511</v>
      </c>
      <c r="I230" s="248"/>
      <c r="J230" s="85"/>
      <c r="K230" s="85"/>
      <c r="L230" s="85"/>
      <c r="M230" s="85"/>
      <c r="N230" s="85"/>
      <c r="O230" s="85"/>
      <c r="P230" s="85"/>
      <c r="Q230" s="85"/>
      <c r="R230" s="85"/>
      <c r="S230" s="85"/>
      <c r="T230" s="85"/>
      <c r="U230" s="85"/>
      <c r="V230" s="84"/>
      <c r="W230" s="84"/>
      <c r="X230" s="84" t="str">
        <f t="shared" si="11"/>
        <v>Missing</v>
      </c>
      <c r="Y230" s="87"/>
      <c r="Z230" s="87"/>
      <c r="AA230" s="87"/>
      <c r="AB230" s="87"/>
      <c r="AC230" s="87"/>
      <c r="AD230" s="87"/>
      <c r="AE230" s="87"/>
      <c r="AF230" s="87"/>
      <c r="AG230" s="87"/>
      <c r="AH230" s="87"/>
      <c r="AI230" s="87"/>
      <c r="AJ230" s="87"/>
      <c r="AK230" s="87"/>
      <c r="AL230" s="87"/>
      <c r="AM230" s="87"/>
      <c r="AN230" s="87"/>
      <c r="AO230" s="87"/>
      <c r="AP230" s="87"/>
      <c r="AQ230" s="87"/>
      <c r="AR230" s="87"/>
      <c r="AS230" s="87"/>
      <c r="AT230" s="87"/>
      <c r="AU230" s="87"/>
      <c r="AV230" s="87"/>
      <c r="AW230" s="87"/>
      <c r="AX230" s="87"/>
      <c r="AY230" s="87"/>
      <c r="AZ230" s="87"/>
      <c r="BA230" s="87"/>
      <c r="BB230" s="87"/>
      <c r="BC230" s="87"/>
      <c r="BD230" s="87"/>
      <c r="BE230" s="87"/>
      <c r="BF230" s="87"/>
      <c r="BG230" s="87"/>
      <c r="BH230" s="87"/>
      <c r="BI230" s="87"/>
      <c r="BJ230" s="87"/>
      <c r="BK230" s="87"/>
      <c r="BL230" s="87"/>
      <c r="BM230" s="87"/>
      <c r="BN230" s="87"/>
      <c r="BO230" s="87"/>
      <c r="BP230" s="87"/>
      <c r="BQ230" s="87"/>
      <c r="BR230" s="87"/>
      <c r="BS230" s="87"/>
      <c r="BT230" s="87"/>
      <c r="BU230" s="87"/>
      <c r="BV230" s="87"/>
      <c r="BW230" s="87"/>
      <c r="BX230" s="87"/>
      <c r="BY230" s="87"/>
      <c r="BZ230" s="87"/>
      <c r="CA230" s="87"/>
      <c r="CB230" s="87"/>
      <c r="CC230" s="87"/>
      <c r="CD230" s="87"/>
      <c r="CE230" s="87"/>
      <c r="CF230" s="87"/>
      <c r="CG230" s="87"/>
      <c r="CH230" s="87"/>
      <c r="CI230" s="87"/>
      <c r="CJ230" s="87"/>
      <c r="CK230" s="87"/>
      <c r="CL230" s="87"/>
      <c r="CM230" s="87"/>
      <c r="CN230" s="87"/>
      <c r="CO230" s="87"/>
      <c r="CP230" s="87"/>
      <c r="CQ230" s="87"/>
      <c r="CR230" s="87"/>
      <c r="CS230" s="87"/>
      <c r="CT230" s="87"/>
      <c r="CU230" s="87"/>
      <c r="CV230" s="87"/>
      <c r="CW230" s="87"/>
      <c r="CX230" s="87"/>
      <c r="CY230" s="87"/>
      <c r="CZ230" s="87"/>
      <c r="DA230" s="87"/>
      <c r="DB230" s="87"/>
      <c r="DC230" s="87"/>
      <c r="DD230" s="87"/>
      <c r="DE230" s="87"/>
      <c r="DF230" s="87"/>
      <c r="DG230" s="87"/>
      <c r="DH230" s="87"/>
      <c r="DI230" s="87"/>
      <c r="DJ230" s="87"/>
      <c r="DK230" s="87"/>
      <c r="DL230" s="87"/>
      <c r="DM230" s="87"/>
      <c r="DN230" s="87"/>
      <c r="DO230" s="87"/>
      <c r="DP230" s="87"/>
      <c r="DQ230" s="87"/>
      <c r="DR230" s="87"/>
      <c r="DS230" s="87"/>
      <c r="DT230" s="87"/>
      <c r="DU230" s="87"/>
      <c r="DV230" s="87"/>
      <c r="DW230" s="87"/>
      <c r="DX230" s="87"/>
      <c r="DY230" s="87"/>
      <c r="DZ230" s="87"/>
      <c r="EA230" s="87"/>
      <c r="EB230" s="87"/>
      <c r="EC230" s="87"/>
      <c r="ED230" s="87"/>
      <c r="EE230" s="87"/>
      <c r="EF230" s="87"/>
      <c r="EG230" s="87"/>
      <c r="EH230" s="87"/>
      <c r="EI230" s="87"/>
    </row>
    <row r="231" spans="1:139" ht="29.25" hidden="1" thickBot="1" x14ac:dyDescent="0.35">
      <c r="A231" s="190" t="s">
        <v>294</v>
      </c>
      <c r="B231" s="191">
        <v>3</v>
      </c>
      <c r="C231" s="177">
        <f>180*0.25+45*0.3</f>
        <v>58.5</v>
      </c>
      <c r="D231" s="217">
        <f>C231/VLOOKUP(B231,'[2]Gas Prod per PADD'!$A$1:$C$6,2,FALSE)</f>
        <v>1.2717391304347826E-2</v>
      </c>
      <c r="E231" s="178">
        <v>45479</v>
      </c>
      <c r="F231" s="179">
        <v>45503</v>
      </c>
      <c r="G231" s="180" t="s">
        <v>512</v>
      </c>
      <c r="H231" s="181" t="s">
        <v>511</v>
      </c>
      <c r="I231" s="248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4"/>
      <c r="W231" s="84"/>
      <c r="X231" s="84" t="str">
        <f t="shared" si="11"/>
        <v>OK</v>
      </c>
      <c r="Y231" s="105"/>
      <c r="Z231" s="105"/>
      <c r="AA231" s="87"/>
      <c r="AB231" s="87"/>
      <c r="AC231" s="87"/>
      <c r="AD231" s="87"/>
      <c r="AE231" s="105"/>
      <c r="AF231" s="105"/>
      <c r="AG231" s="105"/>
      <c r="AH231" s="105"/>
      <c r="AI231" s="87"/>
      <c r="AJ231" s="87"/>
      <c r="AK231" s="105"/>
      <c r="AL231" s="87"/>
      <c r="AM231" s="105"/>
      <c r="AN231" s="105"/>
      <c r="AO231" s="87"/>
      <c r="AP231" s="87"/>
      <c r="AQ231" s="105"/>
      <c r="AR231" s="105"/>
      <c r="AS231" s="87"/>
      <c r="AT231" s="105"/>
      <c r="AU231" s="105"/>
      <c r="AV231" s="87"/>
      <c r="AW231" s="105"/>
      <c r="AX231" s="105"/>
      <c r="AY231" s="87"/>
      <c r="AZ231" s="105"/>
      <c r="BA231" s="105"/>
      <c r="BB231" s="105"/>
      <c r="BC231" s="87"/>
      <c r="BD231" s="87"/>
      <c r="BE231" s="87"/>
      <c r="BF231" s="105"/>
      <c r="BG231" s="105"/>
      <c r="BH231" s="105"/>
      <c r="BI231" s="105">
        <f>-C231/2</f>
        <v>-29.25</v>
      </c>
      <c r="BJ231" s="105">
        <f>BI231</f>
        <v>-29.25</v>
      </c>
      <c r="BK231" s="87"/>
      <c r="BL231" s="87"/>
      <c r="BM231" s="105">
        <f>-BI231</f>
        <v>29.25</v>
      </c>
      <c r="BN231" s="105">
        <f>BM231</f>
        <v>29.25</v>
      </c>
      <c r="BO231" s="87"/>
      <c r="BP231" s="87"/>
      <c r="BQ231" s="87"/>
      <c r="BR231" s="87"/>
      <c r="BS231" s="87"/>
      <c r="BT231" s="87"/>
      <c r="BU231" s="87"/>
      <c r="BV231" s="87"/>
      <c r="BW231" s="87"/>
      <c r="BX231" s="87"/>
      <c r="BY231" s="87"/>
      <c r="BZ231" s="87"/>
      <c r="CA231" s="87"/>
      <c r="CB231" s="87"/>
      <c r="CC231" s="87"/>
      <c r="CD231" s="87"/>
      <c r="CE231" s="87"/>
      <c r="CF231" s="87"/>
      <c r="CG231" s="87"/>
      <c r="CH231" s="87"/>
      <c r="CI231" s="87"/>
      <c r="CJ231" s="87"/>
      <c r="CK231" s="87"/>
      <c r="CL231" s="87"/>
      <c r="CM231" s="87"/>
      <c r="CN231" s="87"/>
      <c r="CO231" s="87"/>
      <c r="CP231" s="87"/>
      <c r="CQ231" s="87"/>
      <c r="CR231" s="87"/>
      <c r="CS231" s="87"/>
      <c r="CT231" s="87"/>
      <c r="CU231" s="87"/>
      <c r="CV231" s="87"/>
      <c r="CW231" s="87"/>
      <c r="CX231" s="87"/>
      <c r="CY231" s="87"/>
      <c r="CZ231" s="87"/>
      <c r="DA231" s="87"/>
      <c r="DB231" s="87"/>
      <c r="DC231" s="87"/>
      <c r="DD231" s="87"/>
      <c r="DE231" s="87"/>
      <c r="DF231" s="87"/>
      <c r="DG231" s="87"/>
      <c r="DH231" s="87"/>
      <c r="DI231" s="87"/>
      <c r="DJ231" s="87"/>
      <c r="DK231" s="87"/>
      <c r="DL231" s="87"/>
      <c r="DM231" s="87"/>
      <c r="DN231" s="87"/>
      <c r="DO231" s="87"/>
      <c r="DP231" s="87"/>
      <c r="DQ231" s="87"/>
      <c r="DR231" s="87"/>
      <c r="DS231" s="87"/>
      <c r="DT231" s="87"/>
      <c r="DU231" s="87"/>
      <c r="DV231" s="87"/>
      <c r="DW231" s="87"/>
      <c r="DX231" s="87"/>
      <c r="DY231" s="87"/>
      <c r="DZ231" s="87"/>
      <c r="EA231" s="87"/>
      <c r="EB231" s="87"/>
      <c r="EC231" s="87"/>
      <c r="ED231" s="87"/>
      <c r="EE231" s="87"/>
      <c r="EF231" s="87"/>
      <c r="EG231" s="87"/>
      <c r="EH231" s="87"/>
      <c r="EI231" s="87"/>
    </row>
    <row r="232" spans="1:139" ht="16.5" hidden="1" thickBot="1" x14ac:dyDescent="0.35">
      <c r="A232" s="200" t="s">
        <v>387</v>
      </c>
      <c r="B232" s="194">
        <v>2</v>
      </c>
      <c r="C232" s="195">
        <f>12.5*0.1</f>
        <v>1.25</v>
      </c>
      <c r="D232" s="217">
        <f>C232/VLOOKUP(B232,'[2]Gas Prod per PADD'!$A$1:$C$6,2,FALSE)</f>
        <v>5.2083333333333333E-4</v>
      </c>
      <c r="E232" s="196">
        <v>45497</v>
      </c>
      <c r="F232" s="197">
        <v>45503</v>
      </c>
      <c r="G232" s="194" t="s">
        <v>218</v>
      </c>
      <c r="H232" s="198" t="s">
        <v>513</v>
      </c>
      <c r="I232" s="248"/>
      <c r="J232" s="85"/>
      <c r="K232" s="85"/>
      <c r="L232" s="85"/>
      <c r="M232" s="85"/>
      <c r="N232" s="85"/>
      <c r="O232" s="85"/>
      <c r="P232" s="85"/>
      <c r="Q232" s="85"/>
      <c r="R232" s="85"/>
      <c r="S232" s="85"/>
      <c r="T232" s="85"/>
      <c r="U232" s="85"/>
      <c r="V232" s="84"/>
      <c r="W232" s="84"/>
      <c r="X232" s="84" t="str">
        <f t="shared" si="11"/>
        <v>OK</v>
      </c>
      <c r="Y232" s="87"/>
      <c r="Z232" s="87"/>
      <c r="AA232" s="87"/>
      <c r="AB232" s="87"/>
      <c r="AC232" s="87"/>
      <c r="AD232" s="87"/>
      <c r="AE232" s="87"/>
      <c r="AF232" s="87"/>
      <c r="AG232" s="87"/>
      <c r="AH232" s="87"/>
      <c r="AI232" s="87"/>
      <c r="AJ232" s="87"/>
      <c r="AK232" s="87"/>
      <c r="AL232" s="87"/>
      <c r="AM232" s="87"/>
      <c r="AN232" s="87"/>
      <c r="AO232" s="87"/>
      <c r="AP232" s="87"/>
      <c r="AQ232" s="87"/>
      <c r="AR232" s="87"/>
      <c r="AS232" s="87"/>
      <c r="AT232" s="87"/>
      <c r="AU232" s="87"/>
      <c r="AV232" s="87"/>
      <c r="AW232" s="87"/>
      <c r="AX232" s="87"/>
      <c r="AY232" s="87"/>
      <c r="AZ232" s="87"/>
      <c r="BA232" s="87"/>
      <c r="BB232" s="87"/>
      <c r="BC232" s="87"/>
      <c r="BD232" s="87"/>
      <c r="BE232" s="87"/>
      <c r="BF232" s="87"/>
      <c r="BG232" s="87"/>
      <c r="BH232" s="87"/>
      <c r="BI232" s="87"/>
      <c r="BJ232" s="87"/>
      <c r="BK232" s="87">
        <f>-C232</f>
        <v>-1.25</v>
      </c>
      <c r="BL232" s="87"/>
      <c r="BM232" s="87">
        <f>-BK232</f>
        <v>1.25</v>
      </c>
      <c r="BN232" s="87"/>
      <c r="BO232" s="87"/>
      <c r="BP232" s="87"/>
      <c r="BQ232" s="87"/>
      <c r="BR232" s="87"/>
      <c r="BS232" s="87"/>
      <c r="BT232" s="87"/>
      <c r="BU232" s="87"/>
      <c r="BV232" s="87"/>
      <c r="BW232" s="87"/>
      <c r="BX232" s="87"/>
      <c r="BY232" s="87"/>
      <c r="BZ232" s="87"/>
      <c r="CA232" s="87"/>
      <c r="CB232" s="87"/>
      <c r="CC232" s="87"/>
      <c r="CD232" s="87"/>
      <c r="CE232" s="87"/>
      <c r="CF232" s="87"/>
      <c r="CG232" s="87"/>
      <c r="CH232" s="87"/>
      <c r="CI232" s="87"/>
      <c r="CJ232" s="87"/>
      <c r="CK232" s="87"/>
      <c r="CL232" s="87"/>
      <c r="CM232" s="87"/>
      <c r="CN232" s="87"/>
      <c r="CO232" s="87"/>
      <c r="CP232" s="87"/>
      <c r="CQ232" s="87"/>
      <c r="CR232" s="87"/>
      <c r="CS232" s="87"/>
      <c r="CT232" s="87"/>
      <c r="CU232" s="87"/>
      <c r="CV232" s="87"/>
      <c r="CW232" s="87"/>
      <c r="CX232" s="87"/>
      <c r="CY232" s="87"/>
      <c r="CZ232" s="87"/>
      <c r="DA232" s="87"/>
      <c r="DB232" s="87"/>
      <c r="DC232" s="87"/>
      <c r="DD232" s="87"/>
      <c r="DE232" s="87"/>
      <c r="DF232" s="87"/>
      <c r="DG232" s="87"/>
      <c r="DH232" s="87"/>
      <c r="DI232" s="87"/>
      <c r="DJ232" s="87"/>
      <c r="DK232" s="87"/>
      <c r="DL232" s="87"/>
      <c r="DM232" s="87"/>
      <c r="DN232" s="87"/>
      <c r="DO232" s="87"/>
      <c r="DP232" s="87"/>
      <c r="DQ232" s="87"/>
      <c r="DR232" s="87"/>
      <c r="DS232" s="87"/>
      <c r="DT232" s="87"/>
      <c r="DU232" s="87"/>
      <c r="DV232" s="87"/>
      <c r="DW232" s="87"/>
      <c r="DX232" s="87"/>
      <c r="DY232" s="87"/>
      <c r="DZ232" s="87"/>
      <c r="EA232" s="87"/>
      <c r="EB232" s="87"/>
      <c r="EC232" s="87"/>
      <c r="ED232" s="87"/>
      <c r="EE232" s="87"/>
      <c r="EF232" s="87"/>
      <c r="EG232" s="87"/>
      <c r="EH232" s="87"/>
      <c r="EI232" s="87"/>
    </row>
    <row r="233" spans="1:139" ht="29.25" hidden="1" thickBot="1" x14ac:dyDescent="0.35">
      <c r="A233" s="190" t="s">
        <v>334</v>
      </c>
      <c r="B233" s="176">
        <v>3</v>
      </c>
      <c r="C233" s="177">
        <f>135*0.3</f>
        <v>40.5</v>
      </c>
      <c r="D233" s="217">
        <f>C233/VLOOKUP(B233,'[2]Gas Prod per PADD'!$A$1:$C$6,2,FALSE)</f>
        <v>8.8043478260869563E-3</v>
      </c>
      <c r="E233" s="178">
        <v>45502</v>
      </c>
      <c r="F233" s="179">
        <v>45504</v>
      </c>
      <c r="G233" s="180" t="s">
        <v>514</v>
      </c>
      <c r="H233" s="221" t="s">
        <v>515</v>
      </c>
      <c r="I233" s="248"/>
      <c r="J233" s="85"/>
      <c r="K233" s="85"/>
      <c r="L233" s="85"/>
      <c r="M233" s="85"/>
      <c r="N233" s="85"/>
      <c r="O233" s="85"/>
      <c r="P233" s="85"/>
      <c r="Q233" s="85"/>
      <c r="R233" s="85"/>
      <c r="S233" s="85"/>
      <c r="T233" s="85"/>
      <c r="U233" s="85"/>
      <c r="V233" s="84"/>
      <c r="W233" s="84"/>
      <c r="X233" s="84" t="str">
        <f t="shared" si="11"/>
        <v>OK</v>
      </c>
      <c r="Y233" s="105"/>
      <c r="Z233" s="105"/>
      <c r="AA233" s="87"/>
      <c r="AB233" s="87"/>
      <c r="AC233" s="87"/>
      <c r="AD233" s="87"/>
      <c r="AE233" s="105"/>
      <c r="AF233" s="105"/>
      <c r="AG233" s="105"/>
      <c r="AH233" s="87"/>
      <c r="AI233" s="87"/>
      <c r="AJ233" s="87"/>
      <c r="AK233" s="105"/>
      <c r="AL233" s="105"/>
      <c r="AM233" s="105"/>
      <c r="AN233" s="87"/>
      <c r="AO233" s="87"/>
      <c r="AP233" s="105"/>
      <c r="AQ233" s="105"/>
      <c r="AR233" s="105"/>
      <c r="AS233" s="105"/>
      <c r="AT233" s="105"/>
      <c r="AU233" s="87"/>
      <c r="AV233" s="105"/>
      <c r="AW233" s="105"/>
      <c r="AX233" s="87"/>
      <c r="AY233" s="87"/>
      <c r="AZ233" s="87"/>
      <c r="BA233" s="87"/>
      <c r="BB233" s="87"/>
      <c r="BC233" s="87"/>
      <c r="BD233" s="87"/>
      <c r="BE233" s="87"/>
      <c r="BF233" s="87"/>
      <c r="BG233" s="87"/>
      <c r="BH233" s="87"/>
      <c r="BI233" s="87"/>
      <c r="BJ233" s="87"/>
      <c r="BK233" s="87"/>
      <c r="BL233" s="87">
        <f>-3/7*C233</f>
        <v>-17.357142857142858</v>
      </c>
      <c r="BM233" s="87">
        <f>-BL233</f>
        <v>17.357142857142858</v>
      </c>
      <c r="BN233" s="87"/>
      <c r="BO233" s="87"/>
      <c r="BP233" s="87"/>
      <c r="BQ233" s="87"/>
      <c r="BR233" s="87"/>
      <c r="BS233" s="87"/>
      <c r="BT233" s="87"/>
      <c r="BU233" s="87"/>
      <c r="BV233" s="87"/>
      <c r="BW233" s="87"/>
      <c r="BX233" s="87"/>
      <c r="BY233" s="87"/>
      <c r="BZ233" s="87"/>
      <c r="CA233" s="87"/>
      <c r="CB233" s="87"/>
      <c r="CC233" s="87"/>
      <c r="CD233" s="87"/>
      <c r="CE233" s="87"/>
      <c r="CF233" s="87"/>
      <c r="CG233" s="87"/>
      <c r="CH233" s="87"/>
      <c r="CI233" s="87"/>
      <c r="CJ233" s="87"/>
      <c r="CK233" s="87"/>
      <c r="CL233" s="87"/>
      <c r="CM233" s="87"/>
      <c r="CN233" s="87"/>
      <c r="CO233" s="87"/>
      <c r="CP233" s="87"/>
      <c r="CQ233" s="87"/>
      <c r="CR233" s="87"/>
      <c r="CS233" s="87"/>
      <c r="CT233" s="87"/>
      <c r="CU233" s="87"/>
      <c r="CV233" s="87"/>
      <c r="CW233" s="87"/>
      <c r="CX233" s="87"/>
      <c r="CY233" s="87"/>
      <c r="CZ233" s="87"/>
      <c r="DA233" s="87"/>
      <c r="DB233" s="87"/>
      <c r="DC233" s="87"/>
      <c r="DD233" s="87"/>
      <c r="DE233" s="87"/>
      <c r="DF233" s="87"/>
      <c r="DG233" s="87"/>
      <c r="DH233" s="87"/>
      <c r="DI233" s="87"/>
      <c r="DJ233" s="87"/>
      <c r="DK233" s="87"/>
      <c r="DL233" s="87"/>
      <c r="DM233" s="87"/>
      <c r="DN233" s="87"/>
      <c r="DO233" s="87"/>
      <c r="DP233" s="87"/>
      <c r="DQ233" s="87"/>
      <c r="DR233" s="87"/>
      <c r="DS233" s="87"/>
      <c r="DT233" s="87"/>
      <c r="DU233" s="87"/>
      <c r="DV233" s="87"/>
      <c r="DW233" s="87"/>
      <c r="DX233" s="87"/>
      <c r="DY233" s="87"/>
      <c r="DZ233" s="87"/>
      <c r="EA233" s="87"/>
      <c r="EB233" s="87"/>
      <c r="EC233" s="87"/>
      <c r="ED233" s="87"/>
      <c r="EE233" s="87"/>
      <c r="EF233" s="87"/>
      <c r="EG233" s="87"/>
      <c r="EH233" s="87"/>
      <c r="EI233" s="87"/>
    </row>
    <row r="234" spans="1:139" ht="29.25" hidden="1" thickBot="1" x14ac:dyDescent="0.35">
      <c r="A234" s="175" t="s">
        <v>405</v>
      </c>
      <c r="B234" s="191">
        <v>1</v>
      </c>
      <c r="C234" s="177">
        <v>45</v>
      </c>
      <c r="D234" s="217">
        <f>C234/VLOOKUP(B234,'[2]Gas Prod per PADD'!$A$1:$C$6,2,FALSE)</f>
        <v>9.375E-2</v>
      </c>
      <c r="E234" s="178">
        <v>45474</v>
      </c>
      <c r="F234" s="179">
        <v>45506</v>
      </c>
      <c r="G234" s="180" t="s">
        <v>221</v>
      </c>
      <c r="H234" s="181" t="s">
        <v>516</v>
      </c>
      <c r="I234" s="248"/>
      <c r="J234" s="85"/>
      <c r="K234" s="85"/>
      <c r="L234" s="85"/>
      <c r="M234" s="85"/>
      <c r="N234" s="85"/>
      <c r="O234" s="85"/>
      <c r="P234" s="85"/>
      <c r="Q234" s="85"/>
      <c r="R234" s="85"/>
      <c r="S234" s="85"/>
      <c r="T234" s="85"/>
      <c r="U234" s="85"/>
      <c r="V234" s="84"/>
      <c r="W234" s="84"/>
      <c r="X234" s="84" t="str">
        <f t="shared" si="11"/>
        <v>OK</v>
      </c>
      <c r="Y234" s="86"/>
      <c r="Z234" s="87"/>
      <c r="AA234" s="87"/>
      <c r="AB234" s="87"/>
      <c r="AC234" s="87"/>
      <c r="AD234" s="87"/>
      <c r="AE234" s="87"/>
      <c r="AF234" s="87"/>
      <c r="AG234" s="87"/>
      <c r="AH234" s="87"/>
      <c r="AI234" s="87"/>
      <c r="AJ234" s="87"/>
      <c r="AK234" s="87"/>
      <c r="AL234" s="87"/>
      <c r="AM234" s="87"/>
      <c r="AN234" s="87"/>
      <c r="AO234" s="87"/>
      <c r="AP234" s="87"/>
      <c r="AQ234" s="87"/>
      <c r="AR234" s="87"/>
      <c r="AS234" s="87"/>
      <c r="AT234" s="87"/>
      <c r="AU234" s="87"/>
      <c r="AV234" s="87"/>
      <c r="AW234" s="87"/>
      <c r="AX234" s="87"/>
      <c r="AY234" s="87"/>
      <c r="AZ234" s="87"/>
      <c r="BA234" s="87"/>
      <c r="BB234" s="87"/>
      <c r="BC234" s="87"/>
      <c r="BD234" s="87"/>
      <c r="BE234" s="87"/>
      <c r="BF234" s="87"/>
      <c r="BG234" s="87"/>
      <c r="BH234" s="87"/>
      <c r="BI234" s="87"/>
      <c r="BJ234" s="105">
        <v>-20</v>
      </c>
      <c r="BK234" s="87">
        <v>-5</v>
      </c>
      <c r="BL234" s="105"/>
      <c r="BM234" s="87">
        <v>10</v>
      </c>
      <c r="BN234" s="105">
        <v>15</v>
      </c>
      <c r="BO234" s="87"/>
      <c r="BP234" s="87"/>
      <c r="BQ234" s="87"/>
      <c r="BR234" s="87"/>
      <c r="BS234" s="87"/>
      <c r="BT234" s="87"/>
      <c r="BU234" s="87"/>
      <c r="BV234" s="87"/>
      <c r="BW234" s="87"/>
      <c r="BX234" s="87"/>
      <c r="BY234" s="87"/>
      <c r="BZ234" s="87"/>
      <c r="CA234" s="87"/>
      <c r="CB234" s="87"/>
      <c r="CC234" s="87"/>
      <c r="CD234" s="87"/>
      <c r="CE234" s="87"/>
      <c r="CF234" s="87"/>
      <c r="CG234" s="87"/>
      <c r="CH234" s="87"/>
      <c r="CI234" s="87"/>
      <c r="CJ234" s="87"/>
      <c r="CK234" s="87"/>
      <c r="CL234" s="87"/>
      <c r="CM234" s="87"/>
      <c r="CN234" s="87"/>
      <c r="CO234" s="87"/>
      <c r="CP234" s="87"/>
      <c r="CQ234" s="87"/>
      <c r="CR234" s="87"/>
      <c r="CS234" s="87"/>
      <c r="CT234" s="87"/>
      <c r="CU234" s="87"/>
      <c r="CV234" s="87"/>
      <c r="CW234" s="87"/>
      <c r="CX234" s="87"/>
      <c r="CY234" s="87"/>
      <c r="CZ234" s="87"/>
      <c r="DA234" s="87"/>
      <c r="DB234" s="87"/>
      <c r="DC234" s="87"/>
      <c r="DD234" s="87"/>
      <c r="DE234" s="87"/>
      <c r="DF234" s="87"/>
      <c r="DG234" s="87"/>
      <c r="DH234" s="87"/>
      <c r="DI234" s="87"/>
      <c r="DJ234" s="87"/>
      <c r="DK234" s="87"/>
      <c r="DL234" s="87"/>
      <c r="DM234" s="87"/>
      <c r="DN234" s="87"/>
      <c r="DO234" s="87"/>
      <c r="DP234" s="87"/>
      <c r="DQ234" s="87"/>
      <c r="DR234" s="87"/>
      <c r="DS234" s="87"/>
      <c r="DT234" s="87"/>
      <c r="DU234" s="87"/>
      <c r="DV234" s="87"/>
      <c r="DW234" s="87"/>
      <c r="DX234" s="87"/>
      <c r="DY234" s="87"/>
      <c r="DZ234" s="87"/>
      <c r="EA234" s="87"/>
      <c r="EB234" s="87"/>
      <c r="EC234" s="87"/>
      <c r="ED234" s="87"/>
      <c r="EE234" s="87"/>
      <c r="EF234" s="87"/>
      <c r="EG234" s="87"/>
      <c r="EH234" s="87"/>
      <c r="EI234" s="87"/>
    </row>
    <row r="235" spans="1:139" ht="16.5" hidden="1" thickBot="1" x14ac:dyDescent="0.35">
      <c r="A235" s="113" t="s">
        <v>517</v>
      </c>
      <c r="B235" s="194">
        <v>3</v>
      </c>
      <c r="C235" s="195">
        <f>20*0.65</f>
        <v>13</v>
      </c>
      <c r="D235" s="217">
        <f>C235/VLOOKUP(B235,'[2]Gas Prod per PADD'!$A$1:$C$6,2,FALSE)</f>
        <v>2.8260869565217392E-3</v>
      </c>
      <c r="E235" s="196">
        <v>45490</v>
      </c>
      <c r="F235" s="197">
        <v>45506</v>
      </c>
      <c r="G235" s="194" t="s">
        <v>221</v>
      </c>
      <c r="H235" s="198" t="s">
        <v>518</v>
      </c>
      <c r="I235" s="248"/>
      <c r="J235" s="85"/>
      <c r="K235" s="85"/>
      <c r="L235" s="85"/>
      <c r="M235" s="85"/>
      <c r="N235" s="85"/>
      <c r="O235" s="85"/>
      <c r="P235" s="85"/>
      <c r="Q235" s="85"/>
      <c r="R235" s="85"/>
      <c r="S235" s="85"/>
      <c r="T235" s="85"/>
      <c r="U235" s="85"/>
      <c r="V235" s="84"/>
      <c r="W235" s="84"/>
      <c r="X235" s="84" t="str">
        <f t="shared" si="11"/>
        <v>OK</v>
      </c>
      <c r="Y235" s="87"/>
      <c r="Z235" s="87"/>
      <c r="AA235" s="87"/>
      <c r="AB235" s="87"/>
      <c r="AC235" s="87"/>
      <c r="AD235" s="87"/>
      <c r="AE235" s="87"/>
      <c r="AF235" s="87"/>
      <c r="AG235" s="87"/>
      <c r="AH235" s="87"/>
      <c r="AI235" s="87"/>
      <c r="AJ235" s="87"/>
      <c r="AK235" s="87"/>
      <c r="AL235" s="87"/>
      <c r="AM235" s="87"/>
      <c r="AN235" s="87"/>
      <c r="AO235" s="87"/>
      <c r="AP235" s="87"/>
      <c r="AQ235" s="87"/>
      <c r="AR235" s="87"/>
      <c r="AS235" s="87"/>
      <c r="AT235" s="87"/>
      <c r="AU235" s="87"/>
      <c r="AV235" s="87"/>
      <c r="AW235" s="87"/>
      <c r="AX235" s="87"/>
      <c r="AY235" s="87"/>
      <c r="AZ235" s="87"/>
      <c r="BA235" s="87"/>
      <c r="BB235" s="87"/>
      <c r="BC235" s="87"/>
      <c r="BD235" s="87"/>
      <c r="BE235" s="87"/>
      <c r="BF235" s="87"/>
      <c r="BG235" s="87"/>
      <c r="BH235" s="87"/>
      <c r="BI235" s="87"/>
      <c r="BJ235" s="87"/>
      <c r="BK235" s="87">
        <f>-C235</f>
        <v>-13</v>
      </c>
      <c r="BL235" s="87"/>
      <c r="BM235" s="87">
        <f>-BK235</f>
        <v>13</v>
      </c>
      <c r="BN235" s="87"/>
      <c r="BO235" s="87"/>
      <c r="BP235" s="87"/>
      <c r="BQ235" s="87"/>
      <c r="BR235" s="87"/>
      <c r="BS235" s="87"/>
      <c r="BT235" s="87"/>
      <c r="BU235" s="87"/>
      <c r="BV235" s="87"/>
      <c r="BW235" s="87"/>
      <c r="BX235" s="87"/>
      <c r="BY235" s="87"/>
      <c r="BZ235" s="87"/>
      <c r="CA235" s="87"/>
      <c r="CB235" s="87"/>
      <c r="CC235" s="87"/>
      <c r="CD235" s="87"/>
      <c r="CE235" s="87"/>
      <c r="CF235" s="87"/>
      <c r="CG235" s="87"/>
      <c r="CH235" s="87"/>
      <c r="CI235" s="87"/>
      <c r="CJ235" s="87"/>
      <c r="CK235" s="87"/>
      <c r="CL235" s="87"/>
      <c r="CM235" s="87"/>
      <c r="CN235" s="87"/>
      <c r="CO235" s="87"/>
      <c r="CP235" s="87"/>
      <c r="CQ235" s="87"/>
      <c r="CR235" s="87"/>
      <c r="CS235" s="87"/>
      <c r="CT235" s="87"/>
      <c r="CU235" s="87"/>
      <c r="CV235" s="87"/>
      <c r="CW235" s="87"/>
      <c r="CX235" s="87"/>
      <c r="CY235" s="87"/>
      <c r="CZ235" s="87"/>
      <c r="DA235" s="87"/>
      <c r="DB235" s="87"/>
      <c r="DC235" s="87"/>
      <c r="DD235" s="87"/>
      <c r="DE235" s="87"/>
      <c r="DF235" s="87"/>
      <c r="DG235" s="87"/>
      <c r="DH235" s="87"/>
      <c r="DI235" s="87"/>
      <c r="DJ235" s="87"/>
      <c r="DK235" s="87"/>
      <c r="DL235" s="87"/>
      <c r="DM235" s="87"/>
      <c r="DN235" s="87"/>
      <c r="DO235" s="87"/>
      <c r="DP235" s="87"/>
      <c r="DQ235" s="87"/>
      <c r="DR235" s="87"/>
      <c r="DS235" s="87"/>
      <c r="DT235" s="87"/>
      <c r="DU235" s="87"/>
      <c r="DV235" s="87"/>
      <c r="DW235" s="87"/>
      <c r="DX235" s="87"/>
      <c r="DY235" s="87"/>
      <c r="DZ235" s="87"/>
      <c r="EA235" s="87"/>
      <c r="EB235" s="87"/>
      <c r="EC235" s="87"/>
      <c r="ED235" s="87"/>
      <c r="EE235" s="87"/>
      <c r="EF235" s="87"/>
      <c r="EG235" s="87"/>
      <c r="EH235" s="87"/>
      <c r="EI235" s="87"/>
    </row>
    <row r="236" spans="1:139" ht="16.5" hidden="1" thickBot="1" x14ac:dyDescent="0.35">
      <c r="A236" s="113" t="s">
        <v>519</v>
      </c>
      <c r="B236" s="194">
        <v>2</v>
      </c>
      <c r="C236" s="195">
        <f>24*0.1</f>
        <v>2.4000000000000004</v>
      </c>
      <c r="D236" s="217">
        <f>C236/VLOOKUP(B236,'[2]Gas Prod per PADD'!$A$1:$C$6,2,FALSE)</f>
        <v>1.0000000000000002E-3</v>
      </c>
      <c r="E236" s="196">
        <v>45495</v>
      </c>
      <c r="F236" s="197">
        <v>45506</v>
      </c>
      <c r="G236" s="194" t="s">
        <v>218</v>
      </c>
      <c r="H236" s="198" t="s">
        <v>520</v>
      </c>
      <c r="I236" s="248"/>
      <c r="J236" s="85"/>
      <c r="K236" s="85"/>
      <c r="L236" s="85"/>
      <c r="M236" s="85"/>
      <c r="N236" s="85"/>
      <c r="O236" s="85"/>
      <c r="P236" s="85"/>
      <c r="Q236" s="85"/>
      <c r="R236" s="85"/>
      <c r="S236" s="85"/>
      <c r="T236" s="85"/>
      <c r="U236" s="85"/>
      <c r="V236" s="84"/>
      <c r="W236" s="84"/>
      <c r="X236" s="84" t="str">
        <f t="shared" si="11"/>
        <v>OK</v>
      </c>
      <c r="Y236" s="87"/>
      <c r="Z236" s="87"/>
      <c r="AA236" s="87"/>
      <c r="AB236" s="87"/>
      <c r="AC236" s="87"/>
      <c r="AD236" s="87"/>
      <c r="AE236" s="87"/>
      <c r="AF236" s="87"/>
      <c r="AG236" s="87"/>
      <c r="AH236" s="87"/>
      <c r="AI236" s="87"/>
      <c r="AJ236" s="87"/>
      <c r="AK236" s="87"/>
      <c r="AL236" s="87"/>
      <c r="AM236" s="87"/>
      <c r="AN236" s="87"/>
      <c r="AO236" s="87"/>
      <c r="AP236" s="87"/>
      <c r="AQ236" s="87"/>
      <c r="AR236" s="87"/>
      <c r="AS236" s="87"/>
      <c r="AT236" s="87"/>
      <c r="AU236" s="87"/>
      <c r="AV236" s="87"/>
      <c r="AW236" s="87"/>
      <c r="AX236" s="87"/>
      <c r="AY236" s="87"/>
      <c r="AZ236" s="87"/>
      <c r="BA236" s="87"/>
      <c r="BB236" s="87"/>
      <c r="BC236" s="87"/>
      <c r="BD236" s="87"/>
      <c r="BE236" s="87"/>
      <c r="BF236" s="87"/>
      <c r="BG236" s="87"/>
      <c r="BH236" s="87"/>
      <c r="BI236" s="87"/>
      <c r="BJ236" s="87"/>
      <c r="BK236" s="87">
        <f>-5/7*C236</f>
        <v>-1.7142857142857146</v>
      </c>
      <c r="BL236" s="87">
        <f>-C236-BK236</f>
        <v>-0.68571428571428572</v>
      </c>
      <c r="BM236" s="87">
        <f>C236</f>
        <v>2.4000000000000004</v>
      </c>
      <c r="BN236" s="87"/>
      <c r="BO236" s="87"/>
      <c r="BP236" s="87"/>
      <c r="BQ236" s="87"/>
      <c r="BR236" s="87"/>
      <c r="BS236" s="87"/>
      <c r="BT236" s="87"/>
      <c r="BU236" s="87"/>
      <c r="BV236" s="87"/>
      <c r="BW236" s="87"/>
      <c r="BX236" s="87"/>
      <c r="BY236" s="87"/>
      <c r="BZ236" s="87"/>
      <c r="CA236" s="87"/>
      <c r="CB236" s="87"/>
      <c r="CC236" s="87"/>
      <c r="CD236" s="87"/>
      <c r="CE236" s="87"/>
      <c r="CF236" s="87"/>
      <c r="CG236" s="87"/>
      <c r="CH236" s="87"/>
      <c r="CI236" s="87"/>
      <c r="CJ236" s="87"/>
      <c r="CK236" s="87"/>
      <c r="CL236" s="87"/>
      <c r="CM236" s="87"/>
      <c r="CN236" s="87"/>
      <c r="CO236" s="87"/>
      <c r="CP236" s="87"/>
      <c r="CQ236" s="87"/>
      <c r="CR236" s="87"/>
      <c r="CS236" s="87"/>
      <c r="CT236" s="87"/>
      <c r="CU236" s="87"/>
      <c r="CV236" s="87"/>
      <c r="CW236" s="87"/>
      <c r="CX236" s="87"/>
      <c r="CY236" s="87"/>
      <c r="CZ236" s="87"/>
      <c r="DA236" s="87"/>
      <c r="DB236" s="87"/>
      <c r="DC236" s="87"/>
      <c r="DD236" s="87"/>
      <c r="DE236" s="87"/>
      <c r="DF236" s="87"/>
      <c r="DG236" s="87"/>
      <c r="DH236" s="87"/>
      <c r="DI236" s="87"/>
      <c r="DJ236" s="87"/>
      <c r="DK236" s="87"/>
      <c r="DL236" s="87"/>
      <c r="DM236" s="87"/>
      <c r="DN236" s="87"/>
      <c r="DO236" s="87"/>
      <c r="DP236" s="87"/>
      <c r="DQ236" s="87"/>
      <c r="DR236" s="87"/>
      <c r="DS236" s="87"/>
      <c r="DT236" s="87"/>
      <c r="DU236" s="87"/>
      <c r="DV236" s="87"/>
      <c r="DW236" s="87"/>
      <c r="DX236" s="87"/>
      <c r="DY236" s="87"/>
      <c r="DZ236" s="87"/>
      <c r="EA236" s="87"/>
      <c r="EB236" s="87"/>
      <c r="EC236" s="87"/>
      <c r="ED236" s="87"/>
      <c r="EE236" s="87"/>
      <c r="EF236" s="87"/>
      <c r="EG236" s="87"/>
      <c r="EH236" s="87"/>
      <c r="EI236" s="87"/>
    </row>
    <row r="237" spans="1:139" ht="29.25" hidden="1" thickBot="1" x14ac:dyDescent="0.35">
      <c r="A237" s="200" t="s">
        <v>521</v>
      </c>
      <c r="B237" s="180">
        <v>2</v>
      </c>
      <c r="C237" s="224">
        <f>76*0.1+13*0.85+26*0.65+4.45</f>
        <v>40</v>
      </c>
      <c r="D237" s="217">
        <f>C237/VLOOKUP(B237,'[2]Gas Prod per PADD'!$A$1:$C$6,2,FALSE)</f>
        <v>1.6666666666666666E-2</v>
      </c>
      <c r="E237" s="225">
        <v>45451</v>
      </c>
      <c r="F237" s="226">
        <v>45509</v>
      </c>
      <c r="G237" s="180" t="s">
        <v>522</v>
      </c>
      <c r="H237" s="221" t="s">
        <v>523</v>
      </c>
      <c r="I237" s="248" t="s">
        <v>524</v>
      </c>
      <c r="J237" s="85"/>
      <c r="K237" s="85"/>
      <c r="L237" s="85"/>
      <c r="M237" s="85"/>
      <c r="N237" s="85"/>
      <c r="O237" s="85"/>
      <c r="P237" s="85"/>
      <c r="Q237" s="85"/>
      <c r="R237" s="85"/>
      <c r="S237" s="85"/>
      <c r="T237" s="85"/>
      <c r="U237" s="85"/>
      <c r="V237" s="84"/>
      <c r="W237" s="84"/>
      <c r="X237" s="84" t="str">
        <f t="shared" si="11"/>
        <v>OK</v>
      </c>
      <c r="Y237" s="105"/>
      <c r="Z237" s="105"/>
      <c r="AA237" s="87"/>
      <c r="AB237" s="87"/>
      <c r="AC237" s="87"/>
      <c r="AD237" s="87"/>
      <c r="AE237" s="105"/>
      <c r="AF237" s="105"/>
      <c r="AG237" s="105"/>
      <c r="AH237" s="105"/>
      <c r="AI237" s="87"/>
      <c r="AJ237" s="87"/>
      <c r="AK237" s="105"/>
      <c r="AL237" s="87"/>
      <c r="AM237" s="105"/>
      <c r="AN237" s="105"/>
      <c r="AO237" s="87"/>
      <c r="AP237" s="87"/>
      <c r="AQ237" s="105"/>
      <c r="AR237" s="105"/>
      <c r="AS237" s="87"/>
      <c r="AT237" s="105"/>
      <c r="AU237" s="87"/>
      <c r="AV237" s="87"/>
      <c r="AW237" s="87"/>
      <c r="AX237" s="105"/>
      <c r="AY237" s="87"/>
      <c r="AZ237" s="105"/>
      <c r="BA237" s="105"/>
      <c r="BB237" s="105"/>
      <c r="BC237" s="105"/>
      <c r="BD237" s="105"/>
      <c r="BE237" s="105">
        <f>-$C237</f>
        <v>-40</v>
      </c>
      <c r="BF237" s="87">
        <f>-$C237-BE237</f>
        <v>0</v>
      </c>
      <c r="BG237" s="105"/>
      <c r="BH237" s="87"/>
      <c r="BI237" s="105"/>
      <c r="BJ237" s="105"/>
      <c r="BK237" s="105"/>
      <c r="BL237" s="105"/>
      <c r="BM237" s="105"/>
      <c r="BN237" s="105">
        <f>$C237-BM237</f>
        <v>40</v>
      </c>
      <c r="BO237" s="105"/>
      <c r="BP237" s="87"/>
      <c r="BQ237" s="87"/>
      <c r="BR237" s="87"/>
      <c r="BS237" s="87"/>
      <c r="BT237" s="87"/>
      <c r="BU237" s="87"/>
      <c r="BV237" s="87"/>
      <c r="BW237" s="87"/>
      <c r="BX237" s="87"/>
      <c r="BY237" s="87"/>
      <c r="BZ237" s="87"/>
      <c r="CA237" s="87"/>
      <c r="CB237" s="87"/>
      <c r="CC237" s="87"/>
      <c r="CD237" s="87"/>
      <c r="CE237" s="87"/>
      <c r="CF237" s="87"/>
      <c r="CG237" s="87"/>
      <c r="CH237" s="87"/>
      <c r="CI237" s="87"/>
      <c r="CJ237" s="87"/>
      <c r="CK237" s="87"/>
      <c r="CL237" s="87"/>
      <c r="CM237" s="87"/>
      <c r="CN237" s="87"/>
      <c r="CO237" s="87"/>
      <c r="CP237" s="87"/>
      <c r="CQ237" s="87"/>
      <c r="CR237" s="87"/>
      <c r="CS237" s="87"/>
      <c r="CT237" s="87"/>
      <c r="CU237" s="87"/>
      <c r="CV237" s="87"/>
      <c r="CW237" s="87"/>
      <c r="CX237" s="87"/>
      <c r="CY237" s="87"/>
      <c r="CZ237" s="87"/>
      <c r="DA237" s="87"/>
      <c r="DB237" s="87"/>
      <c r="DC237" s="87"/>
      <c r="DD237" s="87"/>
      <c r="DE237" s="87"/>
      <c r="DF237" s="87"/>
      <c r="DG237" s="87"/>
      <c r="DH237" s="87"/>
      <c r="DI237" s="87"/>
      <c r="DJ237" s="87"/>
      <c r="DK237" s="87"/>
      <c r="DL237" s="87"/>
      <c r="DM237" s="87"/>
      <c r="DN237" s="87"/>
      <c r="DO237" s="87"/>
      <c r="DP237" s="87"/>
      <c r="DQ237" s="87"/>
      <c r="DR237" s="87"/>
      <c r="DS237" s="87"/>
      <c r="DT237" s="87"/>
      <c r="DU237" s="87"/>
      <c r="DV237" s="87"/>
      <c r="DW237" s="87"/>
      <c r="DX237" s="87"/>
      <c r="DY237" s="87"/>
      <c r="DZ237" s="87"/>
      <c r="EA237" s="87"/>
      <c r="EB237" s="87"/>
      <c r="EC237" s="87"/>
      <c r="ED237" s="87"/>
      <c r="EE237" s="87"/>
      <c r="EF237" s="87"/>
      <c r="EG237" s="87"/>
      <c r="EH237" s="87"/>
      <c r="EI237" s="87"/>
    </row>
    <row r="238" spans="1:139" ht="16.5" hidden="1" thickBot="1" x14ac:dyDescent="0.35">
      <c r="A238" s="113" t="s">
        <v>285</v>
      </c>
      <c r="B238" s="194">
        <v>5</v>
      </c>
      <c r="C238" s="195">
        <f>60*0.05</f>
        <v>3</v>
      </c>
      <c r="D238" s="217">
        <f>C238/VLOOKUP(B238,'[2]Gas Prod per PADD'!$A$1:$C$6,2,FALSE)</f>
        <v>2.2222222222222222E-3</v>
      </c>
      <c r="E238" s="196">
        <v>45506</v>
      </c>
      <c r="F238" s="197">
        <v>45511</v>
      </c>
      <c r="G238" s="194" t="s">
        <v>454</v>
      </c>
      <c r="H238" s="198" t="s">
        <v>525</v>
      </c>
      <c r="I238" s="248"/>
      <c r="J238" s="85"/>
      <c r="K238" s="85"/>
      <c r="L238" s="85"/>
      <c r="M238" s="85"/>
      <c r="N238" s="85"/>
      <c r="O238" s="85"/>
      <c r="P238" s="85"/>
      <c r="Q238" s="85"/>
      <c r="R238" s="85"/>
      <c r="S238" s="85"/>
      <c r="T238" s="85"/>
      <c r="U238" s="85"/>
      <c r="V238" s="84"/>
      <c r="W238" s="84"/>
      <c r="X238" s="84" t="str">
        <f t="shared" si="11"/>
        <v>OK</v>
      </c>
      <c r="Y238" s="87"/>
      <c r="Z238" s="87"/>
      <c r="AA238" s="87"/>
      <c r="AB238" s="87"/>
      <c r="AC238" s="87"/>
      <c r="AD238" s="87"/>
      <c r="AE238" s="87"/>
      <c r="AF238" s="87"/>
      <c r="AG238" s="87"/>
      <c r="AH238" s="87"/>
      <c r="AI238" s="87"/>
      <c r="AJ238" s="87"/>
      <c r="AK238" s="87"/>
      <c r="AL238" s="87"/>
      <c r="AM238" s="87"/>
      <c r="AN238" s="87"/>
      <c r="AO238" s="87"/>
      <c r="AP238" s="87"/>
      <c r="AQ238" s="87"/>
      <c r="AR238" s="87"/>
      <c r="AS238" s="87"/>
      <c r="AT238" s="87"/>
      <c r="AU238" s="87"/>
      <c r="AV238" s="87"/>
      <c r="AW238" s="87"/>
      <c r="AX238" s="87"/>
      <c r="AY238" s="87"/>
      <c r="AZ238" s="87"/>
      <c r="BA238" s="87"/>
      <c r="BB238" s="87"/>
      <c r="BC238" s="87"/>
      <c r="BD238" s="87"/>
      <c r="BE238" s="87"/>
      <c r="BF238" s="87"/>
      <c r="BG238" s="87"/>
      <c r="BH238" s="87"/>
      <c r="BI238" s="87"/>
      <c r="BJ238" s="87"/>
      <c r="BK238" s="87"/>
      <c r="BL238" s="87"/>
      <c r="BM238" s="87">
        <f>-C238</f>
        <v>-3</v>
      </c>
      <c r="BN238" s="87">
        <f>-BM238</f>
        <v>3</v>
      </c>
      <c r="BO238" s="87"/>
      <c r="BP238" s="87"/>
      <c r="BQ238" s="87"/>
      <c r="BR238" s="87"/>
      <c r="BS238" s="87"/>
      <c r="BT238" s="87"/>
      <c r="BU238" s="87"/>
      <c r="BV238" s="87"/>
      <c r="BW238" s="87"/>
      <c r="BX238" s="87"/>
      <c r="BY238" s="87"/>
      <c r="BZ238" s="87"/>
      <c r="CA238" s="87"/>
      <c r="CB238" s="87"/>
      <c r="CC238" s="87"/>
      <c r="CD238" s="87"/>
      <c r="CE238" s="87"/>
      <c r="CF238" s="87"/>
      <c r="CG238" s="87"/>
      <c r="CH238" s="87"/>
      <c r="CI238" s="87"/>
      <c r="CJ238" s="87"/>
      <c r="CK238" s="87"/>
      <c r="CL238" s="87"/>
      <c r="CM238" s="87"/>
      <c r="CN238" s="87"/>
      <c r="CO238" s="87"/>
      <c r="CP238" s="87"/>
      <c r="CQ238" s="87"/>
      <c r="CR238" s="87"/>
      <c r="CS238" s="87"/>
      <c r="CT238" s="87"/>
      <c r="CU238" s="87"/>
      <c r="CV238" s="87"/>
      <c r="CW238" s="87"/>
      <c r="CX238" s="87"/>
      <c r="CY238" s="87"/>
      <c r="CZ238" s="87"/>
      <c r="DA238" s="87"/>
      <c r="DB238" s="87"/>
      <c r="DC238" s="87"/>
      <c r="DD238" s="87"/>
      <c r="DE238" s="87"/>
      <c r="DF238" s="87"/>
      <c r="DG238" s="87"/>
      <c r="DH238" s="87"/>
      <c r="DI238" s="87"/>
      <c r="DJ238" s="87"/>
      <c r="DK238" s="87"/>
      <c r="DL238" s="87"/>
      <c r="DM238" s="87"/>
      <c r="DN238" s="87"/>
      <c r="DO238" s="87"/>
      <c r="DP238" s="87"/>
      <c r="DQ238" s="87"/>
      <c r="DR238" s="87"/>
      <c r="DS238" s="87"/>
      <c r="DT238" s="87"/>
      <c r="DU238" s="87"/>
      <c r="DV238" s="87"/>
      <c r="DW238" s="87"/>
      <c r="DX238" s="87"/>
      <c r="DY238" s="87"/>
      <c r="DZ238" s="87"/>
      <c r="EA238" s="87"/>
      <c r="EB238" s="87"/>
      <c r="EC238" s="87"/>
      <c r="ED238" s="87"/>
      <c r="EE238" s="87"/>
      <c r="EF238" s="87"/>
      <c r="EG238" s="75">
        <v>46017</v>
      </c>
      <c r="EH238" s="75">
        <v>46024</v>
      </c>
      <c r="EI238" s="75">
        <v>46031</v>
      </c>
    </row>
    <row r="239" spans="1:139" ht="72" hidden="1" thickBot="1" x14ac:dyDescent="0.35">
      <c r="A239" s="190" t="s">
        <v>294</v>
      </c>
      <c r="B239" s="191">
        <v>3</v>
      </c>
      <c r="C239" s="177">
        <f>65*0.05+(10*0.85)</f>
        <v>11.75</v>
      </c>
      <c r="D239" s="217">
        <f>C239/VLOOKUP(B239,'[2]Gas Prod per PADD'!$A$1:$C$6,2,FALSE)</f>
        <v>2.5543478260869564E-3</v>
      </c>
      <c r="E239" s="178">
        <v>45505</v>
      </c>
      <c r="F239" s="179">
        <f>E239+7</f>
        <v>45512</v>
      </c>
      <c r="G239" s="180" t="s">
        <v>526</v>
      </c>
      <c r="H239" s="181" t="s">
        <v>216</v>
      </c>
      <c r="I239" s="248"/>
      <c r="J239" s="85"/>
      <c r="K239" s="85"/>
      <c r="L239" s="85"/>
      <c r="M239" s="85"/>
      <c r="N239" s="85"/>
      <c r="O239" s="85"/>
      <c r="P239" s="85"/>
      <c r="Q239" s="85"/>
      <c r="R239" s="85"/>
      <c r="S239" s="85"/>
      <c r="T239" s="85"/>
      <c r="U239" s="85"/>
      <c r="V239" s="84"/>
      <c r="W239" s="84"/>
      <c r="X239" s="84" t="str">
        <f t="shared" si="11"/>
        <v>OK</v>
      </c>
      <c r="Y239" s="87"/>
      <c r="Z239" s="87"/>
      <c r="AA239" s="87"/>
      <c r="AB239" s="87"/>
      <c r="AC239" s="87"/>
      <c r="AD239" s="87"/>
      <c r="AE239" s="87"/>
      <c r="AF239" s="87"/>
      <c r="AG239" s="87"/>
      <c r="AH239" s="87"/>
      <c r="AI239" s="87"/>
      <c r="AJ239" s="87"/>
      <c r="AK239" s="87"/>
      <c r="AL239" s="87"/>
      <c r="AM239" s="87"/>
      <c r="AN239" s="87"/>
      <c r="AO239" s="87"/>
      <c r="AP239" s="87"/>
      <c r="AQ239" s="87"/>
      <c r="AR239" s="87"/>
      <c r="AS239" s="87"/>
      <c r="AT239" s="87"/>
      <c r="AU239" s="87"/>
      <c r="AV239" s="87"/>
      <c r="AW239" s="87"/>
      <c r="AX239" s="87"/>
      <c r="AY239" s="87"/>
      <c r="AZ239" s="87"/>
      <c r="BA239" s="87"/>
      <c r="BB239" s="87"/>
      <c r="BC239" s="87"/>
      <c r="BD239" s="87"/>
      <c r="BE239" s="87"/>
      <c r="BF239" s="87"/>
      <c r="BG239" s="87"/>
      <c r="BH239" s="87"/>
      <c r="BI239" s="87"/>
      <c r="BJ239" s="87"/>
      <c r="BK239" s="87"/>
      <c r="BL239" s="87">
        <f>(-2/7)*C239*0.5</f>
        <v>-1.6785714285714284</v>
      </c>
      <c r="BM239" s="87">
        <f>-1*C239-BL239</f>
        <v>-10.071428571428571</v>
      </c>
      <c r="BN239" s="87">
        <f>$C239*0.75</f>
        <v>8.8125</v>
      </c>
      <c r="BO239" s="87">
        <f>$C239*0.25</f>
        <v>2.9375</v>
      </c>
      <c r="BP239" s="87"/>
      <c r="BQ239" s="87"/>
      <c r="BR239" s="87"/>
      <c r="BS239" s="87"/>
      <c r="BT239" s="87"/>
      <c r="BU239" s="87"/>
      <c r="BV239" s="87"/>
      <c r="BW239" s="87"/>
      <c r="BX239" s="87"/>
      <c r="BY239" s="87"/>
      <c r="BZ239" s="87"/>
      <c r="CA239" s="87"/>
      <c r="CB239" s="87"/>
      <c r="CC239" s="87"/>
      <c r="CD239" s="87"/>
      <c r="CE239" s="87"/>
      <c r="CF239" s="87"/>
      <c r="CG239" s="87"/>
      <c r="CH239" s="87"/>
      <c r="CI239" s="87"/>
      <c r="CJ239" s="87"/>
      <c r="CK239" s="87"/>
      <c r="CL239" s="87"/>
      <c r="CM239" s="87"/>
      <c r="CN239" s="87"/>
      <c r="CO239" s="87"/>
      <c r="CP239" s="87"/>
      <c r="CQ239" s="87"/>
      <c r="CR239" s="87"/>
      <c r="CS239" s="87"/>
      <c r="CT239" s="87"/>
      <c r="CU239" s="87"/>
      <c r="CV239" s="87"/>
      <c r="CW239" s="87"/>
      <c r="CX239" s="87"/>
      <c r="CY239" s="87"/>
      <c r="CZ239" s="87"/>
      <c r="DA239" s="87"/>
      <c r="DB239" s="87"/>
      <c r="DC239" s="87"/>
      <c r="DD239" s="87"/>
      <c r="DE239" s="87"/>
      <c r="DF239" s="87"/>
      <c r="DG239" s="87"/>
      <c r="DH239" s="87"/>
      <c r="DI239" s="87"/>
      <c r="DJ239" s="87"/>
      <c r="DK239" s="87"/>
      <c r="DL239" s="87"/>
      <c r="DM239" s="87"/>
      <c r="DN239" s="87"/>
      <c r="DO239" s="87"/>
      <c r="DP239" s="87"/>
      <c r="DQ239" s="87"/>
      <c r="DR239" s="87"/>
      <c r="DS239" s="87"/>
      <c r="DT239" s="87"/>
      <c r="DU239" s="87"/>
      <c r="DV239" s="87"/>
      <c r="DW239" s="87"/>
      <c r="DX239" s="87"/>
      <c r="DY239" s="87"/>
      <c r="DZ239" s="87"/>
      <c r="EA239" s="87"/>
      <c r="EB239" s="87"/>
      <c r="EC239" s="87"/>
      <c r="ED239" s="87"/>
      <c r="EE239" s="87"/>
      <c r="EF239" s="87"/>
      <c r="EG239" s="87"/>
      <c r="EH239" s="87"/>
      <c r="EI239" s="87"/>
    </row>
    <row r="240" spans="1:139" ht="16.5" hidden="1" thickBot="1" x14ac:dyDescent="0.35">
      <c r="A240" s="218" t="s">
        <v>231</v>
      </c>
      <c r="B240" s="194">
        <v>2</v>
      </c>
      <c r="C240" s="195">
        <f>270*0.1+85*0.65+48*0.85+58*0.1+1</f>
        <v>129.85</v>
      </c>
      <c r="D240" s="217">
        <f>C240/VLOOKUP(B240,'[2]Gas Prod per PADD'!$A$1:$C$6,2,FALSE)</f>
        <v>5.4104166666666662E-2</v>
      </c>
      <c r="E240" s="196">
        <v>45489</v>
      </c>
      <c r="F240" s="197">
        <v>45513</v>
      </c>
      <c r="G240" s="194" t="s">
        <v>527</v>
      </c>
      <c r="H240" s="230" t="s">
        <v>528</v>
      </c>
      <c r="I240" s="248"/>
      <c r="J240" s="85"/>
      <c r="K240" s="85"/>
      <c r="L240" s="85"/>
      <c r="M240" s="85"/>
      <c r="N240" s="85"/>
      <c r="O240" s="85"/>
      <c r="P240" s="85"/>
      <c r="Q240" s="85"/>
      <c r="R240" s="85"/>
      <c r="S240" s="85"/>
      <c r="T240" s="85"/>
      <c r="U240" s="85"/>
      <c r="V240" s="84"/>
      <c r="W240" s="84"/>
      <c r="X240" s="84" t="str">
        <f t="shared" si="11"/>
        <v>OK</v>
      </c>
      <c r="Y240" s="86"/>
      <c r="Z240" s="87"/>
      <c r="AA240" s="87"/>
      <c r="AB240" s="87"/>
      <c r="AC240" s="87"/>
      <c r="AD240" s="87"/>
      <c r="AE240" s="87"/>
      <c r="AF240" s="87"/>
      <c r="AG240" s="87"/>
      <c r="AH240" s="87"/>
      <c r="AI240" s="87"/>
      <c r="AJ240" s="87"/>
      <c r="AK240" s="87"/>
      <c r="AL240" s="87"/>
      <c r="AM240" s="87"/>
      <c r="AN240" s="87"/>
      <c r="AO240" s="87"/>
      <c r="AP240" s="87"/>
      <c r="AQ240" s="87"/>
      <c r="AR240" s="87"/>
      <c r="AS240" s="87"/>
      <c r="AT240" s="87"/>
      <c r="AU240" s="87"/>
      <c r="AV240" s="87"/>
      <c r="AW240" s="87"/>
      <c r="AX240" s="87"/>
      <c r="AY240" s="87"/>
      <c r="AZ240" s="87"/>
      <c r="BA240" s="87"/>
      <c r="BB240" s="87"/>
      <c r="BC240" s="87"/>
      <c r="BD240" s="87"/>
      <c r="BE240" s="87"/>
      <c r="BF240" s="87"/>
      <c r="BG240" s="87"/>
      <c r="BH240" s="87"/>
      <c r="BI240" s="87"/>
      <c r="BJ240" s="87">
        <f>-4/7*C240-24</f>
        <v>-98.199999999999989</v>
      </c>
      <c r="BK240" s="105">
        <f>-C240-BJ240</f>
        <v>-31.650000000000006</v>
      </c>
      <c r="BL240" s="87"/>
      <c r="BM240" s="105">
        <f>2/7*$C$194</f>
        <v>12.342857142857143</v>
      </c>
      <c r="BN240" s="105">
        <f>4/7*$C$194+19</f>
        <v>43.685714285714283</v>
      </c>
      <c r="BO240" s="105">
        <f>C240-BN240-BM240</f>
        <v>73.821428571428569</v>
      </c>
      <c r="BP240" s="105"/>
      <c r="BQ240" s="87"/>
      <c r="BR240" s="87"/>
      <c r="BS240" s="87"/>
      <c r="BT240" s="87"/>
      <c r="BU240" s="87"/>
      <c r="BV240" s="87"/>
      <c r="BW240" s="87"/>
      <c r="BX240" s="87"/>
      <c r="BY240" s="87"/>
      <c r="BZ240" s="87"/>
      <c r="CA240" s="87"/>
      <c r="CB240" s="87"/>
      <c r="CC240" s="87"/>
      <c r="CD240" s="87"/>
      <c r="CE240" s="87"/>
      <c r="CF240" s="87"/>
      <c r="CG240" s="87"/>
      <c r="CH240" s="87"/>
      <c r="CI240" s="87"/>
      <c r="CJ240" s="87"/>
      <c r="CK240" s="87"/>
      <c r="CL240" s="87"/>
      <c r="CM240" s="87"/>
      <c r="CN240" s="87"/>
      <c r="CO240" s="87"/>
      <c r="CP240" s="87"/>
      <c r="CQ240" s="87"/>
      <c r="CR240" s="87"/>
      <c r="CS240" s="87"/>
      <c r="CT240" s="87"/>
      <c r="CU240" s="87"/>
      <c r="CV240" s="87"/>
      <c r="CW240" s="87"/>
      <c r="CX240" s="87"/>
      <c r="CY240" s="87"/>
      <c r="CZ240" s="87"/>
      <c r="DA240" s="87"/>
      <c r="DB240" s="87"/>
      <c r="DC240" s="87"/>
      <c r="DD240" s="87"/>
      <c r="DE240" s="87"/>
      <c r="DF240" s="87"/>
      <c r="DG240" s="87"/>
      <c r="DH240" s="87"/>
      <c r="DI240" s="87"/>
      <c r="DJ240" s="87"/>
      <c r="DK240" s="87"/>
      <c r="DL240" s="87"/>
      <c r="DM240" s="87"/>
      <c r="DN240" s="87"/>
      <c r="DO240" s="87"/>
      <c r="DP240" s="87"/>
      <c r="DQ240" s="87"/>
      <c r="DR240" s="87"/>
      <c r="DS240" s="87"/>
      <c r="DT240" s="87"/>
      <c r="DU240" s="87"/>
      <c r="DV240" s="87"/>
      <c r="DW240" s="87"/>
      <c r="DX240" s="87"/>
      <c r="DY240" s="87"/>
      <c r="DZ240" s="87"/>
      <c r="EA240" s="87"/>
      <c r="EB240" s="87"/>
      <c r="EC240" s="87"/>
      <c r="ED240" s="87"/>
      <c r="EE240" s="87"/>
      <c r="EF240" s="87"/>
      <c r="EG240" s="87"/>
      <c r="EH240" s="87"/>
      <c r="EI240" s="87"/>
    </row>
    <row r="241" spans="1:139" ht="16.5" hidden="1" thickBot="1" x14ac:dyDescent="0.35">
      <c r="A241" s="175" t="s">
        <v>115</v>
      </c>
      <c r="B241" s="191">
        <v>2</v>
      </c>
      <c r="C241" s="177">
        <f>60*0.25</f>
        <v>15</v>
      </c>
      <c r="D241" s="217">
        <f>C241/VLOOKUP(B241,'[2]Gas Prod per PADD'!$A$1:$C$6,2,FALSE)</f>
        <v>6.2500000000000003E-3</v>
      </c>
      <c r="E241" s="178">
        <v>45511</v>
      </c>
      <c r="F241" s="179">
        <v>45513</v>
      </c>
      <c r="G241" s="180" t="s">
        <v>351</v>
      </c>
      <c r="H241" s="181" t="s">
        <v>529</v>
      </c>
      <c r="I241" s="248"/>
      <c r="J241" s="85"/>
      <c r="K241" s="85"/>
      <c r="L241" s="85"/>
      <c r="M241" s="85"/>
      <c r="N241" s="85"/>
      <c r="O241" s="85"/>
      <c r="P241" s="85"/>
      <c r="Q241" s="85"/>
      <c r="R241" s="85"/>
      <c r="S241" s="85"/>
      <c r="T241" s="85"/>
      <c r="U241" s="85"/>
      <c r="V241" s="84"/>
      <c r="W241" s="84"/>
      <c r="X241" s="84" t="str">
        <f t="shared" si="11"/>
        <v>OK</v>
      </c>
      <c r="Y241" s="105"/>
      <c r="Z241" s="105"/>
      <c r="AA241" s="87"/>
      <c r="AB241" s="87"/>
      <c r="AC241" s="87"/>
      <c r="AD241" s="87"/>
      <c r="AE241" s="105"/>
      <c r="AF241" s="105"/>
      <c r="AG241" s="105"/>
      <c r="AH241" s="105"/>
      <c r="AI241" s="87"/>
      <c r="AJ241" s="87"/>
      <c r="AK241" s="105"/>
      <c r="AL241" s="87"/>
      <c r="AM241" s="105"/>
      <c r="AN241" s="105"/>
      <c r="AO241" s="87"/>
      <c r="AP241" s="87"/>
      <c r="AQ241" s="105"/>
      <c r="AR241" s="105"/>
      <c r="AS241" s="87"/>
      <c r="AT241" s="105"/>
      <c r="AU241" s="105"/>
      <c r="AV241" s="87"/>
      <c r="AW241" s="105"/>
      <c r="AX241" s="105"/>
      <c r="AY241" s="87"/>
      <c r="AZ241" s="105"/>
      <c r="BA241" s="105"/>
      <c r="BB241" s="105"/>
      <c r="BC241" s="87"/>
      <c r="BD241" s="87"/>
      <c r="BE241" s="105"/>
      <c r="BF241" s="105"/>
      <c r="BG241" s="105"/>
      <c r="BH241" s="105"/>
      <c r="BI241" s="105"/>
      <c r="BJ241" s="87"/>
      <c r="BK241" s="87"/>
      <c r="BL241" s="87"/>
      <c r="BM241" s="87">
        <f>-2/7*C241</f>
        <v>-4.2857142857142856</v>
      </c>
      <c r="BN241" s="87">
        <f>-BM241*2/7</f>
        <v>1.2244897959183674</v>
      </c>
      <c r="BO241" s="87"/>
      <c r="BP241" s="87"/>
      <c r="BQ241" s="87"/>
      <c r="BR241" s="87"/>
      <c r="BS241" s="87"/>
      <c r="BT241" s="87"/>
      <c r="BU241" s="87"/>
      <c r="BV241" s="87"/>
      <c r="BW241" s="87"/>
      <c r="BX241" s="87"/>
      <c r="BY241" s="87"/>
      <c r="BZ241" s="87"/>
      <c r="CA241" s="87"/>
      <c r="CB241" s="87"/>
      <c r="CC241" s="87"/>
      <c r="CD241" s="87"/>
      <c r="CE241" s="87"/>
      <c r="CF241" s="87"/>
      <c r="CG241" s="87"/>
      <c r="CH241" s="87"/>
      <c r="CI241" s="87"/>
      <c r="CJ241" s="87"/>
      <c r="CK241" s="87"/>
      <c r="CL241" s="87"/>
      <c r="CM241" s="87"/>
      <c r="CN241" s="87"/>
      <c r="CO241" s="87"/>
      <c r="CP241" s="87"/>
      <c r="CQ241" s="87"/>
      <c r="CR241" s="87"/>
      <c r="CS241" s="87"/>
      <c r="CT241" s="87"/>
      <c r="CU241" s="87"/>
      <c r="CV241" s="87"/>
      <c r="CW241" s="87"/>
      <c r="CX241" s="87"/>
      <c r="CY241" s="87"/>
      <c r="CZ241" s="87"/>
      <c r="DA241" s="87"/>
      <c r="DB241" s="87"/>
      <c r="DC241" s="87"/>
      <c r="DD241" s="87"/>
      <c r="DE241" s="87"/>
      <c r="DF241" s="87"/>
      <c r="DG241" s="87"/>
      <c r="DH241" s="87"/>
      <c r="DI241" s="87"/>
      <c r="DJ241" s="87"/>
      <c r="DK241" s="87"/>
      <c r="DL241" s="87"/>
      <c r="DM241" s="87"/>
      <c r="DN241" s="87"/>
      <c r="DO241" s="87"/>
      <c r="DP241" s="87"/>
      <c r="DQ241" s="87"/>
      <c r="DR241" s="87"/>
      <c r="DS241" s="87"/>
      <c r="DT241" s="87"/>
      <c r="DU241" s="87"/>
      <c r="DV241" s="87"/>
      <c r="DW241" s="87"/>
      <c r="DX241" s="87"/>
      <c r="DY241" s="87"/>
      <c r="DZ241" s="87"/>
      <c r="EA241" s="87"/>
      <c r="EB241" s="87"/>
      <c r="EC241" s="87"/>
      <c r="ED241" s="87"/>
      <c r="EE241" s="87"/>
      <c r="EF241" s="87"/>
      <c r="EG241" s="87"/>
      <c r="EH241" s="87"/>
      <c r="EI241" s="87"/>
    </row>
    <row r="242" spans="1:139" ht="16.5" hidden="1" thickBot="1" x14ac:dyDescent="0.35">
      <c r="A242" s="113" t="s">
        <v>530</v>
      </c>
      <c r="B242" s="194">
        <v>3</v>
      </c>
      <c r="C242" s="195">
        <f>11*0.85</f>
        <v>9.35</v>
      </c>
      <c r="D242" s="217">
        <f>C242/VLOOKUP(B242,'[2]Gas Prod per PADD'!$A$1:$C$6,2,FALSE)</f>
        <v>2.0326086956521739E-3</v>
      </c>
      <c r="E242" s="196">
        <v>45494</v>
      </c>
      <c r="F242" s="197">
        <v>45514</v>
      </c>
      <c r="G242" s="194" t="s">
        <v>163</v>
      </c>
      <c r="H242" s="198" t="s">
        <v>531</v>
      </c>
      <c r="I242" s="248"/>
      <c r="J242" s="85"/>
      <c r="K242" s="85"/>
      <c r="L242" s="85"/>
      <c r="M242" s="85"/>
      <c r="N242" s="85"/>
      <c r="O242" s="85"/>
      <c r="P242" s="85"/>
      <c r="Q242" s="85"/>
      <c r="R242" s="85"/>
      <c r="S242" s="85"/>
      <c r="T242" s="85"/>
      <c r="U242" s="85"/>
      <c r="V242" s="84"/>
      <c r="W242" s="84"/>
      <c r="X242" s="84" t="str">
        <f t="shared" si="11"/>
        <v>OK</v>
      </c>
      <c r="Y242" s="87"/>
      <c r="Z242" s="87"/>
      <c r="AA242" s="87"/>
      <c r="AB242" s="87"/>
      <c r="AC242" s="87"/>
      <c r="AD242" s="87"/>
      <c r="AE242" s="87"/>
      <c r="AF242" s="87"/>
      <c r="AG242" s="87"/>
      <c r="AH242" s="87"/>
      <c r="AI242" s="87"/>
      <c r="AJ242" s="87"/>
      <c r="AK242" s="87"/>
      <c r="AL242" s="87"/>
      <c r="AM242" s="87"/>
      <c r="AN242" s="87"/>
      <c r="AO242" s="87"/>
      <c r="AP242" s="87"/>
      <c r="AQ242" s="87"/>
      <c r="AR242" s="87"/>
      <c r="AS242" s="87"/>
      <c r="AT242" s="87"/>
      <c r="AU242" s="87"/>
      <c r="AV242" s="87"/>
      <c r="AW242" s="87"/>
      <c r="AX242" s="87"/>
      <c r="AY242" s="87"/>
      <c r="AZ242" s="87"/>
      <c r="BA242" s="87"/>
      <c r="BB242" s="87"/>
      <c r="BC242" s="87"/>
      <c r="BD242" s="87"/>
      <c r="BE242" s="87"/>
      <c r="BF242" s="87"/>
      <c r="BG242" s="87"/>
      <c r="BH242" s="87"/>
      <c r="BI242" s="87"/>
      <c r="BJ242" s="87"/>
      <c r="BK242" s="87">
        <f>-5/7*C242</f>
        <v>-6.6785714285714288</v>
      </c>
      <c r="BL242" s="87">
        <f>-C242-BK242</f>
        <v>-2.6714285714285708</v>
      </c>
      <c r="BM242" s="87">
        <f>-BK242</f>
        <v>6.6785714285714288</v>
      </c>
      <c r="BN242" s="87">
        <f>-BL242</f>
        <v>2.6714285714285708</v>
      </c>
      <c r="BO242" s="87"/>
      <c r="BP242" s="87"/>
      <c r="BQ242" s="87"/>
      <c r="BR242" s="87"/>
      <c r="BS242" s="87"/>
      <c r="BT242" s="87"/>
      <c r="BU242" s="87"/>
      <c r="BV242" s="87"/>
      <c r="BW242" s="87"/>
      <c r="BX242" s="87"/>
      <c r="BY242" s="87"/>
      <c r="BZ242" s="87"/>
      <c r="CA242" s="87"/>
      <c r="CB242" s="87"/>
      <c r="CC242" s="87"/>
      <c r="CD242" s="87"/>
      <c r="CE242" s="87"/>
      <c r="CF242" s="87"/>
      <c r="CG242" s="87"/>
      <c r="CH242" s="87"/>
      <c r="CI242" s="87"/>
      <c r="CJ242" s="87"/>
      <c r="CK242" s="87"/>
      <c r="CL242" s="87"/>
      <c r="CM242" s="87"/>
      <c r="CN242" s="87"/>
      <c r="CO242" s="87"/>
      <c r="CP242" s="87"/>
      <c r="CQ242" s="87"/>
      <c r="CR242" s="87"/>
      <c r="CS242" s="87"/>
      <c r="CT242" s="87"/>
      <c r="CU242" s="87"/>
      <c r="CV242" s="87"/>
      <c r="CW242" s="87"/>
      <c r="CX242" s="87"/>
      <c r="CY242" s="87"/>
      <c r="CZ242" s="87"/>
      <c r="DA242" s="87"/>
      <c r="DB242" s="87"/>
      <c r="DC242" s="87"/>
      <c r="DD242" s="87"/>
      <c r="DE242" s="87"/>
      <c r="DF242" s="87"/>
      <c r="DG242" s="87"/>
      <c r="DH242" s="87"/>
      <c r="DI242" s="87"/>
      <c r="DJ242" s="87"/>
      <c r="DK242" s="87"/>
      <c r="DL242" s="87"/>
      <c r="DM242" s="87"/>
      <c r="DN242" s="87"/>
      <c r="DO242" s="87"/>
      <c r="DP242" s="87"/>
      <c r="DQ242" s="87"/>
      <c r="DR242" s="87"/>
      <c r="DS242" s="87"/>
      <c r="DT242" s="87"/>
      <c r="DU242" s="87"/>
      <c r="DV242" s="87"/>
      <c r="DW242" s="87"/>
      <c r="DX242" s="87"/>
      <c r="DY242" s="87"/>
      <c r="DZ242" s="87"/>
      <c r="EA242" s="87"/>
      <c r="EB242" s="87"/>
      <c r="EC242" s="87"/>
      <c r="ED242" s="87"/>
      <c r="EE242" s="87"/>
      <c r="EF242" s="87"/>
      <c r="EG242" s="87"/>
      <c r="EH242" s="87"/>
      <c r="EI242" s="87"/>
    </row>
    <row r="243" spans="1:139" ht="16.5" hidden="1" thickBot="1" x14ac:dyDescent="0.35">
      <c r="A243" s="218" t="s">
        <v>168</v>
      </c>
      <c r="B243" s="194">
        <v>2</v>
      </c>
      <c r="C243" s="195">
        <f>180*0.1+40*0.85</f>
        <v>52</v>
      </c>
      <c r="D243" s="217">
        <f>C243/VLOOKUP(B243,'[2]Gas Prod per PADD'!$A$1:$C$6,2,FALSE)</f>
        <v>2.1666666666666667E-2</v>
      </c>
      <c r="E243" s="178">
        <v>45503</v>
      </c>
      <c r="F243" s="197">
        <v>45515</v>
      </c>
      <c r="G243" s="194" t="s">
        <v>532</v>
      </c>
      <c r="H243" s="230" t="s">
        <v>533</v>
      </c>
      <c r="I243" s="248"/>
      <c r="J243" s="85"/>
      <c r="K243" s="85"/>
      <c r="L243" s="85"/>
      <c r="M243" s="85"/>
      <c r="N243" s="85"/>
      <c r="O243" s="85"/>
      <c r="P243" s="85"/>
      <c r="Q243" s="85"/>
      <c r="R243" s="85"/>
      <c r="S243" s="85"/>
      <c r="T243" s="85"/>
      <c r="U243" s="85"/>
      <c r="V243" s="84"/>
      <c r="W243" s="84"/>
      <c r="X243" s="84" t="str">
        <f t="shared" si="11"/>
        <v>OK</v>
      </c>
      <c r="Y243" s="86"/>
      <c r="Z243" s="87"/>
      <c r="AA243" s="87"/>
      <c r="AB243" s="87"/>
      <c r="AC243" s="87"/>
      <c r="AD243" s="87"/>
      <c r="AE243" s="87"/>
      <c r="AF243" s="87"/>
      <c r="AG243" s="87"/>
      <c r="AH243" s="87"/>
      <c r="AI243" s="87"/>
      <c r="AJ243" s="87"/>
      <c r="AK243" s="87"/>
      <c r="AL243" s="87"/>
      <c r="AM243" s="87"/>
      <c r="AN243" s="87"/>
      <c r="AO243" s="87"/>
      <c r="AP243" s="87"/>
      <c r="AQ243" s="87"/>
      <c r="AR243" s="87"/>
      <c r="AS243" s="87"/>
      <c r="AT243" s="87"/>
      <c r="AU243" s="87"/>
      <c r="AV243" s="87"/>
      <c r="AW243" s="87"/>
      <c r="AX243" s="87"/>
      <c r="AY243" s="87"/>
      <c r="AZ243" s="87"/>
      <c r="BA243" s="87"/>
      <c r="BB243" s="87"/>
      <c r="BC243" s="87"/>
      <c r="BD243" s="87"/>
      <c r="BE243" s="87"/>
      <c r="BF243" s="87"/>
      <c r="BG243" s="87"/>
      <c r="BH243" s="87"/>
      <c r="BI243" s="87"/>
      <c r="BJ243" s="105"/>
      <c r="BK243" s="87"/>
      <c r="BL243" s="105">
        <f>-4/7*C243</f>
        <v>-29.714285714285712</v>
      </c>
      <c r="BM243" s="105">
        <f>-C243-BL243</f>
        <v>-22.285714285714288</v>
      </c>
      <c r="BN243" s="105">
        <f>180*0.1+34*3/7+10</f>
        <v>42.571428571428569</v>
      </c>
      <c r="BO243" s="105">
        <f>C243-BN243</f>
        <v>9.4285714285714306</v>
      </c>
      <c r="BP243" s="87"/>
      <c r="BQ243" s="87"/>
      <c r="BR243" s="87"/>
      <c r="BS243" s="87"/>
      <c r="BT243" s="87"/>
      <c r="BU243" s="87"/>
      <c r="BV243" s="87"/>
      <c r="BW243" s="87"/>
      <c r="BX243" s="87"/>
      <c r="BY243" s="87"/>
      <c r="BZ243" s="87"/>
      <c r="CA243" s="87"/>
      <c r="CB243" s="87"/>
      <c r="CC243" s="87"/>
      <c r="CD243" s="87"/>
      <c r="CE243" s="87"/>
      <c r="CF243" s="87"/>
      <c r="CG243" s="87"/>
      <c r="CH243" s="87"/>
      <c r="CI243" s="87"/>
      <c r="CJ243" s="87"/>
      <c r="CK243" s="87"/>
      <c r="CL243" s="87"/>
      <c r="CM243" s="87"/>
      <c r="CN243" s="87"/>
      <c r="CO243" s="87"/>
      <c r="CP243" s="87"/>
      <c r="CQ243" s="87"/>
      <c r="CR243" s="87"/>
      <c r="CS243" s="87"/>
      <c r="CT243" s="87"/>
      <c r="CU243" s="87"/>
      <c r="CV243" s="87"/>
      <c r="CW243" s="87"/>
      <c r="CX243" s="87"/>
      <c r="CY243" s="87"/>
      <c r="CZ243" s="87"/>
      <c r="DA243" s="87"/>
      <c r="DB243" s="87"/>
      <c r="DC243" s="87"/>
      <c r="DD243" s="87"/>
      <c r="DE243" s="87"/>
      <c r="DF243" s="87"/>
      <c r="DG243" s="87"/>
      <c r="DH243" s="87"/>
      <c r="DI243" s="87"/>
      <c r="DJ243" s="87"/>
      <c r="DK243" s="87"/>
      <c r="DL243" s="87"/>
      <c r="DM243" s="87"/>
      <c r="DN243" s="87"/>
      <c r="DO243" s="87"/>
      <c r="DP243" s="87"/>
      <c r="DQ243" s="87"/>
      <c r="DR243" s="87"/>
      <c r="DS243" s="87"/>
      <c r="DT243" s="87"/>
      <c r="DU243" s="87"/>
      <c r="DV243" s="87"/>
      <c r="DW243" s="87"/>
      <c r="DX243" s="87"/>
      <c r="DY243" s="87"/>
      <c r="DZ243" s="87"/>
      <c r="EA243" s="87"/>
      <c r="EB243" s="87"/>
      <c r="EC243" s="87"/>
      <c r="ED243" s="87"/>
      <c r="EE243" s="87"/>
      <c r="EF243" s="87"/>
      <c r="EG243" s="87"/>
      <c r="EH243" s="87"/>
      <c r="EI243" s="87"/>
    </row>
    <row r="244" spans="1:139" ht="16.5" hidden="1" thickBot="1" x14ac:dyDescent="0.35">
      <c r="A244" s="218" t="s">
        <v>534</v>
      </c>
      <c r="B244" s="194">
        <v>2</v>
      </c>
      <c r="C244" s="195">
        <f>55*0.65+7.5*0.1+40*0.25</f>
        <v>46.5</v>
      </c>
      <c r="D244" s="217">
        <f>C244/VLOOKUP(B244,'[2]Gas Prod per PADD'!$A$1:$C$6,2,FALSE)</f>
        <v>1.9375E-2</v>
      </c>
      <c r="E244" s="178">
        <v>45495</v>
      </c>
      <c r="F244" s="197">
        <v>45516</v>
      </c>
      <c r="G244" s="194" t="s">
        <v>535</v>
      </c>
      <c r="H244" s="230" t="s">
        <v>536</v>
      </c>
      <c r="I244" s="84"/>
      <c r="J244" s="85"/>
      <c r="K244" s="85"/>
      <c r="L244" s="85"/>
      <c r="M244" s="85"/>
      <c r="N244" s="85"/>
      <c r="O244" s="85"/>
      <c r="P244" s="85"/>
      <c r="Q244" s="85"/>
      <c r="R244" s="85"/>
      <c r="S244" s="85"/>
      <c r="T244" s="85"/>
      <c r="U244" s="85"/>
      <c r="V244" s="84"/>
      <c r="W244" s="84"/>
      <c r="X244" s="84" t="str">
        <f t="shared" si="11"/>
        <v>OK</v>
      </c>
      <c r="Y244" s="86"/>
      <c r="Z244" s="87"/>
      <c r="AA244" s="87"/>
      <c r="AB244" s="87"/>
      <c r="AC244" s="87"/>
      <c r="AD244" s="87"/>
      <c r="AE244" s="87"/>
      <c r="AF244" s="87"/>
      <c r="AG244" s="87"/>
      <c r="AH244" s="87"/>
      <c r="AI244" s="87"/>
      <c r="AJ244" s="87"/>
      <c r="AK244" s="87"/>
      <c r="AL244" s="87"/>
      <c r="AM244" s="87"/>
      <c r="AN244" s="87"/>
      <c r="AO244" s="87"/>
      <c r="AP244" s="87"/>
      <c r="AQ244" s="87"/>
      <c r="AR244" s="87"/>
      <c r="AS244" s="87"/>
      <c r="AT244" s="87"/>
      <c r="AU244" s="87"/>
      <c r="AV244" s="87"/>
      <c r="AW244" s="87"/>
      <c r="AX244" s="87"/>
      <c r="AY244" s="87"/>
      <c r="AZ244" s="87"/>
      <c r="BA244" s="87"/>
      <c r="BB244" s="87"/>
      <c r="BC244" s="87"/>
      <c r="BD244" s="87"/>
      <c r="BE244" s="87"/>
      <c r="BF244" s="87"/>
      <c r="BG244" s="87"/>
      <c r="BH244" s="87"/>
      <c r="BI244" s="87"/>
      <c r="BJ244" s="105"/>
      <c r="BK244" s="87">
        <f>-5/7*C244</f>
        <v>-33.214285714285715</v>
      </c>
      <c r="BL244" s="105">
        <f>-C244-BK244</f>
        <v>-13.285714285714285</v>
      </c>
      <c r="BM244" s="87">
        <f>50*0.65*3/7</f>
        <v>13.928571428571429</v>
      </c>
      <c r="BN244" s="105">
        <f>C244-BM244-5</f>
        <v>27.571428571428569</v>
      </c>
      <c r="BO244" s="105">
        <f>C244-BN244-BM244</f>
        <v>5.0000000000000018</v>
      </c>
      <c r="BP244" s="87"/>
      <c r="BQ244" s="87"/>
      <c r="BR244" s="87"/>
      <c r="BS244" s="87"/>
      <c r="BT244" s="87"/>
      <c r="BU244" s="87"/>
      <c r="BV244" s="87"/>
      <c r="BW244" s="87"/>
      <c r="BX244" s="87"/>
      <c r="BY244" s="87"/>
      <c r="BZ244" s="87"/>
      <c r="CA244" s="87"/>
      <c r="CB244" s="87"/>
      <c r="CC244" s="87"/>
      <c r="CD244" s="87"/>
      <c r="CE244" s="87"/>
      <c r="CF244" s="87"/>
      <c r="CG244" s="87"/>
      <c r="CH244" s="87"/>
      <c r="CI244" s="87"/>
      <c r="CJ244" s="87"/>
      <c r="CK244" s="87"/>
      <c r="CL244" s="87"/>
      <c r="CM244" s="87"/>
      <c r="CN244" s="87"/>
      <c r="CO244" s="87"/>
      <c r="CP244" s="87"/>
      <c r="CQ244" s="87"/>
      <c r="CR244" s="87"/>
      <c r="CS244" s="87"/>
      <c r="CT244" s="87"/>
      <c r="CU244" s="87"/>
      <c r="CV244" s="87"/>
      <c r="CW244" s="87"/>
      <c r="CX244" s="87"/>
      <c r="CY244" s="87"/>
      <c r="CZ244" s="87"/>
      <c r="DA244" s="87"/>
      <c r="DB244" s="87"/>
      <c r="DC244" s="87"/>
      <c r="DD244" s="87"/>
      <c r="DE244" s="87"/>
      <c r="DF244" s="87"/>
      <c r="DG244" s="87"/>
      <c r="DH244" s="87"/>
      <c r="DI244" s="87"/>
      <c r="DJ244" s="87"/>
      <c r="DK244" s="87"/>
      <c r="DL244" s="87"/>
      <c r="DM244" s="87"/>
      <c r="DN244" s="87"/>
      <c r="DO244" s="87"/>
      <c r="DP244" s="87"/>
      <c r="DQ244" s="87"/>
      <c r="DR244" s="87"/>
      <c r="DS244" s="87"/>
      <c r="DT244" s="87"/>
      <c r="DU244" s="87"/>
      <c r="DV244" s="87"/>
      <c r="DW244" s="87"/>
      <c r="DX244" s="87"/>
      <c r="DY244" s="87"/>
      <c r="DZ244" s="87"/>
      <c r="EA244" s="87"/>
      <c r="EB244" s="87"/>
      <c r="EC244" s="87"/>
      <c r="ED244" s="87"/>
      <c r="EE244" s="87"/>
      <c r="EF244" s="87"/>
      <c r="EG244" s="87"/>
      <c r="EH244" s="87"/>
      <c r="EI244" s="87"/>
    </row>
    <row r="245" spans="1:139" ht="16.5" hidden="1" thickBot="1" x14ac:dyDescent="0.35">
      <c r="A245" s="113" t="s">
        <v>517</v>
      </c>
      <c r="B245" s="194">
        <v>3</v>
      </c>
      <c r="C245" s="195">
        <f>9.6*0.25</f>
        <v>2.4</v>
      </c>
      <c r="D245" s="217">
        <f>C245/VLOOKUP(B245,'[2]Gas Prod per PADD'!$A$1:$C$6,2,FALSE)</f>
        <v>5.2173913043478256E-4</v>
      </c>
      <c r="E245" s="196">
        <v>45510</v>
      </c>
      <c r="F245" s="197">
        <v>45516</v>
      </c>
      <c r="G245" s="194" t="s">
        <v>537</v>
      </c>
      <c r="H245" s="198" t="s">
        <v>538</v>
      </c>
      <c r="I245" s="248"/>
      <c r="J245" s="85"/>
      <c r="K245" s="85"/>
      <c r="L245" s="85"/>
      <c r="M245" s="85"/>
      <c r="N245" s="85"/>
      <c r="O245" s="85"/>
      <c r="P245" s="85"/>
      <c r="Q245" s="85"/>
      <c r="R245" s="85"/>
      <c r="S245" s="85"/>
      <c r="T245" s="85"/>
      <c r="U245" s="85"/>
      <c r="V245" s="84"/>
      <c r="W245" s="84"/>
      <c r="X245" s="84" t="str">
        <f t="shared" si="11"/>
        <v>OK</v>
      </c>
      <c r="Y245" s="87"/>
      <c r="Z245" s="87"/>
      <c r="AA245" s="87"/>
      <c r="AB245" s="87"/>
      <c r="AC245" s="87"/>
      <c r="AD245" s="87"/>
      <c r="AE245" s="87"/>
      <c r="AF245" s="87"/>
      <c r="AG245" s="87"/>
      <c r="AH245" s="87"/>
      <c r="AI245" s="87"/>
      <c r="AJ245" s="87"/>
      <c r="AK245" s="87"/>
      <c r="AL245" s="87"/>
      <c r="AM245" s="87"/>
      <c r="AN245" s="87"/>
      <c r="AO245" s="87"/>
      <c r="AP245" s="87"/>
      <c r="AQ245" s="87"/>
      <c r="AR245" s="87"/>
      <c r="AS245" s="87"/>
      <c r="AT245" s="87"/>
      <c r="AU245" s="87"/>
      <c r="AV245" s="87"/>
      <c r="AW245" s="87"/>
      <c r="AX245" s="87"/>
      <c r="AY245" s="87"/>
      <c r="AZ245" s="87"/>
      <c r="BA245" s="87"/>
      <c r="BB245" s="87"/>
      <c r="BC245" s="87"/>
      <c r="BD245" s="87"/>
      <c r="BE245" s="87"/>
      <c r="BF245" s="87"/>
      <c r="BG245" s="87"/>
      <c r="BH245" s="87"/>
      <c r="BI245" s="87"/>
      <c r="BJ245" s="87"/>
      <c r="BK245" s="87"/>
      <c r="BL245" s="87"/>
      <c r="BM245" s="87">
        <f>-3/7*C245</f>
        <v>-1.0285714285714285</v>
      </c>
      <c r="BN245" s="87"/>
      <c r="BO245" s="87">
        <f>-BM245</f>
        <v>1.0285714285714285</v>
      </c>
      <c r="BP245" s="87"/>
      <c r="BQ245" s="87"/>
      <c r="BR245" s="87"/>
      <c r="BS245" s="87"/>
      <c r="BT245" s="87"/>
      <c r="BU245" s="87"/>
      <c r="BV245" s="87"/>
      <c r="BW245" s="87"/>
      <c r="BX245" s="87"/>
      <c r="BY245" s="87"/>
      <c r="BZ245" s="87"/>
      <c r="CA245" s="87"/>
      <c r="CB245" s="87"/>
      <c r="CC245" s="87"/>
      <c r="CD245" s="87"/>
      <c r="CE245" s="87"/>
      <c r="CF245" s="87"/>
      <c r="CG245" s="87"/>
      <c r="CH245" s="87"/>
      <c r="CI245" s="87"/>
      <c r="CJ245" s="87"/>
      <c r="CK245" s="87"/>
      <c r="CL245" s="87"/>
      <c r="CM245" s="87"/>
      <c r="CN245" s="87"/>
      <c r="CO245" s="87"/>
      <c r="CP245" s="87"/>
      <c r="CQ245" s="87"/>
      <c r="CR245" s="87"/>
      <c r="CS245" s="87"/>
      <c r="CT245" s="87"/>
      <c r="CU245" s="87"/>
      <c r="CV245" s="87"/>
      <c r="CW245" s="87"/>
      <c r="CX245" s="87"/>
      <c r="CY245" s="87"/>
      <c r="CZ245" s="87"/>
      <c r="DA245" s="87"/>
      <c r="DB245" s="87"/>
      <c r="DC245" s="87"/>
      <c r="DD245" s="87"/>
      <c r="DE245" s="87"/>
      <c r="DF245" s="87"/>
      <c r="DG245" s="87"/>
      <c r="DH245" s="87"/>
      <c r="DI245" s="87"/>
      <c r="DJ245" s="87"/>
      <c r="DK245" s="87"/>
      <c r="DL245" s="87"/>
      <c r="DM245" s="87"/>
      <c r="DN245" s="87"/>
      <c r="DO245" s="87"/>
      <c r="DP245" s="87"/>
      <c r="DQ245" s="87"/>
      <c r="DR245" s="87"/>
      <c r="DS245" s="87"/>
      <c r="DT245" s="87"/>
      <c r="DU245" s="87"/>
      <c r="DV245" s="87"/>
      <c r="DW245" s="87"/>
      <c r="DX245" s="87"/>
      <c r="DY245" s="87"/>
      <c r="DZ245" s="87"/>
      <c r="EA245" s="87"/>
      <c r="EB245" s="87"/>
      <c r="EC245" s="87"/>
      <c r="ED245" s="87"/>
      <c r="EE245" s="87"/>
      <c r="EF245" s="87"/>
      <c r="EG245" s="87"/>
      <c r="EH245" s="87"/>
      <c r="EI245" s="87"/>
    </row>
    <row r="246" spans="1:139" ht="16.5" hidden="1" thickBot="1" x14ac:dyDescent="0.35">
      <c r="A246" s="222" t="s">
        <v>243</v>
      </c>
      <c r="B246" s="191">
        <v>3</v>
      </c>
      <c r="C246" s="177">
        <f>20*0.85</f>
        <v>17</v>
      </c>
      <c r="D246" s="217">
        <f>C246/VLOOKUP(B246,'[2]Gas Prod per PADD'!$A$1:$C$6,2,FALSE)</f>
        <v>3.6956521739130435E-3</v>
      </c>
      <c r="E246" s="178">
        <v>45511</v>
      </c>
      <c r="F246" s="179">
        <v>45517</v>
      </c>
      <c r="G246" s="180" t="s">
        <v>163</v>
      </c>
      <c r="H246" s="181" t="s">
        <v>539</v>
      </c>
      <c r="I246" s="248"/>
      <c r="J246" s="85"/>
      <c r="K246" s="85"/>
      <c r="L246" s="85"/>
      <c r="M246" s="85"/>
      <c r="N246" s="85"/>
      <c r="O246" s="85"/>
      <c r="P246" s="85"/>
      <c r="Q246" s="85"/>
      <c r="R246" s="85"/>
      <c r="S246" s="85"/>
      <c r="T246" s="85"/>
      <c r="U246" s="85"/>
      <c r="V246" s="84"/>
      <c r="W246" s="84"/>
      <c r="X246" s="84" t="str">
        <f t="shared" si="11"/>
        <v>OK</v>
      </c>
      <c r="Y246" s="105"/>
      <c r="Z246" s="105"/>
      <c r="AA246" s="87"/>
      <c r="AB246" s="87"/>
      <c r="AC246" s="87"/>
      <c r="AD246" s="87"/>
      <c r="AE246" s="105"/>
      <c r="AF246" s="105"/>
      <c r="AG246" s="105"/>
      <c r="AH246" s="105"/>
      <c r="AI246" s="87"/>
      <c r="AJ246" s="87"/>
      <c r="AK246" s="105"/>
      <c r="AL246" s="87"/>
      <c r="AM246" s="105"/>
      <c r="AN246" s="105"/>
      <c r="AO246" s="87"/>
      <c r="AP246" s="87"/>
      <c r="AQ246" s="105"/>
      <c r="AR246" s="105"/>
      <c r="AS246" s="87"/>
      <c r="AT246" s="105"/>
      <c r="AU246" s="105"/>
      <c r="AV246" s="87"/>
      <c r="AW246" s="105"/>
      <c r="AX246" s="105"/>
      <c r="AY246" s="87"/>
      <c r="AZ246" s="105"/>
      <c r="BA246" s="105"/>
      <c r="BB246" s="105"/>
      <c r="BC246" s="87"/>
      <c r="BD246" s="87"/>
      <c r="BE246" s="105"/>
      <c r="BF246" s="105"/>
      <c r="BG246" s="105"/>
      <c r="BH246" s="105"/>
      <c r="BI246" s="105"/>
      <c r="BJ246" s="87"/>
      <c r="BK246" s="87"/>
      <c r="BL246" s="87"/>
      <c r="BM246" s="87">
        <f>-2/7*C246</f>
        <v>-4.8571428571428568</v>
      </c>
      <c r="BN246" s="87"/>
      <c r="BO246" s="87"/>
      <c r="BP246" s="87"/>
      <c r="BQ246" s="87"/>
      <c r="BR246" s="87"/>
      <c r="BS246" s="87"/>
      <c r="BT246" s="87"/>
      <c r="BU246" s="87"/>
      <c r="BV246" s="87"/>
      <c r="BW246" s="87"/>
      <c r="BX246" s="87"/>
      <c r="BY246" s="87"/>
      <c r="BZ246" s="87"/>
      <c r="CA246" s="87"/>
      <c r="CB246" s="87"/>
      <c r="CC246" s="87"/>
      <c r="CD246" s="87"/>
      <c r="CE246" s="87"/>
      <c r="CF246" s="87"/>
      <c r="CG246" s="87"/>
      <c r="CH246" s="87"/>
      <c r="CI246" s="87"/>
      <c r="CJ246" s="87"/>
      <c r="CK246" s="87"/>
      <c r="CL246" s="87"/>
      <c r="CM246" s="87"/>
      <c r="CN246" s="87"/>
      <c r="CO246" s="87"/>
      <c r="CP246" s="87"/>
      <c r="CQ246" s="87"/>
      <c r="CR246" s="87"/>
      <c r="CS246" s="87"/>
      <c r="CT246" s="87"/>
      <c r="CU246" s="87"/>
      <c r="CV246" s="87"/>
      <c r="CW246" s="87"/>
      <c r="CX246" s="87"/>
      <c r="CY246" s="87"/>
      <c r="CZ246" s="87"/>
      <c r="DA246" s="87"/>
      <c r="DB246" s="87"/>
      <c r="DC246" s="87"/>
      <c r="DD246" s="87"/>
      <c r="DE246" s="87"/>
      <c r="DF246" s="87"/>
      <c r="DG246" s="87"/>
      <c r="DH246" s="87"/>
      <c r="DI246" s="87"/>
      <c r="DJ246" s="87"/>
      <c r="DK246" s="87"/>
      <c r="DL246" s="87"/>
      <c r="DM246" s="87"/>
      <c r="DN246" s="87"/>
      <c r="DO246" s="87"/>
      <c r="DP246" s="87"/>
      <c r="DQ246" s="87"/>
      <c r="DR246" s="87"/>
      <c r="DS246" s="87"/>
      <c r="DT246" s="87"/>
      <c r="DU246" s="87"/>
      <c r="DV246" s="87"/>
      <c r="DW246" s="87"/>
      <c r="DX246" s="87"/>
      <c r="DY246" s="87"/>
      <c r="DZ246" s="87"/>
      <c r="EA246" s="87"/>
      <c r="EB246" s="87"/>
      <c r="EC246" s="87"/>
      <c r="ED246" s="87"/>
      <c r="EE246" s="87"/>
      <c r="EF246" s="87"/>
      <c r="EG246" s="87"/>
      <c r="EH246" s="87"/>
      <c r="EI246" s="87"/>
    </row>
    <row r="247" spans="1:139" ht="16.5" hidden="1" thickBot="1" x14ac:dyDescent="0.35">
      <c r="A247" s="222" t="s">
        <v>304</v>
      </c>
      <c r="B247" s="191">
        <v>3</v>
      </c>
      <c r="C247" s="177">
        <f>46*0.65</f>
        <v>29.900000000000002</v>
      </c>
      <c r="D247" s="217">
        <f>C247/VLOOKUP(B247,'[2]Gas Prod per PADD'!$A$1:$C$6,2,FALSE)</f>
        <v>6.5000000000000006E-3</v>
      </c>
      <c r="E247" s="178">
        <v>45515</v>
      </c>
      <c r="F247" s="179">
        <v>45518</v>
      </c>
      <c r="G247" s="180" t="s">
        <v>221</v>
      </c>
      <c r="H247" s="181" t="s">
        <v>540</v>
      </c>
      <c r="I247" s="248"/>
      <c r="J247" s="85"/>
      <c r="K247" s="85"/>
      <c r="L247" s="85"/>
      <c r="M247" s="85"/>
      <c r="N247" s="85"/>
      <c r="O247" s="85"/>
      <c r="P247" s="85"/>
      <c r="Q247" s="85"/>
      <c r="R247" s="85"/>
      <c r="S247" s="85"/>
      <c r="T247" s="85"/>
      <c r="U247" s="85"/>
      <c r="V247" s="84"/>
      <c r="W247" s="84"/>
      <c r="X247" s="84" t="str">
        <f t="shared" si="11"/>
        <v>OK</v>
      </c>
      <c r="Y247" s="105"/>
      <c r="Z247" s="105"/>
      <c r="AA247" s="87"/>
      <c r="AB247" s="87"/>
      <c r="AC247" s="87"/>
      <c r="AD247" s="87"/>
      <c r="AE247" s="105"/>
      <c r="AF247" s="105"/>
      <c r="AG247" s="105"/>
      <c r="AH247" s="105"/>
      <c r="AI247" s="87"/>
      <c r="AJ247" s="87"/>
      <c r="AK247" s="105"/>
      <c r="AL247" s="87"/>
      <c r="AM247" s="105"/>
      <c r="AN247" s="105"/>
      <c r="AO247" s="87"/>
      <c r="AP247" s="87"/>
      <c r="AQ247" s="105"/>
      <c r="AR247" s="105"/>
      <c r="AS247" s="87"/>
      <c r="AT247" s="105"/>
      <c r="AU247" s="105"/>
      <c r="AV247" s="87"/>
      <c r="AW247" s="105"/>
      <c r="AX247" s="105"/>
      <c r="AY247" s="87"/>
      <c r="AZ247" s="105"/>
      <c r="BA247" s="105"/>
      <c r="BB247" s="105"/>
      <c r="BC247" s="87"/>
      <c r="BD247" s="87"/>
      <c r="BE247" s="105"/>
      <c r="BF247" s="105"/>
      <c r="BG247" s="105"/>
      <c r="BH247" s="105"/>
      <c r="BI247" s="105"/>
      <c r="BJ247" s="87"/>
      <c r="BK247" s="87"/>
      <c r="BL247" s="87"/>
      <c r="BM247" s="87"/>
      <c r="BN247" s="87">
        <f>-4/7*C247</f>
        <v>-17.085714285714285</v>
      </c>
      <c r="BO247" s="105">
        <v>10</v>
      </c>
      <c r="BP247" s="105">
        <f>-BN247-BO247</f>
        <v>7.0857142857142854</v>
      </c>
      <c r="BQ247" s="87"/>
      <c r="BR247" s="87"/>
      <c r="BS247" s="87"/>
      <c r="BT247" s="87"/>
      <c r="BU247" s="87"/>
      <c r="BV247" s="87"/>
      <c r="BW247" s="87"/>
      <c r="BX247" s="87"/>
      <c r="BY247" s="87"/>
      <c r="BZ247" s="87"/>
      <c r="CA247" s="87"/>
      <c r="CB247" s="87"/>
      <c r="CC247" s="87"/>
      <c r="CD247" s="87"/>
      <c r="CE247" s="87"/>
      <c r="CF247" s="87"/>
      <c r="CG247" s="87"/>
      <c r="CH247" s="87"/>
      <c r="CI247" s="87"/>
      <c r="CJ247" s="87"/>
      <c r="CK247" s="87"/>
      <c r="CL247" s="87"/>
      <c r="CM247" s="87"/>
      <c r="CN247" s="87"/>
      <c r="CO247" s="87"/>
      <c r="CP247" s="87"/>
      <c r="CQ247" s="87"/>
      <c r="CR247" s="87"/>
      <c r="CS247" s="87"/>
      <c r="CT247" s="87"/>
      <c r="CU247" s="87"/>
      <c r="CV247" s="87"/>
      <c r="CW247" s="87"/>
      <c r="CX247" s="87"/>
      <c r="CY247" s="87"/>
      <c r="CZ247" s="87"/>
      <c r="DA247" s="87"/>
      <c r="DB247" s="87"/>
      <c r="DC247" s="87"/>
      <c r="DD247" s="87"/>
      <c r="DE247" s="87"/>
      <c r="DF247" s="87"/>
      <c r="DG247" s="87"/>
      <c r="DH247" s="87"/>
      <c r="DI247" s="87"/>
      <c r="DJ247" s="87"/>
      <c r="DK247" s="87"/>
      <c r="DL247" s="87"/>
      <c r="DM247" s="87"/>
      <c r="DN247" s="87"/>
      <c r="DO247" s="87"/>
      <c r="DP247" s="87"/>
      <c r="DQ247" s="87"/>
      <c r="DR247" s="87"/>
      <c r="DS247" s="87"/>
      <c r="DT247" s="87"/>
      <c r="DU247" s="87"/>
      <c r="DV247" s="87"/>
      <c r="DW247" s="87"/>
      <c r="DX247" s="87"/>
      <c r="DY247" s="87"/>
      <c r="DZ247" s="87"/>
      <c r="EA247" s="87"/>
      <c r="EB247" s="87"/>
      <c r="EC247" s="87"/>
      <c r="ED247" s="87"/>
      <c r="EE247" s="87"/>
      <c r="EF247" s="87"/>
      <c r="EG247" s="87"/>
      <c r="EH247" s="87"/>
      <c r="EI247" s="87"/>
    </row>
    <row r="248" spans="1:139" ht="29.25" hidden="1" thickBot="1" x14ac:dyDescent="0.35">
      <c r="A248" s="175" t="s">
        <v>115</v>
      </c>
      <c r="B248" s="191">
        <v>2</v>
      </c>
      <c r="C248" s="177">
        <f>135*0.1+26*0.1+37*0.65+27*0.85</f>
        <v>63.100000000000009</v>
      </c>
      <c r="D248" s="217">
        <f>C248/VLOOKUP(B248,'[2]Gas Prod per PADD'!$A$1:$C$6,2,FALSE)</f>
        <v>2.6291666666666672E-2</v>
      </c>
      <c r="E248" s="178">
        <v>45517</v>
      </c>
      <c r="F248" s="179">
        <v>45519</v>
      </c>
      <c r="G248" s="180" t="s">
        <v>541</v>
      </c>
      <c r="H248" s="181" t="s">
        <v>542</v>
      </c>
      <c r="I248" s="248"/>
      <c r="J248" s="85"/>
      <c r="K248" s="85"/>
      <c r="L248" s="85"/>
      <c r="M248" s="85"/>
      <c r="N248" s="85"/>
      <c r="O248" s="85"/>
      <c r="P248" s="85"/>
      <c r="Q248" s="85"/>
      <c r="R248" s="85"/>
      <c r="S248" s="85"/>
      <c r="T248" s="85"/>
      <c r="U248" s="85"/>
      <c r="V248" s="84"/>
      <c r="W248" s="84"/>
      <c r="X248" s="84" t="str">
        <f t="shared" si="11"/>
        <v>OK</v>
      </c>
      <c r="Y248" s="105"/>
      <c r="Z248" s="105"/>
      <c r="AA248" s="87"/>
      <c r="AB248" s="87"/>
      <c r="AC248" s="87"/>
      <c r="AD248" s="87"/>
      <c r="AE248" s="105"/>
      <c r="AF248" s="105"/>
      <c r="AG248" s="105"/>
      <c r="AH248" s="105"/>
      <c r="AI248" s="87"/>
      <c r="AJ248" s="87"/>
      <c r="AK248" s="105"/>
      <c r="AL248" s="87"/>
      <c r="AM248" s="105"/>
      <c r="AN248" s="105"/>
      <c r="AO248" s="87"/>
      <c r="AP248" s="87"/>
      <c r="AQ248" s="105"/>
      <c r="AR248" s="105"/>
      <c r="AS248" s="87"/>
      <c r="AT248" s="105"/>
      <c r="AU248" s="105"/>
      <c r="AV248" s="87"/>
      <c r="AW248" s="105"/>
      <c r="AX248" s="105"/>
      <c r="AY248" s="87"/>
      <c r="AZ248" s="105"/>
      <c r="BA248" s="105"/>
      <c r="BB248" s="105"/>
      <c r="BC248" s="87"/>
      <c r="BD248" s="87"/>
      <c r="BE248" s="105"/>
      <c r="BF248" s="105"/>
      <c r="BG248" s="105"/>
      <c r="BH248" s="105"/>
      <c r="BI248" s="105"/>
      <c r="BJ248" s="87"/>
      <c r="BK248" s="87"/>
      <c r="BL248" s="87"/>
      <c r="BM248" s="87"/>
      <c r="BN248" s="87">
        <f>-1/7*C248</f>
        <v>-9.0142857142857142</v>
      </c>
      <c r="BO248" s="105">
        <f>BN248*-1</f>
        <v>9.0142857142857142</v>
      </c>
      <c r="BP248" s="87"/>
      <c r="BQ248" s="87"/>
      <c r="BR248" s="87"/>
      <c r="BS248" s="87"/>
      <c r="BT248" s="87"/>
      <c r="BU248" s="87"/>
      <c r="BV248" s="87"/>
      <c r="BW248" s="87"/>
      <c r="BX248" s="87"/>
      <c r="BY248" s="87"/>
      <c r="BZ248" s="87"/>
      <c r="CA248" s="87"/>
      <c r="CB248" s="87"/>
      <c r="CC248" s="87"/>
      <c r="CD248" s="87"/>
      <c r="CE248" s="87"/>
      <c r="CF248" s="87"/>
      <c r="CG248" s="87"/>
      <c r="CH248" s="87"/>
      <c r="CI248" s="87"/>
      <c r="CJ248" s="87"/>
      <c r="CK248" s="87"/>
      <c r="CL248" s="87"/>
      <c r="CM248" s="87"/>
      <c r="CN248" s="87"/>
      <c r="CO248" s="87"/>
      <c r="CP248" s="87"/>
      <c r="CQ248" s="87"/>
      <c r="CR248" s="87"/>
      <c r="CS248" s="87"/>
      <c r="CT248" s="87"/>
      <c r="CU248" s="87"/>
      <c r="CV248" s="87"/>
      <c r="CW248" s="87"/>
      <c r="CX248" s="87"/>
      <c r="CY248" s="87"/>
      <c r="CZ248" s="87"/>
      <c r="DA248" s="87"/>
      <c r="DB248" s="87"/>
      <c r="DC248" s="87"/>
      <c r="DD248" s="87"/>
      <c r="DE248" s="87"/>
      <c r="DF248" s="87"/>
      <c r="DG248" s="87"/>
      <c r="DH248" s="87"/>
      <c r="DI248" s="87"/>
      <c r="DJ248" s="87"/>
      <c r="DK248" s="87"/>
      <c r="DL248" s="87"/>
      <c r="DM248" s="87"/>
      <c r="DN248" s="87"/>
      <c r="DO248" s="87"/>
      <c r="DP248" s="87"/>
      <c r="DQ248" s="87"/>
      <c r="DR248" s="87"/>
      <c r="DS248" s="87"/>
      <c r="DT248" s="87"/>
      <c r="DU248" s="87"/>
      <c r="DV248" s="87"/>
      <c r="DW248" s="87"/>
      <c r="DX248" s="87"/>
      <c r="DY248" s="87"/>
      <c r="DZ248" s="87"/>
      <c r="EA248" s="87"/>
      <c r="EB248" s="87"/>
      <c r="EC248" s="87"/>
      <c r="ED248" s="87"/>
      <c r="EE248" s="87"/>
      <c r="EF248" s="87"/>
      <c r="EG248" s="87"/>
      <c r="EH248" s="87"/>
      <c r="EI248" s="87"/>
    </row>
    <row r="249" spans="1:139" ht="16.5" hidden="1" thickBot="1" x14ac:dyDescent="0.35">
      <c r="A249" s="219" t="s">
        <v>225</v>
      </c>
      <c r="B249" s="194">
        <v>3</v>
      </c>
      <c r="C249" s="195">
        <f>81*0.65</f>
        <v>52.65</v>
      </c>
      <c r="D249" s="217">
        <f>C249/VLOOKUP(B249,'[2]Gas Prod per PADD'!$A$1:$C$6,2,FALSE)</f>
        <v>1.1445652173913043E-2</v>
      </c>
      <c r="E249" s="178">
        <v>45498</v>
      </c>
      <c r="F249" s="197">
        <v>45520</v>
      </c>
      <c r="G249" s="194" t="s">
        <v>221</v>
      </c>
      <c r="H249" s="230" t="s">
        <v>543</v>
      </c>
      <c r="I249" s="248"/>
      <c r="J249" s="85"/>
      <c r="K249" s="85"/>
      <c r="L249" s="85"/>
      <c r="M249" s="85"/>
      <c r="N249" s="85"/>
      <c r="O249" s="85"/>
      <c r="P249" s="85"/>
      <c r="Q249" s="85"/>
      <c r="R249" s="85"/>
      <c r="S249" s="85"/>
      <c r="T249" s="85"/>
      <c r="U249" s="85"/>
      <c r="V249" s="84"/>
      <c r="W249" s="84"/>
      <c r="X249" s="84" t="str">
        <f t="shared" si="11"/>
        <v>OK</v>
      </c>
      <c r="Y249" s="86"/>
      <c r="Z249" s="87"/>
      <c r="AA249" s="87"/>
      <c r="AB249" s="87"/>
      <c r="AC249" s="87"/>
      <c r="AD249" s="87"/>
      <c r="AE249" s="87"/>
      <c r="AF249" s="87"/>
      <c r="AG249" s="87"/>
      <c r="AH249" s="87"/>
      <c r="AI249" s="87"/>
      <c r="AJ249" s="87"/>
      <c r="AK249" s="87"/>
      <c r="AL249" s="87"/>
      <c r="AM249" s="87"/>
      <c r="AN249" s="87"/>
      <c r="AO249" s="87"/>
      <c r="AP249" s="87"/>
      <c r="AQ249" s="87"/>
      <c r="AR249" s="87"/>
      <c r="AS249" s="87"/>
      <c r="AT249" s="87"/>
      <c r="AU249" s="87"/>
      <c r="AV249" s="87"/>
      <c r="AW249" s="87"/>
      <c r="AX249" s="87"/>
      <c r="AY249" s="87"/>
      <c r="AZ249" s="87"/>
      <c r="BA249" s="87"/>
      <c r="BB249" s="87"/>
      <c r="BC249" s="87"/>
      <c r="BD249" s="87"/>
      <c r="BE249" s="87"/>
      <c r="BF249" s="87"/>
      <c r="BG249" s="87"/>
      <c r="BH249" s="87"/>
      <c r="BI249" s="87"/>
      <c r="BJ249" s="105"/>
      <c r="BK249" s="87"/>
      <c r="BL249" s="105">
        <f>-C249/2</f>
        <v>-26.324999999999999</v>
      </c>
      <c r="BM249" s="105">
        <f>-C249-BL249</f>
        <v>-26.324999999999999</v>
      </c>
      <c r="BN249" s="105"/>
      <c r="BO249" s="105">
        <f>2/7*$C$203</f>
        <v>0.8571428571428571</v>
      </c>
      <c r="BP249" s="105">
        <f>$C$203-BO249</f>
        <v>2.1428571428571428</v>
      </c>
      <c r="BQ249" s="87"/>
      <c r="BR249" s="87"/>
      <c r="BS249" s="87"/>
      <c r="BT249" s="87"/>
      <c r="BU249" s="87"/>
      <c r="BV249" s="87"/>
      <c r="BW249" s="87"/>
      <c r="BX249" s="87"/>
      <c r="BY249" s="87"/>
      <c r="BZ249" s="87"/>
      <c r="CA249" s="87"/>
      <c r="CB249" s="87"/>
      <c r="CC249" s="87"/>
      <c r="CD249" s="87"/>
      <c r="CE249" s="87"/>
      <c r="CF249" s="87"/>
      <c r="CG249" s="87"/>
      <c r="CH249" s="87"/>
      <c r="CI249" s="87"/>
      <c r="CJ249" s="87"/>
      <c r="CK249" s="87"/>
      <c r="CL249" s="87"/>
      <c r="CM249" s="87"/>
      <c r="CN249" s="87"/>
      <c r="CO249" s="87"/>
      <c r="CP249" s="87"/>
      <c r="CQ249" s="87"/>
      <c r="CR249" s="87"/>
      <c r="CS249" s="87"/>
      <c r="CT249" s="87"/>
      <c r="CU249" s="87"/>
      <c r="CV249" s="87"/>
      <c r="CW249" s="87"/>
      <c r="CX249" s="87"/>
      <c r="CY249" s="87"/>
      <c r="CZ249" s="87"/>
      <c r="DA249" s="87"/>
      <c r="DB249" s="87"/>
      <c r="DC249" s="87"/>
      <c r="DD249" s="87"/>
      <c r="DE249" s="87"/>
      <c r="DF249" s="87"/>
      <c r="DG249" s="87"/>
      <c r="DH249" s="87"/>
      <c r="DI249" s="87"/>
      <c r="DJ249" s="87"/>
      <c r="DK249" s="87"/>
      <c r="DL249" s="87"/>
      <c r="DM249" s="87"/>
      <c r="DN249" s="87"/>
      <c r="DO249" s="87"/>
      <c r="DP249" s="87"/>
      <c r="DQ249" s="87"/>
      <c r="DR249" s="87"/>
      <c r="DS249" s="87"/>
      <c r="DT249" s="87"/>
      <c r="DU249" s="87"/>
      <c r="DV249" s="87"/>
      <c r="DW249" s="87"/>
      <c r="DX249" s="87"/>
      <c r="DY249" s="87"/>
      <c r="DZ249" s="87"/>
      <c r="EA249" s="87"/>
      <c r="EB249" s="87"/>
      <c r="EC249" s="87"/>
      <c r="ED249" s="87"/>
      <c r="EE249" s="87"/>
      <c r="EF249" s="87"/>
      <c r="EG249" s="87"/>
      <c r="EH249" s="87"/>
      <c r="EI249" s="87"/>
    </row>
    <row r="250" spans="1:139" ht="16.5" hidden="1" thickBot="1" x14ac:dyDescent="0.35">
      <c r="A250" s="200" t="s">
        <v>119</v>
      </c>
      <c r="B250" s="223">
        <v>5</v>
      </c>
      <c r="C250" s="224">
        <f>0.65*72.5</f>
        <v>47.125</v>
      </c>
      <c r="D250" s="217">
        <f>C250/VLOOKUP(B250,'[2]Gas Prod per PADD'!$A$1:$C$6,2,FALSE)</f>
        <v>3.4907407407407408E-2</v>
      </c>
      <c r="E250" s="196">
        <v>45507</v>
      </c>
      <c r="F250" s="197">
        <v>45520</v>
      </c>
      <c r="G250" s="180" t="s">
        <v>544</v>
      </c>
      <c r="H250" s="249" t="s">
        <v>545</v>
      </c>
      <c r="I250" s="248"/>
      <c r="J250" s="85"/>
      <c r="K250" s="85"/>
      <c r="L250" s="85"/>
      <c r="M250" s="85"/>
      <c r="N250" s="85"/>
      <c r="O250" s="85"/>
      <c r="P250" s="85"/>
      <c r="Q250" s="85"/>
      <c r="R250" s="85"/>
      <c r="S250" s="85"/>
      <c r="T250" s="85"/>
      <c r="U250" s="85"/>
      <c r="V250" s="84"/>
      <c r="W250" s="84"/>
      <c r="X250" s="84" t="str">
        <f t="shared" si="11"/>
        <v>OK</v>
      </c>
      <c r="Y250" s="87"/>
      <c r="Z250" s="87"/>
      <c r="AA250" s="87"/>
      <c r="AB250" s="87"/>
      <c r="AC250" s="87"/>
      <c r="AD250" s="87"/>
      <c r="AE250" s="87"/>
      <c r="AF250" s="87"/>
      <c r="AG250" s="87"/>
      <c r="AH250" s="87"/>
      <c r="AI250" s="87"/>
      <c r="AJ250" s="87"/>
      <c r="AK250" s="87"/>
      <c r="AL250" s="87"/>
      <c r="AM250" s="87"/>
      <c r="AN250" s="87"/>
      <c r="AO250" s="87"/>
      <c r="AP250" s="87"/>
      <c r="AQ250" s="87"/>
      <c r="AR250" s="87"/>
      <c r="AS250" s="87"/>
      <c r="AT250" s="87"/>
      <c r="AU250" s="87"/>
      <c r="AV250" s="87"/>
      <c r="AW250" s="87"/>
      <c r="AX250" s="87"/>
      <c r="AY250" s="87"/>
      <c r="AZ250" s="87"/>
      <c r="BA250" s="87"/>
      <c r="BB250" s="87"/>
      <c r="BC250" s="87"/>
      <c r="BD250" s="87"/>
      <c r="BE250" s="87"/>
      <c r="BF250" s="87"/>
      <c r="BG250" s="87"/>
      <c r="BH250" s="87"/>
      <c r="BI250" s="87"/>
      <c r="BJ250" s="87"/>
      <c r="BK250" s="87"/>
      <c r="BL250" s="87"/>
      <c r="BM250" s="87">
        <f>-0.8*C250</f>
        <v>-37.700000000000003</v>
      </c>
      <c r="BN250" s="105">
        <f>-BM250-C250</f>
        <v>-9.4249999999999972</v>
      </c>
      <c r="BO250" s="87"/>
      <c r="BP250" s="105">
        <f>C250*0.7</f>
        <v>32.987499999999997</v>
      </c>
      <c r="BQ250" s="105">
        <f>C250-BP250</f>
        <v>14.137500000000003</v>
      </c>
      <c r="BR250" s="87"/>
      <c r="BS250" s="87"/>
      <c r="BT250" s="87"/>
      <c r="BU250" s="87"/>
      <c r="BV250" s="87"/>
      <c r="BW250" s="87"/>
      <c r="BX250" s="87"/>
      <c r="BY250" s="87"/>
      <c r="BZ250" s="87"/>
      <c r="CA250" s="87"/>
      <c r="CB250" s="87"/>
      <c r="CC250" s="87"/>
      <c r="CD250" s="87"/>
      <c r="CE250" s="87"/>
      <c r="CF250" s="87"/>
      <c r="CG250" s="87"/>
      <c r="CH250" s="87"/>
      <c r="CI250" s="87"/>
      <c r="CJ250" s="87"/>
      <c r="CK250" s="87"/>
      <c r="CL250" s="87"/>
      <c r="CM250" s="87"/>
      <c r="CN250" s="87"/>
      <c r="CO250" s="87"/>
      <c r="CP250" s="87"/>
      <c r="CQ250" s="87"/>
      <c r="CR250" s="87"/>
      <c r="CS250" s="87"/>
      <c r="CT250" s="87"/>
      <c r="CU250" s="87"/>
      <c r="CV250" s="87"/>
      <c r="CW250" s="87"/>
      <c r="CX250" s="87"/>
      <c r="CY250" s="87"/>
      <c r="CZ250" s="87"/>
      <c r="DA250" s="87"/>
      <c r="DB250" s="87"/>
      <c r="DC250" s="87"/>
      <c r="DD250" s="87"/>
      <c r="DE250" s="87"/>
      <c r="DF250" s="87"/>
      <c r="DG250" s="87"/>
      <c r="DH250" s="87"/>
      <c r="DI250" s="87"/>
      <c r="DJ250" s="87"/>
      <c r="DK250" s="87"/>
      <c r="DL250" s="87"/>
      <c r="DM250" s="87"/>
      <c r="DN250" s="87"/>
      <c r="DO250" s="87"/>
      <c r="DP250" s="87"/>
      <c r="DQ250" s="87"/>
      <c r="DR250" s="87"/>
      <c r="DS250" s="87"/>
      <c r="DT250" s="87"/>
      <c r="DU250" s="87"/>
      <c r="DV250" s="87"/>
      <c r="DW250" s="87"/>
      <c r="DX250" s="87"/>
      <c r="DY250" s="87"/>
      <c r="DZ250" s="87"/>
      <c r="EA250" s="87"/>
      <c r="EB250" s="87"/>
      <c r="EC250" s="87"/>
      <c r="ED250" s="87"/>
      <c r="EE250" s="87"/>
      <c r="EF250" s="87"/>
      <c r="EG250" s="75">
        <v>46017</v>
      </c>
      <c r="EH250" s="75">
        <v>46024</v>
      </c>
      <c r="EI250" s="75">
        <v>46031</v>
      </c>
    </row>
    <row r="251" spans="1:139" ht="16.5" hidden="1" thickBot="1" x14ac:dyDescent="0.35">
      <c r="A251" s="222" t="s">
        <v>280</v>
      </c>
      <c r="B251" s="191">
        <v>3</v>
      </c>
      <c r="C251" s="177">
        <f>53*0.85</f>
        <v>45.05</v>
      </c>
      <c r="D251" s="217">
        <f>C251/VLOOKUP(B251,'[2]Gas Prod per PADD'!$A$1:$C$6,2,FALSE)</f>
        <v>9.7934782608695651E-3</v>
      </c>
      <c r="E251" s="178">
        <v>45519</v>
      </c>
      <c r="F251" s="179">
        <v>45520</v>
      </c>
      <c r="G251" s="180" t="s">
        <v>163</v>
      </c>
      <c r="H251" s="181" t="s">
        <v>538</v>
      </c>
      <c r="I251" s="248"/>
      <c r="J251" s="85"/>
      <c r="K251" s="85"/>
      <c r="L251" s="85"/>
      <c r="M251" s="85"/>
      <c r="N251" s="85"/>
      <c r="O251" s="85"/>
      <c r="P251" s="85"/>
      <c r="Q251" s="85"/>
      <c r="R251" s="85"/>
      <c r="S251" s="85"/>
      <c r="T251" s="85"/>
      <c r="U251" s="85"/>
      <c r="V251" s="84"/>
      <c r="W251" s="84"/>
      <c r="X251" s="84" t="str">
        <f t="shared" si="11"/>
        <v>OK</v>
      </c>
      <c r="Y251" s="105"/>
      <c r="Z251" s="105"/>
      <c r="AA251" s="87"/>
      <c r="AB251" s="87"/>
      <c r="AC251" s="87"/>
      <c r="AD251" s="87"/>
      <c r="AE251" s="105"/>
      <c r="AF251" s="105"/>
      <c r="AG251" s="105"/>
      <c r="AH251" s="105"/>
      <c r="AI251" s="87"/>
      <c r="AJ251" s="87"/>
      <c r="AK251" s="105"/>
      <c r="AL251" s="87"/>
      <c r="AM251" s="105"/>
      <c r="AN251" s="105"/>
      <c r="AO251" s="87"/>
      <c r="AP251" s="87"/>
      <c r="AQ251" s="105"/>
      <c r="AR251" s="105"/>
      <c r="AS251" s="87"/>
      <c r="AT251" s="105"/>
      <c r="AU251" s="105"/>
      <c r="AV251" s="87"/>
      <c r="AW251" s="105"/>
      <c r="AX251" s="105"/>
      <c r="AY251" s="87"/>
      <c r="AZ251" s="105"/>
      <c r="BA251" s="105"/>
      <c r="BB251" s="105"/>
      <c r="BC251" s="87"/>
      <c r="BD251" s="87"/>
      <c r="BE251" s="105"/>
      <c r="BF251" s="105"/>
      <c r="BG251" s="105"/>
      <c r="BH251" s="105"/>
      <c r="BI251" s="105"/>
      <c r="BJ251" s="87"/>
      <c r="BK251" s="87"/>
      <c r="BL251" s="87"/>
      <c r="BM251" s="87"/>
      <c r="BN251" s="87">
        <f>-1/7*C251</f>
        <v>-6.4357142857142851</v>
      </c>
      <c r="BO251" s="105">
        <f>-BN251</f>
        <v>6.4357142857142851</v>
      </c>
      <c r="BP251" s="105"/>
      <c r="BQ251" s="105"/>
      <c r="BR251" s="87"/>
      <c r="BS251" s="87"/>
      <c r="BT251" s="87"/>
      <c r="BU251" s="87"/>
      <c r="BV251" s="87"/>
      <c r="BW251" s="87"/>
      <c r="BX251" s="87"/>
      <c r="BY251" s="87"/>
      <c r="BZ251" s="87"/>
      <c r="CA251" s="87"/>
      <c r="CB251" s="87"/>
      <c r="CC251" s="87"/>
      <c r="CD251" s="87"/>
      <c r="CE251" s="87"/>
      <c r="CF251" s="87"/>
      <c r="CG251" s="87"/>
      <c r="CH251" s="87"/>
      <c r="CI251" s="87"/>
      <c r="CJ251" s="87"/>
      <c r="CK251" s="87"/>
      <c r="CL251" s="87"/>
      <c r="CM251" s="87"/>
      <c r="CN251" s="87"/>
      <c r="CO251" s="87"/>
      <c r="CP251" s="87"/>
      <c r="CQ251" s="87"/>
      <c r="CR251" s="87"/>
      <c r="CS251" s="87"/>
      <c r="CT251" s="87"/>
      <c r="CU251" s="87"/>
      <c r="CV251" s="87"/>
      <c r="CW251" s="87"/>
      <c r="CX251" s="87"/>
      <c r="CY251" s="87"/>
      <c r="CZ251" s="87"/>
      <c r="DA251" s="87"/>
      <c r="DB251" s="87"/>
      <c r="DC251" s="87"/>
      <c r="DD251" s="87"/>
      <c r="DE251" s="87"/>
      <c r="DF251" s="87"/>
      <c r="DG251" s="87"/>
      <c r="DH251" s="87"/>
      <c r="DI251" s="87"/>
      <c r="DJ251" s="87"/>
      <c r="DK251" s="87"/>
      <c r="DL251" s="87"/>
      <c r="DM251" s="87"/>
      <c r="DN251" s="87"/>
      <c r="DO251" s="87"/>
      <c r="DP251" s="87"/>
      <c r="DQ251" s="87"/>
      <c r="DR251" s="87"/>
      <c r="DS251" s="87"/>
      <c r="DT251" s="87"/>
      <c r="DU251" s="87"/>
      <c r="DV251" s="87"/>
      <c r="DW251" s="87"/>
      <c r="DX251" s="87"/>
      <c r="DY251" s="87"/>
      <c r="DZ251" s="87"/>
      <c r="EA251" s="87"/>
      <c r="EB251" s="87"/>
      <c r="EC251" s="87"/>
      <c r="ED251" s="87"/>
      <c r="EE251" s="87"/>
      <c r="EF251" s="87"/>
      <c r="EG251" s="87"/>
      <c r="EH251" s="87"/>
      <c r="EI251" s="87"/>
    </row>
    <row r="252" spans="1:139" ht="16.5" hidden="1" thickBot="1" x14ac:dyDescent="0.35">
      <c r="A252" s="250" t="s">
        <v>140</v>
      </c>
      <c r="B252" s="194">
        <v>3</v>
      </c>
      <c r="C252" s="195"/>
      <c r="D252" s="217">
        <f>C252/VLOOKUP(B252,'[2]Gas Prod per PADD'!$A$1:$C$6,2,FALSE)</f>
        <v>0</v>
      </c>
      <c r="E252" s="196">
        <v>45514</v>
      </c>
      <c r="F252" s="197">
        <v>45521</v>
      </c>
      <c r="G252" s="194" t="s">
        <v>546</v>
      </c>
      <c r="H252" s="198" t="s">
        <v>547</v>
      </c>
      <c r="I252" s="248"/>
      <c r="J252" s="85"/>
      <c r="K252" s="85"/>
      <c r="L252" s="85"/>
      <c r="M252" s="85"/>
      <c r="N252" s="85"/>
      <c r="O252" s="85"/>
      <c r="P252" s="85"/>
      <c r="Q252" s="85"/>
      <c r="R252" s="85"/>
      <c r="S252" s="85"/>
      <c r="T252" s="85"/>
      <c r="U252" s="85"/>
      <c r="V252" s="84"/>
      <c r="W252" s="84"/>
      <c r="X252" s="84" t="str">
        <f t="shared" si="11"/>
        <v>Missing</v>
      </c>
      <c r="Y252" s="87"/>
      <c r="Z252" s="87"/>
      <c r="AA252" s="87"/>
      <c r="AB252" s="87"/>
      <c r="AC252" s="87"/>
      <c r="AD252" s="87"/>
      <c r="AE252" s="87"/>
      <c r="AF252" s="87"/>
      <c r="AG252" s="87"/>
      <c r="AH252" s="87"/>
      <c r="AI252" s="87"/>
      <c r="AJ252" s="87"/>
      <c r="AK252" s="87"/>
      <c r="AL252" s="87"/>
      <c r="AM252" s="87"/>
      <c r="AN252" s="87"/>
      <c r="AO252" s="87"/>
      <c r="AP252" s="87"/>
      <c r="AQ252" s="87"/>
      <c r="AR252" s="87"/>
      <c r="AS252" s="87"/>
      <c r="AT252" s="87"/>
      <c r="AU252" s="87"/>
      <c r="AV252" s="87"/>
      <c r="AW252" s="87"/>
      <c r="AX252" s="87"/>
      <c r="AY252" s="87"/>
      <c r="AZ252" s="87"/>
      <c r="BA252" s="87"/>
      <c r="BB252" s="87"/>
      <c r="BC252" s="87"/>
      <c r="BD252" s="87"/>
      <c r="BE252" s="87"/>
      <c r="BF252" s="87"/>
      <c r="BG252" s="87"/>
      <c r="BH252" s="87"/>
      <c r="BI252" s="87"/>
      <c r="BJ252" s="87"/>
      <c r="BK252" s="87"/>
      <c r="BL252" s="87"/>
      <c r="BM252" s="87"/>
      <c r="BN252" s="87"/>
      <c r="BO252" s="87"/>
      <c r="BP252" s="87"/>
      <c r="BQ252" s="87"/>
      <c r="BR252" s="87"/>
      <c r="BS252" s="87"/>
      <c r="BT252" s="87"/>
      <c r="BU252" s="87"/>
      <c r="BV252" s="87"/>
      <c r="BW252" s="87"/>
      <c r="BX252" s="87"/>
      <c r="BY252" s="87"/>
      <c r="BZ252" s="87"/>
      <c r="CA252" s="87"/>
      <c r="CB252" s="87"/>
      <c r="CC252" s="87"/>
      <c r="CD252" s="87"/>
      <c r="CE252" s="87"/>
      <c r="CF252" s="87"/>
      <c r="CG252" s="87"/>
      <c r="CH252" s="87"/>
      <c r="CI252" s="87"/>
      <c r="CJ252" s="87"/>
      <c r="CK252" s="87"/>
      <c r="CL252" s="87"/>
      <c r="CM252" s="87"/>
      <c r="CN252" s="87"/>
      <c r="CO252" s="87"/>
      <c r="CP252" s="87"/>
      <c r="CQ252" s="87"/>
      <c r="CR252" s="87"/>
      <c r="CS252" s="87"/>
      <c r="CT252" s="87"/>
      <c r="CU252" s="87"/>
      <c r="CV252" s="87"/>
      <c r="CW252" s="87"/>
      <c r="CX252" s="87"/>
      <c r="CY252" s="87"/>
      <c r="CZ252" s="87"/>
      <c r="DA252" s="87"/>
      <c r="DB252" s="87"/>
      <c r="DC252" s="87"/>
      <c r="DD252" s="87"/>
      <c r="DE252" s="87"/>
      <c r="DF252" s="87"/>
      <c r="DG252" s="87"/>
      <c r="DH252" s="87"/>
      <c r="DI252" s="87"/>
      <c r="DJ252" s="87"/>
      <c r="DK252" s="87"/>
      <c r="DL252" s="87"/>
      <c r="DM252" s="87"/>
      <c r="DN252" s="87"/>
      <c r="DO252" s="87"/>
      <c r="DP252" s="87"/>
      <c r="DQ252" s="87"/>
      <c r="DR252" s="87"/>
      <c r="DS252" s="87"/>
      <c r="DT252" s="87"/>
      <c r="DU252" s="87"/>
      <c r="DV252" s="87"/>
      <c r="DW252" s="87"/>
      <c r="DX252" s="87"/>
      <c r="DY252" s="87"/>
      <c r="DZ252" s="87"/>
      <c r="EA252" s="87"/>
      <c r="EB252" s="87"/>
      <c r="EC252" s="87"/>
      <c r="ED252" s="87"/>
      <c r="EE252" s="87"/>
      <c r="EF252" s="87"/>
      <c r="EG252" s="87"/>
      <c r="EH252" s="87"/>
      <c r="EI252" s="87"/>
    </row>
    <row r="253" spans="1:139" ht="16.5" hidden="1" thickBot="1" x14ac:dyDescent="0.35">
      <c r="A253" s="250" t="s">
        <v>140</v>
      </c>
      <c r="B253" s="194">
        <v>3</v>
      </c>
      <c r="C253" s="195"/>
      <c r="D253" s="217">
        <f>C253/VLOOKUP(B253,'[2]Gas Prod per PADD'!$A$1:$C$6,2,FALSE)</f>
        <v>0</v>
      </c>
      <c r="E253" s="196">
        <v>45514</v>
      </c>
      <c r="F253" s="197">
        <f>E253+7</f>
        <v>45521</v>
      </c>
      <c r="G253" s="194" t="s">
        <v>546</v>
      </c>
      <c r="H253" s="198" t="s">
        <v>548</v>
      </c>
      <c r="I253" s="248"/>
      <c r="J253" s="85"/>
      <c r="K253" s="85"/>
      <c r="L253" s="85"/>
      <c r="M253" s="85"/>
      <c r="N253" s="85"/>
      <c r="O253" s="85"/>
      <c r="P253" s="85"/>
      <c r="Q253" s="85"/>
      <c r="R253" s="85"/>
      <c r="S253" s="85"/>
      <c r="T253" s="85"/>
      <c r="U253" s="85"/>
      <c r="V253" s="84"/>
      <c r="W253" s="84"/>
      <c r="X253" s="84" t="str">
        <f t="shared" si="11"/>
        <v>Missing</v>
      </c>
      <c r="Y253" s="87"/>
      <c r="Z253" s="87"/>
      <c r="AA253" s="87"/>
      <c r="AB253" s="87"/>
      <c r="AC253" s="87"/>
      <c r="AD253" s="87"/>
      <c r="AE253" s="87"/>
      <c r="AF253" s="87"/>
      <c r="AG253" s="87"/>
      <c r="AH253" s="87"/>
      <c r="AI253" s="87"/>
      <c r="AJ253" s="87"/>
      <c r="AK253" s="87"/>
      <c r="AL253" s="87"/>
      <c r="AM253" s="87"/>
      <c r="AN253" s="87"/>
      <c r="AO253" s="87"/>
      <c r="AP253" s="87"/>
      <c r="AQ253" s="87"/>
      <c r="AR253" s="87"/>
      <c r="AS253" s="87"/>
      <c r="AT253" s="87"/>
      <c r="AU253" s="87"/>
      <c r="AV253" s="87"/>
      <c r="AW253" s="87"/>
      <c r="AX253" s="87"/>
      <c r="AY253" s="87"/>
      <c r="AZ253" s="87"/>
      <c r="BA253" s="87"/>
      <c r="BB253" s="87"/>
      <c r="BC253" s="87"/>
      <c r="BD253" s="87"/>
      <c r="BE253" s="87"/>
      <c r="BF253" s="87"/>
      <c r="BG253" s="87"/>
      <c r="BH253" s="87"/>
      <c r="BI253" s="87"/>
      <c r="BJ253" s="87"/>
      <c r="BK253" s="87"/>
      <c r="BL253" s="87"/>
      <c r="BM253" s="87"/>
      <c r="BN253" s="87"/>
      <c r="BO253" s="87"/>
      <c r="BP253" s="87"/>
      <c r="BQ253" s="87"/>
      <c r="BR253" s="87"/>
      <c r="BS253" s="87"/>
      <c r="BT253" s="87"/>
      <c r="BU253" s="87"/>
      <c r="BV253" s="87"/>
      <c r="BW253" s="87"/>
      <c r="BX253" s="87"/>
      <c r="BY253" s="87"/>
      <c r="BZ253" s="87"/>
      <c r="CA253" s="87"/>
      <c r="CB253" s="87"/>
      <c r="CC253" s="87"/>
      <c r="CD253" s="87"/>
      <c r="CE253" s="87"/>
      <c r="CF253" s="87"/>
      <c r="CG253" s="87"/>
      <c r="CH253" s="87"/>
      <c r="CI253" s="87"/>
      <c r="CJ253" s="87"/>
      <c r="CK253" s="87"/>
      <c r="CL253" s="87"/>
      <c r="CM253" s="87"/>
      <c r="CN253" s="87"/>
      <c r="CO253" s="87"/>
      <c r="CP253" s="87"/>
      <c r="CQ253" s="87"/>
      <c r="CR253" s="87"/>
      <c r="CS253" s="87"/>
      <c r="CT253" s="87"/>
      <c r="CU253" s="87"/>
      <c r="CV253" s="87"/>
      <c r="CW253" s="87"/>
      <c r="CX253" s="87"/>
      <c r="CY253" s="87"/>
      <c r="CZ253" s="87"/>
      <c r="DA253" s="87"/>
      <c r="DB253" s="87"/>
      <c r="DC253" s="87"/>
      <c r="DD253" s="87"/>
      <c r="DE253" s="87"/>
      <c r="DF253" s="87"/>
      <c r="DG253" s="87"/>
      <c r="DH253" s="87"/>
      <c r="DI253" s="87"/>
      <c r="DJ253" s="87"/>
      <c r="DK253" s="87"/>
      <c r="DL253" s="87"/>
      <c r="DM253" s="87"/>
      <c r="DN253" s="87"/>
      <c r="DO253" s="87"/>
      <c r="DP253" s="87"/>
      <c r="DQ253" s="87"/>
      <c r="DR253" s="87"/>
      <c r="DS253" s="87"/>
      <c r="DT253" s="87"/>
      <c r="DU253" s="87"/>
      <c r="DV253" s="87"/>
      <c r="DW253" s="87"/>
      <c r="DX253" s="87"/>
      <c r="DY253" s="87"/>
      <c r="DZ253" s="87"/>
      <c r="EA253" s="87"/>
      <c r="EB253" s="87"/>
      <c r="EC253" s="87"/>
      <c r="ED253" s="87"/>
      <c r="EE253" s="87"/>
      <c r="EF253" s="87"/>
      <c r="EG253" s="87"/>
      <c r="EH253" s="87"/>
      <c r="EI253" s="87"/>
    </row>
    <row r="254" spans="1:139" ht="16.5" hidden="1" thickBot="1" x14ac:dyDescent="0.35">
      <c r="A254" s="222" t="s">
        <v>304</v>
      </c>
      <c r="B254" s="191">
        <v>3</v>
      </c>
      <c r="C254" s="177">
        <f>34*0.85</f>
        <v>28.9</v>
      </c>
      <c r="D254" s="217">
        <f>C254/VLOOKUP(B254,'[2]Gas Prod per PADD'!$A$1:$C$6,2,FALSE)</f>
        <v>6.2826086956521733E-3</v>
      </c>
      <c r="E254" s="178">
        <v>45521</v>
      </c>
      <c r="F254" s="179">
        <v>45522</v>
      </c>
      <c r="G254" s="180" t="s">
        <v>163</v>
      </c>
      <c r="H254" s="181" t="s">
        <v>543</v>
      </c>
      <c r="I254" s="248"/>
      <c r="J254" s="85"/>
      <c r="K254" s="85"/>
      <c r="L254" s="85"/>
      <c r="M254" s="85"/>
      <c r="N254" s="85"/>
      <c r="O254" s="85"/>
      <c r="P254" s="85"/>
      <c r="Q254" s="85"/>
      <c r="R254" s="85"/>
      <c r="S254" s="85"/>
      <c r="T254" s="85"/>
      <c r="U254" s="85"/>
      <c r="V254" s="84"/>
      <c r="W254" s="84"/>
      <c r="X254" s="84" t="str">
        <f t="shared" si="11"/>
        <v>OK</v>
      </c>
      <c r="Y254" s="105"/>
      <c r="Z254" s="105"/>
      <c r="AA254" s="87"/>
      <c r="AB254" s="87"/>
      <c r="AC254" s="87"/>
      <c r="AD254" s="87"/>
      <c r="AE254" s="105"/>
      <c r="AF254" s="105"/>
      <c r="AG254" s="105"/>
      <c r="AH254" s="105"/>
      <c r="AI254" s="87"/>
      <c r="AJ254" s="87"/>
      <c r="AK254" s="105"/>
      <c r="AL254" s="87"/>
      <c r="AM254" s="105"/>
      <c r="AN254" s="105"/>
      <c r="AO254" s="87"/>
      <c r="AP254" s="87"/>
      <c r="AQ254" s="105"/>
      <c r="AR254" s="105"/>
      <c r="AS254" s="87"/>
      <c r="AT254" s="105"/>
      <c r="AU254" s="105"/>
      <c r="AV254" s="87"/>
      <c r="AW254" s="105"/>
      <c r="AX254" s="105"/>
      <c r="AY254" s="87"/>
      <c r="AZ254" s="105"/>
      <c r="BA254" s="105"/>
      <c r="BB254" s="105"/>
      <c r="BC254" s="87"/>
      <c r="BD254" s="87"/>
      <c r="BE254" s="105"/>
      <c r="BF254" s="105"/>
      <c r="BG254" s="105"/>
      <c r="BH254" s="105"/>
      <c r="BI254" s="105"/>
      <c r="BJ254" s="87"/>
      <c r="BK254" s="87"/>
      <c r="BL254" s="87"/>
      <c r="BM254" s="87"/>
      <c r="BN254" s="87"/>
      <c r="BO254" s="105">
        <f>-1/7*C254</f>
        <v>-4.1285714285714281</v>
      </c>
      <c r="BP254" s="105">
        <f>-BO254</f>
        <v>4.1285714285714281</v>
      </c>
      <c r="BQ254" s="87"/>
      <c r="BR254" s="87"/>
      <c r="BS254" s="87"/>
      <c r="BT254" s="87"/>
      <c r="BU254" s="87"/>
      <c r="BV254" s="87"/>
      <c r="BW254" s="87"/>
      <c r="BX254" s="87"/>
      <c r="BY254" s="87"/>
      <c r="BZ254" s="87"/>
      <c r="CA254" s="87"/>
      <c r="CB254" s="87"/>
      <c r="CC254" s="87"/>
      <c r="CD254" s="87"/>
      <c r="CE254" s="87"/>
      <c r="CF254" s="87"/>
      <c r="CG254" s="87"/>
      <c r="CH254" s="87"/>
      <c r="CI254" s="87"/>
      <c r="CJ254" s="87"/>
      <c r="CK254" s="87"/>
      <c r="CL254" s="87"/>
      <c r="CM254" s="87"/>
      <c r="CN254" s="87"/>
      <c r="CO254" s="87"/>
      <c r="CP254" s="87"/>
      <c r="CQ254" s="87"/>
      <c r="CR254" s="87"/>
      <c r="CS254" s="87"/>
      <c r="CT254" s="87"/>
      <c r="CU254" s="87"/>
      <c r="CV254" s="87"/>
      <c r="CW254" s="87"/>
      <c r="CX254" s="87"/>
      <c r="CY254" s="87"/>
      <c r="CZ254" s="87"/>
      <c r="DA254" s="87"/>
      <c r="DB254" s="87"/>
      <c r="DC254" s="87"/>
      <c r="DD254" s="87"/>
      <c r="DE254" s="87"/>
      <c r="DF254" s="87"/>
      <c r="DG254" s="87"/>
      <c r="DH254" s="87"/>
      <c r="DI254" s="87"/>
      <c r="DJ254" s="87"/>
      <c r="DK254" s="87"/>
      <c r="DL254" s="87"/>
      <c r="DM254" s="87"/>
      <c r="DN254" s="87"/>
      <c r="DO254" s="87"/>
      <c r="DP254" s="87"/>
      <c r="DQ254" s="87"/>
      <c r="DR254" s="87"/>
      <c r="DS254" s="87"/>
      <c r="DT254" s="87"/>
      <c r="DU254" s="87"/>
      <c r="DV254" s="87"/>
      <c r="DW254" s="87"/>
      <c r="DX254" s="87"/>
      <c r="DY254" s="87"/>
      <c r="DZ254" s="87"/>
      <c r="EA254" s="87"/>
      <c r="EB254" s="87"/>
      <c r="EC254" s="87"/>
      <c r="ED254" s="87"/>
      <c r="EE254" s="87"/>
      <c r="EF254" s="87"/>
      <c r="EG254" s="87"/>
      <c r="EH254" s="87"/>
      <c r="EI254" s="87"/>
    </row>
    <row r="255" spans="1:139" ht="29.25" hidden="1" thickBot="1" x14ac:dyDescent="0.35">
      <c r="A255" s="175" t="s">
        <v>483</v>
      </c>
      <c r="B255" s="191">
        <v>2</v>
      </c>
      <c r="C255" s="177">
        <f>75*0.1+22*0.85+26*0.65</f>
        <v>43.1</v>
      </c>
      <c r="D255" s="217">
        <f>C255/VLOOKUP(B255,'[2]Gas Prod per PADD'!$A$1:$C$6,2,FALSE)</f>
        <v>1.7958333333333333E-2</v>
      </c>
      <c r="E255" s="251">
        <v>45525</v>
      </c>
      <c r="F255" s="252">
        <v>45527</v>
      </c>
      <c r="G255" s="180" t="s">
        <v>549</v>
      </c>
      <c r="H255" s="181" t="s">
        <v>550</v>
      </c>
      <c r="I255" s="84"/>
      <c r="J255" s="85"/>
      <c r="K255" s="85"/>
      <c r="L255" s="85"/>
      <c r="M255" s="85"/>
      <c r="N255" s="85"/>
      <c r="O255" s="85"/>
      <c r="P255" s="85"/>
      <c r="Q255" s="85"/>
      <c r="R255" s="85"/>
      <c r="S255" s="85"/>
      <c r="T255" s="85"/>
      <c r="U255" s="85"/>
      <c r="V255" s="84"/>
      <c r="W255" s="84"/>
      <c r="X255" s="84" t="str">
        <f t="shared" si="11"/>
        <v>OK</v>
      </c>
      <c r="Y255" s="105"/>
      <c r="Z255" s="105"/>
      <c r="AA255" s="87"/>
      <c r="AB255" s="87"/>
      <c r="AC255" s="87"/>
      <c r="AD255" s="87"/>
      <c r="AE255" s="105"/>
      <c r="AF255" s="105"/>
      <c r="AG255" s="105"/>
      <c r="AH255" s="105"/>
      <c r="AI255" s="87"/>
      <c r="AJ255" s="87"/>
      <c r="AK255" s="105"/>
      <c r="AL255" s="87"/>
      <c r="AM255" s="105"/>
      <c r="AN255" s="105"/>
      <c r="AO255" s="87"/>
      <c r="AP255" s="87"/>
      <c r="AQ255" s="105"/>
      <c r="AR255" s="105"/>
      <c r="AS255" s="87"/>
      <c r="AT255" s="105"/>
      <c r="AU255" s="105"/>
      <c r="AV255" s="87"/>
      <c r="AW255" s="105"/>
      <c r="AX255" s="105"/>
      <c r="AY255" s="87"/>
      <c r="AZ255" s="105"/>
      <c r="BA255" s="105"/>
      <c r="BB255" s="105"/>
      <c r="BC255" s="87"/>
      <c r="BD255" s="87"/>
      <c r="BE255" s="105"/>
      <c r="BF255" s="105"/>
      <c r="BG255" s="105"/>
      <c r="BH255" s="105"/>
      <c r="BI255" s="105"/>
      <c r="BJ255" s="87"/>
      <c r="BK255" s="87"/>
      <c r="BL255" s="87"/>
      <c r="BM255" s="87"/>
      <c r="BN255" s="87"/>
      <c r="BO255" s="105">
        <f>-C255*3/7</f>
        <v>-18.471428571428572</v>
      </c>
      <c r="BP255" s="105">
        <f>BO255*-1</f>
        <v>18.471428571428572</v>
      </c>
      <c r="BQ255" s="105"/>
      <c r="BR255" s="87"/>
      <c r="BS255" s="87"/>
      <c r="BT255" s="87"/>
      <c r="BU255" s="87"/>
      <c r="BV255" s="87"/>
      <c r="BW255" s="87"/>
      <c r="BX255" s="87"/>
      <c r="BY255" s="87"/>
      <c r="BZ255" s="87"/>
      <c r="CA255" s="87"/>
      <c r="CB255" s="87"/>
      <c r="CC255" s="87"/>
      <c r="CD255" s="87"/>
      <c r="CE255" s="87"/>
      <c r="CF255" s="87"/>
      <c r="CG255" s="87"/>
      <c r="CH255" s="87"/>
      <c r="CI255" s="87"/>
      <c r="CJ255" s="87"/>
      <c r="CK255" s="87"/>
      <c r="CL255" s="87"/>
      <c r="CM255" s="87"/>
      <c r="CN255" s="87"/>
      <c r="CO255" s="87"/>
      <c r="CP255" s="87"/>
      <c r="CQ255" s="87"/>
      <c r="CR255" s="87"/>
      <c r="CS255" s="87"/>
      <c r="CT255" s="87"/>
      <c r="CU255" s="87"/>
      <c r="CV255" s="87"/>
      <c r="CW255" s="87"/>
      <c r="CX255" s="87"/>
      <c r="CY255" s="87"/>
      <c r="CZ255" s="87"/>
      <c r="DA255" s="87"/>
      <c r="DB255" s="87"/>
      <c r="DC255" s="87"/>
      <c r="DD255" s="87"/>
      <c r="DE255" s="87"/>
      <c r="DF255" s="87"/>
      <c r="DG255" s="87"/>
      <c r="DH255" s="87"/>
      <c r="DI255" s="87"/>
      <c r="DJ255" s="87"/>
      <c r="DK255" s="87"/>
      <c r="DL255" s="87"/>
      <c r="DM255" s="87"/>
      <c r="DN255" s="87"/>
      <c r="DO255" s="87"/>
      <c r="DP255" s="87"/>
      <c r="DQ255" s="87"/>
      <c r="DR255" s="87"/>
      <c r="DS255" s="87"/>
      <c r="DT255" s="87"/>
      <c r="DU255" s="87"/>
      <c r="DV255" s="87"/>
      <c r="DW255" s="87"/>
      <c r="DX255" s="87"/>
      <c r="DY255" s="87"/>
      <c r="DZ255" s="87"/>
      <c r="EA255" s="87"/>
      <c r="EB255" s="87"/>
      <c r="EC255" s="87"/>
      <c r="ED255" s="87"/>
      <c r="EE255" s="87"/>
      <c r="EF255" s="87"/>
      <c r="EG255" s="87"/>
      <c r="EH255" s="87"/>
      <c r="EI255" s="87"/>
    </row>
    <row r="256" spans="1:139" ht="16.5" hidden="1" thickBot="1" x14ac:dyDescent="0.35">
      <c r="A256" s="113" t="s">
        <v>551</v>
      </c>
      <c r="B256" s="194">
        <v>2</v>
      </c>
      <c r="C256" s="195">
        <f>12*0.3</f>
        <v>3.5999999999999996</v>
      </c>
      <c r="D256" s="217">
        <f>C256/VLOOKUP(B256,'[2]Gas Prod per PADD'!$A$1:$C$6,2,FALSE)</f>
        <v>1.4999999999999998E-3</v>
      </c>
      <c r="E256" s="196">
        <v>45524</v>
      </c>
      <c r="F256" s="197">
        <v>45529</v>
      </c>
      <c r="G256" s="194" t="s">
        <v>218</v>
      </c>
      <c r="H256" s="198" t="s">
        <v>552</v>
      </c>
      <c r="I256" s="84"/>
      <c r="J256" s="85"/>
      <c r="K256" s="85"/>
      <c r="L256" s="85"/>
      <c r="M256" s="85"/>
      <c r="N256" s="85"/>
      <c r="O256" s="85"/>
      <c r="P256" s="85"/>
      <c r="Q256" s="85"/>
      <c r="R256" s="85"/>
      <c r="S256" s="85"/>
      <c r="T256" s="85"/>
      <c r="U256" s="85"/>
      <c r="V256" s="84"/>
      <c r="W256" s="84"/>
      <c r="X256" s="84" t="str">
        <f t="shared" si="11"/>
        <v>OK</v>
      </c>
      <c r="Y256" s="87"/>
      <c r="Z256" s="87"/>
      <c r="AA256" s="87"/>
      <c r="AB256" s="87"/>
      <c r="AC256" s="87"/>
      <c r="AD256" s="87"/>
      <c r="AE256" s="87"/>
      <c r="AF256" s="87"/>
      <c r="AG256" s="87"/>
      <c r="AH256" s="87"/>
      <c r="AI256" s="87"/>
      <c r="AJ256" s="87"/>
      <c r="AK256" s="87"/>
      <c r="AL256" s="87"/>
      <c r="AM256" s="87"/>
      <c r="AN256" s="87"/>
      <c r="AO256" s="87"/>
      <c r="AP256" s="87"/>
      <c r="AQ256" s="87"/>
      <c r="AR256" s="87"/>
      <c r="AS256" s="87"/>
      <c r="AT256" s="87"/>
      <c r="AU256" s="87"/>
      <c r="AV256" s="87"/>
      <c r="AW256" s="87"/>
      <c r="AX256" s="87"/>
      <c r="AY256" s="87"/>
      <c r="AZ256" s="87"/>
      <c r="BA256" s="87"/>
      <c r="BB256" s="87"/>
      <c r="BC256" s="87"/>
      <c r="BD256" s="87"/>
      <c r="BE256" s="87"/>
      <c r="BF256" s="87"/>
      <c r="BG256" s="87"/>
      <c r="BH256" s="87"/>
      <c r="BI256" s="87"/>
      <c r="BJ256" s="87"/>
      <c r="BK256" s="87"/>
      <c r="BL256" s="87"/>
      <c r="BM256" s="87"/>
      <c r="BN256" s="87"/>
      <c r="BO256" s="87">
        <f>-2/7*C256</f>
        <v>-1.0285714285714285</v>
      </c>
      <c r="BP256" s="87"/>
      <c r="BQ256" s="87">
        <f>-BO256</f>
        <v>1.0285714285714285</v>
      </c>
      <c r="BR256" s="87"/>
      <c r="BS256" s="87"/>
      <c r="BT256" s="87"/>
      <c r="BU256" s="87"/>
      <c r="BV256" s="87"/>
      <c r="BW256" s="87"/>
      <c r="BX256" s="87"/>
      <c r="BY256" s="87"/>
      <c r="BZ256" s="87"/>
      <c r="CA256" s="87"/>
      <c r="CB256" s="87"/>
      <c r="CC256" s="87"/>
      <c r="CD256" s="87"/>
      <c r="CE256" s="87"/>
      <c r="CF256" s="87"/>
      <c r="CG256" s="87"/>
      <c r="CH256" s="87"/>
      <c r="CI256" s="87"/>
      <c r="CJ256" s="87"/>
      <c r="CK256" s="87"/>
      <c r="CL256" s="87"/>
      <c r="CM256" s="87"/>
      <c r="CN256" s="87"/>
      <c r="CO256" s="87"/>
      <c r="CP256" s="87"/>
      <c r="CQ256" s="87"/>
      <c r="CR256" s="87"/>
      <c r="CS256" s="87"/>
      <c r="CT256" s="87"/>
      <c r="CU256" s="87"/>
      <c r="CV256" s="87"/>
      <c r="CW256" s="87"/>
      <c r="CX256" s="87"/>
      <c r="CY256" s="87"/>
      <c r="CZ256" s="87"/>
      <c r="DA256" s="87"/>
      <c r="DB256" s="87"/>
      <c r="DC256" s="87"/>
      <c r="DD256" s="87"/>
      <c r="DE256" s="87"/>
      <c r="DF256" s="87"/>
      <c r="DG256" s="87"/>
      <c r="DH256" s="87"/>
      <c r="DI256" s="87"/>
      <c r="DJ256" s="87"/>
      <c r="DK256" s="87"/>
      <c r="DL256" s="87"/>
      <c r="DM256" s="87"/>
      <c r="DN256" s="87"/>
      <c r="DO256" s="87"/>
      <c r="DP256" s="87"/>
      <c r="DQ256" s="87"/>
      <c r="DR256" s="87"/>
      <c r="DS256" s="87"/>
      <c r="DT256" s="87"/>
      <c r="DU256" s="87"/>
      <c r="DV256" s="87"/>
      <c r="DW256" s="87"/>
      <c r="DX256" s="87"/>
      <c r="DY256" s="87"/>
      <c r="DZ256" s="87"/>
      <c r="EA256" s="87"/>
      <c r="EB256" s="87"/>
      <c r="EC256" s="87"/>
      <c r="ED256" s="87"/>
      <c r="EE256" s="87"/>
      <c r="EF256" s="87"/>
      <c r="EG256" s="87"/>
      <c r="EH256" s="87"/>
      <c r="EI256" s="87"/>
    </row>
    <row r="257" spans="1:139" ht="16.5" hidden="1" thickBot="1" x14ac:dyDescent="0.35">
      <c r="A257" s="222" t="s">
        <v>243</v>
      </c>
      <c r="B257" s="191">
        <v>3</v>
      </c>
      <c r="C257" s="177">
        <v>17</v>
      </c>
      <c r="D257" s="217">
        <f>C257/VLOOKUP(B257,'[2]Gas Prod per PADD'!$A$1:$C$6,2,FALSE)</f>
        <v>3.6956521739130435E-3</v>
      </c>
      <c r="E257" s="178">
        <v>45519</v>
      </c>
      <c r="F257" s="252">
        <v>45531</v>
      </c>
      <c r="G257" s="180" t="s">
        <v>163</v>
      </c>
      <c r="H257" s="181" t="s">
        <v>477</v>
      </c>
      <c r="I257" s="84"/>
      <c r="J257" s="85"/>
      <c r="K257" s="85"/>
      <c r="L257" s="85"/>
      <c r="M257" s="85"/>
      <c r="N257" s="85"/>
      <c r="O257" s="85"/>
      <c r="P257" s="85"/>
      <c r="Q257" s="85"/>
      <c r="R257" s="85"/>
      <c r="S257" s="85"/>
      <c r="T257" s="85"/>
      <c r="U257" s="85"/>
      <c r="V257" s="84"/>
      <c r="W257" s="84"/>
      <c r="X257" s="84" t="str">
        <f t="shared" si="11"/>
        <v>OK</v>
      </c>
      <c r="Y257" s="87"/>
      <c r="Z257" s="87"/>
      <c r="AA257" s="87"/>
      <c r="AB257" s="87">
        <v>-4.8571428571428568</v>
      </c>
      <c r="AC257" s="87"/>
      <c r="AD257" s="87">
        <v>4.8571428571428568</v>
      </c>
      <c r="AE257" s="87"/>
      <c r="AF257" s="87"/>
      <c r="AG257" s="87"/>
      <c r="AH257" s="87"/>
      <c r="AI257" s="87"/>
      <c r="AJ257" s="87"/>
      <c r="AK257" s="87"/>
      <c r="AL257" s="87"/>
      <c r="AM257" s="87"/>
      <c r="AN257" s="87"/>
      <c r="AO257" s="87"/>
      <c r="AP257" s="87"/>
      <c r="AQ257" s="87"/>
      <c r="AR257" s="87"/>
      <c r="AS257" s="87"/>
      <c r="AT257" s="87"/>
      <c r="AU257" s="87"/>
      <c r="AV257" s="87"/>
      <c r="AW257" s="87"/>
      <c r="AX257" s="87"/>
      <c r="AY257" s="87"/>
      <c r="AZ257" s="87"/>
      <c r="BA257" s="87"/>
      <c r="BB257" s="87"/>
      <c r="BC257" s="87"/>
      <c r="BD257" s="87"/>
      <c r="BE257" s="87"/>
      <c r="BF257" s="87"/>
      <c r="BG257" s="87"/>
      <c r="BH257" s="87"/>
      <c r="BI257" s="87"/>
      <c r="BJ257" s="87"/>
      <c r="BK257" s="87"/>
      <c r="BL257" s="87"/>
      <c r="BM257" s="87"/>
      <c r="BN257" s="105">
        <f>-C257-BM254</f>
        <v>-17</v>
      </c>
      <c r="BO257" s="87"/>
      <c r="BP257" s="105">
        <f>4/7*C257</f>
        <v>9.7142857142857135</v>
      </c>
      <c r="BQ257" s="105">
        <f>C257-BP257</f>
        <v>7.2857142857142865</v>
      </c>
      <c r="BR257" s="87"/>
      <c r="BS257" s="87"/>
      <c r="BT257" s="87"/>
      <c r="BU257" s="87"/>
      <c r="BV257" s="87"/>
      <c r="BW257" s="87"/>
      <c r="BX257" s="87"/>
      <c r="BY257" s="87"/>
      <c r="BZ257" s="87"/>
      <c r="CA257" s="87"/>
      <c r="CB257" s="87"/>
      <c r="CC257" s="87"/>
      <c r="CD257" s="87"/>
      <c r="CE257" s="87"/>
      <c r="CF257" s="87"/>
      <c r="CG257" s="87"/>
      <c r="CH257" s="87"/>
      <c r="CI257" s="87"/>
      <c r="CJ257" s="87"/>
      <c r="CK257" s="87"/>
      <c r="CL257" s="87"/>
      <c r="CM257" s="87"/>
      <c r="CN257" s="87"/>
      <c r="CO257" s="87"/>
      <c r="CP257" s="87"/>
      <c r="CQ257" s="87"/>
      <c r="CR257" s="87"/>
      <c r="CS257" s="87"/>
      <c r="CT257" s="87"/>
      <c r="CU257" s="87"/>
      <c r="CV257" s="87"/>
      <c r="CW257" s="87"/>
      <c r="CX257" s="87"/>
      <c r="CY257" s="87"/>
      <c r="CZ257" s="87"/>
      <c r="DA257" s="87"/>
      <c r="DB257" s="87"/>
      <c r="DC257" s="87"/>
      <c r="DD257" s="87"/>
      <c r="DE257" s="87"/>
      <c r="DF257" s="87"/>
      <c r="DG257" s="87"/>
      <c r="DH257" s="87"/>
      <c r="DI257" s="87"/>
      <c r="DJ257" s="87"/>
      <c r="DK257" s="87"/>
      <c r="DL257" s="87"/>
      <c r="DM257" s="87"/>
      <c r="DN257" s="87"/>
      <c r="DO257" s="87"/>
      <c r="DP257" s="87"/>
      <c r="DQ257" s="87"/>
      <c r="DR257" s="87"/>
      <c r="DS257" s="87"/>
      <c r="DT257" s="87"/>
      <c r="DU257" s="87"/>
      <c r="DV257" s="87"/>
      <c r="DW257" s="87"/>
      <c r="DX257" s="87"/>
      <c r="DY257" s="87"/>
      <c r="DZ257" s="87"/>
      <c r="EA257" s="87"/>
      <c r="EB257" s="87"/>
      <c r="EC257" s="87"/>
      <c r="ED257" s="87"/>
      <c r="EE257" s="87"/>
      <c r="EF257" s="87"/>
      <c r="EG257" s="87"/>
      <c r="EH257" s="87"/>
      <c r="EI257" s="87"/>
    </row>
    <row r="258" spans="1:139" ht="16.5" hidden="1" thickBot="1" x14ac:dyDescent="0.35">
      <c r="A258" s="113" t="s">
        <v>352</v>
      </c>
      <c r="B258" s="194">
        <v>5</v>
      </c>
      <c r="C258" s="195">
        <f>15*0.85</f>
        <v>12.75</v>
      </c>
      <c r="D258" s="217">
        <f>C258/VLOOKUP(B258,'[2]Gas Prod per PADD'!$A$1:$C$6,2,FALSE)</f>
        <v>9.4444444444444445E-3</v>
      </c>
      <c r="E258" s="196">
        <v>45530</v>
      </c>
      <c r="F258" s="197">
        <v>45531</v>
      </c>
      <c r="G258" s="194" t="s">
        <v>163</v>
      </c>
      <c r="H258" s="198" t="s">
        <v>478</v>
      </c>
      <c r="I258" s="84"/>
      <c r="J258" s="85"/>
      <c r="K258" s="85"/>
      <c r="L258" s="85"/>
      <c r="M258" s="85"/>
      <c r="N258" s="85"/>
      <c r="O258" s="85"/>
      <c r="P258" s="85"/>
      <c r="Q258" s="85"/>
      <c r="R258" s="85"/>
      <c r="S258" s="85"/>
      <c r="T258" s="85"/>
      <c r="U258" s="85"/>
      <c r="V258" s="84"/>
      <c r="W258" s="84"/>
      <c r="X258" s="84" t="str">
        <f t="shared" ref="X258:X321" si="13">IF(COUNTA(Y258:EI258)=0,"Missing","OK")</f>
        <v>OK</v>
      </c>
      <c r="Y258" s="87"/>
      <c r="Z258" s="87"/>
      <c r="AA258" s="87"/>
      <c r="AB258" s="87"/>
      <c r="AC258" s="87"/>
      <c r="AD258" s="87"/>
      <c r="AE258" s="87"/>
      <c r="AF258" s="87"/>
      <c r="AG258" s="87"/>
      <c r="AH258" s="87"/>
      <c r="AI258" s="87"/>
      <c r="AJ258" s="87"/>
      <c r="AK258" s="87"/>
      <c r="AL258" s="87"/>
      <c r="AM258" s="87"/>
      <c r="AN258" s="87"/>
      <c r="AO258" s="87"/>
      <c r="AP258" s="87"/>
      <c r="AQ258" s="87"/>
      <c r="AR258" s="87"/>
      <c r="AS258" s="87"/>
      <c r="AT258" s="87"/>
      <c r="AU258" s="87"/>
      <c r="AV258" s="87"/>
      <c r="AW258" s="87"/>
      <c r="AX258" s="87"/>
      <c r="AY258" s="87"/>
      <c r="AZ258" s="87"/>
      <c r="BA258" s="87"/>
      <c r="BB258" s="87"/>
      <c r="BC258" s="87"/>
      <c r="BD258" s="87"/>
      <c r="BE258" s="87"/>
      <c r="BF258" s="87"/>
      <c r="BG258" s="87"/>
      <c r="BH258" s="87"/>
      <c r="BI258" s="87"/>
      <c r="BJ258" s="87"/>
      <c r="BK258" s="87"/>
      <c r="BL258" s="87"/>
      <c r="BM258" s="87"/>
      <c r="BN258" s="87"/>
      <c r="BO258" s="87"/>
      <c r="BP258" s="87">
        <f>-2/7*C258</f>
        <v>-3.6428571428571428</v>
      </c>
      <c r="BQ258" s="87">
        <f>-BP258</f>
        <v>3.6428571428571428</v>
      </c>
      <c r="BR258" s="87"/>
      <c r="BS258" s="87"/>
      <c r="BT258" s="87"/>
      <c r="BU258" s="87"/>
      <c r="BV258" s="87"/>
      <c r="BW258" s="87"/>
      <c r="BX258" s="87"/>
      <c r="BY258" s="87"/>
      <c r="BZ258" s="87"/>
      <c r="CA258" s="87"/>
      <c r="CB258" s="87"/>
      <c r="CC258" s="87"/>
      <c r="CD258" s="87"/>
      <c r="CE258" s="87"/>
      <c r="CF258" s="87"/>
      <c r="CG258" s="87"/>
      <c r="CH258" s="87"/>
      <c r="CI258" s="87"/>
      <c r="CJ258" s="87"/>
      <c r="CK258" s="87"/>
      <c r="CL258" s="87"/>
      <c r="CM258" s="87"/>
      <c r="CN258" s="87"/>
      <c r="CO258" s="87"/>
      <c r="CP258" s="87"/>
      <c r="CQ258" s="87"/>
      <c r="CR258" s="87"/>
      <c r="CS258" s="87"/>
      <c r="CT258" s="87"/>
      <c r="CU258" s="87"/>
      <c r="CV258" s="87"/>
      <c r="CW258" s="87"/>
      <c r="CX258" s="87"/>
      <c r="CY258" s="87"/>
      <c r="CZ258" s="87"/>
      <c r="DA258" s="87"/>
      <c r="DB258" s="87"/>
      <c r="DC258" s="87"/>
      <c r="DD258" s="87"/>
      <c r="DE258" s="87"/>
      <c r="DF258" s="87"/>
      <c r="DG258" s="87"/>
      <c r="DH258" s="87"/>
      <c r="DI258" s="87"/>
      <c r="DJ258" s="87"/>
      <c r="DK258" s="87"/>
      <c r="DL258" s="87"/>
      <c r="DM258" s="87"/>
      <c r="DN258" s="87"/>
      <c r="DO258" s="87"/>
      <c r="DP258" s="87"/>
      <c r="DQ258" s="87"/>
      <c r="DR258" s="87"/>
      <c r="DS258" s="87"/>
      <c r="DT258" s="87"/>
      <c r="DU258" s="87"/>
      <c r="DV258" s="87"/>
      <c r="DW258" s="87"/>
      <c r="DX258" s="87"/>
      <c r="DY258" s="87"/>
      <c r="DZ258" s="87"/>
      <c r="EA258" s="87"/>
      <c r="EB258" s="87"/>
      <c r="EC258" s="87"/>
      <c r="ED258" s="87"/>
      <c r="EE258" s="87"/>
      <c r="EF258" s="87"/>
      <c r="EG258" s="75">
        <v>46017</v>
      </c>
      <c r="EH258" s="75">
        <v>46024</v>
      </c>
      <c r="EI258" s="75">
        <v>46031</v>
      </c>
    </row>
    <row r="259" spans="1:139" ht="16.5" hidden="1" thickBot="1" x14ac:dyDescent="0.35">
      <c r="A259" s="113" t="s">
        <v>260</v>
      </c>
      <c r="B259" s="194">
        <v>4</v>
      </c>
      <c r="C259" s="195"/>
      <c r="D259" s="217">
        <f>C259/VLOOKUP(B259,'[2]Gas Prod per PADD'!$A$1:$C$6,2,FALSE)</f>
        <v>0</v>
      </c>
      <c r="E259" s="196">
        <v>45527</v>
      </c>
      <c r="F259" s="197">
        <v>45533</v>
      </c>
      <c r="G259" s="194" t="s">
        <v>553</v>
      </c>
      <c r="H259" s="198"/>
      <c r="I259" s="84"/>
      <c r="J259" s="85"/>
      <c r="K259" s="85"/>
      <c r="L259" s="85"/>
      <c r="M259" s="85"/>
      <c r="N259" s="85"/>
      <c r="O259" s="85"/>
      <c r="P259" s="85"/>
      <c r="Q259" s="85"/>
      <c r="R259" s="85"/>
      <c r="S259" s="85"/>
      <c r="T259" s="85"/>
      <c r="U259" s="85"/>
      <c r="V259" s="84"/>
      <c r="W259" s="84"/>
      <c r="X259" s="84" t="str">
        <f t="shared" si="13"/>
        <v>Missing</v>
      </c>
      <c r="Y259" s="87"/>
      <c r="Z259" s="87"/>
      <c r="AA259" s="87"/>
      <c r="AB259" s="87"/>
      <c r="AC259" s="87"/>
      <c r="AD259" s="87"/>
      <c r="AE259" s="87"/>
      <c r="AF259" s="87"/>
      <c r="AG259" s="87"/>
      <c r="AH259" s="87"/>
      <c r="AI259" s="87"/>
      <c r="AJ259" s="87"/>
      <c r="AK259" s="87"/>
      <c r="AL259" s="87"/>
      <c r="AM259" s="87"/>
      <c r="AN259" s="87"/>
      <c r="AO259" s="87"/>
      <c r="AP259" s="87"/>
      <c r="AQ259" s="87"/>
      <c r="AR259" s="87"/>
      <c r="AS259" s="87"/>
      <c r="AT259" s="87"/>
      <c r="AU259" s="87"/>
      <c r="AV259" s="87"/>
      <c r="AW259" s="87"/>
      <c r="AX259" s="87"/>
      <c r="AY259" s="87"/>
      <c r="AZ259" s="87"/>
      <c r="BA259" s="87"/>
      <c r="BB259" s="87"/>
      <c r="BC259" s="87"/>
      <c r="BD259" s="87"/>
      <c r="BE259" s="87"/>
      <c r="BF259" s="87"/>
      <c r="BG259" s="87"/>
      <c r="BH259" s="87"/>
      <c r="BI259" s="87"/>
      <c r="BJ259" s="87"/>
      <c r="BK259" s="87"/>
      <c r="BL259" s="87"/>
      <c r="BM259" s="87"/>
      <c r="BN259" s="87"/>
      <c r="BO259" s="87"/>
      <c r="BP259" s="87"/>
      <c r="BQ259" s="87"/>
      <c r="BR259" s="87"/>
      <c r="BS259" s="87"/>
      <c r="BT259" s="87"/>
      <c r="BU259" s="87"/>
      <c r="BV259" s="87"/>
      <c r="BW259" s="87"/>
      <c r="BX259" s="87"/>
      <c r="BY259" s="87"/>
      <c r="BZ259" s="87"/>
      <c r="CA259" s="87"/>
      <c r="CB259" s="87"/>
      <c r="CC259" s="87"/>
      <c r="CD259" s="87"/>
      <c r="CE259" s="87"/>
      <c r="CF259" s="87"/>
      <c r="CG259" s="87"/>
      <c r="CH259" s="87"/>
      <c r="CI259" s="87"/>
      <c r="CJ259" s="87"/>
      <c r="CK259" s="87"/>
      <c r="CL259" s="87"/>
      <c r="CM259" s="87"/>
      <c r="CN259" s="87"/>
      <c r="CO259" s="87"/>
      <c r="CP259" s="87"/>
      <c r="CQ259" s="87"/>
      <c r="CR259" s="87"/>
      <c r="CS259" s="87"/>
      <c r="CT259" s="87"/>
      <c r="CU259" s="87"/>
      <c r="CV259" s="87"/>
      <c r="CW259" s="87"/>
      <c r="CX259" s="87"/>
      <c r="CY259" s="87"/>
      <c r="CZ259" s="87"/>
      <c r="DA259" s="87"/>
      <c r="DB259" s="87"/>
      <c r="DC259" s="87"/>
      <c r="DD259" s="87"/>
      <c r="DE259" s="87"/>
      <c r="DF259" s="87"/>
      <c r="DG259" s="87"/>
      <c r="DH259" s="87"/>
      <c r="DI259" s="87"/>
      <c r="DJ259" s="87"/>
      <c r="DK259" s="87"/>
      <c r="DL259" s="87"/>
      <c r="DM259" s="87"/>
      <c r="DN259" s="87"/>
      <c r="DO259" s="87"/>
      <c r="DP259" s="87"/>
      <c r="DQ259" s="87"/>
      <c r="DR259" s="87"/>
      <c r="DS259" s="87"/>
      <c r="DT259" s="87"/>
      <c r="DU259" s="87"/>
      <c r="DV259" s="87"/>
      <c r="DW259" s="87"/>
      <c r="DX259" s="87"/>
      <c r="DY259" s="87"/>
      <c r="DZ259" s="87"/>
      <c r="EA259" s="87"/>
      <c r="EB259" s="87"/>
      <c r="EC259" s="87"/>
      <c r="ED259" s="87"/>
      <c r="EE259" s="87"/>
      <c r="EF259" s="87"/>
      <c r="EG259" s="87"/>
      <c r="EH259" s="87"/>
      <c r="EI259" s="87"/>
    </row>
    <row r="260" spans="1:139" ht="29.25" hidden="1" thickBot="1" x14ac:dyDescent="0.35">
      <c r="A260" s="175" t="s">
        <v>409</v>
      </c>
      <c r="B260" s="191" t="s">
        <v>410</v>
      </c>
      <c r="C260" s="177">
        <f>25*0.65</f>
        <v>16.25</v>
      </c>
      <c r="D260" s="217" t="e">
        <f>C260/VLOOKUP(B260,'[2]Gas Prod per PADD'!$A$1:$C$6,2,FALSE)</f>
        <v>#N/A</v>
      </c>
      <c r="E260" s="253">
        <v>45525</v>
      </c>
      <c r="F260" s="252">
        <v>45534</v>
      </c>
      <c r="G260" s="180" t="s">
        <v>277</v>
      </c>
      <c r="H260" s="181" t="s">
        <v>554</v>
      </c>
      <c r="I260" s="84"/>
      <c r="J260" s="85"/>
      <c r="K260" s="85"/>
      <c r="L260" s="85"/>
      <c r="M260" s="85"/>
      <c r="N260" s="85"/>
      <c r="O260" s="85"/>
      <c r="P260" s="85"/>
      <c r="Q260" s="85"/>
      <c r="R260" s="85"/>
      <c r="S260" s="85"/>
      <c r="T260" s="85"/>
      <c r="U260" s="85"/>
      <c r="V260" s="84"/>
      <c r="W260" s="84"/>
      <c r="X260" s="84" t="str">
        <f t="shared" si="13"/>
        <v>Missing</v>
      </c>
      <c r="Y260" s="105"/>
      <c r="Z260" s="105"/>
      <c r="AA260" s="87"/>
      <c r="AB260" s="87"/>
      <c r="AC260" s="87"/>
      <c r="AD260" s="87"/>
      <c r="AE260" s="105"/>
      <c r="AF260" s="105"/>
      <c r="AG260" s="105"/>
      <c r="AH260" s="105"/>
      <c r="AI260" s="87"/>
      <c r="AJ260" s="87"/>
      <c r="AK260" s="105"/>
      <c r="AL260" s="87"/>
      <c r="AM260" s="105"/>
      <c r="AN260" s="105"/>
      <c r="AO260" s="87"/>
      <c r="AP260" s="87"/>
      <c r="AQ260" s="105"/>
      <c r="AR260" s="105"/>
      <c r="AS260" s="87"/>
      <c r="AT260" s="105"/>
      <c r="AU260" s="105"/>
      <c r="AV260" s="87"/>
      <c r="AW260" s="105"/>
      <c r="AX260" s="105"/>
      <c r="AY260" s="87"/>
      <c r="AZ260" s="105"/>
      <c r="BA260" s="105"/>
      <c r="BB260" s="105"/>
      <c r="BC260" s="87"/>
      <c r="BD260" s="87"/>
      <c r="BE260" s="105"/>
      <c r="BF260" s="105"/>
      <c r="BG260" s="105"/>
      <c r="BH260" s="105"/>
      <c r="BI260" s="105"/>
      <c r="BJ260" s="87"/>
      <c r="BK260" s="87"/>
      <c r="BL260" s="87"/>
      <c r="BM260" s="87"/>
      <c r="BN260" s="87"/>
      <c r="BO260" s="105"/>
      <c r="BP260" s="105"/>
      <c r="BQ260" s="105"/>
      <c r="BR260" s="105"/>
      <c r="BS260" s="87"/>
      <c r="BT260" s="87"/>
      <c r="BU260" s="87"/>
      <c r="BV260" s="87"/>
      <c r="BW260" s="87"/>
      <c r="BX260" s="87"/>
      <c r="BY260" s="87"/>
      <c r="BZ260" s="87"/>
      <c r="CA260" s="87"/>
      <c r="CB260" s="87"/>
      <c r="CC260" s="87"/>
      <c r="CD260" s="87"/>
      <c r="CE260" s="87"/>
      <c r="CF260" s="87"/>
      <c r="CG260" s="87"/>
      <c r="CH260" s="87"/>
      <c r="CI260" s="87"/>
      <c r="CJ260" s="87"/>
      <c r="CK260" s="87"/>
      <c r="CL260" s="87"/>
      <c r="CM260" s="87"/>
      <c r="CN260" s="87"/>
      <c r="CO260" s="87"/>
      <c r="CP260" s="87"/>
      <c r="CQ260" s="87"/>
      <c r="CR260" s="87"/>
      <c r="CS260" s="87"/>
      <c r="CT260" s="87"/>
      <c r="CU260" s="87"/>
      <c r="CV260" s="87"/>
      <c r="CW260" s="87"/>
      <c r="CX260" s="87"/>
      <c r="CY260" s="87"/>
      <c r="CZ260" s="87"/>
      <c r="DA260" s="87"/>
      <c r="DB260" s="87"/>
      <c r="DC260" s="87"/>
      <c r="DD260" s="87"/>
      <c r="DE260" s="87"/>
      <c r="DF260" s="87"/>
      <c r="DG260" s="87"/>
      <c r="DH260" s="87"/>
      <c r="DI260" s="87"/>
      <c r="DJ260" s="87"/>
      <c r="DK260" s="87"/>
      <c r="DL260" s="87"/>
      <c r="DM260" s="87"/>
      <c r="DN260" s="87"/>
      <c r="DO260" s="87"/>
      <c r="DP260" s="87"/>
      <c r="DQ260" s="87"/>
      <c r="DR260" s="87"/>
      <c r="DS260" s="87"/>
      <c r="DT260" s="87"/>
      <c r="DU260" s="87"/>
      <c r="DV260" s="87"/>
      <c r="DW260" s="87"/>
      <c r="DX260" s="87"/>
      <c r="DY260" s="87"/>
      <c r="DZ260" s="87"/>
      <c r="EA260" s="87"/>
      <c r="EB260" s="87"/>
      <c r="EC260" s="87"/>
      <c r="ED260" s="87"/>
      <c r="EE260" s="87"/>
      <c r="EF260" s="87"/>
      <c r="EG260" s="87"/>
      <c r="EH260" s="87"/>
      <c r="EI260" s="87"/>
    </row>
    <row r="261" spans="1:139" ht="16.5" hidden="1" thickBot="1" x14ac:dyDescent="0.35">
      <c r="A261" s="218" t="s">
        <v>519</v>
      </c>
      <c r="B261" s="194">
        <v>2</v>
      </c>
      <c r="C261" s="195">
        <f>165*0.26*0.5</f>
        <v>21.45</v>
      </c>
      <c r="D261" s="217">
        <f>C261/VLOOKUP(B261,'[2]Gas Prod per PADD'!$A$1:$C$6,2,FALSE)</f>
        <v>8.9374999999999993E-3</v>
      </c>
      <c r="E261" s="196">
        <v>45526</v>
      </c>
      <c r="F261" s="197">
        <v>45535</v>
      </c>
      <c r="G261" s="194" t="s">
        <v>555</v>
      </c>
      <c r="H261" s="198" t="s">
        <v>556</v>
      </c>
      <c r="I261" s="84"/>
      <c r="J261" s="85"/>
      <c r="K261" s="85"/>
      <c r="L261" s="85"/>
      <c r="M261" s="85"/>
      <c r="N261" s="85"/>
      <c r="O261" s="85"/>
      <c r="P261" s="85"/>
      <c r="Q261" s="85"/>
      <c r="R261" s="85"/>
      <c r="S261" s="85"/>
      <c r="T261" s="85"/>
      <c r="U261" s="85"/>
      <c r="V261" s="84"/>
      <c r="W261" s="84"/>
      <c r="X261" s="84" t="str">
        <f t="shared" si="13"/>
        <v>Missing</v>
      </c>
      <c r="Y261" s="87"/>
      <c r="Z261" s="87"/>
      <c r="AA261" s="87"/>
      <c r="AB261" s="87"/>
      <c r="AC261" s="87"/>
      <c r="AD261" s="87"/>
      <c r="AE261" s="87"/>
      <c r="AF261" s="87"/>
      <c r="AG261" s="87"/>
      <c r="AH261" s="87"/>
      <c r="AI261" s="87"/>
      <c r="AJ261" s="87"/>
      <c r="AK261" s="87"/>
      <c r="AL261" s="87"/>
      <c r="AM261" s="87"/>
      <c r="AN261" s="87"/>
      <c r="AO261" s="87"/>
      <c r="AP261" s="87"/>
      <c r="AQ261" s="87"/>
      <c r="AR261" s="87"/>
      <c r="AS261" s="87"/>
      <c r="AT261" s="87"/>
      <c r="AU261" s="87"/>
      <c r="AV261" s="87"/>
      <c r="AW261" s="87"/>
      <c r="AX261" s="87"/>
      <c r="AY261" s="87"/>
      <c r="AZ261" s="87"/>
      <c r="BA261" s="87"/>
      <c r="BB261" s="87"/>
      <c r="BC261" s="87"/>
      <c r="BD261" s="87"/>
      <c r="BE261" s="87"/>
      <c r="BF261" s="87"/>
      <c r="BG261" s="87"/>
      <c r="BH261" s="87"/>
      <c r="BI261" s="87"/>
      <c r="BJ261" s="87"/>
      <c r="BK261" s="87"/>
      <c r="BL261" s="87"/>
      <c r="BM261" s="87"/>
      <c r="BN261" s="87"/>
      <c r="BO261" s="87"/>
      <c r="BP261" s="87"/>
      <c r="BQ261" s="87"/>
      <c r="BR261" s="87"/>
      <c r="BS261" s="87"/>
      <c r="BT261" s="87"/>
      <c r="BU261" s="87"/>
      <c r="BV261" s="87"/>
      <c r="BW261" s="87"/>
      <c r="BX261" s="87"/>
      <c r="BY261" s="87"/>
      <c r="BZ261" s="87"/>
      <c r="CA261" s="87"/>
      <c r="CB261" s="87"/>
      <c r="CC261" s="87"/>
      <c r="CD261" s="87"/>
      <c r="CE261" s="87"/>
      <c r="CF261" s="87"/>
      <c r="CG261" s="87"/>
      <c r="CH261" s="87"/>
      <c r="CI261" s="87"/>
      <c r="CJ261" s="87"/>
      <c r="CK261" s="87"/>
      <c r="CL261" s="87"/>
      <c r="CM261" s="87"/>
      <c r="CN261" s="87"/>
      <c r="CO261" s="87"/>
      <c r="CP261" s="87"/>
      <c r="CQ261" s="87"/>
      <c r="CR261" s="87"/>
      <c r="CS261" s="87"/>
      <c r="CT261" s="87"/>
      <c r="CU261" s="87"/>
      <c r="CV261" s="87"/>
      <c r="CW261" s="87"/>
      <c r="CX261" s="87"/>
      <c r="CY261" s="87"/>
      <c r="CZ261" s="87"/>
      <c r="DA261" s="87"/>
      <c r="DB261" s="87"/>
      <c r="DC261" s="87"/>
      <c r="DD261" s="87"/>
      <c r="DE261" s="87"/>
      <c r="DF261" s="87"/>
      <c r="DG261" s="87"/>
      <c r="DH261" s="87"/>
      <c r="DI261" s="87"/>
      <c r="DJ261" s="87"/>
      <c r="DK261" s="87"/>
      <c r="DL261" s="87"/>
      <c r="DM261" s="87"/>
      <c r="DN261" s="87"/>
      <c r="DO261" s="87"/>
      <c r="DP261" s="87"/>
      <c r="DQ261" s="87"/>
      <c r="DR261" s="87"/>
      <c r="DS261" s="87"/>
      <c r="DT261" s="87"/>
      <c r="DU261" s="87"/>
      <c r="DV261" s="87"/>
      <c r="DW261" s="87"/>
      <c r="DX261" s="87"/>
      <c r="DY261" s="87"/>
      <c r="DZ261" s="87"/>
      <c r="EA261" s="87"/>
      <c r="EB261" s="87"/>
      <c r="EC261" s="87"/>
      <c r="ED261" s="87"/>
      <c r="EE261" s="87"/>
      <c r="EF261" s="87"/>
      <c r="EG261" s="87"/>
      <c r="EH261" s="87"/>
      <c r="EI261" s="87"/>
    </row>
    <row r="262" spans="1:139" ht="16.5" hidden="1" thickBot="1" x14ac:dyDescent="0.35">
      <c r="A262" s="175" t="s">
        <v>405</v>
      </c>
      <c r="B262" s="191">
        <v>1</v>
      </c>
      <c r="C262" s="177">
        <f>82*0.65</f>
        <v>53.300000000000004</v>
      </c>
      <c r="D262" s="217">
        <f>C262/VLOOKUP(B262,'[2]Gas Prod per PADD'!$A$1:$C$6,2,FALSE)</f>
        <v>0.11104166666666668</v>
      </c>
      <c r="E262" s="253">
        <v>45533</v>
      </c>
      <c r="F262" s="179">
        <f>E262+3</f>
        <v>45536</v>
      </c>
      <c r="G262" s="180" t="s">
        <v>221</v>
      </c>
      <c r="H262" s="181" t="s">
        <v>557</v>
      </c>
      <c r="I262" s="84"/>
      <c r="J262" s="85"/>
      <c r="K262" s="85"/>
      <c r="L262" s="85"/>
      <c r="M262" s="85"/>
      <c r="N262" s="85"/>
      <c r="O262" s="85"/>
      <c r="P262" s="85"/>
      <c r="Q262" s="85"/>
      <c r="R262" s="85"/>
      <c r="S262" s="85"/>
      <c r="T262" s="85"/>
      <c r="U262" s="85"/>
      <c r="V262" s="84"/>
      <c r="W262" s="84"/>
      <c r="X262" s="84" t="str">
        <f t="shared" si="13"/>
        <v>OK</v>
      </c>
      <c r="Y262" s="105"/>
      <c r="Z262" s="105"/>
      <c r="AA262" s="87"/>
      <c r="AB262" s="87"/>
      <c r="AC262" s="87"/>
      <c r="AD262" s="87"/>
      <c r="AE262" s="105"/>
      <c r="AF262" s="105"/>
      <c r="AG262" s="105"/>
      <c r="AH262" s="105"/>
      <c r="AI262" s="87"/>
      <c r="AJ262" s="87"/>
      <c r="AK262" s="105"/>
      <c r="AL262" s="87"/>
      <c r="AM262" s="105"/>
      <c r="AN262" s="105"/>
      <c r="AO262" s="87"/>
      <c r="AP262" s="87"/>
      <c r="AQ262" s="105"/>
      <c r="AR262" s="105"/>
      <c r="AS262" s="87"/>
      <c r="AT262" s="105"/>
      <c r="AU262" s="105"/>
      <c r="AV262" s="87"/>
      <c r="AW262" s="105"/>
      <c r="AX262" s="105"/>
      <c r="AY262" s="87"/>
      <c r="AZ262" s="105"/>
      <c r="BA262" s="105"/>
      <c r="BB262" s="105"/>
      <c r="BC262" s="87"/>
      <c r="BD262" s="87"/>
      <c r="BE262" s="105"/>
      <c r="BF262" s="105"/>
      <c r="BG262" s="105"/>
      <c r="BH262" s="105"/>
      <c r="BI262" s="105"/>
      <c r="BJ262" s="87"/>
      <c r="BK262" s="87"/>
      <c r="BL262" s="87"/>
      <c r="BM262" s="87"/>
      <c r="BN262" s="87"/>
      <c r="BO262" s="105"/>
      <c r="BP262" s="105"/>
      <c r="BQ262" s="105">
        <v>0</v>
      </c>
      <c r="BR262" s="105">
        <v>0</v>
      </c>
      <c r="BS262" s="87"/>
      <c r="BT262" s="87"/>
      <c r="BU262" s="87"/>
      <c r="BV262" s="87"/>
      <c r="BW262" s="87"/>
      <c r="BX262" s="87"/>
      <c r="BY262" s="87"/>
      <c r="BZ262" s="87"/>
      <c r="CA262" s="87"/>
      <c r="CB262" s="87"/>
      <c r="CC262" s="87"/>
      <c r="CD262" s="87"/>
      <c r="CE262" s="87"/>
      <c r="CF262" s="87"/>
      <c r="CG262" s="87"/>
      <c r="CH262" s="87"/>
      <c r="CI262" s="87"/>
      <c r="CJ262" s="87"/>
      <c r="CK262" s="87"/>
      <c r="CL262" s="87"/>
      <c r="CM262" s="87"/>
      <c r="CN262" s="87"/>
      <c r="CO262" s="87"/>
      <c r="CP262" s="87"/>
      <c r="CQ262" s="87"/>
      <c r="CR262" s="87"/>
      <c r="CS262" s="87"/>
      <c r="CT262" s="87"/>
      <c r="CU262" s="87"/>
      <c r="CV262" s="87"/>
      <c r="CW262" s="87"/>
      <c r="CX262" s="87"/>
      <c r="CY262" s="87"/>
      <c r="CZ262" s="87"/>
      <c r="DA262" s="87"/>
      <c r="DB262" s="87"/>
      <c r="DC262" s="87"/>
      <c r="DD262" s="87"/>
      <c r="DE262" s="87"/>
      <c r="DF262" s="87"/>
      <c r="DG262" s="87"/>
      <c r="DH262" s="87"/>
      <c r="DI262" s="87"/>
      <c r="DJ262" s="87"/>
      <c r="DK262" s="87"/>
      <c r="DL262" s="87"/>
      <c r="DM262" s="87"/>
      <c r="DN262" s="87"/>
      <c r="DO262" s="87"/>
      <c r="DP262" s="87"/>
      <c r="DQ262" s="87"/>
      <c r="DR262" s="87"/>
      <c r="DS262" s="87"/>
      <c r="DT262" s="87"/>
      <c r="DU262" s="87"/>
      <c r="DV262" s="87"/>
      <c r="DW262" s="87"/>
      <c r="DX262" s="87"/>
      <c r="DY262" s="87"/>
      <c r="DZ262" s="87"/>
      <c r="EA262" s="87"/>
      <c r="EB262" s="87"/>
      <c r="EC262" s="87"/>
      <c r="ED262" s="87"/>
      <c r="EE262" s="87"/>
      <c r="EF262" s="87"/>
      <c r="EG262" s="87"/>
      <c r="EH262" s="87"/>
      <c r="EI262" s="87"/>
    </row>
    <row r="263" spans="1:139" ht="43.5" hidden="1" thickBot="1" x14ac:dyDescent="0.35">
      <c r="A263" s="190" t="s">
        <v>280</v>
      </c>
      <c r="B263" s="191">
        <v>3</v>
      </c>
      <c r="C263" s="177">
        <f>210*0.25</f>
        <v>52.5</v>
      </c>
      <c r="D263" s="217">
        <f>C263/VLOOKUP(B263,'[2]Gas Prod per PADD'!$A$1:$C$6,2,FALSE)</f>
        <v>1.141304347826087E-2</v>
      </c>
      <c r="E263" s="178">
        <v>45516</v>
      </c>
      <c r="F263" s="179">
        <v>45539</v>
      </c>
      <c r="G263" s="180" t="s">
        <v>351</v>
      </c>
      <c r="H263" s="181" t="s">
        <v>558</v>
      </c>
      <c r="I263" s="84"/>
      <c r="J263" s="85"/>
      <c r="K263" s="85"/>
      <c r="L263" s="85"/>
      <c r="M263" s="85"/>
      <c r="N263" s="85"/>
      <c r="O263" s="85"/>
      <c r="P263" s="85"/>
      <c r="Q263" s="85"/>
      <c r="R263" s="85"/>
      <c r="S263" s="85"/>
      <c r="T263" s="85"/>
      <c r="U263" s="85"/>
      <c r="V263" s="84"/>
      <c r="W263" s="84"/>
      <c r="X263" s="84" t="str">
        <f t="shared" si="13"/>
        <v>OK</v>
      </c>
      <c r="Y263" s="105"/>
      <c r="Z263" s="105"/>
      <c r="AA263" s="87"/>
      <c r="AB263" s="87"/>
      <c r="AC263" s="87"/>
      <c r="AD263" s="87"/>
      <c r="AE263" s="105"/>
      <c r="AF263" s="105"/>
      <c r="AG263" s="105"/>
      <c r="AH263" s="105"/>
      <c r="AI263" s="87"/>
      <c r="AJ263" s="87"/>
      <c r="AK263" s="105"/>
      <c r="AL263" s="87"/>
      <c r="AM263" s="105"/>
      <c r="AN263" s="105"/>
      <c r="AO263" s="87"/>
      <c r="AP263" s="87"/>
      <c r="AQ263" s="105"/>
      <c r="AR263" s="105"/>
      <c r="AS263" s="87"/>
      <c r="AT263" s="105"/>
      <c r="AU263" s="105"/>
      <c r="AV263" s="87"/>
      <c r="AW263" s="105"/>
      <c r="AX263" s="105"/>
      <c r="AY263" s="87"/>
      <c r="AZ263" s="105"/>
      <c r="BA263" s="105"/>
      <c r="BB263" s="105"/>
      <c r="BC263" s="87"/>
      <c r="BD263" s="87"/>
      <c r="BE263" s="105"/>
      <c r="BF263" s="105"/>
      <c r="BG263" s="105"/>
      <c r="BH263" s="105"/>
      <c r="BI263" s="105"/>
      <c r="BJ263" s="87"/>
      <c r="BK263" s="87"/>
      <c r="BL263" s="87"/>
      <c r="BM263" s="87"/>
      <c r="BN263" s="87">
        <f>-3/7*C263</f>
        <v>-22.5</v>
      </c>
      <c r="BO263" s="105">
        <f>(BN263+C263)*-1</f>
        <v>-30</v>
      </c>
      <c r="BP263" s="105"/>
      <c r="BQ263" s="105"/>
      <c r="BR263" s="105">
        <f>0.5*C263</f>
        <v>26.25</v>
      </c>
      <c r="BS263" s="105">
        <f>C263-BR263</f>
        <v>26.25</v>
      </c>
      <c r="BT263" s="87"/>
      <c r="BU263" s="87"/>
      <c r="BV263" s="87"/>
      <c r="BW263" s="87"/>
      <c r="BX263" s="87"/>
      <c r="BY263" s="87"/>
      <c r="BZ263" s="87"/>
      <c r="CA263" s="87"/>
      <c r="CB263" s="87"/>
      <c r="CC263" s="87"/>
      <c r="CD263" s="87"/>
      <c r="CE263" s="87"/>
      <c r="CF263" s="87"/>
      <c r="CG263" s="87"/>
      <c r="CH263" s="87"/>
      <c r="CI263" s="87"/>
      <c r="CJ263" s="87"/>
      <c r="CK263" s="87"/>
      <c r="CL263" s="87"/>
      <c r="CM263" s="87"/>
      <c r="CN263" s="87"/>
      <c r="CO263" s="87"/>
      <c r="CP263" s="87"/>
      <c r="CQ263" s="87"/>
      <c r="CR263" s="87"/>
      <c r="CS263" s="87"/>
      <c r="CT263" s="87"/>
      <c r="CU263" s="87"/>
      <c r="CV263" s="87"/>
      <c r="CW263" s="87"/>
      <c r="CX263" s="87"/>
      <c r="CY263" s="87"/>
      <c r="CZ263" s="87"/>
      <c r="DA263" s="87"/>
      <c r="DB263" s="87"/>
      <c r="DC263" s="87"/>
      <c r="DD263" s="87"/>
      <c r="DE263" s="87"/>
      <c r="DF263" s="87"/>
      <c r="DG263" s="87"/>
      <c r="DH263" s="87"/>
      <c r="DI263" s="87"/>
      <c r="DJ263" s="87"/>
      <c r="DK263" s="87"/>
      <c r="DL263" s="87"/>
      <c r="DM263" s="87"/>
      <c r="DN263" s="87"/>
      <c r="DO263" s="87"/>
      <c r="DP263" s="87"/>
      <c r="DQ263" s="87"/>
      <c r="DR263" s="87"/>
      <c r="DS263" s="87"/>
      <c r="DT263" s="87"/>
      <c r="DU263" s="87"/>
      <c r="DV263" s="87"/>
      <c r="DW263" s="87"/>
      <c r="DX263" s="87"/>
      <c r="DY263" s="87"/>
      <c r="DZ263" s="87"/>
      <c r="EA263" s="87"/>
      <c r="EB263" s="87"/>
      <c r="EC263" s="87"/>
      <c r="ED263" s="87"/>
      <c r="EE263" s="87"/>
      <c r="EF263" s="87"/>
      <c r="EG263" s="87"/>
      <c r="EH263" s="87"/>
      <c r="EI263" s="87"/>
    </row>
    <row r="264" spans="1:139" ht="43.5" hidden="1" thickBot="1" x14ac:dyDescent="0.35">
      <c r="A264" s="222" t="s">
        <v>243</v>
      </c>
      <c r="B264" s="191">
        <v>3</v>
      </c>
      <c r="C264" s="177">
        <f>60*0.65</f>
        <v>39</v>
      </c>
      <c r="D264" s="217">
        <f>C264/VLOOKUP(B264,'[2]Gas Prod per PADD'!$A$1:$C$6,2,FALSE)</f>
        <v>8.4782608695652181E-3</v>
      </c>
      <c r="E264" s="178">
        <v>45537</v>
      </c>
      <c r="F264" s="179">
        <v>45539</v>
      </c>
      <c r="G264" s="180" t="s">
        <v>559</v>
      </c>
      <c r="H264" s="181" t="s">
        <v>560</v>
      </c>
      <c r="I264" s="84"/>
      <c r="J264" s="85"/>
      <c r="K264" s="85"/>
      <c r="L264" s="85"/>
      <c r="M264" s="85"/>
      <c r="N264" s="85"/>
      <c r="O264" s="85"/>
      <c r="P264" s="85"/>
      <c r="Q264" s="85"/>
      <c r="R264" s="85"/>
      <c r="S264" s="85"/>
      <c r="T264" s="85"/>
      <c r="U264" s="85"/>
      <c r="V264" s="84"/>
      <c r="W264" s="84"/>
      <c r="X264" s="84" t="str">
        <f t="shared" si="13"/>
        <v>OK</v>
      </c>
      <c r="Y264" s="105"/>
      <c r="Z264" s="105"/>
      <c r="AA264" s="87"/>
      <c r="AB264" s="87"/>
      <c r="AC264" s="87"/>
      <c r="AD264" s="87"/>
      <c r="AE264" s="105"/>
      <c r="AF264" s="105"/>
      <c r="AG264" s="105"/>
      <c r="AH264" s="105"/>
      <c r="AI264" s="87"/>
      <c r="AJ264" s="87"/>
      <c r="AK264" s="105"/>
      <c r="AL264" s="87"/>
      <c r="AM264" s="105"/>
      <c r="AN264" s="105"/>
      <c r="AO264" s="87"/>
      <c r="AP264" s="87"/>
      <c r="AQ264" s="105"/>
      <c r="AR264" s="105"/>
      <c r="AS264" s="87"/>
      <c r="AT264" s="105"/>
      <c r="AU264" s="105"/>
      <c r="AV264" s="87"/>
      <c r="AW264" s="105"/>
      <c r="AX264" s="105"/>
      <c r="AY264" s="87"/>
      <c r="AZ264" s="105"/>
      <c r="BA264" s="105"/>
      <c r="BB264" s="105"/>
      <c r="BC264" s="87"/>
      <c r="BD264" s="87"/>
      <c r="BE264" s="105"/>
      <c r="BF264" s="105"/>
      <c r="BG264" s="105"/>
      <c r="BH264" s="105"/>
      <c r="BI264" s="105"/>
      <c r="BJ264" s="87"/>
      <c r="BK264" s="87"/>
      <c r="BL264" s="87"/>
      <c r="BM264" s="87"/>
      <c r="BN264" s="87"/>
      <c r="BO264" s="87"/>
      <c r="BP264" s="87"/>
      <c r="BQ264" s="87">
        <v>0</v>
      </c>
      <c r="BR264" s="87">
        <v>0</v>
      </c>
      <c r="BS264" s="87"/>
      <c r="BT264" s="87"/>
      <c r="BU264" s="87"/>
      <c r="BV264" s="87"/>
      <c r="BW264" s="87"/>
      <c r="BX264" s="87"/>
      <c r="BY264" s="87"/>
      <c r="BZ264" s="87"/>
      <c r="CA264" s="87"/>
      <c r="CB264" s="87"/>
      <c r="CC264" s="87"/>
      <c r="CD264" s="87"/>
      <c r="CE264" s="87"/>
      <c r="CF264" s="87"/>
      <c r="CG264" s="87"/>
      <c r="CH264" s="87"/>
      <c r="CI264" s="87"/>
      <c r="CJ264" s="87"/>
      <c r="CK264" s="87"/>
      <c r="CL264" s="87"/>
      <c r="CM264" s="87"/>
      <c r="CN264" s="87"/>
      <c r="CO264" s="87"/>
      <c r="CP264" s="87"/>
      <c r="CQ264" s="87"/>
      <c r="CR264" s="87"/>
      <c r="CS264" s="87"/>
      <c r="CT264" s="87"/>
      <c r="CU264" s="87"/>
      <c r="CV264" s="87"/>
      <c r="CW264" s="87"/>
      <c r="CX264" s="87"/>
      <c r="CY264" s="87"/>
      <c r="CZ264" s="87"/>
      <c r="DA264" s="87"/>
      <c r="DB264" s="87"/>
      <c r="DC264" s="87"/>
      <c r="DD264" s="87"/>
      <c r="DE264" s="87"/>
      <c r="DF264" s="87"/>
      <c r="DG264" s="87"/>
      <c r="DH264" s="87"/>
      <c r="DI264" s="87"/>
      <c r="DJ264" s="87"/>
      <c r="DK264" s="87"/>
      <c r="DL264" s="87"/>
      <c r="DM264" s="87"/>
      <c r="DN264" s="87"/>
      <c r="DO264" s="87"/>
      <c r="DP264" s="87"/>
      <c r="DQ264" s="87"/>
      <c r="DR264" s="87"/>
      <c r="DS264" s="87"/>
      <c r="DT264" s="87"/>
      <c r="DU264" s="87"/>
      <c r="DV264" s="87"/>
      <c r="DW264" s="87"/>
      <c r="DX264" s="87"/>
      <c r="DY264" s="87"/>
      <c r="DZ264" s="87"/>
      <c r="EA264" s="87"/>
      <c r="EB264" s="87"/>
      <c r="EC264" s="87"/>
      <c r="ED264" s="87"/>
      <c r="EE264" s="87"/>
      <c r="EF264" s="87"/>
      <c r="EG264" s="87"/>
      <c r="EH264" s="87"/>
      <c r="EI264" s="87"/>
    </row>
    <row r="265" spans="1:139" ht="16.5" hidden="1" thickBot="1" x14ac:dyDescent="0.35">
      <c r="A265" s="222" t="s">
        <v>322</v>
      </c>
      <c r="B265" s="191">
        <v>3</v>
      </c>
      <c r="C265" s="177">
        <f>30*0.85</f>
        <v>25.5</v>
      </c>
      <c r="D265" s="217">
        <f>C265/VLOOKUP(B265,'[2]Gas Prod per PADD'!$A$1:$C$6,2,FALSE)</f>
        <v>5.5434782608695648E-3</v>
      </c>
      <c r="E265" s="178">
        <v>45525</v>
      </c>
      <c r="F265" s="179">
        <v>45542</v>
      </c>
      <c r="G265" s="180" t="s">
        <v>163</v>
      </c>
      <c r="H265" s="181" t="s">
        <v>538</v>
      </c>
      <c r="I265" s="84"/>
      <c r="J265" s="85"/>
      <c r="K265" s="85"/>
      <c r="L265" s="85"/>
      <c r="M265" s="85"/>
      <c r="N265" s="85"/>
      <c r="O265" s="85"/>
      <c r="P265" s="85"/>
      <c r="Q265" s="85"/>
      <c r="R265" s="85"/>
      <c r="S265" s="85"/>
      <c r="T265" s="85"/>
      <c r="U265" s="85"/>
      <c r="V265" s="84"/>
      <c r="W265" s="84"/>
      <c r="X265" s="84" t="str">
        <f t="shared" si="13"/>
        <v>OK</v>
      </c>
      <c r="Y265" s="105"/>
      <c r="Z265" s="105"/>
      <c r="AA265" s="87"/>
      <c r="AB265" s="87"/>
      <c r="AC265" s="87"/>
      <c r="AD265" s="87"/>
      <c r="AE265" s="105"/>
      <c r="AF265" s="105"/>
      <c r="AG265" s="105"/>
      <c r="AH265" s="105"/>
      <c r="AI265" s="87"/>
      <c r="AJ265" s="87"/>
      <c r="AK265" s="105"/>
      <c r="AL265" s="87"/>
      <c r="AM265" s="105"/>
      <c r="AN265" s="105"/>
      <c r="AO265" s="87"/>
      <c r="AP265" s="87"/>
      <c r="AQ265" s="105"/>
      <c r="AR265" s="105"/>
      <c r="AS265" s="87"/>
      <c r="AT265" s="105"/>
      <c r="AU265" s="105"/>
      <c r="AV265" s="87"/>
      <c r="AW265" s="105"/>
      <c r="AX265" s="105"/>
      <c r="AY265" s="87"/>
      <c r="AZ265" s="105"/>
      <c r="BA265" s="105"/>
      <c r="BB265" s="105"/>
      <c r="BC265" s="87"/>
      <c r="BD265" s="87"/>
      <c r="BE265" s="105"/>
      <c r="BF265" s="105"/>
      <c r="BG265" s="105"/>
      <c r="BH265" s="105"/>
      <c r="BI265" s="105"/>
      <c r="BJ265" s="87"/>
      <c r="BK265" s="87"/>
      <c r="BL265" s="87"/>
      <c r="BM265" s="87"/>
      <c r="BN265" s="87"/>
      <c r="BO265" s="105">
        <f>-1/7*C265</f>
        <v>-3.6428571428571428</v>
      </c>
      <c r="BP265" s="105">
        <f>-C265-BO265</f>
        <v>-21.857142857142858</v>
      </c>
      <c r="BQ265" s="105"/>
      <c r="BR265" s="105">
        <f>BP265*-1</f>
        <v>21.857142857142858</v>
      </c>
      <c r="BS265" s="105">
        <f>-BO265</f>
        <v>3.6428571428571428</v>
      </c>
      <c r="BT265" s="87"/>
      <c r="BU265" s="87"/>
      <c r="BV265" s="87"/>
      <c r="BW265" s="87"/>
      <c r="BX265" s="87"/>
      <c r="BY265" s="87"/>
      <c r="BZ265" s="87"/>
      <c r="CA265" s="87"/>
      <c r="CB265" s="87"/>
      <c r="CC265" s="87"/>
      <c r="CD265" s="87"/>
      <c r="CE265" s="87"/>
      <c r="CF265" s="87"/>
      <c r="CG265" s="87"/>
      <c r="CH265" s="87"/>
      <c r="CI265" s="87"/>
      <c r="CJ265" s="87"/>
      <c r="CK265" s="87"/>
      <c r="CL265" s="87"/>
      <c r="CM265" s="87"/>
      <c r="CN265" s="87"/>
      <c r="CO265" s="87"/>
      <c r="CP265" s="87"/>
      <c r="CQ265" s="87"/>
      <c r="CR265" s="87"/>
      <c r="CS265" s="87"/>
      <c r="CT265" s="87"/>
      <c r="CU265" s="87"/>
      <c r="CV265" s="87"/>
      <c r="CW265" s="87"/>
      <c r="CX265" s="87"/>
      <c r="CY265" s="87"/>
      <c r="CZ265" s="87"/>
      <c r="DA265" s="87"/>
      <c r="DB265" s="87"/>
      <c r="DC265" s="87"/>
      <c r="DD265" s="87"/>
      <c r="DE265" s="87"/>
      <c r="DF265" s="87"/>
      <c r="DG265" s="87"/>
      <c r="DH265" s="87"/>
      <c r="DI265" s="87"/>
      <c r="DJ265" s="87"/>
      <c r="DK265" s="87"/>
      <c r="DL265" s="87"/>
      <c r="DM265" s="87"/>
      <c r="DN265" s="87"/>
      <c r="DO265" s="87"/>
      <c r="DP265" s="87"/>
      <c r="DQ265" s="87"/>
      <c r="DR265" s="87"/>
      <c r="DS265" s="87"/>
      <c r="DT265" s="87"/>
      <c r="DU265" s="87"/>
      <c r="DV265" s="87"/>
      <c r="DW265" s="87"/>
      <c r="DX265" s="87"/>
      <c r="DY265" s="87"/>
      <c r="DZ265" s="87"/>
      <c r="EA265" s="87"/>
      <c r="EB265" s="87"/>
      <c r="EC265" s="87"/>
      <c r="ED265" s="87"/>
      <c r="EE265" s="87"/>
      <c r="EF265" s="87"/>
      <c r="EG265" s="87"/>
      <c r="EH265" s="87"/>
      <c r="EI265" s="87"/>
    </row>
    <row r="266" spans="1:139" ht="16.5" hidden="1" thickBot="1" x14ac:dyDescent="0.35">
      <c r="A266" s="242" t="s">
        <v>352</v>
      </c>
      <c r="B266" s="194">
        <v>5</v>
      </c>
      <c r="C266" s="195">
        <f>15*0.85</f>
        <v>12.75</v>
      </c>
      <c r="D266" s="217">
        <f>C266/VLOOKUP(B266,'[2]Gas Prod per PADD'!$A$1:$C$6,2,FALSE)</f>
        <v>9.4444444444444445E-3</v>
      </c>
      <c r="E266" s="231">
        <v>45540</v>
      </c>
      <c r="F266" s="197">
        <v>45542</v>
      </c>
      <c r="G266" s="194" t="s">
        <v>163</v>
      </c>
      <c r="H266" s="198" t="s">
        <v>561</v>
      </c>
      <c r="I266" s="84"/>
      <c r="J266" s="85"/>
      <c r="K266" s="85"/>
      <c r="L266" s="85"/>
      <c r="M266" s="85"/>
      <c r="N266" s="85"/>
      <c r="O266" s="85"/>
      <c r="P266" s="85"/>
      <c r="Q266" s="85"/>
      <c r="R266" s="85"/>
      <c r="S266" s="85"/>
      <c r="T266" s="85"/>
      <c r="U266" s="85"/>
      <c r="V266" s="84"/>
      <c r="W266" s="84"/>
      <c r="X266" s="84" t="str">
        <f t="shared" si="13"/>
        <v>OK</v>
      </c>
      <c r="Y266" s="87"/>
      <c r="Z266" s="87"/>
      <c r="AA266" s="87"/>
      <c r="AB266" s="87"/>
      <c r="AC266" s="87"/>
      <c r="AD266" s="87"/>
      <c r="AE266" s="87"/>
      <c r="AF266" s="87"/>
      <c r="AG266" s="87"/>
      <c r="AH266" s="87"/>
      <c r="AI266" s="87"/>
      <c r="AJ266" s="87"/>
      <c r="AK266" s="87"/>
      <c r="AL266" s="87"/>
      <c r="AM266" s="87"/>
      <c r="AN266" s="87"/>
      <c r="AO266" s="87"/>
      <c r="AP266" s="87"/>
      <c r="AQ266" s="87"/>
      <c r="AR266" s="87"/>
      <c r="AS266" s="87"/>
      <c r="AT266" s="87"/>
      <c r="AU266" s="87"/>
      <c r="AV266" s="87"/>
      <c r="AW266" s="87"/>
      <c r="AX266" s="87"/>
      <c r="AY266" s="87"/>
      <c r="AZ266" s="87"/>
      <c r="BA266" s="87"/>
      <c r="BB266" s="87"/>
      <c r="BC266" s="87"/>
      <c r="BD266" s="87"/>
      <c r="BE266" s="87"/>
      <c r="BF266" s="87"/>
      <c r="BG266" s="87"/>
      <c r="BH266" s="87"/>
      <c r="BI266" s="87"/>
      <c r="BJ266" s="87"/>
      <c r="BK266" s="87"/>
      <c r="BL266" s="87"/>
      <c r="BM266" s="87"/>
      <c r="BN266" s="87"/>
      <c r="BO266" s="87"/>
      <c r="BP266" s="87"/>
      <c r="BQ266" s="87">
        <f>(-2/7)*C266</f>
        <v>-3.6428571428571428</v>
      </c>
      <c r="BR266" s="87">
        <f>BQ266*-1</f>
        <v>3.6428571428571428</v>
      </c>
      <c r="BS266" s="87"/>
      <c r="BT266" s="87"/>
      <c r="BU266" s="87"/>
      <c r="BV266" s="87"/>
      <c r="BW266" s="87"/>
      <c r="BX266" s="87"/>
      <c r="BY266" s="87"/>
      <c r="BZ266" s="87"/>
      <c r="CA266" s="87"/>
      <c r="CB266" s="87"/>
      <c r="CC266" s="87"/>
      <c r="CD266" s="87"/>
      <c r="CE266" s="87"/>
      <c r="CF266" s="87"/>
      <c r="CG266" s="87"/>
      <c r="CH266" s="87"/>
      <c r="CI266" s="87"/>
      <c r="CJ266" s="87"/>
      <c r="CK266" s="87"/>
      <c r="CL266" s="87"/>
      <c r="CM266" s="87"/>
      <c r="CN266" s="87"/>
      <c r="CO266" s="87"/>
      <c r="CP266" s="87"/>
      <c r="CQ266" s="87"/>
      <c r="CR266" s="87"/>
      <c r="CS266" s="87"/>
      <c r="CT266" s="87"/>
      <c r="CU266" s="87"/>
      <c r="CV266" s="87"/>
      <c r="CW266" s="87"/>
      <c r="CX266" s="87"/>
      <c r="CY266" s="87"/>
      <c r="CZ266" s="87"/>
      <c r="DA266" s="87"/>
      <c r="DB266" s="87"/>
      <c r="DC266" s="87"/>
      <c r="DD266" s="87"/>
      <c r="DE266" s="87"/>
      <c r="DF266" s="87"/>
      <c r="DG266" s="87"/>
      <c r="DH266" s="87"/>
      <c r="DI266" s="87"/>
      <c r="DJ266" s="87"/>
      <c r="DK266" s="87"/>
      <c r="DL266" s="87"/>
      <c r="DM266" s="87"/>
      <c r="DN266" s="87"/>
      <c r="DO266" s="87"/>
      <c r="DP266" s="87"/>
      <c r="DQ266" s="87"/>
      <c r="DR266" s="87"/>
      <c r="DS266" s="87"/>
      <c r="DT266" s="87"/>
      <c r="DU266" s="87"/>
      <c r="DV266" s="87"/>
      <c r="DW266" s="87"/>
      <c r="DX266" s="87"/>
      <c r="DY266" s="87"/>
      <c r="DZ266" s="87"/>
      <c r="EA266" s="87"/>
      <c r="EB266" s="87"/>
      <c r="EC266" s="87"/>
      <c r="ED266" s="87"/>
      <c r="EE266" s="87"/>
      <c r="EF266" s="87"/>
      <c r="EG266" s="75">
        <v>46017</v>
      </c>
      <c r="EH266" s="75">
        <v>46024</v>
      </c>
      <c r="EI266" s="75">
        <v>46031</v>
      </c>
    </row>
    <row r="267" spans="1:139" ht="29.25" hidden="1" thickBot="1" x14ac:dyDescent="0.35">
      <c r="A267" s="218" t="s">
        <v>248</v>
      </c>
      <c r="B267" s="194">
        <v>3</v>
      </c>
      <c r="C267" s="195">
        <f>(115*0.2)</f>
        <v>23</v>
      </c>
      <c r="D267" s="217">
        <f>C267/VLOOKUP(B267,'[2]Gas Prod per PADD'!$A$1:$C$6,2,FALSE)</f>
        <v>5.0000000000000001E-3</v>
      </c>
      <c r="E267" s="225">
        <v>45506</v>
      </c>
      <c r="F267" s="226">
        <v>45543</v>
      </c>
      <c r="G267" s="180" t="s">
        <v>351</v>
      </c>
      <c r="H267" s="221" t="s">
        <v>562</v>
      </c>
      <c r="I267" s="84"/>
      <c r="J267" s="85"/>
      <c r="K267" s="85"/>
      <c r="L267" s="85"/>
      <c r="M267" s="85"/>
      <c r="N267" s="85"/>
      <c r="O267" s="85"/>
      <c r="P267" s="85"/>
      <c r="Q267" s="85"/>
      <c r="R267" s="85"/>
      <c r="S267" s="85"/>
      <c r="T267" s="85"/>
      <c r="U267" s="85"/>
      <c r="V267" s="84"/>
      <c r="W267" s="84"/>
      <c r="X267" s="84" t="str">
        <f t="shared" si="13"/>
        <v>OK</v>
      </c>
      <c r="Y267" s="87"/>
      <c r="Z267" s="87"/>
      <c r="AA267" s="87"/>
      <c r="AB267" s="87"/>
      <c r="AC267" s="87"/>
      <c r="AD267" s="87"/>
      <c r="AE267" s="87"/>
      <c r="AF267" s="87"/>
      <c r="AG267" s="87"/>
      <c r="AH267" s="87"/>
      <c r="AI267" s="87"/>
      <c r="AJ267" s="87"/>
      <c r="AK267" s="87"/>
      <c r="AL267" s="87"/>
      <c r="AM267" s="87"/>
      <c r="AN267" s="87"/>
      <c r="AO267" s="87"/>
      <c r="AP267" s="87"/>
      <c r="AQ267" s="87"/>
      <c r="AR267" s="87"/>
      <c r="AS267" s="87"/>
      <c r="AT267" s="87"/>
      <c r="AU267" s="87"/>
      <c r="AV267" s="87"/>
      <c r="AW267" s="87"/>
      <c r="AX267" s="87"/>
      <c r="AY267" s="87"/>
      <c r="AZ267" s="87"/>
      <c r="BA267" s="87"/>
      <c r="BB267" s="87"/>
      <c r="BC267" s="87"/>
      <c r="BD267" s="87"/>
      <c r="BE267" s="87"/>
      <c r="BF267" s="87"/>
      <c r="BG267" s="87"/>
      <c r="BH267" s="87"/>
      <c r="BI267" s="87"/>
      <c r="BJ267" s="87"/>
      <c r="BK267" s="87"/>
      <c r="BL267" s="87"/>
      <c r="BM267" s="87">
        <f>-C267/2</f>
        <v>-11.5</v>
      </c>
      <c r="BN267" s="87">
        <f>BM267</f>
        <v>-11.5</v>
      </c>
      <c r="BO267" s="87"/>
      <c r="BP267" s="87"/>
      <c r="BQ267" s="87"/>
      <c r="BR267" s="87">
        <f>2/3*C267</f>
        <v>15.333333333333332</v>
      </c>
      <c r="BS267" s="105">
        <f>C267-BR267</f>
        <v>7.6666666666666679</v>
      </c>
      <c r="BT267" s="87"/>
      <c r="BU267" s="87"/>
      <c r="BV267" s="87"/>
      <c r="BW267" s="87"/>
      <c r="BX267" s="87"/>
      <c r="BY267" s="87"/>
      <c r="BZ267" s="87"/>
      <c r="CA267" s="87"/>
      <c r="CB267" s="87"/>
      <c r="CC267" s="87"/>
      <c r="CD267" s="87"/>
      <c r="CE267" s="87"/>
      <c r="CF267" s="87"/>
      <c r="CG267" s="87"/>
      <c r="CH267" s="87"/>
      <c r="CI267" s="87"/>
      <c r="CJ267" s="87"/>
      <c r="CK267" s="87"/>
      <c r="CL267" s="87"/>
      <c r="CM267" s="87"/>
      <c r="CN267" s="87"/>
      <c r="CO267" s="87"/>
      <c r="CP267" s="87"/>
      <c r="CQ267" s="87"/>
      <c r="CR267" s="87"/>
      <c r="CS267" s="87"/>
      <c r="CT267" s="87"/>
      <c r="CU267" s="87"/>
      <c r="CV267" s="87"/>
      <c r="CW267" s="87"/>
      <c r="CX267" s="87"/>
      <c r="CY267" s="87"/>
      <c r="CZ267" s="87"/>
      <c r="DA267" s="87"/>
      <c r="DB267" s="87"/>
      <c r="DC267" s="87"/>
      <c r="DD267" s="87"/>
      <c r="DE267" s="87"/>
      <c r="DF267" s="87"/>
      <c r="DG267" s="87"/>
      <c r="DH267" s="87"/>
      <c r="DI267" s="87"/>
      <c r="DJ267" s="87"/>
      <c r="DK267" s="87"/>
      <c r="DL267" s="87"/>
      <c r="DM267" s="87"/>
      <c r="DN267" s="87"/>
      <c r="DO267" s="87"/>
      <c r="DP267" s="87"/>
      <c r="DQ267" s="87"/>
      <c r="DR267" s="87"/>
      <c r="DS267" s="87"/>
      <c r="DT267" s="87"/>
      <c r="DU267" s="87"/>
      <c r="DV267" s="87"/>
      <c r="DW267" s="87"/>
      <c r="DX267" s="87"/>
      <c r="DY267" s="87"/>
      <c r="DZ267" s="87"/>
      <c r="EA267" s="87"/>
      <c r="EB267" s="87"/>
      <c r="EC267" s="87"/>
      <c r="ED267" s="87"/>
      <c r="EE267" s="87"/>
      <c r="EF267" s="87"/>
      <c r="EG267" s="87"/>
      <c r="EH267" s="87"/>
      <c r="EI267" s="87"/>
    </row>
    <row r="268" spans="1:139" ht="16.5" hidden="1" thickBot="1" x14ac:dyDescent="0.35">
      <c r="A268" s="237" t="s">
        <v>563</v>
      </c>
      <c r="B268" s="194">
        <v>2</v>
      </c>
      <c r="C268" s="195">
        <f>55*0.26</f>
        <v>14.3</v>
      </c>
      <c r="D268" s="217">
        <f>C268/VLOOKUP(B268,'[2]Gas Prod per PADD'!$A$1:$C$6,2,FALSE)</f>
        <v>5.9583333333333337E-3</v>
      </c>
      <c r="E268" s="196">
        <v>45539</v>
      </c>
      <c r="F268" s="197">
        <v>45544</v>
      </c>
      <c r="G268" s="194" t="s">
        <v>564</v>
      </c>
      <c r="H268" s="198" t="s">
        <v>485</v>
      </c>
      <c r="I268" s="84"/>
      <c r="J268" s="85"/>
      <c r="K268" s="85"/>
      <c r="L268" s="85"/>
      <c r="M268" s="85"/>
      <c r="N268" s="85"/>
      <c r="O268" s="85"/>
      <c r="P268" s="85"/>
      <c r="Q268" s="85"/>
      <c r="R268" s="85"/>
      <c r="S268" s="85"/>
      <c r="T268" s="85"/>
      <c r="U268" s="85"/>
      <c r="V268" s="84"/>
      <c r="W268" s="84"/>
      <c r="X268" s="84" t="str">
        <f t="shared" si="13"/>
        <v>OK</v>
      </c>
      <c r="Y268" s="86"/>
      <c r="Z268" s="87"/>
      <c r="AA268" s="87"/>
      <c r="AB268" s="87"/>
      <c r="AC268" s="87"/>
      <c r="AD268" s="87"/>
      <c r="AE268" s="87"/>
      <c r="AF268" s="87"/>
      <c r="AG268" s="87"/>
      <c r="AH268" s="87"/>
      <c r="AI268" s="87"/>
      <c r="AJ268" s="87"/>
      <c r="AK268" s="87"/>
      <c r="AL268" s="87"/>
      <c r="AM268" s="87"/>
      <c r="AN268" s="87"/>
      <c r="AO268" s="87"/>
      <c r="AP268" s="87"/>
      <c r="AQ268" s="87"/>
      <c r="AR268" s="87"/>
      <c r="AS268" s="87"/>
      <c r="AT268" s="87"/>
      <c r="AU268" s="87"/>
      <c r="AV268" s="87"/>
      <c r="AW268" s="87"/>
      <c r="AX268" s="87"/>
      <c r="AY268" s="87"/>
      <c r="AZ268" s="87"/>
      <c r="BA268" s="87"/>
      <c r="BB268" s="87"/>
      <c r="BC268" s="87"/>
      <c r="BD268" s="87"/>
      <c r="BE268" s="87"/>
      <c r="BF268" s="87"/>
      <c r="BG268" s="87"/>
      <c r="BH268" s="87"/>
      <c r="BI268" s="87"/>
      <c r="BJ268" s="87"/>
      <c r="BK268" s="87"/>
      <c r="BL268" s="87"/>
      <c r="BM268" s="87"/>
      <c r="BN268" s="87"/>
      <c r="BO268" s="87"/>
      <c r="BP268" s="87"/>
      <c r="BQ268" s="87"/>
      <c r="BR268" s="87">
        <f>-0.5*C268</f>
        <v>-7.15</v>
      </c>
      <c r="BS268" s="87">
        <f>BR268*-1</f>
        <v>7.15</v>
      </c>
      <c r="BT268" s="87"/>
      <c r="BU268" s="87"/>
      <c r="BV268" s="87"/>
      <c r="BW268" s="87"/>
      <c r="BX268" s="87"/>
      <c r="BY268" s="87"/>
      <c r="BZ268" s="87"/>
      <c r="CA268" s="87"/>
      <c r="CB268" s="87"/>
      <c r="CC268" s="87"/>
      <c r="CD268" s="87"/>
      <c r="CE268" s="87"/>
      <c r="CF268" s="87"/>
      <c r="CG268" s="87"/>
      <c r="CH268" s="87"/>
      <c r="CI268" s="87"/>
      <c r="CJ268" s="87"/>
      <c r="CK268" s="87"/>
      <c r="CL268" s="87"/>
      <c r="CM268" s="87"/>
      <c r="CN268" s="87"/>
      <c r="CO268" s="87"/>
      <c r="CP268" s="87"/>
      <c r="CQ268" s="87"/>
      <c r="CR268" s="87"/>
      <c r="CS268" s="87"/>
      <c r="CT268" s="87"/>
      <c r="CU268" s="87"/>
      <c r="CV268" s="87"/>
      <c r="CW268" s="87"/>
      <c r="CX268" s="87"/>
      <c r="CY268" s="87"/>
      <c r="CZ268" s="87"/>
      <c r="DA268" s="87"/>
      <c r="DB268" s="87"/>
      <c r="DC268" s="87"/>
      <c r="DD268" s="87"/>
      <c r="DE268" s="87"/>
      <c r="DF268" s="87"/>
      <c r="DG268" s="87"/>
      <c r="DH268" s="87"/>
      <c r="DI268" s="87"/>
      <c r="DJ268" s="87"/>
      <c r="DK268" s="87"/>
      <c r="DL268" s="87"/>
      <c r="DM268" s="87"/>
      <c r="DN268" s="87"/>
      <c r="DO268" s="87"/>
      <c r="DP268" s="87"/>
      <c r="DQ268" s="87"/>
      <c r="DR268" s="87"/>
      <c r="DS268" s="87"/>
      <c r="DT268" s="87"/>
      <c r="DU268" s="87"/>
      <c r="DV268" s="87"/>
      <c r="DW268" s="87"/>
      <c r="DX268" s="87"/>
      <c r="DY268" s="87"/>
      <c r="DZ268" s="87"/>
      <c r="EA268" s="87"/>
      <c r="EB268" s="87"/>
      <c r="EC268" s="87"/>
      <c r="ED268" s="87"/>
      <c r="EE268" s="87"/>
      <c r="EF268" s="87"/>
      <c r="EG268" s="87"/>
      <c r="EH268" s="87"/>
      <c r="EI268" s="87"/>
    </row>
    <row r="269" spans="1:139" ht="16.5" hidden="1" thickBot="1" x14ac:dyDescent="0.35">
      <c r="A269" s="161" t="s">
        <v>212</v>
      </c>
      <c r="B269" s="194">
        <v>5</v>
      </c>
      <c r="C269" s="195">
        <f>166*0.1+0.65*100+0.05*24+0.1*52+17*0.85</f>
        <v>102.45</v>
      </c>
      <c r="D269" s="217">
        <f>C269/VLOOKUP(B269,'[2]Gas Prod per PADD'!$A$1:$C$6,2,FALSE)</f>
        <v>7.5888888888888895E-2</v>
      </c>
      <c r="E269" s="231">
        <v>45542</v>
      </c>
      <c r="F269" s="197">
        <v>45544</v>
      </c>
      <c r="G269" s="194" t="s">
        <v>213</v>
      </c>
      <c r="H269" s="230" t="s">
        <v>565</v>
      </c>
      <c r="I269" s="84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4"/>
      <c r="W269" s="84"/>
      <c r="X269" s="84" t="str">
        <f t="shared" si="13"/>
        <v>OK</v>
      </c>
      <c r="Y269" s="105"/>
      <c r="Z269" s="105"/>
      <c r="AA269" s="87"/>
      <c r="AB269" s="87"/>
      <c r="AC269" s="87"/>
      <c r="AD269" s="87"/>
      <c r="AE269" s="105"/>
      <c r="AF269" s="105"/>
      <c r="AG269" s="105"/>
      <c r="AH269" s="105"/>
      <c r="AI269" s="87"/>
      <c r="AJ269" s="87"/>
      <c r="AK269" s="105"/>
      <c r="AL269" s="87"/>
      <c r="AM269" s="105"/>
      <c r="AN269" s="105"/>
      <c r="AO269" s="87"/>
      <c r="AP269" s="87"/>
      <c r="AQ269" s="105"/>
      <c r="AR269" s="105"/>
      <c r="AS269" s="87"/>
      <c r="AT269" s="105"/>
      <c r="AU269" s="87"/>
      <c r="AV269" s="87"/>
      <c r="AW269" s="105"/>
      <c r="AX269" s="105"/>
      <c r="AY269" s="87"/>
      <c r="AZ269" s="105"/>
      <c r="BA269" s="105"/>
      <c r="BB269" s="105"/>
      <c r="BC269" s="105"/>
      <c r="BD269" s="105"/>
      <c r="BE269" s="105"/>
      <c r="BF269" s="105"/>
      <c r="BG269" s="105"/>
      <c r="BH269" s="105"/>
      <c r="BI269" s="105"/>
      <c r="BJ269" s="87"/>
      <c r="BK269" s="87"/>
      <c r="BL269" s="87"/>
      <c r="BM269" s="87"/>
      <c r="BN269" s="87"/>
      <c r="BO269" s="87"/>
      <c r="BP269" s="87"/>
      <c r="BQ269" s="87"/>
      <c r="BR269" s="87">
        <f>(C269*(-1/7))</f>
        <v>-14.635714285714286</v>
      </c>
      <c r="BS269" s="87">
        <f>BR269*-1</f>
        <v>14.635714285714286</v>
      </c>
      <c r="BT269" s="87"/>
      <c r="BU269" s="87"/>
      <c r="BV269" s="87"/>
      <c r="BW269" s="87"/>
      <c r="BX269" s="87"/>
      <c r="BY269" s="87"/>
      <c r="BZ269" s="87"/>
      <c r="CA269" s="87"/>
      <c r="CB269" s="87"/>
      <c r="CC269" s="87"/>
      <c r="CD269" s="87"/>
      <c r="CE269" s="87"/>
      <c r="CF269" s="87"/>
      <c r="CG269" s="87"/>
      <c r="CH269" s="87"/>
      <c r="CI269" s="87"/>
      <c r="CJ269" s="87"/>
      <c r="CK269" s="87"/>
      <c r="CL269" s="87"/>
      <c r="CM269" s="87"/>
      <c r="CN269" s="87"/>
      <c r="CO269" s="87"/>
      <c r="CP269" s="87"/>
      <c r="CQ269" s="87"/>
      <c r="CR269" s="87"/>
      <c r="CS269" s="87"/>
      <c r="CT269" s="87"/>
      <c r="CU269" s="87"/>
      <c r="CV269" s="87"/>
      <c r="CW269" s="87"/>
      <c r="CX269" s="87"/>
      <c r="CY269" s="87"/>
      <c r="CZ269" s="87"/>
      <c r="DA269" s="87"/>
      <c r="DB269" s="87"/>
      <c r="DC269" s="87"/>
      <c r="DD269" s="87"/>
      <c r="DE269" s="87"/>
      <c r="DF269" s="87"/>
      <c r="DG269" s="87"/>
      <c r="DH269" s="87"/>
      <c r="DI269" s="87"/>
      <c r="DJ269" s="87"/>
      <c r="DK269" s="87"/>
      <c r="DL269" s="87"/>
      <c r="DM269" s="87"/>
      <c r="DN269" s="87"/>
      <c r="DO269" s="87"/>
      <c r="DP269" s="87"/>
      <c r="DQ269" s="87"/>
      <c r="DR269" s="87"/>
      <c r="DS269" s="87"/>
      <c r="DT269" s="87"/>
      <c r="DU269" s="87"/>
      <c r="DV269" s="87"/>
      <c r="DW269" s="87"/>
      <c r="DX269" s="87"/>
      <c r="DY269" s="87"/>
      <c r="DZ269" s="87"/>
      <c r="EA269" s="87"/>
      <c r="EB269" s="87"/>
      <c r="EC269" s="87"/>
      <c r="ED269" s="87"/>
      <c r="EE269" s="87"/>
      <c r="EF269" s="87"/>
      <c r="EG269" s="75">
        <v>46017</v>
      </c>
      <c r="EH269" s="75">
        <v>46024</v>
      </c>
      <c r="EI269" s="75">
        <v>46031</v>
      </c>
    </row>
    <row r="270" spans="1:139" ht="16.5" hidden="1" thickBot="1" x14ac:dyDescent="0.35">
      <c r="A270" s="113" t="s">
        <v>566</v>
      </c>
      <c r="B270" s="194">
        <v>3</v>
      </c>
      <c r="C270" s="195">
        <f>75*0.2</f>
        <v>15</v>
      </c>
      <c r="D270" s="217">
        <f>C270/VLOOKUP(B270,'[2]Gas Prod per PADD'!$A$1:$C$6,2,FALSE)</f>
        <v>3.2608695652173911E-3</v>
      </c>
      <c r="E270" s="196">
        <v>45539</v>
      </c>
      <c r="F270" s="197">
        <v>45546</v>
      </c>
      <c r="G270" s="194" t="s">
        <v>351</v>
      </c>
      <c r="H270" s="198" t="s">
        <v>567</v>
      </c>
      <c r="I270" s="84"/>
      <c r="J270" s="85"/>
      <c r="K270" s="85"/>
      <c r="L270" s="85"/>
      <c r="M270" s="85"/>
      <c r="N270" s="85"/>
      <c r="O270" s="85"/>
      <c r="P270" s="85"/>
      <c r="Q270" s="85"/>
      <c r="R270" s="85"/>
      <c r="S270" s="85"/>
      <c r="T270" s="85"/>
      <c r="U270" s="85"/>
      <c r="V270" s="84"/>
      <c r="W270" s="84"/>
      <c r="X270" s="84" t="str">
        <f t="shared" si="13"/>
        <v>OK</v>
      </c>
      <c r="Y270" s="87"/>
      <c r="Z270" s="87"/>
      <c r="AA270" s="87"/>
      <c r="AB270" s="87"/>
      <c r="AC270" s="87"/>
      <c r="AD270" s="87"/>
      <c r="AE270" s="87"/>
      <c r="AF270" s="87"/>
      <c r="AG270" s="87"/>
      <c r="AH270" s="87"/>
      <c r="AI270" s="87"/>
      <c r="AJ270" s="87"/>
      <c r="AK270" s="87"/>
      <c r="AL270" s="87"/>
      <c r="AM270" s="87"/>
      <c r="AN270" s="87"/>
      <c r="AO270" s="87"/>
      <c r="AP270" s="87"/>
      <c r="AQ270" s="87"/>
      <c r="AR270" s="87"/>
      <c r="AS270" s="87"/>
      <c r="AT270" s="87"/>
      <c r="AU270" s="87"/>
      <c r="AV270" s="87"/>
      <c r="AW270" s="87"/>
      <c r="AX270" s="87"/>
      <c r="AY270" s="87"/>
      <c r="AZ270" s="87"/>
      <c r="BA270" s="87"/>
      <c r="BB270" s="87"/>
      <c r="BC270" s="87"/>
      <c r="BD270" s="87"/>
      <c r="BE270" s="87"/>
      <c r="BF270" s="87"/>
      <c r="BG270" s="87"/>
      <c r="BH270" s="87"/>
      <c r="BI270" s="87"/>
      <c r="BJ270" s="87"/>
      <c r="BK270" s="87"/>
      <c r="BL270" s="87"/>
      <c r="BM270" s="87"/>
      <c r="BN270" s="87"/>
      <c r="BO270" s="87"/>
      <c r="BP270" s="87"/>
      <c r="BQ270" s="87">
        <v>0</v>
      </c>
      <c r="BR270" s="87"/>
      <c r="BS270" s="87">
        <f>-BQ270</f>
        <v>0</v>
      </c>
      <c r="BT270" s="87"/>
      <c r="BU270" s="87"/>
      <c r="BV270" s="87"/>
      <c r="BW270" s="87"/>
      <c r="BX270" s="87"/>
      <c r="BY270" s="87"/>
      <c r="BZ270" s="87"/>
      <c r="CA270" s="87"/>
      <c r="CB270" s="87"/>
      <c r="CC270" s="87"/>
      <c r="CD270" s="87"/>
      <c r="CE270" s="87"/>
      <c r="CF270" s="87"/>
      <c r="CG270" s="87"/>
      <c r="CH270" s="87"/>
      <c r="CI270" s="87"/>
      <c r="CJ270" s="87"/>
      <c r="CK270" s="87"/>
      <c r="CL270" s="87"/>
      <c r="CM270" s="87"/>
      <c r="CN270" s="87"/>
      <c r="CO270" s="87"/>
      <c r="CP270" s="87"/>
      <c r="CQ270" s="87"/>
      <c r="CR270" s="87"/>
      <c r="CS270" s="87"/>
      <c r="CT270" s="87"/>
      <c r="CU270" s="87"/>
      <c r="CV270" s="87"/>
      <c r="CW270" s="87"/>
      <c r="CX270" s="87"/>
      <c r="CY270" s="87"/>
      <c r="CZ270" s="87"/>
      <c r="DA270" s="87"/>
      <c r="DB270" s="87"/>
      <c r="DC270" s="87"/>
      <c r="DD270" s="87"/>
      <c r="DE270" s="87"/>
      <c r="DF270" s="87"/>
      <c r="DG270" s="87"/>
      <c r="DH270" s="87"/>
      <c r="DI270" s="87"/>
      <c r="DJ270" s="87"/>
      <c r="DK270" s="87"/>
      <c r="DL270" s="87"/>
      <c r="DM270" s="87"/>
      <c r="DN270" s="87"/>
      <c r="DO270" s="87"/>
      <c r="DP270" s="87"/>
      <c r="DQ270" s="87"/>
      <c r="DR270" s="87"/>
      <c r="DS270" s="87"/>
      <c r="DT270" s="87"/>
      <c r="DU270" s="87"/>
      <c r="DV270" s="87"/>
      <c r="DW270" s="87"/>
      <c r="DX270" s="87"/>
      <c r="DY270" s="87"/>
      <c r="DZ270" s="87"/>
      <c r="EA270" s="87"/>
      <c r="EB270" s="87"/>
      <c r="EC270" s="87"/>
      <c r="ED270" s="87"/>
      <c r="EE270" s="87"/>
      <c r="EF270" s="87"/>
      <c r="EG270" s="87"/>
      <c r="EH270" s="87"/>
      <c r="EI270" s="87"/>
    </row>
    <row r="271" spans="1:139" ht="57.75" hidden="1" thickBot="1" x14ac:dyDescent="0.35">
      <c r="A271" s="254" t="s">
        <v>152</v>
      </c>
      <c r="B271" s="255">
        <v>3</v>
      </c>
      <c r="C271" s="256">
        <f>0.25*35+0.65*54+6*0.85+25*0.3</f>
        <v>56.45</v>
      </c>
      <c r="D271" s="217">
        <f>C271/VLOOKUP(B271,'[2]Gas Prod per PADD'!$A$1:$C$6,2,FALSE)</f>
        <v>1.2271739130434783E-2</v>
      </c>
      <c r="E271" s="257">
        <v>45545</v>
      </c>
      <c r="F271" s="258">
        <f>E271+3</f>
        <v>45548</v>
      </c>
      <c r="G271" s="259" t="s">
        <v>568</v>
      </c>
      <c r="H271" s="260" t="s">
        <v>569</v>
      </c>
      <c r="I271" s="84"/>
      <c r="J271" s="85"/>
      <c r="K271" s="85"/>
      <c r="L271" s="85"/>
      <c r="M271" s="85"/>
      <c r="N271" s="85"/>
      <c r="O271" s="85"/>
      <c r="P271" s="85"/>
      <c r="Q271" s="85"/>
      <c r="R271" s="85"/>
      <c r="S271" s="85"/>
      <c r="T271" s="85"/>
      <c r="U271" s="85"/>
      <c r="V271" s="84"/>
      <c r="W271" s="84"/>
      <c r="X271" s="84" t="str">
        <f t="shared" si="13"/>
        <v>OK</v>
      </c>
      <c r="Y271" s="86"/>
      <c r="Z271" s="87"/>
      <c r="AA271" s="87"/>
      <c r="AB271" s="87"/>
      <c r="AC271" s="87"/>
      <c r="AD271" s="87"/>
      <c r="AE271" s="87"/>
      <c r="AF271" s="87"/>
      <c r="AG271" s="87"/>
      <c r="AH271" s="87"/>
      <c r="AI271" s="87"/>
      <c r="AJ271" s="87"/>
      <c r="AK271" s="87"/>
      <c r="AL271" s="87"/>
      <c r="AM271" s="87"/>
      <c r="AN271" s="87"/>
      <c r="AO271" s="87"/>
      <c r="AP271" s="87"/>
      <c r="AQ271" s="87"/>
      <c r="AR271" s="87"/>
      <c r="AS271" s="87"/>
      <c r="AT271" s="87"/>
      <c r="AU271" s="87"/>
      <c r="AV271" s="87"/>
      <c r="AW271" s="87"/>
      <c r="AX271" s="87"/>
      <c r="AY271" s="87"/>
      <c r="AZ271" s="87"/>
      <c r="BA271" s="87"/>
      <c r="BB271" s="87"/>
      <c r="BC271" s="87"/>
      <c r="BD271" s="87"/>
      <c r="BE271" s="87"/>
      <c r="BF271" s="87"/>
      <c r="BG271" s="87"/>
      <c r="BH271" s="87"/>
      <c r="BI271" s="87"/>
      <c r="BJ271" s="87"/>
      <c r="BK271" s="105"/>
      <c r="BL271" s="87"/>
      <c r="BM271" s="105"/>
      <c r="BN271" s="105"/>
      <c r="BO271" s="105"/>
      <c r="BP271" s="105"/>
      <c r="BQ271" s="87"/>
      <c r="BR271" s="87">
        <f>-2/7*C271</f>
        <v>-16.12857142857143</v>
      </c>
      <c r="BS271" s="87">
        <f>-BR271</f>
        <v>16.12857142857143</v>
      </c>
      <c r="BT271" s="87"/>
      <c r="BU271" s="87"/>
      <c r="BV271" s="87"/>
      <c r="BW271" s="87"/>
      <c r="BX271" s="87"/>
      <c r="BY271" s="87"/>
      <c r="BZ271" s="87"/>
      <c r="CA271" s="87"/>
      <c r="CB271" s="87"/>
      <c r="CC271" s="87"/>
      <c r="CD271" s="87"/>
      <c r="CE271" s="87"/>
      <c r="CF271" s="87"/>
      <c r="CG271" s="87"/>
      <c r="CH271" s="87"/>
      <c r="CI271" s="87"/>
      <c r="CJ271" s="87"/>
      <c r="CK271" s="87"/>
      <c r="CL271" s="87"/>
      <c r="CM271" s="87"/>
      <c r="CN271" s="87"/>
      <c r="CO271" s="87"/>
      <c r="CP271" s="87"/>
      <c r="CQ271" s="87"/>
      <c r="CR271" s="87"/>
      <c r="CS271" s="87"/>
      <c r="CT271" s="87"/>
      <c r="CU271" s="87"/>
      <c r="CV271" s="87"/>
      <c r="CW271" s="87"/>
      <c r="CX271" s="87"/>
      <c r="CY271" s="87"/>
      <c r="CZ271" s="87"/>
      <c r="DA271" s="87"/>
      <c r="DB271" s="87"/>
      <c r="DC271" s="87"/>
      <c r="DD271" s="87"/>
      <c r="DE271" s="87"/>
      <c r="DF271" s="87"/>
      <c r="DG271" s="87"/>
      <c r="DH271" s="87"/>
      <c r="DI271" s="87"/>
      <c r="DJ271" s="87"/>
      <c r="DK271" s="87"/>
      <c r="DL271" s="87"/>
      <c r="DM271" s="87"/>
      <c r="DN271" s="87"/>
      <c r="DO271" s="87"/>
      <c r="DP271" s="87"/>
      <c r="DQ271" s="87"/>
      <c r="DR271" s="87"/>
      <c r="DS271" s="87"/>
      <c r="DT271" s="87"/>
      <c r="DU271" s="87"/>
      <c r="DV271" s="87"/>
      <c r="DW271" s="87"/>
      <c r="DX271" s="87"/>
      <c r="DY271" s="87"/>
      <c r="DZ271" s="87"/>
      <c r="EA271" s="87"/>
      <c r="EB271" s="87"/>
      <c r="EC271" s="87"/>
      <c r="ED271" s="87"/>
      <c r="EE271" s="87"/>
      <c r="EF271" s="87"/>
      <c r="EG271" s="87"/>
      <c r="EH271" s="87"/>
      <c r="EI271" s="87"/>
    </row>
    <row r="272" spans="1:139" ht="29.25" hidden="1" thickBot="1" x14ac:dyDescent="0.35">
      <c r="A272" s="254" t="s">
        <v>334</v>
      </c>
      <c r="B272" s="255">
        <v>3</v>
      </c>
      <c r="C272" s="256">
        <f>135*0.3</f>
        <v>40.5</v>
      </c>
      <c r="D272" s="217">
        <f>C272/VLOOKUP(B272,'[2]Gas Prod per PADD'!$A$1:$C$6,2,FALSE)</f>
        <v>8.8043478260869563E-3</v>
      </c>
      <c r="E272" s="257">
        <v>45545</v>
      </c>
      <c r="F272" s="258">
        <v>45548</v>
      </c>
      <c r="G272" s="259" t="s">
        <v>570</v>
      </c>
      <c r="H272" s="261" t="s">
        <v>571</v>
      </c>
      <c r="I272" s="84"/>
      <c r="J272" s="85"/>
      <c r="K272" s="85"/>
      <c r="L272" s="85"/>
      <c r="M272" s="85"/>
      <c r="N272" s="85"/>
      <c r="O272" s="85"/>
      <c r="P272" s="85"/>
      <c r="Q272" s="85"/>
      <c r="R272" s="85"/>
      <c r="S272" s="85"/>
      <c r="T272" s="85"/>
      <c r="U272" s="85"/>
      <c r="V272" s="84"/>
      <c r="W272" s="84"/>
      <c r="X272" s="84" t="str">
        <f t="shared" si="13"/>
        <v>OK</v>
      </c>
      <c r="Y272" s="105"/>
      <c r="Z272" s="105"/>
      <c r="AA272" s="87"/>
      <c r="AB272" s="87"/>
      <c r="AC272" s="87"/>
      <c r="AD272" s="87"/>
      <c r="AE272" s="105"/>
      <c r="AF272" s="105"/>
      <c r="AG272" s="105"/>
      <c r="AH272" s="87"/>
      <c r="AI272" s="87"/>
      <c r="AJ272" s="87"/>
      <c r="AK272" s="105"/>
      <c r="AL272" s="105"/>
      <c r="AM272" s="105"/>
      <c r="AN272" s="87"/>
      <c r="AO272" s="87"/>
      <c r="AP272" s="105"/>
      <c r="AQ272" s="105"/>
      <c r="AR272" s="105"/>
      <c r="AS272" s="105"/>
      <c r="AT272" s="105"/>
      <c r="AU272" s="87"/>
      <c r="AV272" s="105"/>
      <c r="AW272" s="105"/>
      <c r="AX272" s="87"/>
      <c r="AY272" s="87"/>
      <c r="AZ272" s="87"/>
      <c r="BA272" s="87"/>
      <c r="BB272" s="87"/>
      <c r="BC272" s="87"/>
      <c r="BD272" s="87"/>
      <c r="BE272" s="87"/>
      <c r="BF272" s="87"/>
      <c r="BG272" s="87"/>
      <c r="BH272" s="87"/>
      <c r="BI272" s="87"/>
      <c r="BJ272" s="87"/>
      <c r="BK272" s="87"/>
      <c r="BL272" s="87"/>
      <c r="BM272" s="87"/>
      <c r="BN272" s="87"/>
      <c r="BO272" s="87"/>
      <c r="BP272" s="87"/>
      <c r="BQ272" s="87"/>
      <c r="BR272" s="87">
        <f>(-3/7)*C272</f>
        <v>-17.357142857142858</v>
      </c>
      <c r="BS272" s="87">
        <f>BR272*-1</f>
        <v>17.357142857142858</v>
      </c>
      <c r="BT272" s="87"/>
      <c r="BU272" s="87"/>
      <c r="BV272" s="87"/>
      <c r="BW272" s="87"/>
      <c r="BX272" s="87"/>
      <c r="BY272" s="87"/>
      <c r="BZ272" s="87"/>
      <c r="CA272" s="87"/>
      <c r="CB272" s="87"/>
      <c r="CC272" s="87"/>
      <c r="CD272" s="87"/>
      <c r="CE272" s="87"/>
      <c r="CF272" s="87"/>
      <c r="CG272" s="87"/>
      <c r="CH272" s="87"/>
      <c r="CI272" s="87"/>
      <c r="CJ272" s="87"/>
      <c r="CK272" s="87"/>
      <c r="CL272" s="87"/>
      <c r="CM272" s="87"/>
      <c r="CN272" s="87"/>
      <c r="CO272" s="87"/>
      <c r="CP272" s="87"/>
      <c r="CQ272" s="87"/>
      <c r="CR272" s="87"/>
      <c r="CS272" s="87"/>
      <c r="CT272" s="87"/>
      <c r="CU272" s="87"/>
      <c r="CV272" s="87"/>
      <c r="CW272" s="87"/>
      <c r="CX272" s="87"/>
      <c r="CY272" s="87"/>
      <c r="CZ272" s="87"/>
      <c r="DA272" s="87"/>
      <c r="DB272" s="87"/>
      <c r="DC272" s="87"/>
      <c r="DD272" s="87"/>
      <c r="DE272" s="87"/>
      <c r="DF272" s="87"/>
      <c r="DG272" s="87"/>
      <c r="DH272" s="87"/>
      <c r="DI272" s="87"/>
      <c r="DJ272" s="87"/>
      <c r="DK272" s="87"/>
      <c r="DL272" s="87"/>
      <c r="DM272" s="87"/>
      <c r="DN272" s="87"/>
      <c r="DO272" s="87"/>
      <c r="DP272" s="87"/>
      <c r="DQ272" s="87"/>
      <c r="DR272" s="87"/>
      <c r="DS272" s="87"/>
      <c r="DT272" s="87"/>
      <c r="DU272" s="87"/>
      <c r="DV272" s="87"/>
      <c r="DW272" s="87"/>
      <c r="DX272" s="87"/>
      <c r="DY272" s="87"/>
      <c r="DZ272" s="87"/>
      <c r="EA272" s="87"/>
      <c r="EB272" s="87"/>
      <c r="EC272" s="87"/>
      <c r="ED272" s="87"/>
      <c r="EE272" s="87"/>
      <c r="EF272" s="87"/>
      <c r="EG272" s="87"/>
      <c r="EH272" s="87"/>
      <c r="EI272" s="87"/>
    </row>
    <row r="273" spans="1:139" ht="29.25" hidden="1" thickBot="1" x14ac:dyDescent="0.35">
      <c r="A273" s="262" t="s">
        <v>140</v>
      </c>
      <c r="B273" s="263">
        <v>3</v>
      </c>
      <c r="C273" s="264">
        <f>0.25*290</f>
        <v>72.5</v>
      </c>
      <c r="D273" s="217">
        <f>C273/VLOOKUP(B273,'[2]Gas Prod per PADD'!$A$1:$C$6,2,FALSE)</f>
        <v>1.5760869565217391E-2</v>
      </c>
      <c r="E273" s="196">
        <v>45546</v>
      </c>
      <c r="F273" s="197">
        <v>45548</v>
      </c>
      <c r="G273" s="265" t="s">
        <v>572</v>
      </c>
      <c r="H273" s="266" t="s">
        <v>573</v>
      </c>
      <c r="I273" s="84"/>
      <c r="J273" s="85"/>
      <c r="K273" s="85"/>
      <c r="L273" s="85"/>
      <c r="M273" s="85"/>
      <c r="N273" s="85"/>
      <c r="O273" s="85"/>
      <c r="P273" s="85"/>
      <c r="Q273" s="85"/>
      <c r="R273" s="85"/>
      <c r="S273" s="85"/>
      <c r="T273" s="85"/>
      <c r="U273" s="85"/>
      <c r="V273" s="84"/>
      <c r="W273" s="84"/>
      <c r="X273" s="84" t="str">
        <f t="shared" si="13"/>
        <v>OK</v>
      </c>
      <c r="Y273" s="87"/>
      <c r="Z273" s="87"/>
      <c r="AA273" s="87"/>
      <c r="AB273" s="87"/>
      <c r="AC273" s="87"/>
      <c r="AD273" s="87"/>
      <c r="AE273" s="87"/>
      <c r="AF273" s="87"/>
      <c r="AG273" s="87"/>
      <c r="AH273" s="87"/>
      <c r="AI273" s="87"/>
      <c r="AJ273" s="87"/>
      <c r="AK273" s="87"/>
      <c r="AL273" s="87"/>
      <c r="AM273" s="87"/>
      <c r="AN273" s="87"/>
      <c r="AO273" s="87"/>
      <c r="AP273" s="87"/>
      <c r="AQ273" s="87"/>
      <c r="AR273" s="87"/>
      <c r="AS273" s="87"/>
      <c r="AT273" s="87"/>
      <c r="AU273" s="87"/>
      <c r="AV273" s="87"/>
      <c r="AW273" s="87"/>
      <c r="AX273" s="87"/>
      <c r="AY273" s="87"/>
      <c r="AZ273" s="87"/>
      <c r="BA273" s="87"/>
      <c r="BB273" s="87"/>
      <c r="BC273" s="87"/>
      <c r="BD273" s="87"/>
      <c r="BE273" s="87"/>
      <c r="BF273" s="87"/>
      <c r="BG273" s="87"/>
      <c r="BH273" s="87"/>
      <c r="BI273" s="87"/>
      <c r="BJ273" s="87"/>
      <c r="BK273" s="87"/>
      <c r="BL273" s="87"/>
      <c r="BM273" s="87"/>
      <c r="BN273" s="87"/>
      <c r="BO273" s="87"/>
      <c r="BP273" s="87"/>
      <c r="BQ273" s="87"/>
      <c r="BR273" s="87">
        <f>-2/7*C273</f>
        <v>-20.714285714285712</v>
      </c>
      <c r="BS273" s="87">
        <f>-BR273</f>
        <v>20.714285714285712</v>
      </c>
      <c r="BT273" s="87"/>
      <c r="BU273" s="87"/>
      <c r="BV273" s="87"/>
      <c r="BW273" s="87"/>
      <c r="BX273" s="87"/>
      <c r="BY273" s="87"/>
      <c r="BZ273" s="87"/>
      <c r="CA273" s="87"/>
      <c r="CB273" s="87"/>
      <c r="CC273" s="87"/>
      <c r="CD273" s="87"/>
      <c r="CE273" s="87"/>
      <c r="CF273" s="87"/>
      <c r="CG273" s="87"/>
      <c r="CH273" s="87"/>
      <c r="CI273" s="87"/>
      <c r="CJ273" s="87"/>
      <c r="CK273" s="87"/>
      <c r="CL273" s="87"/>
      <c r="CM273" s="87"/>
      <c r="CN273" s="87"/>
      <c r="CO273" s="87"/>
      <c r="CP273" s="87"/>
      <c r="CQ273" s="87"/>
      <c r="CR273" s="87"/>
      <c r="CS273" s="87"/>
      <c r="CT273" s="87"/>
      <c r="CU273" s="87"/>
      <c r="CV273" s="87"/>
      <c r="CW273" s="87"/>
      <c r="CX273" s="87"/>
      <c r="CY273" s="87"/>
      <c r="CZ273" s="87"/>
      <c r="DA273" s="87"/>
      <c r="DB273" s="87"/>
      <c r="DC273" s="87"/>
      <c r="DD273" s="87"/>
      <c r="DE273" s="87"/>
      <c r="DF273" s="87"/>
      <c r="DG273" s="87"/>
      <c r="DH273" s="87"/>
      <c r="DI273" s="87"/>
      <c r="DJ273" s="87"/>
      <c r="DK273" s="87"/>
      <c r="DL273" s="87"/>
      <c r="DM273" s="87"/>
      <c r="DN273" s="87"/>
      <c r="DO273" s="87"/>
      <c r="DP273" s="87"/>
      <c r="DQ273" s="87"/>
      <c r="DR273" s="87"/>
      <c r="DS273" s="87"/>
      <c r="DT273" s="87"/>
      <c r="DU273" s="87"/>
      <c r="DV273" s="87"/>
      <c r="DW273" s="87"/>
      <c r="DX273" s="87"/>
      <c r="DY273" s="87"/>
      <c r="DZ273" s="87"/>
      <c r="EA273" s="87"/>
      <c r="EB273" s="87"/>
      <c r="EC273" s="87"/>
      <c r="ED273" s="87"/>
      <c r="EE273" s="87"/>
      <c r="EF273" s="87"/>
      <c r="EG273" s="87"/>
      <c r="EH273" s="87"/>
      <c r="EI273" s="87"/>
    </row>
    <row r="274" spans="1:139" ht="86.25" hidden="1" thickBot="1" x14ac:dyDescent="0.35">
      <c r="A274" s="262" t="s">
        <v>574</v>
      </c>
      <c r="B274" s="267">
        <v>3</v>
      </c>
      <c r="C274" s="264">
        <v>7</v>
      </c>
      <c r="D274" s="217">
        <f>C274/VLOOKUP(B274,'[2]Gas Prod per PADD'!$A$1:$C$6,2,FALSE)</f>
        <v>1.5217391304347826E-3</v>
      </c>
      <c r="E274" s="196">
        <v>45546</v>
      </c>
      <c r="F274" s="197">
        <f>E274+2</f>
        <v>45548</v>
      </c>
      <c r="G274" s="265" t="s">
        <v>575</v>
      </c>
      <c r="H274" s="266"/>
      <c r="I274" s="84"/>
      <c r="J274" s="85"/>
      <c r="K274" s="85"/>
      <c r="L274" s="85"/>
      <c r="M274" s="85"/>
      <c r="N274" s="85"/>
      <c r="O274" s="85"/>
      <c r="P274" s="85"/>
      <c r="Q274" s="85"/>
      <c r="R274" s="85"/>
      <c r="S274" s="85"/>
      <c r="T274" s="85"/>
      <c r="U274" s="85"/>
      <c r="V274" s="84"/>
      <c r="W274" s="84"/>
      <c r="X274" s="84" t="str">
        <f t="shared" si="13"/>
        <v>OK</v>
      </c>
      <c r="Y274" s="87"/>
      <c r="Z274" s="87"/>
      <c r="AA274" s="87"/>
      <c r="AB274" s="87"/>
      <c r="AC274" s="87"/>
      <c r="AD274" s="87"/>
      <c r="AE274" s="87"/>
      <c r="AF274" s="87"/>
      <c r="AG274" s="87"/>
      <c r="AH274" s="87"/>
      <c r="AI274" s="87"/>
      <c r="AJ274" s="87"/>
      <c r="AK274" s="87"/>
      <c r="AL274" s="87"/>
      <c r="AM274" s="87"/>
      <c r="AN274" s="87"/>
      <c r="AO274" s="87"/>
      <c r="AP274" s="87"/>
      <c r="AQ274" s="87"/>
      <c r="AR274" s="87"/>
      <c r="AS274" s="87"/>
      <c r="AT274" s="87"/>
      <c r="AU274" s="87"/>
      <c r="AV274" s="87"/>
      <c r="AW274" s="87"/>
      <c r="AX274" s="87"/>
      <c r="AY274" s="87"/>
      <c r="AZ274" s="87"/>
      <c r="BA274" s="87"/>
      <c r="BB274" s="87"/>
      <c r="BC274" s="87"/>
      <c r="BD274" s="87"/>
      <c r="BE274" s="87"/>
      <c r="BF274" s="87"/>
      <c r="BG274" s="87"/>
      <c r="BH274" s="87"/>
      <c r="BI274" s="87"/>
      <c r="BJ274" s="87"/>
      <c r="BK274" s="87"/>
      <c r="BL274" s="87"/>
      <c r="BM274" s="87"/>
      <c r="BN274" s="87"/>
      <c r="BO274" s="87"/>
      <c r="BP274" s="87"/>
      <c r="BQ274" s="87"/>
      <c r="BR274" s="87">
        <f>-2/7*C274</f>
        <v>-2</v>
      </c>
      <c r="BS274" s="87">
        <f>-BR274</f>
        <v>2</v>
      </c>
      <c r="BT274" s="87"/>
      <c r="BU274" s="87"/>
      <c r="BV274" s="87"/>
      <c r="BW274" s="87"/>
      <c r="BX274" s="87"/>
      <c r="BY274" s="87"/>
      <c r="BZ274" s="87"/>
      <c r="CA274" s="87"/>
      <c r="CB274" s="87"/>
      <c r="CC274" s="87"/>
      <c r="CD274" s="87"/>
      <c r="CE274" s="87"/>
      <c r="CF274" s="87"/>
      <c r="CG274" s="87"/>
      <c r="CH274" s="87"/>
      <c r="CI274" s="87"/>
      <c r="CJ274" s="87"/>
      <c r="CK274" s="87"/>
      <c r="CL274" s="87"/>
      <c r="CM274" s="87"/>
      <c r="CN274" s="87"/>
      <c r="CO274" s="87"/>
      <c r="CP274" s="87"/>
      <c r="CQ274" s="87"/>
      <c r="CR274" s="87"/>
      <c r="CS274" s="87"/>
      <c r="CT274" s="87"/>
      <c r="CU274" s="87"/>
      <c r="CV274" s="87"/>
      <c r="CW274" s="87"/>
      <c r="CX274" s="87"/>
      <c r="CY274" s="87"/>
      <c r="CZ274" s="87"/>
      <c r="DA274" s="87"/>
      <c r="DB274" s="87"/>
      <c r="DC274" s="87"/>
      <c r="DD274" s="87"/>
      <c r="DE274" s="87"/>
      <c r="DF274" s="87"/>
      <c r="DG274" s="87"/>
      <c r="DH274" s="87"/>
      <c r="DI274" s="87"/>
      <c r="DJ274" s="87"/>
      <c r="DK274" s="87"/>
      <c r="DL274" s="87"/>
      <c r="DM274" s="87"/>
      <c r="DN274" s="87"/>
      <c r="DO274" s="87"/>
      <c r="DP274" s="87"/>
      <c r="DQ274" s="87"/>
      <c r="DR274" s="87"/>
      <c r="DS274" s="87"/>
      <c r="DT274" s="87"/>
      <c r="DU274" s="87"/>
      <c r="DV274" s="87"/>
      <c r="DW274" s="87"/>
      <c r="DX274" s="87"/>
      <c r="DY274" s="87"/>
      <c r="DZ274" s="87"/>
      <c r="EA274" s="87"/>
      <c r="EB274" s="87"/>
      <c r="EC274" s="87"/>
      <c r="ED274" s="87"/>
      <c r="EE274" s="87"/>
      <c r="EF274" s="87"/>
      <c r="EG274" s="87"/>
      <c r="EH274" s="87"/>
      <c r="EI274" s="87"/>
    </row>
    <row r="275" spans="1:139" ht="16.5" hidden="1" thickBot="1" x14ac:dyDescent="0.35">
      <c r="A275" s="175" t="s">
        <v>115</v>
      </c>
      <c r="B275" s="191">
        <v>2</v>
      </c>
      <c r="C275" s="177">
        <f>60*0.25</f>
        <v>15</v>
      </c>
      <c r="D275" s="217">
        <f>C275/VLOOKUP(B275,'[2]Gas Prod per PADD'!$A$1:$C$6,2,FALSE)</f>
        <v>6.2500000000000003E-3</v>
      </c>
      <c r="E275" s="178">
        <v>45536</v>
      </c>
      <c r="F275" s="179">
        <f>E275+13</f>
        <v>45549</v>
      </c>
      <c r="G275" s="180" t="s">
        <v>351</v>
      </c>
      <c r="H275" s="181" t="s">
        <v>364</v>
      </c>
      <c r="I275" s="84"/>
      <c r="J275" s="85"/>
      <c r="K275" s="85"/>
      <c r="L275" s="85"/>
      <c r="M275" s="85"/>
      <c r="N275" s="85"/>
      <c r="O275" s="85"/>
      <c r="P275" s="85"/>
      <c r="Q275" s="85"/>
      <c r="R275" s="85"/>
      <c r="S275" s="85"/>
      <c r="T275" s="85"/>
      <c r="U275" s="85"/>
      <c r="V275" s="84"/>
      <c r="W275" s="84"/>
      <c r="X275" s="84" t="str">
        <f t="shared" si="13"/>
        <v>OK</v>
      </c>
      <c r="Y275" s="105"/>
      <c r="Z275" s="105"/>
      <c r="AA275" s="87"/>
      <c r="AB275" s="87"/>
      <c r="AC275" s="87"/>
      <c r="AD275" s="87"/>
      <c r="AE275" s="105"/>
      <c r="AF275" s="105"/>
      <c r="AG275" s="105"/>
      <c r="AH275" s="105"/>
      <c r="AI275" s="87"/>
      <c r="AJ275" s="87"/>
      <c r="AK275" s="105"/>
      <c r="AL275" s="87"/>
      <c r="AM275" s="105"/>
      <c r="AN275" s="105"/>
      <c r="AO275" s="87"/>
      <c r="AP275" s="87"/>
      <c r="AQ275" s="105"/>
      <c r="AR275" s="105"/>
      <c r="AS275" s="87"/>
      <c r="AT275" s="105"/>
      <c r="AU275" s="105"/>
      <c r="AV275" s="87"/>
      <c r="AW275" s="105"/>
      <c r="AX275" s="105"/>
      <c r="AY275" s="87"/>
      <c r="AZ275" s="105"/>
      <c r="BA275" s="105"/>
      <c r="BB275" s="105"/>
      <c r="BC275" s="87"/>
      <c r="BD275" s="87"/>
      <c r="BE275" s="105"/>
      <c r="BF275" s="105"/>
      <c r="BG275" s="105"/>
      <c r="BH275" s="105"/>
      <c r="BI275" s="105"/>
      <c r="BJ275" s="87"/>
      <c r="BK275" s="87"/>
      <c r="BL275" s="87"/>
      <c r="BM275" s="87"/>
      <c r="BN275" s="87"/>
      <c r="BO275" s="87"/>
      <c r="BP275" s="87"/>
      <c r="BQ275" s="87">
        <f>-0.6*$C275</f>
        <v>-9</v>
      </c>
      <c r="BR275" s="87"/>
      <c r="BS275" s="87">
        <f>-0.75*BQ275</f>
        <v>6.75</v>
      </c>
      <c r="BT275" s="87">
        <f>-0.25*BQ275</f>
        <v>2.25</v>
      </c>
      <c r="BU275" s="87"/>
      <c r="BV275" s="87"/>
      <c r="BW275" s="87"/>
      <c r="BX275" s="87"/>
      <c r="BY275" s="87"/>
      <c r="BZ275" s="87"/>
      <c r="CA275" s="87"/>
      <c r="CB275" s="87"/>
      <c r="CC275" s="87"/>
      <c r="CD275" s="87"/>
      <c r="CE275" s="87"/>
      <c r="CF275" s="87"/>
      <c r="CG275" s="87"/>
      <c r="CH275" s="87"/>
      <c r="CI275" s="87"/>
      <c r="CJ275" s="87"/>
      <c r="CK275" s="87"/>
      <c r="CL275" s="87"/>
      <c r="CM275" s="87"/>
      <c r="CN275" s="87"/>
      <c r="CO275" s="87"/>
      <c r="CP275" s="87"/>
      <c r="CQ275" s="87"/>
      <c r="CR275" s="87"/>
      <c r="CS275" s="87"/>
      <c r="CT275" s="87"/>
      <c r="CU275" s="87"/>
      <c r="CV275" s="87"/>
      <c r="CW275" s="87"/>
      <c r="CX275" s="87"/>
      <c r="CY275" s="87"/>
      <c r="CZ275" s="87"/>
      <c r="DA275" s="87"/>
      <c r="DB275" s="87"/>
      <c r="DC275" s="87"/>
      <c r="DD275" s="87"/>
      <c r="DE275" s="87"/>
      <c r="DF275" s="87"/>
      <c r="DG275" s="87"/>
      <c r="DH275" s="87"/>
      <c r="DI275" s="87"/>
      <c r="DJ275" s="87"/>
      <c r="DK275" s="87"/>
      <c r="DL275" s="87"/>
      <c r="DM275" s="87"/>
      <c r="DN275" s="87"/>
      <c r="DO275" s="87"/>
      <c r="DP275" s="87"/>
      <c r="DQ275" s="87"/>
      <c r="DR275" s="87"/>
      <c r="DS275" s="87"/>
      <c r="DT275" s="87"/>
      <c r="DU275" s="87"/>
      <c r="DV275" s="87"/>
      <c r="DW275" s="87"/>
      <c r="DX275" s="87"/>
      <c r="DY275" s="87"/>
      <c r="DZ275" s="87"/>
      <c r="EA275" s="87"/>
      <c r="EB275" s="87"/>
      <c r="EC275" s="87"/>
      <c r="ED275" s="87"/>
      <c r="EE275" s="87"/>
      <c r="EF275" s="87"/>
      <c r="EG275" s="87"/>
      <c r="EH275" s="87"/>
      <c r="EI275" s="87"/>
    </row>
    <row r="276" spans="1:139" ht="16.5" hidden="1" thickBot="1" x14ac:dyDescent="0.35">
      <c r="A276" s="161" t="s">
        <v>168</v>
      </c>
      <c r="B276" s="176">
        <v>2</v>
      </c>
      <c r="C276" s="177">
        <f>(0.25*172)</f>
        <v>43</v>
      </c>
      <c r="D276" s="217">
        <f>C276/VLOOKUP(B276,'[2]Gas Prod per PADD'!$A$1:$C$6,2,FALSE)</f>
        <v>1.7916666666666668E-2</v>
      </c>
      <c r="E276" s="178">
        <v>45538</v>
      </c>
      <c r="F276" s="179">
        <v>45549</v>
      </c>
      <c r="G276" s="180" t="s">
        <v>576</v>
      </c>
      <c r="H276" s="181" t="s">
        <v>577</v>
      </c>
      <c r="I276" s="84"/>
      <c r="J276" s="85"/>
      <c r="K276" s="85"/>
      <c r="L276" s="85"/>
      <c r="M276" s="85"/>
      <c r="N276" s="85"/>
      <c r="O276" s="85"/>
      <c r="P276" s="85"/>
      <c r="Q276" s="85"/>
      <c r="R276" s="85"/>
      <c r="S276" s="85"/>
      <c r="T276" s="85"/>
      <c r="U276" s="85"/>
      <c r="V276" s="84"/>
      <c r="W276" s="84"/>
      <c r="X276" s="84" t="str">
        <f t="shared" si="13"/>
        <v>OK</v>
      </c>
      <c r="Y276" s="87"/>
      <c r="Z276" s="87"/>
      <c r="AA276" s="87"/>
      <c r="AB276" s="87"/>
      <c r="AC276" s="87"/>
      <c r="AD276" s="87"/>
      <c r="AE276" s="87"/>
      <c r="AF276" s="87"/>
      <c r="AG276" s="87"/>
      <c r="AH276" s="87"/>
      <c r="AI276" s="87"/>
      <c r="AJ276" s="87"/>
      <c r="AK276" s="87"/>
      <c r="AL276" s="87"/>
      <c r="AM276" s="87"/>
      <c r="AN276" s="87"/>
      <c r="AO276" s="87"/>
      <c r="AP276" s="87"/>
      <c r="AQ276" s="87"/>
      <c r="AR276" s="87"/>
      <c r="AS276" s="87"/>
      <c r="AT276" s="87"/>
      <c r="AU276" s="87"/>
      <c r="AV276" s="87"/>
      <c r="AW276" s="87"/>
      <c r="AX276" s="87"/>
      <c r="AY276" s="87"/>
      <c r="AZ276" s="87"/>
      <c r="BA276" s="87"/>
      <c r="BB276" s="87"/>
      <c r="BC276" s="87"/>
      <c r="BD276" s="87"/>
      <c r="BE276" s="87"/>
      <c r="BF276" s="87"/>
      <c r="BG276" s="87"/>
      <c r="BH276" s="87"/>
      <c r="BI276" s="87"/>
      <c r="BJ276" s="87"/>
      <c r="BK276" s="87"/>
      <c r="BL276" s="87"/>
      <c r="BM276" s="87"/>
      <c r="BN276" s="87"/>
      <c r="BO276" s="87"/>
      <c r="BP276" s="87"/>
      <c r="BQ276" s="87">
        <f>-2/7*C276</f>
        <v>-12.285714285714285</v>
      </c>
      <c r="BR276" s="87">
        <f>-C276-BQ276</f>
        <v>-30.714285714285715</v>
      </c>
      <c r="BS276" s="87">
        <f>6/7*C276</f>
        <v>36.857142857142854</v>
      </c>
      <c r="BT276" s="87">
        <f>C276-BS276</f>
        <v>6.1428571428571459</v>
      </c>
      <c r="BU276" s="87"/>
      <c r="BV276" s="87"/>
      <c r="BW276" s="87"/>
      <c r="BX276" s="87"/>
      <c r="BY276" s="87"/>
      <c r="BZ276" s="87"/>
      <c r="CA276" s="87"/>
      <c r="CB276" s="87"/>
      <c r="CC276" s="87"/>
      <c r="CD276" s="87"/>
      <c r="CE276" s="87"/>
      <c r="CF276" s="87"/>
      <c r="CG276" s="87"/>
      <c r="CH276" s="87"/>
      <c r="CI276" s="87"/>
      <c r="CJ276" s="87"/>
      <c r="CK276" s="87"/>
      <c r="CL276" s="87"/>
      <c r="CM276" s="87"/>
      <c r="CN276" s="87"/>
      <c r="CO276" s="87"/>
      <c r="CP276" s="87"/>
      <c r="CQ276" s="87"/>
      <c r="CR276" s="87"/>
      <c r="CS276" s="87"/>
      <c r="CT276" s="87"/>
      <c r="CU276" s="87"/>
      <c r="CV276" s="87"/>
      <c r="CW276" s="87"/>
      <c r="CX276" s="87"/>
      <c r="CY276" s="87"/>
      <c r="CZ276" s="87"/>
      <c r="DA276" s="87"/>
      <c r="DB276" s="87"/>
      <c r="DC276" s="87"/>
      <c r="DD276" s="87"/>
      <c r="DE276" s="87"/>
      <c r="DF276" s="87"/>
      <c r="DG276" s="87"/>
      <c r="DH276" s="87"/>
      <c r="DI276" s="87"/>
      <c r="DJ276" s="87"/>
      <c r="DK276" s="87"/>
      <c r="DL276" s="87"/>
      <c r="DM276" s="87"/>
      <c r="DN276" s="87"/>
      <c r="DO276" s="87"/>
      <c r="DP276" s="87"/>
      <c r="DQ276" s="87"/>
      <c r="DR276" s="87"/>
      <c r="DS276" s="87"/>
      <c r="DT276" s="87"/>
      <c r="DU276" s="87"/>
      <c r="DV276" s="87"/>
      <c r="DW276" s="87"/>
      <c r="DX276" s="87"/>
      <c r="DY276" s="87"/>
      <c r="DZ276" s="87"/>
      <c r="EA276" s="87"/>
      <c r="EB276" s="87"/>
      <c r="EC276" s="87"/>
      <c r="ED276" s="87"/>
      <c r="EE276" s="87"/>
      <c r="EF276" s="87"/>
      <c r="EG276" s="87"/>
      <c r="EH276" s="87"/>
      <c r="EI276" s="87"/>
    </row>
    <row r="277" spans="1:139" ht="29.25" hidden="1" thickBot="1" x14ac:dyDescent="0.35">
      <c r="A277" s="268" t="s">
        <v>330</v>
      </c>
      <c r="B277" s="265">
        <v>3</v>
      </c>
      <c r="C277" s="269">
        <f>0.25*50</f>
        <v>12.5</v>
      </c>
      <c r="D277" s="217">
        <f>C277/VLOOKUP(B277,'[2]Gas Prod per PADD'!$A$1:$C$6,2,FALSE)</f>
        <v>2.717391304347826E-3</v>
      </c>
      <c r="E277" s="270">
        <v>45546</v>
      </c>
      <c r="F277" s="271">
        <v>45549</v>
      </c>
      <c r="G277" s="265" t="s">
        <v>578</v>
      </c>
      <c r="H277" s="266" t="s">
        <v>579</v>
      </c>
      <c r="I277" s="84"/>
      <c r="J277" s="85"/>
      <c r="K277" s="85"/>
      <c r="L277" s="85"/>
      <c r="M277" s="85"/>
      <c r="N277" s="85"/>
      <c r="O277" s="85"/>
      <c r="P277" s="85"/>
      <c r="Q277" s="85"/>
      <c r="R277" s="85"/>
      <c r="S277" s="85"/>
      <c r="T277" s="85"/>
      <c r="U277" s="85"/>
      <c r="V277" s="84"/>
      <c r="W277" s="84"/>
      <c r="X277" s="84" t="str">
        <f t="shared" si="13"/>
        <v>OK</v>
      </c>
      <c r="Y277" s="105"/>
      <c r="Z277" s="105"/>
      <c r="AA277" s="87"/>
      <c r="AB277" s="87"/>
      <c r="AC277" s="87"/>
      <c r="AD277" s="87"/>
      <c r="AE277" s="105"/>
      <c r="AF277" s="105"/>
      <c r="AG277" s="105"/>
      <c r="AH277" s="105"/>
      <c r="AI277" s="87"/>
      <c r="AJ277" s="87"/>
      <c r="AK277" s="105"/>
      <c r="AL277" s="87"/>
      <c r="AM277" s="105"/>
      <c r="AN277" s="105"/>
      <c r="AO277" s="87"/>
      <c r="AP277" s="87"/>
      <c r="AQ277" s="105"/>
      <c r="AR277" s="105"/>
      <c r="AS277" s="87"/>
      <c r="AT277" s="105"/>
      <c r="AU277" s="105"/>
      <c r="AV277" s="87"/>
      <c r="AW277" s="105"/>
      <c r="AX277" s="105"/>
      <c r="AY277" s="87"/>
      <c r="AZ277" s="105"/>
      <c r="BA277" s="105"/>
      <c r="BB277" s="105"/>
      <c r="BC277" s="87"/>
      <c r="BD277" s="87"/>
      <c r="BE277" s="87"/>
      <c r="BF277" s="105"/>
      <c r="BG277" s="105"/>
      <c r="BH277" s="105"/>
      <c r="BI277" s="105"/>
      <c r="BJ277" s="105"/>
      <c r="BK277" s="87"/>
      <c r="BL277" s="87"/>
      <c r="BM277" s="87"/>
      <c r="BN277" s="87"/>
      <c r="BO277" s="87"/>
      <c r="BP277" s="87"/>
      <c r="BQ277" s="87"/>
      <c r="BR277" s="105">
        <f>(-2/7)*C277</f>
        <v>-3.5714285714285712</v>
      </c>
      <c r="BS277" s="105">
        <f>BR277*-1</f>
        <v>3.5714285714285712</v>
      </c>
      <c r="BT277" s="87"/>
      <c r="BU277" s="105"/>
      <c r="BV277" s="105"/>
      <c r="BW277" s="105"/>
      <c r="BX277" s="105"/>
      <c r="BY277" s="105"/>
      <c r="BZ277" s="87"/>
      <c r="CA277" s="87"/>
      <c r="CB277" s="87"/>
      <c r="CC277" s="87"/>
      <c r="CD277" s="105"/>
      <c r="CE277" s="105"/>
      <c r="CF277" s="87"/>
      <c r="CG277" s="87"/>
      <c r="CH277" s="87"/>
      <c r="CI277" s="87"/>
      <c r="CJ277" s="87"/>
      <c r="CK277" s="87"/>
      <c r="CL277" s="87"/>
      <c r="CM277" s="87"/>
      <c r="CN277" s="87"/>
      <c r="CO277" s="87"/>
      <c r="CP277" s="87"/>
      <c r="CQ277" s="87"/>
      <c r="CR277" s="87"/>
      <c r="CS277" s="87"/>
      <c r="CT277" s="87"/>
      <c r="CU277" s="87"/>
      <c r="CV277" s="87"/>
      <c r="CW277" s="87"/>
      <c r="CX277" s="87"/>
      <c r="CY277" s="87"/>
      <c r="CZ277" s="87"/>
      <c r="DA277" s="87"/>
      <c r="DB277" s="87"/>
      <c r="DC277" s="87"/>
      <c r="DD277" s="87"/>
      <c r="DE277" s="87"/>
      <c r="DF277" s="87"/>
      <c r="DG277" s="87"/>
      <c r="DH277" s="87"/>
      <c r="DI277" s="87"/>
      <c r="DJ277" s="87"/>
      <c r="DK277" s="87"/>
      <c r="DL277" s="87"/>
      <c r="DM277" s="87"/>
      <c r="DN277" s="87"/>
      <c r="DO277" s="87"/>
      <c r="DP277" s="87"/>
      <c r="DQ277" s="87"/>
      <c r="DR277" s="87"/>
      <c r="DS277" s="87"/>
      <c r="DT277" s="87"/>
      <c r="DU277" s="87"/>
      <c r="DV277" s="87"/>
      <c r="DW277" s="87"/>
      <c r="DX277" s="87"/>
      <c r="DY277" s="87"/>
      <c r="DZ277" s="87"/>
      <c r="EA277" s="87"/>
      <c r="EB277" s="87"/>
      <c r="EC277" s="87"/>
      <c r="ED277" s="87"/>
      <c r="EE277" s="87"/>
      <c r="EF277" s="87"/>
      <c r="EG277" s="87"/>
      <c r="EH277" s="87"/>
      <c r="EI277" s="87"/>
    </row>
    <row r="278" spans="1:139" ht="57.75" hidden="1" thickBot="1" x14ac:dyDescent="0.35">
      <c r="A278" s="190" t="s">
        <v>127</v>
      </c>
      <c r="B278" s="176">
        <v>3</v>
      </c>
      <c r="C278" s="177">
        <f>40*0.85</f>
        <v>34</v>
      </c>
      <c r="D278" s="217">
        <f>C278/VLOOKUP(B278,'[2]Gas Prod per PADD'!$A$1:$C$6,2,FALSE)</f>
        <v>7.391304347826087E-3</v>
      </c>
      <c r="E278" s="196">
        <v>45546</v>
      </c>
      <c r="F278" s="197">
        <v>45549</v>
      </c>
      <c r="G278" s="180" t="s">
        <v>580</v>
      </c>
      <c r="H278" s="181" t="s">
        <v>364</v>
      </c>
      <c r="I278" s="84"/>
      <c r="J278" s="85"/>
      <c r="K278" s="85"/>
      <c r="L278" s="85"/>
      <c r="M278" s="85"/>
      <c r="N278" s="85"/>
      <c r="O278" s="85"/>
      <c r="P278" s="85"/>
      <c r="Q278" s="85"/>
      <c r="R278" s="85"/>
      <c r="S278" s="85"/>
      <c r="T278" s="85"/>
      <c r="U278" s="85"/>
      <c r="V278" s="84"/>
      <c r="W278" s="84"/>
      <c r="X278" s="84" t="str">
        <f t="shared" si="13"/>
        <v>OK</v>
      </c>
      <c r="Y278" s="105"/>
      <c r="Z278" s="105"/>
      <c r="AA278" s="87"/>
      <c r="AB278" s="87"/>
      <c r="AC278" s="87"/>
      <c r="AD278" s="87"/>
      <c r="AE278" s="105"/>
      <c r="AF278" s="105"/>
      <c r="AG278" s="105"/>
      <c r="AH278" s="105"/>
      <c r="AI278" s="87"/>
      <c r="AJ278" s="87"/>
      <c r="AK278" s="105"/>
      <c r="AL278" s="87"/>
      <c r="AM278" s="105"/>
      <c r="AN278" s="105"/>
      <c r="AO278" s="87"/>
      <c r="AP278" s="87"/>
      <c r="AQ278" s="105"/>
      <c r="AR278" s="105"/>
      <c r="AS278" s="87"/>
      <c r="AT278" s="105"/>
      <c r="AU278" s="105"/>
      <c r="AV278" s="87"/>
      <c r="AW278" s="105"/>
      <c r="AX278" s="105"/>
      <c r="AY278" s="105"/>
      <c r="AZ278" s="105"/>
      <c r="BA278" s="105"/>
      <c r="BB278" s="105"/>
      <c r="BC278" s="87"/>
      <c r="BD278" s="87"/>
      <c r="BE278" s="87"/>
      <c r="BF278" s="105"/>
      <c r="BG278" s="105"/>
      <c r="BH278" s="105"/>
      <c r="BI278" s="105"/>
      <c r="BJ278" s="87"/>
      <c r="BK278" s="87"/>
      <c r="BL278" s="87"/>
      <c r="BM278" s="87"/>
      <c r="BN278" s="87"/>
      <c r="BO278" s="87"/>
      <c r="BP278" s="87"/>
      <c r="BQ278" s="87"/>
      <c r="BR278" s="87">
        <f>-C278*0.2</f>
        <v>-6.8000000000000007</v>
      </c>
      <c r="BS278" s="87">
        <f>-BR278</f>
        <v>6.8000000000000007</v>
      </c>
      <c r="BT278" s="87"/>
      <c r="BU278" s="87"/>
      <c r="BV278" s="87"/>
      <c r="BW278" s="87"/>
      <c r="BX278" s="87"/>
      <c r="BY278" s="87"/>
      <c r="BZ278" s="87"/>
      <c r="CA278" s="87"/>
      <c r="CB278" s="87"/>
      <c r="CC278" s="87"/>
      <c r="CD278" s="87"/>
      <c r="CE278" s="87"/>
      <c r="CF278" s="87"/>
      <c r="CG278" s="87"/>
      <c r="CH278" s="87"/>
      <c r="CI278" s="87"/>
      <c r="CJ278" s="87"/>
      <c r="CK278" s="87"/>
      <c r="CL278" s="87"/>
      <c r="CM278" s="87"/>
      <c r="CN278" s="87"/>
      <c r="CO278" s="87"/>
      <c r="CP278" s="87"/>
      <c r="CQ278" s="87"/>
      <c r="CR278" s="87"/>
      <c r="CS278" s="87"/>
      <c r="CT278" s="87"/>
      <c r="CU278" s="87"/>
      <c r="CV278" s="87"/>
      <c r="CW278" s="87"/>
      <c r="CX278" s="87"/>
      <c r="CY278" s="87"/>
      <c r="CZ278" s="87"/>
      <c r="DA278" s="87"/>
      <c r="DB278" s="87"/>
      <c r="DC278" s="87"/>
      <c r="DD278" s="87"/>
      <c r="DE278" s="87"/>
      <c r="DF278" s="87"/>
      <c r="DG278" s="87"/>
      <c r="DH278" s="87"/>
      <c r="DI278" s="87"/>
      <c r="DJ278" s="87"/>
      <c r="DK278" s="87"/>
      <c r="DL278" s="87"/>
      <c r="DM278" s="87"/>
      <c r="DN278" s="87"/>
      <c r="DO278" s="87"/>
      <c r="DP278" s="87"/>
      <c r="DQ278" s="87"/>
      <c r="DR278" s="87"/>
      <c r="DS278" s="87"/>
      <c r="DT278" s="87"/>
      <c r="DU278" s="87"/>
      <c r="DV278" s="87"/>
      <c r="DW278" s="87"/>
      <c r="DX278" s="87"/>
      <c r="DY278" s="87"/>
      <c r="DZ278" s="87"/>
      <c r="EA278" s="87"/>
      <c r="EB278" s="87"/>
      <c r="EC278" s="87"/>
      <c r="ED278" s="87"/>
      <c r="EE278" s="87"/>
      <c r="EF278" s="87"/>
      <c r="EG278" s="87"/>
      <c r="EH278" s="87"/>
      <c r="EI278" s="87"/>
    </row>
    <row r="279" spans="1:139" ht="16.5" hidden="1" thickBot="1" x14ac:dyDescent="0.35">
      <c r="A279" s="218" t="s">
        <v>534</v>
      </c>
      <c r="B279" s="194">
        <v>2</v>
      </c>
      <c r="C279" s="195">
        <f>55*0.65</f>
        <v>35.75</v>
      </c>
      <c r="D279" s="217">
        <f>C279/VLOOKUP(B279,'[2]Gas Prod per PADD'!$A$1:$C$6,2,FALSE)</f>
        <v>1.4895833333333334E-2</v>
      </c>
      <c r="E279" s="178">
        <v>45546</v>
      </c>
      <c r="F279" s="197">
        <v>45549</v>
      </c>
      <c r="G279" s="194" t="s">
        <v>581</v>
      </c>
      <c r="H279" s="230" t="s">
        <v>582</v>
      </c>
      <c r="I279" s="84"/>
      <c r="J279" s="85"/>
      <c r="K279" s="85"/>
      <c r="L279" s="85"/>
      <c r="M279" s="85"/>
      <c r="N279" s="85"/>
      <c r="O279" s="85"/>
      <c r="P279" s="85"/>
      <c r="Q279" s="85"/>
      <c r="R279" s="85"/>
      <c r="S279" s="85"/>
      <c r="T279" s="85"/>
      <c r="U279" s="85"/>
      <c r="V279" s="84"/>
      <c r="W279" s="84"/>
      <c r="X279" s="84" t="str">
        <f t="shared" si="13"/>
        <v>OK</v>
      </c>
      <c r="Y279" s="86"/>
      <c r="Z279" s="87"/>
      <c r="AA279" s="87"/>
      <c r="AB279" s="87"/>
      <c r="AC279" s="87"/>
      <c r="AD279" s="87"/>
      <c r="AE279" s="87"/>
      <c r="AF279" s="87"/>
      <c r="AG279" s="87"/>
      <c r="AH279" s="87"/>
      <c r="AI279" s="87"/>
      <c r="AJ279" s="87"/>
      <c r="AK279" s="87"/>
      <c r="AL279" s="87"/>
      <c r="AM279" s="87"/>
      <c r="AN279" s="87"/>
      <c r="AO279" s="87"/>
      <c r="AP279" s="87"/>
      <c r="AQ279" s="87"/>
      <c r="AR279" s="87"/>
      <c r="AS279" s="87"/>
      <c r="AT279" s="87"/>
      <c r="AU279" s="87"/>
      <c r="AV279" s="87"/>
      <c r="AW279" s="87"/>
      <c r="AX279" s="87"/>
      <c r="AY279" s="87"/>
      <c r="AZ279" s="87"/>
      <c r="BA279" s="87"/>
      <c r="BB279" s="87"/>
      <c r="BC279" s="87"/>
      <c r="BD279" s="87"/>
      <c r="BE279" s="87"/>
      <c r="BF279" s="87"/>
      <c r="BG279" s="87"/>
      <c r="BH279" s="87"/>
      <c r="BI279" s="87"/>
      <c r="BJ279" s="105"/>
      <c r="BK279" s="87"/>
      <c r="BL279" s="105"/>
      <c r="BM279" s="105"/>
      <c r="BN279" s="105"/>
      <c r="BO279" s="105"/>
      <c r="BP279" s="105"/>
      <c r="BQ279" s="87"/>
      <c r="BR279" s="87">
        <f>C279*0.2*-1</f>
        <v>-7.15</v>
      </c>
      <c r="BS279" s="87">
        <f>-BR279</f>
        <v>7.15</v>
      </c>
      <c r="BT279" s="87"/>
      <c r="BU279" s="87"/>
      <c r="BV279" s="87"/>
      <c r="BW279" s="87"/>
      <c r="BX279" s="87"/>
      <c r="BY279" s="87"/>
      <c r="BZ279" s="87"/>
      <c r="CA279" s="87"/>
      <c r="CB279" s="87"/>
      <c r="CC279" s="87"/>
      <c r="CD279" s="87"/>
      <c r="CE279" s="87"/>
      <c r="CF279" s="87"/>
      <c r="CG279" s="87"/>
      <c r="CH279" s="87"/>
      <c r="CI279" s="87"/>
      <c r="CJ279" s="87"/>
      <c r="CK279" s="87"/>
      <c r="CL279" s="87"/>
      <c r="CM279" s="87"/>
      <c r="CN279" s="87"/>
      <c r="CO279" s="87"/>
      <c r="CP279" s="87"/>
      <c r="CQ279" s="87"/>
      <c r="CR279" s="87"/>
      <c r="CS279" s="87"/>
      <c r="CT279" s="87"/>
      <c r="CU279" s="87"/>
      <c r="CV279" s="87"/>
      <c r="CW279" s="87"/>
      <c r="CX279" s="87"/>
      <c r="CY279" s="87"/>
      <c r="CZ279" s="87"/>
      <c r="DA279" s="87"/>
      <c r="DB279" s="87"/>
      <c r="DC279" s="87"/>
      <c r="DD279" s="87"/>
      <c r="DE279" s="87"/>
      <c r="DF279" s="87"/>
      <c r="DG279" s="87"/>
      <c r="DH279" s="87"/>
      <c r="DI279" s="87"/>
      <c r="DJ279" s="87"/>
      <c r="DK279" s="87"/>
      <c r="DL279" s="87"/>
      <c r="DM279" s="87"/>
      <c r="DN279" s="87"/>
      <c r="DO279" s="87"/>
      <c r="DP279" s="87"/>
      <c r="DQ279" s="87"/>
      <c r="DR279" s="87"/>
      <c r="DS279" s="87"/>
      <c r="DT279" s="87"/>
      <c r="DU279" s="87"/>
      <c r="DV279" s="87"/>
      <c r="DW279" s="87"/>
      <c r="DX279" s="87"/>
      <c r="DY279" s="87"/>
      <c r="DZ279" s="87"/>
      <c r="EA279" s="87"/>
      <c r="EB279" s="87"/>
      <c r="EC279" s="87"/>
      <c r="ED279" s="87"/>
      <c r="EE279" s="87"/>
      <c r="EF279" s="87"/>
      <c r="EG279" s="87"/>
      <c r="EH279" s="87"/>
      <c r="EI279" s="87"/>
    </row>
    <row r="280" spans="1:139" ht="16.5" hidden="1" thickBot="1" x14ac:dyDescent="0.35">
      <c r="A280" s="88" t="s">
        <v>336</v>
      </c>
      <c r="B280" s="199">
        <v>3</v>
      </c>
      <c r="C280" s="195">
        <f>40*0.05</f>
        <v>2</v>
      </c>
      <c r="D280" s="217">
        <f>C280/VLOOKUP(B280,'[2]Gas Prod per PADD'!$A$1:$C$6,2,FALSE)</f>
        <v>4.3478260869565219E-4</v>
      </c>
      <c r="E280" s="272">
        <v>45547</v>
      </c>
      <c r="F280" s="273">
        <v>45550</v>
      </c>
      <c r="G280" s="274" t="s">
        <v>583</v>
      </c>
      <c r="H280" s="275" t="s">
        <v>584</v>
      </c>
      <c r="I280" s="84"/>
      <c r="J280" s="85"/>
      <c r="K280" s="85"/>
      <c r="L280" s="85"/>
      <c r="M280" s="85"/>
      <c r="N280" s="85"/>
      <c r="O280" s="85"/>
      <c r="P280" s="85"/>
      <c r="Q280" s="85"/>
      <c r="R280" s="85"/>
      <c r="S280" s="85"/>
      <c r="T280" s="85"/>
      <c r="U280" s="85"/>
      <c r="V280" s="84"/>
      <c r="W280" s="84"/>
      <c r="X280" s="84" t="str">
        <f t="shared" si="13"/>
        <v>OK</v>
      </c>
      <c r="Y280" s="87"/>
      <c r="Z280" s="87"/>
      <c r="AA280" s="87"/>
      <c r="AB280" s="87"/>
      <c r="AC280" s="87"/>
      <c r="AD280" s="87"/>
      <c r="AE280" s="87"/>
      <c r="AF280" s="87"/>
      <c r="AG280" s="87"/>
      <c r="AH280" s="87"/>
      <c r="AI280" s="87"/>
      <c r="AJ280" s="87"/>
      <c r="AK280" s="87"/>
      <c r="AL280" s="87"/>
      <c r="AM280" s="87"/>
      <c r="AN280" s="87"/>
      <c r="AO280" s="87"/>
      <c r="AP280" s="87"/>
      <c r="AQ280" s="87"/>
      <c r="AR280" s="87"/>
      <c r="AS280" s="87"/>
      <c r="AT280" s="87"/>
      <c r="AU280" s="87"/>
      <c r="AV280" s="87"/>
      <c r="AW280" s="87"/>
      <c r="AX280" s="87"/>
      <c r="AY280" s="87"/>
      <c r="AZ280" s="87"/>
      <c r="BA280" s="87"/>
      <c r="BB280" s="87"/>
      <c r="BC280" s="87"/>
      <c r="BD280" s="87"/>
      <c r="BE280" s="87"/>
      <c r="BF280" s="87"/>
      <c r="BG280" s="87"/>
      <c r="BH280" s="87"/>
      <c r="BI280" s="87"/>
      <c r="BJ280" s="87"/>
      <c r="BK280" s="87"/>
      <c r="BL280" s="87"/>
      <c r="BM280" s="87"/>
      <c r="BN280" s="87"/>
      <c r="BO280" s="87"/>
      <c r="BP280" s="87"/>
      <c r="BQ280" s="87"/>
      <c r="BR280" s="87">
        <f>-0.2*C280</f>
        <v>-0.4</v>
      </c>
      <c r="BS280" s="87">
        <f>-BR280</f>
        <v>0.4</v>
      </c>
      <c r="BT280" s="87"/>
      <c r="BU280" s="87"/>
      <c r="BV280" s="87"/>
      <c r="BW280" s="87"/>
      <c r="BX280" s="87"/>
      <c r="BY280" s="87"/>
      <c r="BZ280" s="87"/>
      <c r="CA280" s="87"/>
      <c r="CB280" s="87"/>
      <c r="CC280" s="87"/>
      <c r="CD280" s="87"/>
      <c r="CE280" s="87"/>
      <c r="CF280" s="87"/>
      <c r="CG280" s="87"/>
      <c r="CH280" s="87"/>
      <c r="CI280" s="87"/>
      <c r="CJ280" s="87"/>
      <c r="CK280" s="87"/>
      <c r="CL280" s="87"/>
      <c r="CM280" s="87"/>
      <c r="CN280" s="87"/>
      <c r="CO280" s="87"/>
      <c r="CP280" s="87"/>
      <c r="CQ280" s="87"/>
      <c r="CR280" s="87"/>
      <c r="CS280" s="87"/>
      <c r="CT280" s="87"/>
      <c r="CU280" s="87"/>
      <c r="CV280" s="87"/>
      <c r="CW280" s="87"/>
      <c r="CX280" s="87"/>
      <c r="CY280" s="87"/>
      <c r="CZ280" s="87"/>
      <c r="DA280" s="87"/>
      <c r="DB280" s="87"/>
      <c r="DC280" s="87"/>
      <c r="DD280" s="87"/>
      <c r="DE280" s="87"/>
      <c r="DF280" s="87"/>
      <c r="DG280" s="87"/>
      <c r="DH280" s="87"/>
      <c r="DI280" s="87"/>
      <c r="DJ280" s="87"/>
      <c r="DK280" s="87"/>
      <c r="DL280" s="87"/>
      <c r="DM280" s="87"/>
      <c r="DN280" s="87"/>
      <c r="DO280" s="87"/>
      <c r="DP280" s="87"/>
      <c r="DQ280" s="87"/>
      <c r="DR280" s="87"/>
      <c r="DS280" s="87"/>
      <c r="DT280" s="87"/>
      <c r="DU280" s="87"/>
      <c r="DV280" s="87"/>
      <c r="DW280" s="87"/>
      <c r="DX280" s="87"/>
      <c r="DY280" s="87"/>
      <c r="DZ280" s="87"/>
      <c r="EA280" s="87"/>
      <c r="EB280" s="87"/>
      <c r="EC280" s="87"/>
      <c r="ED280" s="87"/>
      <c r="EE280" s="87"/>
      <c r="EF280" s="87"/>
      <c r="EG280" s="87"/>
      <c r="EH280" s="87"/>
      <c r="EI280" s="87"/>
    </row>
    <row r="281" spans="1:139" ht="29.25" hidden="1" thickBot="1" x14ac:dyDescent="0.35">
      <c r="A281" s="161" t="s">
        <v>168</v>
      </c>
      <c r="B281" s="176">
        <v>2</v>
      </c>
      <c r="C281" s="177">
        <f>(0.85*40)</f>
        <v>34</v>
      </c>
      <c r="D281" s="217">
        <f>C281/VLOOKUP(B281,'[2]Gas Prod per PADD'!$A$1:$C$6,2,FALSE)</f>
        <v>1.4166666666666666E-2</v>
      </c>
      <c r="E281" s="178">
        <v>45548</v>
      </c>
      <c r="F281" s="179">
        <v>45553</v>
      </c>
      <c r="G281" s="180" t="s">
        <v>376</v>
      </c>
      <c r="H281" s="181" t="s">
        <v>585</v>
      </c>
      <c r="I281" s="84"/>
      <c r="J281" s="85"/>
      <c r="K281" s="85"/>
      <c r="L281" s="85"/>
      <c r="M281" s="85"/>
      <c r="N281" s="85"/>
      <c r="O281" s="85"/>
      <c r="P281" s="85"/>
      <c r="Q281" s="85"/>
      <c r="R281" s="85"/>
      <c r="S281" s="85"/>
      <c r="T281" s="85"/>
      <c r="U281" s="85"/>
      <c r="V281" s="84"/>
      <c r="W281" s="84"/>
      <c r="X281" s="84" t="str">
        <f t="shared" si="13"/>
        <v>OK</v>
      </c>
      <c r="Y281" s="87"/>
      <c r="Z281" s="87"/>
      <c r="AA281" s="87"/>
      <c r="AB281" s="87"/>
      <c r="AC281" s="87"/>
      <c r="AD281" s="87"/>
      <c r="AE281" s="87"/>
      <c r="AF281" s="87"/>
      <c r="AG281" s="87"/>
      <c r="AH281" s="87"/>
      <c r="AI281" s="87"/>
      <c r="AJ281" s="87"/>
      <c r="AK281" s="87"/>
      <c r="AL281" s="87"/>
      <c r="AM281" s="87"/>
      <c r="AN281" s="87"/>
      <c r="AO281" s="87"/>
      <c r="AP281" s="87"/>
      <c r="AQ281" s="87"/>
      <c r="AR281" s="87"/>
      <c r="AS281" s="87"/>
      <c r="AT281" s="87"/>
      <c r="AU281" s="87"/>
      <c r="AV281" s="87"/>
      <c r="AW281" s="87"/>
      <c r="AX281" s="87"/>
      <c r="AY281" s="87"/>
      <c r="AZ281" s="87"/>
      <c r="BA281" s="87"/>
      <c r="BB281" s="87"/>
      <c r="BC281" s="87"/>
      <c r="BD281" s="87"/>
      <c r="BE281" s="87"/>
      <c r="BF281" s="87"/>
      <c r="BG281" s="87"/>
      <c r="BH281" s="87"/>
      <c r="BI281" s="87"/>
      <c r="BJ281" s="87"/>
      <c r="BK281" s="87"/>
      <c r="BL281" s="87"/>
      <c r="BM281" s="87"/>
      <c r="BN281" s="87"/>
      <c r="BO281" s="87"/>
      <c r="BP281" s="87"/>
      <c r="BQ281" s="87"/>
      <c r="BR281" s="87"/>
      <c r="BS281" s="87">
        <f>C281*-5/7</f>
        <v>-24.285714285714285</v>
      </c>
      <c r="BT281" s="87">
        <f>BS281*-1</f>
        <v>24.285714285714285</v>
      </c>
      <c r="BU281" s="87"/>
      <c r="BV281" s="87"/>
      <c r="BW281" s="87"/>
      <c r="BX281" s="87"/>
      <c r="BY281" s="87"/>
      <c r="BZ281" s="87"/>
      <c r="CA281" s="87"/>
      <c r="CB281" s="87"/>
      <c r="CC281" s="87"/>
      <c r="CD281" s="87"/>
      <c r="CE281" s="87"/>
      <c r="CF281" s="87"/>
      <c r="CG281" s="87"/>
      <c r="CH281" s="87"/>
      <c r="CI281" s="87"/>
      <c r="CJ281" s="87"/>
      <c r="CK281" s="87"/>
      <c r="CL281" s="87"/>
      <c r="CM281" s="87"/>
      <c r="CN281" s="87"/>
      <c r="CO281" s="87"/>
      <c r="CP281" s="87"/>
      <c r="CQ281" s="87"/>
      <c r="CR281" s="87"/>
      <c r="CS281" s="87"/>
      <c r="CT281" s="87"/>
      <c r="CU281" s="87"/>
      <c r="CV281" s="87"/>
      <c r="CW281" s="87"/>
      <c r="CX281" s="87"/>
      <c r="CY281" s="87"/>
      <c r="CZ281" s="87"/>
      <c r="DA281" s="87"/>
      <c r="DB281" s="87"/>
      <c r="DC281" s="87"/>
      <c r="DD281" s="87"/>
      <c r="DE281" s="87"/>
      <c r="DF281" s="87"/>
      <c r="DG281" s="87"/>
      <c r="DH281" s="87"/>
      <c r="DI281" s="87"/>
      <c r="DJ281" s="87"/>
      <c r="DK281" s="87"/>
      <c r="DL281" s="87"/>
      <c r="DM281" s="87"/>
      <c r="DN281" s="87"/>
      <c r="DO281" s="87"/>
      <c r="DP281" s="87"/>
      <c r="DQ281" s="87"/>
      <c r="DR281" s="87"/>
      <c r="DS281" s="87"/>
      <c r="DT281" s="87"/>
      <c r="DU281" s="87"/>
      <c r="DV281" s="87"/>
      <c r="DW281" s="87"/>
      <c r="DX281" s="87"/>
      <c r="DY281" s="87"/>
      <c r="DZ281" s="87"/>
      <c r="EA281" s="87"/>
      <c r="EB281" s="87"/>
      <c r="EC281" s="87"/>
      <c r="ED281" s="87"/>
      <c r="EE281" s="87"/>
      <c r="EF281" s="87"/>
      <c r="EG281" s="87"/>
      <c r="EH281" s="87"/>
      <c r="EI281" s="87"/>
    </row>
    <row r="282" spans="1:139" ht="16.5" hidden="1" thickBot="1" x14ac:dyDescent="0.35">
      <c r="A282" s="175" t="s">
        <v>405</v>
      </c>
      <c r="B282" s="191">
        <v>1</v>
      </c>
      <c r="C282" s="177">
        <f>43*0.85</f>
        <v>36.549999999999997</v>
      </c>
      <c r="D282" s="217">
        <f>C282/VLOOKUP(B282,'[2]Gas Prod per PADD'!$A$1:$C$6,2,FALSE)</f>
        <v>7.6145833333333329E-2</v>
      </c>
      <c r="E282" s="178">
        <v>45550</v>
      </c>
      <c r="F282" s="252">
        <f>E282+4</f>
        <v>45554</v>
      </c>
      <c r="G282" s="180" t="s">
        <v>163</v>
      </c>
      <c r="H282" s="181" t="s">
        <v>543</v>
      </c>
      <c r="I282" s="84"/>
      <c r="J282" s="85"/>
      <c r="K282" s="85"/>
      <c r="L282" s="85"/>
      <c r="M282" s="85"/>
      <c r="N282" s="85"/>
      <c r="O282" s="85"/>
      <c r="P282" s="85"/>
      <c r="Q282" s="85"/>
      <c r="R282" s="85"/>
      <c r="S282" s="85"/>
      <c r="T282" s="85"/>
      <c r="U282" s="85"/>
      <c r="V282" s="84"/>
      <c r="W282" s="84"/>
      <c r="X282" s="84" t="str">
        <f t="shared" si="13"/>
        <v>OK</v>
      </c>
      <c r="Y282" s="105"/>
      <c r="Z282" s="105"/>
      <c r="AA282" s="87"/>
      <c r="AB282" s="87"/>
      <c r="AC282" s="87"/>
      <c r="AD282" s="87"/>
      <c r="AE282" s="105"/>
      <c r="AF282" s="105"/>
      <c r="AG282" s="105"/>
      <c r="AH282" s="105"/>
      <c r="AI282" s="87"/>
      <c r="AJ282" s="87"/>
      <c r="AK282" s="105"/>
      <c r="AL282" s="87"/>
      <c r="AM282" s="105"/>
      <c r="AN282" s="105"/>
      <c r="AO282" s="87"/>
      <c r="AP282" s="87"/>
      <c r="AQ282" s="105"/>
      <c r="AR282" s="105"/>
      <c r="AS282" s="87"/>
      <c r="AT282" s="105"/>
      <c r="AU282" s="105"/>
      <c r="AV282" s="87"/>
      <c r="AW282" s="105"/>
      <c r="AX282" s="105"/>
      <c r="AY282" s="87"/>
      <c r="AZ282" s="105"/>
      <c r="BA282" s="105"/>
      <c r="BB282" s="105"/>
      <c r="BC282" s="87"/>
      <c r="BD282" s="87"/>
      <c r="BE282" s="105"/>
      <c r="BF282" s="105"/>
      <c r="BG282" s="105"/>
      <c r="BH282" s="105"/>
      <c r="BI282" s="105"/>
      <c r="BJ282" s="87"/>
      <c r="BK282" s="87"/>
      <c r="BL282" s="87"/>
      <c r="BM282" s="87"/>
      <c r="BN282" s="87"/>
      <c r="BO282" s="105"/>
      <c r="BP282" s="105"/>
      <c r="BQ282" s="105"/>
      <c r="BR282" s="105"/>
      <c r="BS282" s="105">
        <f>-4/7*C282</f>
        <v>-20.885714285714283</v>
      </c>
      <c r="BT282" s="105">
        <f>-BS282</f>
        <v>20.885714285714283</v>
      </c>
      <c r="BU282" s="105"/>
      <c r="BV282" s="87"/>
      <c r="BW282" s="87"/>
      <c r="BX282" s="87"/>
      <c r="BY282" s="87"/>
      <c r="BZ282" s="87"/>
      <c r="CA282" s="87"/>
      <c r="CB282" s="87"/>
      <c r="CC282" s="87"/>
      <c r="CD282" s="87"/>
      <c r="CE282" s="87"/>
      <c r="CF282" s="87"/>
      <c r="CG282" s="87"/>
      <c r="CH282" s="87"/>
      <c r="CI282" s="87"/>
      <c r="CJ282" s="87"/>
      <c r="CK282" s="87"/>
      <c r="CL282" s="87"/>
      <c r="CM282" s="87"/>
      <c r="CN282" s="87"/>
      <c r="CO282" s="87"/>
      <c r="CP282" s="87"/>
      <c r="CQ282" s="87"/>
      <c r="CR282" s="87"/>
      <c r="CS282" s="87"/>
      <c r="CT282" s="87"/>
      <c r="CU282" s="87"/>
      <c r="CV282" s="87"/>
      <c r="CW282" s="87"/>
      <c r="CX282" s="87"/>
      <c r="CY282" s="87"/>
      <c r="CZ282" s="87"/>
      <c r="DA282" s="87"/>
      <c r="DB282" s="87"/>
      <c r="DC282" s="87"/>
      <c r="DD282" s="87"/>
      <c r="DE282" s="87"/>
      <c r="DF282" s="87"/>
      <c r="DG282" s="87"/>
      <c r="DH282" s="87"/>
      <c r="DI282" s="87"/>
      <c r="DJ282" s="87"/>
      <c r="DK282" s="87"/>
      <c r="DL282" s="87"/>
      <c r="DM282" s="87"/>
      <c r="DN282" s="87"/>
      <c r="DO282" s="87"/>
      <c r="DP282" s="87"/>
      <c r="DQ282" s="87"/>
      <c r="DR282" s="87"/>
      <c r="DS282" s="87"/>
      <c r="DT282" s="87"/>
      <c r="DU282" s="87"/>
      <c r="DV282" s="87"/>
      <c r="DW282" s="87"/>
      <c r="DX282" s="87"/>
      <c r="DY282" s="87"/>
      <c r="DZ282" s="87"/>
      <c r="EA282" s="87"/>
      <c r="EB282" s="87"/>
      <c r="EC282" s="87"/>
      <c r="ED282" s="87"/>
      <c r="EE282" s="87"/>
      <c r="EF282" s="87"/>
      <c r="EG282" s="87"/>
      <c r="EH282" s="87"/>
      <c r="EI282" s="87"/>
    </row>
    <row r="283" spans="1:139" ht="16.5" hidden="1" thickBot="1" x14ac:dyDescent="0.35">
      <c r="A283" s="113" t="s">
        <v>285</v>
      </c>
      <c r="B283" s="194">
        <v>5</v>
      </c>
      <c r="C283" s="195"/>
      <c r="D283" s="217">
        <f>C283/VLOOKUP(B283,'[2]Gas Prod per PADD'!$A$1:$C$6,2,FALSE)</f>
        <v>0</v>
      </c>
      <c r="E283" s="196">
        <v>45551</v>
      </c>
      <c r="F283" s="197">
        <v>45554</v>
      </c>
      <c r="G283" s="194" t="s">
        <v>546</v>
      </c>
      <c r="H283" s="198" t="s">
        <v>586</v>
      </c>
      <c r="I283" s="84"/>
      <c r="J283" s="85"/>
      <c r="K283" s="85"/>
      <c r="L283" s="85"/>
      <c r="M283" s="85"/>
      <c r="N283" s="85"/>
      <c r="O283" s="85"/>
      <c r="P283" s="85"/>
      <c r="Q283" s="85"/>
      <c r="R283" s="85"/>
      <c r="S283" s="85"/>
      <c r="T283" s="85"/>
      <c r="U283" s="85"/>
      <c r="V283" s="84"/>
      <c r="W283" s="84"/>
      <c r="X283" s="84" t="str">
        <f t="shared" si="13"/>
        <v>OK</v>
      </c>
      <c r="Y283" s="87"/>
      <c r="Z283" s="87"/>
      <c r="AA283" s="87"/>
      <c r="AB283" s="87"/>
      <c r="AC283" s="87"/>
      <c r="AD283" s="87"/>
      <c r="AE283" s="87"/>
      <c r="AF283" s="87"/>
      <c r="AG283" s="87"/>
      <c r="AH283" s="87"/>
      <c r="AI283" s="87"/>
      <c r="AJ283" s="87"/>
      <c r="AK283" s="87"/>
      <c r="AL283" s="87"/>
      <c r="AM283" s="87"/>
      <c r="AN283" s="87"/>
      <c r="AO283" s="87"/>
      <c r="AP283" s="87"/>
      <c r="AQ283" s="87"/>
      <c r="AR283" s="87"/>
      <c r="AS283" s="87"/>
      <c r="AT283" s="87"/>
      <c r="AU283" s="87"/>
      <c r="AV283" s="87"/>
      <c r="AW283" s="87"/>
      <c r="AX283" s="87"/>
      <c r="AY283" s="87"/>
      <c r="AZ283" s="87"/>
      <c r="BA283" s="87"/>
      <c r="BB283" s="87"/>
      <c r="BC283" s="87"/>
      <c r="BD283" s="87"/>
      <c r="BE283" s="87"/>
      <c r="BF283" s="87"/>
      <c r="BG283" s="87"/>
      <c r="BH283" s="87"/>
      <c r="BI283" s="87"/>
      <c r="BJ283" s="87"/>
      <c r="BK283" s="87"/>
      <c r="BL283" s="87"/>
      <c r="BM283" s="87"/>
      <c r="BN283" s="87"/>
      <c r="BO283" s="87"/>
      <c r="BP283" s="87"/>
      <c r="BQ283" s="87"/>
      <c r="BR283" s="87"/>
      <c r="BS283" s="87"/>
      <c r="BT283" s="87"/>
      <c r="BU283" s="87"/>
      <c r="BV283" s="87"/>
      <c r="BW283" s="87"/>
      <c r="BX283" s="87"/>
      <c r="BY283" s="87"/>
      <c r="BZ283" s="87"/>
      <c r="CA283" s="87"/>
      <c r="CB283" s="87"/>
      <c r="CC283" s="87"/>
      <c r="CD283" s="87"/>
      <c r="CE283" s="87"/>
      <c r="CF283" s="87"/>
      <c r="CG283" s="87"/>
      <c r="CH283" s="87"/>
      <c r="CI283" s="87"/>
      <c r="CJ283" s="87"/>
      <c r="CK283" s="87"/>
      <c r="CL283" s="87"/>
      <c r="CM283" s="87"/>
      <c r="CN283" s="87"/>
      <c r="CO283" s="87"/>
      <c r="CP283" s="87"/>
      <c r="CQ283" s="87"/>
      <c r="CR283" s="87"/>
      <c r="CS283" s="87"/>
      <c r="CT283" s="87"/>
      <c r="CU283" s="87"/>
      <c r="CV283" s="87"/>
      <c r="CW283" s="87"/>
      <c r="CX283" s="87"/>
      <c r="CY283" s="87"/>
      <c r="CZ283" s="87"/>
      <c r="DA283" s="87"/>
      <c r="DB283" s="87"/>
      <c r="DC283" s="87"/>
      <c r="DD283" s="87"/>
      <c r="DE283" s="87"/>
      <c r="DF283" s="87"/>
      <c r="DG283" s="87"/>
      <c r="DH283" s="87"/>
      <c r="DI283" s="87"/>
      <c r="DJ283" s="87"/>
      <c r="DK283" s="87"/>
      <c r="DL283" s="87"/>
      <c r="DM283" s="87"/>
      <c r="DN283" s="87"/>
      <c r="DO283" s="87"/>
      <c r="DP283" s="87"/>
      <c r="DQ283" s="87"/>
      <c r="DR283" s="87"/>
      <c r="DS283" s="87"/>
      <c r="DT283" s="87"/>
      <c r="DU283" s="87"/>
      <c r="DV283" s="87"/>
      <c r="DW283" s="87"/>
      <c r="DX283" s="87"/>
      <c r="DY283" s="87"/>
      <c r="DZ283" s="87"/>
      <c r="EA283" s="87"/>
      <c r="EB283" s="87"/>
      <c r="EC283" s="87"/>
      <c r="ED283" s="87"/>
      <c r="EE283" s="87"/>
      <c r="EF283" s="87"/>
      <c r="EG283" s="75">
        <v>46017</v>
      </c>
      <c r="EH283" s="75">
        <v>46024</v>
      </c>
      <c r="EI283" s="75">
        <v>46031</v>
      </c>
    </row>
    <row r="284" spans="1:139" ht="16.5" hidden="1" thickBot="1" x14ac:dyDescent="0.35">
      <c r="A284" s="222" t="s">
        <v>322</v>
      </c>
      <c r="B284" s="191">
        <v>3</v>
      </c>
      <c r="C284" s="177">
        <f>44*0.1</f>
        <v>4.4000000000000004</v>
      </c>
      <c r="D284" s="217">
        <f>C284/VLOOKUP(B284,'[2]Gas Prod per PADD'!$A$1:$C$6,2,FALSE)</f>
        <v>9.5652173913043481E-4</v>
      </c>
      <c r="E284" s="253">
        <v>45553</v>
      </c>
      <c r="F284" s="252">
        <v>45554</v>
      </c>
      <c r="G284" s="180" t="s">
        <v>323</v>
      </c>
      <c r="H284" s="181" t="s">
        <v>543</v>
      </c>
      <c r="I284" s="84"/>
      <c r="J284" s="85"/>
      <c r="K284" s="85"/>
      <c r="L284" s="85"/>
      <c r="M284" s="85"/>
      <c r="N284" s="85"/>
      <c r="O284" s="85"/>
      <c r="P284" s="85"/>
      <c r="Q284" s="85"/>
      <c r="R284" s="85"/>
      <c r="S284" s="85"/>
      <c r="T284" s="85"/>
      <c r="U284" s="85"/>
      <c r="V284" s="84"/>
      <c r="W284" s="84"/>
      <c r="X284" s="84" t="str">
        <f t="shared" si="13"/>
        <v>OK</v>
      </c>
      <c r="Y284" s="105"/>
      <c r="Z284" s="105"/>
      <c r="AA284" s="87"/>
      <c r="AB284" s="87"/>
      <c r="AC284" s="87"/>
      <c r="AD284" s="87"/>
      <c r="AE284" s="105"/>
      <c r="AF284" s="105"/>
      <c r="AG284" s="105"/>
      <c r="AH284" s="105"/>
      <c r="AI284" s="87"/>
      <c r="AJ284" s="87"/>
      <c r="AK284" s="105"/>
      <c r="AL284" s="87"/>
      <c r="AM284" s="105"/>
      <c r="AN284" s="105"/>
      <c r="AO284" s="87"/>
      <c r="AP284" s="87"/>
      <c r="AQ284" s="105"/>
      <c r="AR284" s="105"/>
      <c r="AS284" s="87"/>
      <c r="AT284" s="105"/>
      <c r="AU284" s="105"/>
      <c r="AV284" s="87"/>
      <c r="AW284" s="105"/>
      <c r="AX284" s="105"/>
      <c r="AY284" s="87"/>
      <c r="AZ284" s="105"/>
      <c r="BA284" s="105"/>
      <c r="BB284" s="105"/>
      <c r="BC284" s="87"/>
      <c r="BD284" s="87"/>
      <c r="BE284" s="105"/>
      <c r="BF284" s="105"/>
      <c r="BG284" s="105"/>
      <c r="BH284" s="105"/>
      <c r="BI284" s="105"/>
      <c r="BJ284" s="87"/>
      <c r="BK284" s="87"/>
      <c r="BL284" s="87"/>
      <c r="BM284" s="87"/>
      <c r="BN284" s="87"/>
      <c r="BO284" s="105"/>
      <c r="BP284" s="105"/>
      <c r="BQ284" s="105"/>
      <c r="BR284" s="87"/>
      <c r="BS284" s="87">
        <f>-0.1*C284</f>
        <v>-0.44000000000000006</v>
      </c>
      <c r="BT284" s="87">
        <f>BS284*-1</f>
        <v>0.44000000000000006</v>
      </c>
      <c r="BU284" s="87"/>
      <c r="BV284" s="87"/>
      <c r="BW284" s="87"/>
      <c r="BX284" s="87"/>
      <c r="BY284" s="87"/>
      <c r="BZ284" s="87"/>
      <c r="CA284" s="87"/>
      <c r="CB284" s="87"/>
      <c r="CC284" s="87"/>
      <c r="CD284" s="87"/>
      <c r="CE284" s="87"/>
      <c r="CF284" s="87"/>
      <c r="CG284" s="87"/>
      <c r="CH284" s="87"/>
      <c r="CI284" s="87"/>
      <c r="CJ284" s="87"/>
      <c r="CK284" s="87"/>
      <c r="CL284" s="87"/>
      <c r="CM284" s="87"/>
      <c r="CN284" s="87"/>
      <c r="CO284" s="87"/>
      <c r="CP284" s="87"/>
      <c r="CQ284" s="87"/>
      <c r="CR284" s="87"/>
      <c r="CS284" s="87"/>
      <c r="CT284" s="87"/>
      <c r="CU284" s="87"/>
      <c r="CV284" s="87"/>
      <c r="CW284" s="87"/>
      <c r="CX284" s="87"/>
      <c r="CY284" s="87"/>
      <c r="CZ284" s="87"/>
      <c r="DA284" s="87"/>
      <c r="DB284" s="87"/>
      <c r="DC284" s="87"/>
      <c r="DD284" s="87"/>
      <c r="DE284" s="87"/>
      <c r="DF284" s="87"/>
      <c r="DG284" s="87"/>
      <c r="DH284" s="87"/>
      <c r="DI284" s="87"/>
      <c r="DJ284" s="87"/>
      <c r="DK284" s="87"/>
      <c r="DL284" s="87"/>
      <c r="DM284" s="87"/>
      <c r="DN284" s="87"/>
      <c r="DO284" s="87"/>
      <c r="DP284" s="87"/>
      <c r="DQ284" s="87"/>
      <c r="DR284" s="87"/>
      <c r="DS284" s="87"/>
      <c r="DT284" s="87"/>
      <c r="DU284" s="87"/>
      <c r="DV284" s="87"/>
      <c r="DW284" s="87"/>
      <c r="DX284" s="87"/>
      <c r="DY284" s="87"/>
      <c r="DZ284" s="87"/>
      <c r="EA284" s="87"/>
      <c r="EB284" s="87"/>
      <c r="EC284" s="87"/>
      <c r="ED284" s="87"/>
      <c r="EE284" s="87"/>
      <c r="EF284" s="87"/>
      <c r="EG284" s="87"/>
      <c r="EH284" s="87"/>
      <c r="EI284" s="87"/>
    </row>
    <row r="285" spans="1:139" ht="16.5" hidden="1" thickBot="1" x14ac:dyDescent="0.35">
      <c r="A285" s="190" t="s">
        <v>127</v>
      </c>
      <c r="B285" s="176">
        <v>3</v>
      </c>
      <c r="C285" s="177">
        <f>(0.65*80)</f>
        <v>52</v>
      </c>
      <c r="D285" s="217">
        <f>C285/VLOOKUP(B285,'[2]Gas Prod per PADD'!$A$1:$C$6,2,FALSE)</f>
        <v>1.1304347826086957E-2</v>
      </c>
      <c r="E285" s="196">
        <v>45553</v>
      </c>
      <c r="F285" s="197">
        <v>45555</v>
      </c>
      <c r="G285" s="180" t="s">
        <v>587</v>
      </c>
      <c r="H285" s="181" t="s">
        <v>588</v>
      </c>
      <c r="I285" s="84"/>
      <c r="J285" s="85"/>
      <c r="K285" s="85"/>
      <c r="L285" s="85"/>
      <c r="M285" s="85"/>
      <c r="N285" s="85"/>
      <c r="O285" s="85"/>
      <c r="P285" s="85"/>
      <c r="Q285" s="85"/>
      <c r="R285" s="85"/>
      <c r="S285" s="85"/>
      <c r="T285" s="85"/>
      <c r="U285" s="85"/>
      <c r="V285" s="84"/>
      <c r="W285" s="84"/>
      <c r="X285" s="84" t="str">
        <f t="shared" si="13"/>
        <v>OK</v>
      </c>
      <c r="Y285" s="105"/>
      <c r="Z285" s="105"/>
      <c r="AA285" s="87"/>
      <c r="AB285" s="87"/>
      <c r="AC285" s="87"/>
      <c r="AD285" s="87"/>
      <c r="AE285" s="105"/>
      <c r="AF285" s="105"/>
      <c r="AG285" s="105"/>
      <c r="AH285" s="105"/>
      <c r="AI285" s="87"/>
      <c r="AJ285" s="87"/>
      <c r="AK285" s="105"/>
      <c r="AL285" s="87"/>
      <c r="AM285" s="105"/>
      <c r="AN285" s="105"/>
      <c r="AO285" s="87"/>
      <c r="AP285" s="87"/>
      <c r="AQ285" s="105"/>
      <c r="AR285" s="105"/>
      <c r="AS285" s="87"/>
      <c r="AT285" s="105"/>
      <c r="AU285" s="105"/>
      <c r="AV285" s="87"/>
      <c r="AW285" s="105"/>
      <c r="AX285" s="105"/>
      <c r="AY285" s="105"/>
      <c r="AZ285" s="105"/>
      <c r="BA285" s="105"/>
      <c r="BB285" s="105"/>
      <c r="BC285" s="87"/>
      <c r="BD285" s="87"/>
      <c r="BE285" s="87"/>
      <c r="BF285" s="105"/>
      <c r="BG285" s="105"/>
      <c r="BH285" s="105"/>
      <c r="BI285" s="105"/>
      <c r="BJ285" s="87"/>
      <c r="BK285" s="87"/>
      <c r="BL285" s="87"/>
      <c r="BM285" s="87"/>
      <c r="BN285" s="87"/>
      <c r="BO285" s="87"/>
      <c r="BP285" s="87"/>
      <c r="BQ285" s="87"/>
      <c r="BR285" s="87"/>
      <c r="BS285" s="87">
        <f>-1/7*C285</f>
        <v>-7.4285714285714279</v>
      </c>
      <c r="BT285" s="87">
        <f>-BS285</f>
        <v>7.4285714285714279</v>
      </c>
      <c r="BU285" s="87"/>
      <c r="BV285" s="87"/>
      <c r="BW285" s="87"/>
      <c r="BX285" s="87"/>
      <c r="BY285" s="87"/>
      <c r="BZ285" s="87"/>
      <c r="CA285" s="87"/>
      <c r="CB285" s="87"/>
      <c r="CC285" s="87"/>
      <c r="CD285" s="87"/>
      <c r="CE285" s="87"/>
      <c r="CF285" s="87"/>
      <c r="CG285" s="87"/>
      <c r="CH285" s="87"/>
      <c r="CI285" s="87"/>
      <c r="CJ285" s="87"/>
      <c r="CK285" s="87"/>
      <c r="CL285" s="87"/>
      <c r="CM285" s="87"/>
      <c r="CN285" s="87"/>
      <c r="CO285" s="87"/>
      <c r="CP285" s="87"/>
      <c r="CQ285" s="87"/>
      <c r="CR285" s="87"/>
      <c r="CS285" s="87"/>
      <c r="CT285" s="87"/>
      <c r="CU285" s="87"/>
      <c r="CV285" s="87"/>
      <c r="CW285" s="87"/>
      <c r="CX285" s="87"/>
      <c r="CY285" s="87"/>
      <c r="CZ285" s="87"/>
      <c r="DA285" s="87"/>
      <c r="DB285" s="87"/>
      <c r="DC285" s="87"/>
      <c r="DD285" s="87"/>
      <c r="DE285" s="87"/>
      <c r="DF285" s="87"/>
      <c r="DG285" s="87"/>
      <c r="DH285" s="87"/>
      <c r="DI285" s="87"/>
      <c r="DJ285" s="87"/>
      <c r="DK285" s="87"/>
      <c r="DL285" s="87"/>
      <c r="DM285" s="87"/>
      <c r="DN285" s="87"/>
      <c r="DO285" s="87"/>
      <c r="DP285" s="87"/>
      <c r="DQ285" s="87"/>
      <c r="DR285" s="87"/>
      <c r="DS285" s="87"/>
      <c r="DT285" s="87"/>
      <c r="DU285" s="87"/>
      <c r="DV285" s="87"/>
      <c r="DW285" s="87"/>
      <c r="DX285" s="87"/>
      <c r="DY285" s="87"/>
      <c r="DZ285" s="87"/>
      <c r="EA285" s="87"/>
      <c r="EB285" s="87"/>
      <c r="EC285" s="87"/>
      <c r="ED285" s="87"/>
      <c r="EE285" s="87"/>
      <c r="EF285" s="87"/>
      <c r="EG285" s="87"/>
      <c r="EH285" s="87"/>
      <c r="EI285" s="87"/>
    </row>
    <row r="286" spans="1:139" ht="16.5" hidden="1" thickBot="1" x14ac:dyDescent="0.35">
      <c r="A286" s="190" t="s">
        <v>294</v>
      </c>
      <c r="B286" s="191">
        <v>3</v>
      </c>
      <c r="C286" s="177">
        <f>65*0.05</f>
        <v>3.25</v>
      </c>
      <c r="D286" s="217">
        <f>C286/VLOOKUP(B286,'[2]Gas Prod per PADD'!$A$1:$C$6,2,FALSE)</f>
        <v>7.065217391304348E-4</v>
      </c>
      <c r="E286" s="178">
        <v>45551</v>
      </c>
      <c r="F286" s="252">
        <v>45557</v>
      </c>
      <c r="G286" s="180" t="s">
        <v>454</v>
      </c>
      <c r="H286" s="181" t="s">
        <v>589</v>
      </c>
      <c r="I286" s="84"/>
      <c r="J286" s="85"/>
      <c r="K286" s="85"/>
      <c r="L286" s="85"/>
      <c r="M286" s="85"/>
      <c r="N286" s="85"/>
      <c r="O286" s="85"/>
      <c r="P286" s="85"/>
      <c r="Q286" s="85"/>
      <c r="R286" s="85"/>
      <c r="S286" s="85"/>
      <c r="T286" s="85"/>
      <c r="U286" s="85"/>
      <c r="V286" s="84"/>
      <c r="W286" s="84"/>
      <c r="X286" s="84" t="str">
        <f t="shared" si="13"/>
        <v>OK</v>
      </c>
      <c r="Y286" s="87"/>
      <c r="Z286" s="87"/>
      <c r="AA286" s="87"/>
      <c r="AB286" s="87"/>
      <c r="AC286" s="87"/>
      <c r="AD286" s="87"/>
      <c r="AE286" s="87"/>
      <c r="AF286" s="87"/>
      <c r="AG286" s="87"/>
      <c r="AH286" s="87"/>
      <c r="AI286" s="87"/>
      <c r="AJ286" s="87"/>
      <c r="AK286" s="87"/>
      <c r="AL286" s="87"/>
      <c r="AM286" s="87"/>
      <c r="AN286" s="87"/>
      <c r="AO286" s="87"/>
      <c r="AP286" s="87"/>
      <c r="AQ286" s="87"/>
      <c r="AR286" s="87"/>
      <c r="AS286" s="87"/>
      <c r="AT286" s="87"/>
      <c r="AU286" s="87"/>
      <c r="AV286" s="87"/>
      <c r="AW286" s="87"/>
      <c r="AX286" s="87"/>
      <c r="AY286" s="87"/>
      <c r="AZ286" s="87"/>
      <c r="BA286" s="87"/>
      <c r="BB286" s="87"/>
      <c r="BC286" s="87"/>
      <c r="BD286" s="87"/>
      <c r="BE286" s="87"/>
      <c r="BF286" s="87"/>
      <c r="BG286" s="87"/>
      <c r="BH286" s="87"/>
      <c r="BI286" s="87"/>
      <c r="BJ286" s="87"/>
      <c r="BK286" s="87"/>
      <c r="BL286" s="87"/>
      <c r="BM286" s="87"/>
      <c r="BN286" s="87"/>
      <c r="BO286" s="87"/>
      <c r="BP286" s="87"/>
      <c r="BQ286" s="87"/>
      <c r="BR286" s="87"/>
      <c r="BS286" s="87">
        <f>-C286*0.75</f>
        <v>-2.4375</v>
      </c>
      <c r="BT286" s="87"/>
      <c r="BU286" s="87">
        <f>-BS286</f>
        <v>2.4375</v>
      </c>
      <c r="BV286" s="87"/>
      <c r="BW286" s="87"/>
      <c r="BX286" s="87"/>
      <c r="BY286" s="87"/>
      <c r="BZ286" s="87"/>
      <c r="CA286" s="87"/>
      <c r="CB286" s="87"/>
      <c r="CC286" s="87"/>
      <c r="CD286" s="87"/>
      <c r="CE286" s="87"/>
      <c r="CF286" s="87"/>
      <c r="CG286" s="87"/>
      <c r="CH286" s="87"/>
      <c r="CI286" s="87"/>
      <c r="CJ286" s="87"/>
      <c r="CK286" s="87"/>
      <c r="CL286" s="87"/>
      <c r="CM286" s="87"/>
      <c r="CN286" s="87"/>
      <c r="CO286" s="87"/>
      <c r="CP286" s="87"/>
      <c r="CQ286" s="87"/>
      <c r="CR286" s="87"/>
      <c r="CS286" s="87"/>
      <c r="CT286" s="87"/>
      <c r="CU286" s="87"/>
      <c r="CV286" s="87"/>
      <c r="CW286" s="87"/>
      <c r="CX286" s="87"/>
      <c r="CY286" s="87"/>
      <c r="CZ286" s="87"/>
      <c r="DA286" s="87"/>
      <c r="DB286" s="87"/>
      <c r="DC286" s="87"/>
      <c r="DD286" s="87"/>
      <c r="DE286" s="87"/>
      <c r="DF286" s="87"/>
      <c r="DG286" s="87"/>
      <c r="DH286" s="87"/>
      <c r="DI286" s="87"/>
      <c r="DJ286" s="87"/>
      <c r="DK286" s="87"/>
      <c r="DL286" s="87"/>
      <c r="DM286" s="87"/>
      <c r="DN286" s="87"/>
      <c r="DO286" s="87"/>
      <c r="DP286" s="87"/>
      <c r="DQ286" s="87"/>
      <c r="DR286" s="87"/>
      <c r="DS286" s="87"/>
      <c r="DT286" s="87"/>
      <c r="DU286" s="87"/>
      <c r="DV286" s="87"/>
      <c r="DW286" s="87"/>
      <c r="DX286" s="87"/>
      <c r="DY286" s="87"/>
      <c r="DZ286" s="87"/>
      <c r="EA286" s="87"/>
      <c r="EB286" s="87"/>
      <c r="EC286" s="87"/>
      <c r="ED286" s="87"/>
      <c r="EE286" s="87"/>
      <c r="EF286" s="87"/>
      <c r="EG286" s="87"/>
      <c r="EH286" s="87"/>
      <c r="EI286" s="87"/>
    </row>
    <row r="287" spans="1:139" ht="16.5" hidden="1" thickBot="1" x14ac:dyDescent="0.35">
      <c r="A287" s="190" t="s">
        <v>127</v>
      </c>
      <c r="B287" s="176">
        <v>3</v>
      </c>
      <c r="C287" s="177">
        <f>80*0.25</f>
        <v>20</v>
      </c>
      <c r="D287" s="217">
        <f>C287/VLOOKUP(B287,'[2]Gas Prod per PADD'!$A$1:$C$6,2,FALSE)</f>
        <v>4.3478260869565218E-3</v>
      </c>
      <c r="E287" s="196">
        <v>45553</v>
      </c>
      <c r="F287" s="197">
        <v>45558</v>
      </c>
      <c r="G287" s="180" t="s">
        <v>590</v>
      </c>
      <c r="H287" s="181" t="s">
        <v>591</v>
      </c>
      <c r="I287" s="84"/>
      <c r="J287" s="85"/>
      <c r="K287" s="85"/>
      <c r="L287" s="85"/>
      <c r="M287" s="85"/>
      <c r="N287" s="85"/>
      <c r="O287" s="85"/>
      <c r="P287" s="85"/>
      <c r="Q287" s="85"/>
      <c r="R287" s="85"/>
      <c r="S287" s="85"/>
      <c r="T287" s="85"/>
      <c r="U287" s="85"/>
      <c r="V287" s="84"/>
      <c r="W287" s="84"/>
      <c r="X287" s="84" t="str">
        <f t="shared" si="13"/>
        <v>OK</v>
      </c>
      <c r="Y287" s="105"/>
      <c r="Z287" s="105"/>
      <c r="AA287" s="87"/>
      <c r="AB287" s="87"/>
      <c r="AC287" s="87"/>
      <c r="AD287" s="87"/>
      <c r="AE287" s="105"/>
      <c r="AF287" s="105"/>
      <c r="AG287" s="105"/>
      <c r="AH287" s="105"/>
      <c r="AI287" s="87"/>
      <c r="AJ287" s="87"/>
      <c r="AK287" s="105"/>
      <c r="AL287" s="87"/>
      <c r="AM287" s="105"/>
      <c r="AN287" s="105"/>
      <c r="AO287" s="87"/>
      <c r="AP287" s="87"/>
      <c r="AQ287" s="105"/>
      <c r="AR287" s="105"/>
      <c r="AS287" s="87"/>
      <c r="AT287" s="105"/>
      <c r="AU287" s="105"/>
      <c r="AV287" s="87"/>
      <c r="AW287" s="105"/>
      <c r="AX287" s="105"/>
      <c r="AY287" s="105"/>
      <c r="AZ287" s="105"/>
      <c r="BA287" s="105"/>
      <c r="BB287" s="105"/>
      <c r="BC287" s="87"/>
      <c r="BD287" s="87"/>
      <c r="BE287" s="87"/>
      <c r="BF287" s="105"/>
      <c r="BG287" s="105"/>
      <c r="BH287" s="105"/>
      <c r="BI287" s="105"/>
      <c r="BJ287" s="87"/>
      <c r="BK287" s="87"/>
      <c r="BL287" s="87"/>
      <c r="BM287" s="87"/>
      <c r="BN287" s="87"/>
      <c r="BO287" s="87"/>
      <c r="BP287" s="87"/>
      <c r="BQ287" s="87"/>
      <c r="BR287" s="87"/>
      <c r="BS287" s="87">
        <f>-1/7*C287</f>
        <v>-2.8571428571428568</v>
      </c>
      <c r="BT287" s="87">
        <f>-C287*3/7</f>
        <v>-8.5714285714285712</v>
      </c>
      <c r="BU287" s="87">
        <f>-SUM(BS287:BT287)</f>
        <v>11.428571428571427</v>
      </c>
      <c r="BV287" s="87"/>
      <c r="BW287" s="87"/>
      <c r="BX287" s="87"/>
      <c r="BY287" s="87"/>
      <c r="BZ287" s="87"/>
      <c r="CA287" s="87"/>
      <c r="CB287" s="87"/>
      <c r="CC287" s="87"/>
      <c r="CD287" s="87"/>
      <c r="CE287" s="87"/>
      <c r="CF287" s="87"/>
      <c r="CG287" s="87"/>
      <c r="CH287" s="87"/>
      <c r="CI287" s="87"/>
      <c r="CJ287" s="87"/>
      <c r="CK287" s="87"/>
      <c r="CL287" s="87"/>
      <c r="CM287" s="87"/>
      <c r="CN287" s="87"/>
      <c r="CO287" s="87"/>
      <c r="CP287" s="87"/>
      <c r="CQ287" s="87"/>
      <c r="CR287" s="87"/>
      <c r="CS287" s="87"/>
      <c r="CT287" s="87"/>
      <c r="CU287" s="87"/>
      <c r="CV287" s="87"/>
      <c r="CW287" s="87"/>
      <c r="CX287" s="87"/>
      <c r="CY287" s="87"/>
      <c r="CZ287" s="87"/>
      <c r="DA287" s="87"/>
      <c r="DB287" s="87"/>
      <c r="DC287" s="87"/>
      <c r="DD287" s="87"/>
      <c r="DE287" s="87"/>
      <c r="DF287" s="87"/>
      <c r="DG287" s="87"/>
      <c r="DH287" s="87"/>
      <c r="DI287" s="87"/>
      <c r="DJ287" s="87"/>
      <c r="DK287" s="87"/>
      <c r="DL287" s="87"/>
      <c r="DM287" s="87"/>
      <c r="DN287" s="87"/>
      <c r="DO287" s="87"/>
      <c r="DP287" s="87"/>
      <c r="DQ287" s="87"/>
      <c r="DR287" s="87"/>
      <c r="DS287" s="87"/>
      <c r="DT287" s="87"/>
      <c r="DU287" s="87"/>
      <c r="DV287" s="87"/>
      <c r="DW287" s="87"/>
      <c r="DX287" s="87"/>
      <c r="DY287" s="87"/>
      <c r="DZ287" s="87"/>
      <c r="EA287" s="87"/>
      <c r="EB287" s="87"/>
      <c r="EC287" s="87"/>
      <c r="ED287" s="87"/>
      <c r="EE287" s="87"/>
      <c r="EF287" s="87"/>
      <c r="EG287" s="87"/>
      <c r="EH287" s="87"/>
      <c r="EI287" s="87"/>
    </row>
    <row r="288" spans="1:139" ht="43.5" hidden="1" thickBot="1" x14ac:dyDescent="0.35">
      <c r="A288" s="200" t="s">
        <v>371</v>
      </c>
      <c r="B288" s="199">
        <v>2</v>
      </c>
      <c r="C288" s="195">
        <f>(255*0.1)+(98*0.65)+(31*0.85)</f>
        <v>115.55</v>
      </c>
      <c r="D288" s="217">
        <f>C288/VLOOKUP(B288,'[2]Gas Prod per PADD'!$A$1:$C$6,2,FALSE)</f>
        <v>4.8145833333333332E-2</v>
      </c>
      <c r="E288" s="225">
        <v>45552</v>
      </c>
      <c r="F288" s="276">
        <v>45559</v>
      </c>
      <c r="G288" s="180" t="s">
        <v>592</v>
      </c>
      <c r="H288" s="181" t="s">
        <v>593</v>
      </c>
      <c r="I288" s="84"/>
      <c r="J288" s="85"/>
      <c r="K288" s="85"/>
      <c r="L288" s="85"/>
      <c r="M288" s="85"/>
      <c r="N288" s="85"/>
      <c r="O288" s="85"/>
      <c r="P288" s="85"/>
      <c r="Q288" s="85"/>
      <c r="R288" s="85"/>
      <c r="S288" s="85"/>
      <c r="T288" s="85"/>
      <c r="U288" s="85"/>
      <c r="V288" s="84"/>
      <c r="W288" s="84"/>
      <c r="X288" s="84" t="str">
        <f t="shared" si="13"/>
        <v>OK</v>
      </c>
      <c r="Y288" s="87"/>
      <c r="Z288" s="87"/>
      <c r="AA288" s="87"/>
      <c r="AB288" s="87"/>
      <c r="AC288" s="87"/>
      <c r="AD288" s="87"/>
      <c r="AE288" s="87"/>
      <c r="AF288" s="87"/>
      <c r="AG288" s="87"/>
      <c r="AH288" s="87"/>
      <c r="AI288" s="87"/>
      <c r="AJ288" s="87"/>
      <c r="AK288" s="87"/>
      <c r="AL288" s="87"/>
      <c r="AM288" s="87"/>
      <c r="AN288" s="87"/>
      <c r="AO288" s="87"/>
      <c r="AP288" s="87"/>
      <c r="AQ288" s="87"/>
      <c r="AR288" s="87"/>
      <c r="AS288" s="87"/>
      <c r="AT288" s="87"/>
      <c r="AU288" s="87"/>
      <c r="AV288" s="87"/>
      <c r="AW288" s="87"/>
      <c r="AX288" s="87"/>
      <c r="AY288" s="87"/>
      <c r="AZ288" s="87"/>
      <c r="BA288" s="87"/>
      <c r="BB288" s="87"/>
      <c r="BC288" s="87"/>
      <c r="BD288" s="87"/>
      <c r="BE288" s="87"/>
      <c r="BF288" s="87"/>
      <c r="BG288" s="87"/>
      <c r="BH288" s="87"/>
      <c r="BI288" s="87"/>
      <c r="BJ288" s="87"/>
      <c r="BK288" s="87"/>
      <c r="BL288" s="87"/>
      <c r="BM288" s="87"/>
      <c r="BN288" s="87"/>
      <c r="BO288" s="87"/>
      <c r="BP288" s="87"/>
      <c r="BQ288" s="87"/>
      <c r="BR288" s="87"/>
      <c r="BS288" s="87">
        <f>-C288*0.5</f>
        <v>-57.774999999999999</v>
      </c>
      <c r="BT288" s="87"/>
      <c r="BU288" s="87">
        <f>BS288*-1</f>
        <v>57.774999999999999</v>
      </c>
      <c r="BV288" s="87"/>
      <c r="BW288" s="87"/>
      <c r="BX288" s="87"/>
      <c r="BY288" s="87"/>
      <c r="BZ288" s="87"/>
      <c r="CA288" s="87"/>
      <c r="CB288" s="87"/>
      <c r="CC288" s="87"/>
      <c r="CD288" s="87"/>
      <c r="CE288" s="87"/>
      <c r="CF288" s="87"/>
      <c r="CG288" s="87"/>
      <c r="CH288" s="87"/>
      <c r="CI288" s="87"/>
      <c r="CJ288" s="87"/>
      <c r="CK288" s="87"/>
      <c r="CL288" s="87"/>
      <c r="CM288" s="87"/>
      <c r="CN288" s="87"/>
      <c r="CO288" s="87"/>
      <c r="CP288" s="87"/>
      <c r="CQ288" s="87"/>
      <c r="CR288" s="87"/>
      <c r="CS288" s="87"/>
      <c r="CT288" s="87"/>
      <c r="CU288" s="87"/>
      <c r="CV288" s="87"/>
      <c r="CW288" s="87"/>
      <c r="CX288" s="87"/>
      <c r="CY288" s="87"/>
      <c r="CZ288" s="87"/>
      <c r="DA288" s="87"/>
      <c r="DB288" s="87"/>
      <c r="DC288" s="87"/>
      <c r="DD288" s="87"/>
      <c r="DE288" s="87"/>
      <c r="DF288" s="87"/>
      <c r="DG288" s="87"/>
      <c r="DH288" s="87"/>
      <c r="DI288" s="87"/>
      <c r="DJ288" s="87"/>
      <c r="DK288" s="87"/>
      <c r="DL288" s="87"/>
      <c r="DM288" s="87"/>
      <c r="DN288" s="87"/>
      <c r="DO288" s="87"/>
      <c r="DP288" s="87"/>
      <c r="DQ288" s="87"/>
      <c r="DR288" s="87"/>
      <c r="DS288" s="87"/>
      <c r="DT288" s="87"/>
      <c r="DU288" s="87"/>
      <c r="DV288" s="87"/>
      <c r="DW288" s="87"/>
      <c r="DX288" s="87"/>
      <c r="DY288" s="87"/>
      <c r="DZ288" s="87"/>
      <c r="EA288" s="87"/>
      <c r="EB288" s="87"/>
      <c r="EC288" s="87"/>
      <c r="ED288" s="87"/>
      <c r="EE288" s="87"/>
      <c r="EF288" s="87"/>
      <c r="EG288" s="87"/>
      <c r="EH288" s="87"/>
      <c r="EI288" s="87"/>
    </row>
    <row r="289" spans="1:139" ht="16.5" hidden="1" thickBot="1" x14ac:dyDescent="0.35">
      <c r="A289" s="113" t="s">
        <v>260</v>
      </c>
      <c r="B289" s="194">
        <v>4</v>
      </c>
      <c r="C289" s="195">
        <f>13*0.65</f>
        <v>8.4500000000000011</v>
      </c>
      <c r="D289" s="217">
        <f>C289/VLOOKUP(B289,'[2]Gas Prod per PADD'!$A$1:$C$6,2,FALSE)</f>
        <v>2.4852941176470592E-2</v>
      </c>
      <c r="E289" s="196">
        <v>45558</v>
      </c>
      <c r="F289" s="197">
        <v>45559</v>
      </c>
      <c r="G289" s="194" t="s">
        <v>221</v>
      </c>
      <c r="H289" s="198" t="s">
        <v>594</v>
      </c>
      <c r="I289" s="84"/>
      <c r="J289" s="85"/>
      <c r="K289" s="85"/>
      <c r="L289" s="85"/>
      <c r="M289" s="85"/>
      <c r="N289" s="85"/>
      <c r="O289" s="85"/>
      <c r="P289" s="85"/>
      <c r="Q289" s="85"/>
      <c r="R289" s="85"/>
      <c r="S289" s="85"/>
      <c r="T289" s="85"/>
      <c r="U289" s="85"/>
      <c r="V289" s="84"/>
      <c r="W289" s="84"/>
      <c r="X289" s="84" t="str">
        <f t="shared" si="13"/>
        <v>OK</v>
      </c>
      <c r="Y289" s="87"/>
      <c r="Z289" s="87"/>
      <c r="AA289" s="87"/>
      <c r="AB289" s="87"/>
      <c r="AC289" s="87"/>
      <c r="AD289" s="87"/>
      <c r="AE289" s="87"/>
      <c r="AF289" s="87"/>
      <c r="AG289" s="87"/>
      <c r="AH289" s="87"/>
      <c r="AI289" s="87"/>
      <c r="AJ289" s="87"/>
      <c r="AK289" s="87"/>
      <c r="AL289" s="87"/>
      <c r="AM289" s="87"/>
      <c r="AN289" s="87"/>
      <c r="AO289" s="87"/>
      <c r="AP289" s="87"/>
      <c r="AQ289" s="87"/>
      <c r="AR289" s="87"/>
      <c r="AS289" s="87"/>
      <c r="AT289" s="87"/>
      <c r="AU289" s="87"/>
      <c r="AV289" s="87"/>
      <c r="AW289" s="87"/>
      <c r="AX289" s="87"/>
      <c r="AY289" s="87"/>
      <c r="AZ289" s="87"/>
      <c r="BA289" s="87"/>
      <c r="BB289" s="87"/>
      <c r="BC289" s="87"/>
      <c r="BD289" s="87"/>
      <c r="BE289" s="87"/>
      <c r="BF289" s="87"/>
      <c r="BG289" s="87"/>
      <c r="BH289" s="87"/>
      <c r="BI289" s="87"/>
      <c r="BJ289" s="87"/>
      <c r="BK289" s="87"/>
      <c r="BL289" s="87"/>
      <c r="BM289" s="87"/>
      <c r="BN289" s="87"/>
      <c r="BO289" s="87"/>
      <c r="BP289" s="87"/>
      <c r="BQ289" s="87"/>
      <c r="BR289" s="87"/>
      <c r="BS289" s="87"/>
      <c r="BT289" s="87">
        <f>-1/7*C289</f>
        <v>-1.2071428571428573</v>
      </c>
      <c r="BU289" s="87">
        <f>-BT289</f>
        <v>1.2071428571428573</v>
      </c>
      <c r="BV289" s="87"/>
      <c r="BW289" s="87"/>
      <c r="BX289" s="87"/>
      <c r="BY289" s="87"/>
      <c r="BZ289" s="87"/>
      <c r="CA289" s="87"/>
      <c r="CB289" s="87"/>
      <c r="CC289" s="87"/>
      <c r="CD289" s="87"/>
      <c r="CE289" s="87"/>
      <c r="CF289" s="87"/>
      <c r="CG289" s="87"/>
      <c r="CH289" s="87"/>
      <c r="CI289" s="87"/>
      <c r="CJ289" s="87"/>
      <c r="CK289" s="87"/>
      <c r="CL289" s="87"/>
      <c r="CM289" s="87"/>
      <c r="CN289" s="87"/>
      <c r="CO289" s="87"/>
      <c r="CP289" s="87"/>
      <c r="CQ289" s="87"/>
      <c r="CR289" s="87"/>
      <c r="CS289" s="87"/>
      <c r="CT289" s="87"/>
      <c r="CU289" s="87"/>
      <c r="CV289" s="87"/>
      <c r="CW289" s="87"/>
      <c r="CX289" s="87"/>
      <c r="CY289" s="87"/>
      <c r="CZ289" s="87"/>
      <c r="DA289" s="87"/>
      <c r="DB289" s="87"/>
      <c r="DC289" s="87"/>
      <c r="DD289" s="87"/>
      <c r="DE289" s="87"/>
      <c r="DF289" s="87"/>
      <c r="DG289" s="87"/>
      <c r="DH289" s="87"/>
      <c r="DI289" s="87"/>
      <c r="DJ289" s="87"/>
      <c r="DK289" s="87"/>
      <c r="DL289" s="87"/>
      <c r="DM289" s="87"/>
      <c r="DN289" s="87"/>
      <c r="DO289" s="87"/>
      <c r="DP289" s="87"/>
      <c r="DQ289" s="87"/>
      <c r="DR289" s="87"/>
      <c r="DS289" s="87"/>
      <c r="DT289" s="87"/>
      <c r="DU289" s="87"/>
      <c r="DV289" s="87"/>
      <c r="DW289" s="87"/>
      <c r="DX289" s="87"/>
      <c r="DY289" s="87"/>
      <c r="DZ289" s="87"/>
      <c r="EA289" s="87"/>
      <c r="EB289" s="87"/>
      <c r="EC289" s="87"/>
      <c r="ED289" s="87"/>
      <c r="EE289" s="87"/>
      <c r="EF289" s="87"/>
      <c r="EG289" s="87"/>
      <c r="EH289" s="87"/>
      <c r="EI289" s="87"/>
    </row>
    <row r="290" spans="1:139" ht="29.25" hidden="1" thickBot="1" x14ac:dyDescent="0.35">
      <c r="A290" s="222" t="s">
        <v>451</v>
      </c>
      <c r="B290" s="191">
        <v>3</v>
      </c>
      <c r="C290" s="177">
        <f>90*0.65</f>
        <v>58.5</v>
      </c>
      <c r="D290" s="217">
        <f>C290/VLOOKUP(B290,'[2]Gas Prod per PADD'!$A$1:$C$6,2,FALSE)</f>
        <v>1.2717391304347826E-2</v>
      </c>
      <c r="E290" s="178">
        <v>45533</v>
      </c>
      <c r="F290" s="252">
        <v>45560</v>
      </c>
      <c r="G290" s="180" t="s">
        <v>221</v>
      </c>
      <c r="H290" s="181" t="s">
        <v>595</v>
      </c>
      <c r="I290" s="84"/>
      <c r="J290" s="85"/>
      <c r="K290" s="85"/>
      <c r="L290" s="85"/>
      <c r="M290" s="85"/>
      <c r="N290" s="85"/>
      <c r="O290" s="85"/>
      <c r="P290" s="85"/>
      <c r="Q290" s="85"/>
      <c r="R290" s="85"/>
      <c r="S290" s="85"/>
      <c r="T290" s="85"/>
      <c r="U290" s="85"/>
      <c r="V290" s="84"/>
      <c r="W290" s="84"/>
      <c r="X290" s="84" t="str">
        <f t="shared" si="13"/>
        <v>OK</v>
      </c>
      <c r="Y290" s="105"/>
      <c r="Z290" s="105"/>
      <c r="AA290" s="87"/>
      <c r="AB290" s="87"/>
      <c r="AC290" s="87"/>
      <c r="AD290" s="87"/>
      <c r="AE290" s="105"/>
      <c r="AF290" s="105"/>
      <c r="AG290" s="105"/>
      <c r="AH290" s="105"/>
      <c r="AI290" s="87"/>
      <c r="AJ290" s="87"/>
      <c r="AK290" s="105"/>
      <c r="AL290" s="87"/>
      <c r="AM290" s="105"/>
      <c r="AN290" s="105"/>
      <c r="AO290" s="87"/>
      <c r="AP290" s="87"/>
      <c r="AQ290" s="105"/>
      <c r="AR290" s="105"/>
      <c r="AS290" s="87"/>
      <c r="AT290" s="105"/>
      <c r="AU290" s="105"/>
      <c r="AV290" s="87"/>
      <c r="AW290" s="105"/>
      <c r="AX290" s="105"/>
      <c r="AY290" s="87"/>
      <c r="AZ290" s="105"/>
      <c r="BA290" s="105"/>
      <c r="BB290" s="105"/>
      <c r="BC290" s="87"/>
      <c r="BD290" s="87"/>
      <c r="BE290" s="105"/>
      <c r="BF290" s="105"/>
      <c r="BG290" s="105"/>
      <c r="BH290" s="105"/>
      <c r="BI290" s="105"/>
      <c r="BJ290" s="87"/>
      <c r="BK290" s="87"/>
      <c r="BL290" s="87"/>
      <c r="BM290" s="87"/>
      <c r="BN290" s="87"/>
      <c r="BO290" s="105"/>
      <c r="BP290" s="105"/>
      <c r="BQ290" s="105">
        <f>-C290*1/3</f>
        <v>-19.5</v>
      </c>
      <c r="BR290" s="105">
        <f>-C290-BQ290</f>
        <v>-39</v>
      </c>
      <c r="BS290" s="105"/>
      <c r="BT290" s="105"/>
      <c r="BU290" s="105">
        <f>C290</f>
        <v>58.5</v>
      </c>
      <c r="BV290" s="105"/>
      <c r="BW290" s="87"/>
      <c r="BX290" s="87"/>
      <c r="BY290" s="87"/>
      <c r="BZ290" s="87"/>
      <c r="CA290" s="87"/>
      <c r="CB290" s="87"/>
      <c r="CC290" s="87"/>
      <c r="CD290" s="87"/>
      <c r="CE290" s="87"/>
      <c r="CF290" s="87"/>
      <c r="CG290" s="87"/>
      <c r="CH290" s="87"/>
      <c r="CI290" s="87"/>
      <c r="CJ290" s="87"/>
      <c r="CK290" s="87"/>
      <c r="CL290" s="87"/>
      <c r="CM290" s="87"/>
      <c r="CN290" s="87"/>
      <c r="CO290" s="87"/>
      <c r="CP290" s="87"/>
      <c r="CQ290" s="87"/>
      <c r="CR290" s="87"/>
      <c r="CS290" s="87"/>
      <c r="CT290" s="87"/>
      <c r="CU290" s="87"/>
      <c r="CV290" s="87"/>
      <c r="CW290" s="87"/>
      <c r="CX290" s="87"/>
      <c r="CY290" s="87"/>
      <c r="CZ290" s="87"/>
      <c r="DA290" s="87"/>
      <c r="DB290" s="87"/>
      <c r="DC290" s="87"/>
      <c r="DD290" s="87"/>
      <c r="DE290" s="87"/>
      <c r="DF290" s="87"/>
      <c r="DG290" s="87"/>
      <c r="DH290" s="87"/>
      <c r="DI290" s="87"/>
      <c r="DJ290" s="87"/>
      <c r="DK290" s="87"/>
      <c r="DL290" s="87"/>
      <c r="DM290" s="87"/>
      <c r="DN290" s="87"/>
      <c r="DO290" s="87"/>
      <c r="DP290" s="87"/>
      <c r="DQ290" s="87"/>
      <c r="DR290" s="87"/>
      <c r="DS290" s="87"/>
      <c r="DT290" s="87"/>
      <c r="DU290" s="87"/>
      <c r="DV290" s="87"/>
      <c r="DW290" s="87"/>
      <c r="DX290" s="87"/>
      <c r="DY290" s="87"/>
      <c r="DZ290" s="87"/>
      <c r="EA290" s="87"/>
      <c r="EB290" s="87"/>
      <c r="EC290" s="87"/>
      <c r="ED290" s="87"/>
      <c r="EE290" s="87"/>
      <c r="EF290" s="87"/>
      <c r="EG290" s="87"/>
      <c r="EH290" s="87"/>
      <c r="EI290" s="87"/>
    </row>
    <row r="291" spans="1:139" ht="16.5" hidden="1" thickBot="1" x14ac:dyDescent="0.35">
      <c r="A291" s="113" t="s">
        <v>298</v>
      </c>
      <c r="B291" s="199">
        <v>4</v>
      </c>
      <c r="C291" s="195">
        <f>15*0.05+5.3*0.5</f>
        <v>3.4</v>
      </c>
      <c r="D291" s="217">
        <f>C291/VLOOKUP(B291,'[2]Gas Prod per PADD'!$A$1:$C$6,2,FALSE)</f>
        <v>0.01</v>
      </c>
      <c r="E291" s="196">
        <v>45558</v>
      </c>
      <c r="F291" s="197">
        <v>45561</v>
      </c>
      <c r="G291" s="194" t="s">
        <v>596</v>
      </c>
      <c r="H291" s="198"/>
      <c r="I291" s="84"/>
      <c r="J291" s="85"/>
      <c r="K291" s="85"/>
      <c r="L291" s="85"/>
      <c r="M291" s="85"/>
      <c r="N291" s="85"/>
      <c r="O291" s="85"/>
      <c r="P291" s="85"/>
      <c r="Q291" s="85"/>
      <c r="R291" s="85"/>
      <c r="S291" s="85"/>
      <c r="T291" s="85"/>
      <c r="U291" s="85"/>
      <c r="V291" s="84"/>
      <c r="W291" s="84"/>
      <c r="X291" s="84" t="str">
        <f t="shared" si="13"/>
        <v>OK</v>
      </c>
      <c r="Y291" s="87"/>
      <c r="Z291" s="87"/>
      <c r="AA291" s="87"/>
      <c r="AB291" s="87"/>
      <c r="AC291" s="87"/>
      <c r="AD291" s="87"/>
      <c r="AE291" s="87"/>
      <c r="AF291" s="87"/>
      <c r="AG291" s="87"/>
      <c r="AH291" s="87"/>
      <c r="AI291" s="87"/>
      <c r="AJ291" s="87"/>
      <c r="AK291" s="87"/>
      <c r="AL291" s="87"/>
      <c r="AM291" s="87"/>
      <c r="AN291" s="87"/>
      <c r="AO291" s="87"/>
      <c r="AP291" s="87"/>
      <c r="AQ291" s="87"/>
      <c r="AR291" s="87"/>
      <c r="AS291" s="87"/>
      <c r="AT291" s="87"/>
      <c r="AU291" s="87"/>
      <c r="AV291" s="87"/>
      <c r="AW291" s="87"/>
      <c r="AX291" s="87"/>
      <c r="AY291" s="87"/>
      <c r="AZ291" s="87"/>
      <c r="BA291" s="87"/>
      <c r="BB291" s="87"/>
      <c r="BC291" s="87"/>
      <c r="BD291" s="87"/>
      <c r="BE291" s="87"/>
      <c r="BF291" s="87"/>
      <c r="BG291" s="87"/>
      <c r="BH291" s="87"/>
      <c r="BI291" s="87"/>
      <c r="BJ291" s="87"/>
      <c r="BK291" s="87"/>
      <c r="BL291" s="87"/>
      <c r="BM291" s="87"/>
      <c r="BN291" s="87"/>
      <c r="BO291" s="87"/>
      <c r="BP291" s="87"/>
      <c r="BQ291" s="87"/>
      <c r="BR291" s="87"/>
      <c r="BS291" s="87"/>
      <c r="BT291" s="87">
        <f>-4/7*C291</f>
        <v>-1.9428571428571426</v>
      </c>
      <c r="BU291" s="87">
        <f>-BT291</f>
        <v>1.9428571428571426</v>
      </c>
      <c r="BV291" s="87"/>
      <c r="BW291" s="87"/>
      <c r="BX291" s="87"/>
      <c r="BY291" s="87"/>
      <c r="BZ291" s="87"/>
      <c r="CA291" s="87"/>
      <c r="CB291" s="87"/>
      <c r="CC291" s="87"/>
      <c r="CD291" s="87"/>
      <c r="CE291" s="87"/>
      <c r="CF291" s="87"/>
      <c r="CG291" s="87"/>
      <c r="CH291" s="87"/>
      <c r="CI291" s="87"/>
      <c r="CJ291" s="87"/>
      <c r="CK291" s="87"/>
      <c r="CL291" s="87"/>
      <c r="CM291" s="87"/>
      <c r="CN291" s="87"/>
      <c r="CO291" s="87"/>
      <c r="CP291" s="87"/>
      <c r="CQ291" s="87"/>
      <c r="CR291" s="87"/>
      <c r="CS291" s="87"/>
      <c r="CT291" s="87"/>
      <c r="CU291" s="87"/>
      <c r="CV291" s="87"/>
      <c r="CW291" s="87"/>
      <c r="CX291" s="87"/>
      <c r="CY291" s="87"/>
      <c r="CZ291" s="87"/>
      <c r="DA291" s="87"/>
      <c r="DB291" s="87"/>
      <c r="DC291" s="87"/>
      <c r="DD291" s="87"/>
      <c r="DE291" s="87"/>
      <c r="DF291" s="87"/>
      <c r="DG291" s="87"/>
      <c r="DH291" s="87"/>
      <c r="DI291" s="87"/>
      <c r="DJ291" s="87"/>
      <c r="DK291" s="87"/>
      <c r="DL291" s="87"/>
      <c r="DM291" s="87"/>
      <c r="DN291" s="87"/>
      <c r="DO291" s="87"/>
      <c r="DP291" s="87"/>
      <c r="DQ291" s="87"/>
      <c r="DR291" s="87"/>
      <c r="DS291" s="87"/>
      <c r="DT291" s="87"/>
      <c r="DU291" s="87"/>
      <c r="DV291" s="87"/>
      <c r="DW291" s="87"/>
      <c r="DX291" s="87"/>
      <c r="DY291" s="87"/>
      <c r="DZ291" s="87"/>
      <c r="EA291" s="87"/>
      <c r="EB291" s="87"/>
      <c r="EC291" s="87"/>
      <c r="ED291" s="87"/>
      <c r="EE291" s="87"/>
      <c r="EF291" s="87"/>
      <c r="EG291" s="87"/>
      <c r="EH291" s="87"/>
      <c r="EI291" s="87"/>
    </row>
    <row r="292" spans="1:139" ht="29.25" hidden="1" thickBot="1" x14ac:dyDescent="0.35">
      <c r="A292" s="175" t="s">
        <v>597</v>
      </c>
      <c r="B292" s="176">
        <v>2</v>
      </c>
      <c r="C292" s="177">
        <f>185*0.1</f>
        <v>18.5</v>
      </c>
      <c r="D292" s="217">
        <f>C292/VLOOKUP(B292,'[2]Gas Prod per PADD'!$A$1:$C$6,2,FALSE)</f>
        <v>7.7083333333333335E-3</v>
      </c>
      <c r="E292" s="253">
        <v>45560</v>
      </c>
      <c r="F292" s="252">
        <v>45562</v>
      </c>
      <c r="G292" s="180" t="s">
        <v>141</v>
      </c>
      <c r="H292" s="221" t="s">
        <v>598</v>
      </c>
      <c r="I292" s="84"/>
      <c r="J292" s="85"/>
      <c r="K292" s="85"/>
      <c r="L292" s="85"/>
      <c r="M292" s="85"/>
      <c r="N292" s="85"/>
      <c r="O292" s="85"/>
      <c r="P292" s="85"/>
      <c r="Q292" s="85"/>
      <c r="R292" s="85"/>
      <c r="S292" s="85"/>
      <c r="T292" s="85"/>
      <c r="U292" s="85"/>
      <c r="V292" s="84"/>
      <c r="W292" s="84"/>
      <c r="X292" s="84" t="str">
        <f t="shared" si="13"/>
        <v>OK</v>
      </c>
      <c r="Y292" s="105"/>
      <c r="Z292" s="105"/>
      <c r="AA292" s="87"/>
      <c r="AB292" s="87"/>
      <c r="AC292" s="87"/>
      <c r="AD292" s="87"/>
      <c r="AE292" s="105"/>
      <c r="AF292" s="105"/>
      <c r="AG292" s="105"/>
      <c r="AH292" s="105"/>
      <c r="AI292" s="87"/>
      <c r="AJ292" s="87"/>
      <c r="AK292" s="105"/>
      <c r="AL292" s="87"/>
      <c r="AM292" s="105"/>
      <c r="AN292" s="105"/>
      <c r="AO292" s="87"/>
      <c r="AP292" s="87"/>
      <c r="AQ292" s="105"/>
      <c r="AR292" s="105"/>
      <c r="AS292" s="87"/>
      <c r="AT292" s="105"/>
      <c r="AU292" s="105"/>
      <c r="AV292" s="87"/>
      <c r="AW292" s="105"/>
      <c r="AX292" s="105"/>
      <c r="AY292" s="87"/>
      <c r="AZ292" s="105"/>
      <c r="BA292" s="105"/>
      <c r="BB292" s="105"/>
      <c r="BC292" s="87"/>
      <c r="BD292" s="87"/>
      <c r="BE292" s="87"/>
      <c r="BF292" s="105"/>
      <c r="BG292" s="105"/>
      <c r="BH292" s="105"/>
      <c r="BI292" s="105"/>
      <c r="BJ292" s="105"/>
      <c r="BK292" s="87"/>
      <c r="BL292" s="87"/>
      <c r="BM292" s="87"/>
      <c r="BN292" s="87"/>
      <c r="BO292" s="87"/>
      <c r="BP292" s="87"/>
      <c r="BQ292" s="87"/>
      <c r="BR292" s="87"/>
      <c r="BS292" s="87"/>
      <c r="BT292" s="87">
        <f>-3/7*C292</f>
        <v>-7.9285714285714279</v>
      </c>
      <c r="BU292" s="105">
        <f>-BT292</f>
        <v>7.9285714285714279</v>
      </c>
      <c r="BV292" s="87"/>
      <c r="BW292" s="87"/>
      <c r="BX292" s="87"/>
      <c r="BY292" s="87"/>
      <c r="BZ292" s="87"/>
      <c r="CA292" s="87"/>
      <c r="CB292" s="87"/>
      <c r="CC292" s="87"/>
      <c r="CD292" s="87"/>
      <c r="CE292" s="87"/>
      <c r="CF292" s="87"/>
      <c r="CG292" s="87"/>
      <c r="CH292" s="87"/>
      <c r="CI292" s="87"/>
      <c r="CJ292" s="87"/>
      <c r="CK292" s="87"/>
      <c r="CL292" s="87"/>
      <c r="CM292" s="87"/>
      <c r="CN292" s="87"/>
      <c r="CO292" s="87"/>
      <c r="CP292" s="87"/>
      <c r="CQ292" s="87"/>
      <c r="CR292" s="87"/>
      <c r="CS292" s="87"/>
      <c r="CT292" s="87"/>
      <c r="CU292" s="87"/>
      <c r="CV292" s="87"/>
      <c r="CW292" s="87"/>
      <c r="CX292" s="87"/>
      <c r="CY292" s="87"/>
      <c r="CZ292" s="87"/>
      <c r="DA292" s="87"/>
      <c r="DB292" s="87"/>
      <c r="DC292" s="87"/>
      <c r="DD292" s="87"/>
      <c r="DE292" s="87"/>
      <c r="DF292" s="87"/>
      <c r="DG292" s="87"/>
      <c r="DH292" s="87"/>
      <c r="DI292" s="87"/>
      <c r="DJ292" s="87"/>
      <c r="DK292" s="87"/>
      <c r="DL292" s="87"/>
      <c r="DM292" s="87"/>
      <c r="DN292" s="87"/>
      <c r="DO292" s="87"/>
      <c r="DP292" s="87"/>
      <c r="DQ292" s="87"/>
      <c r="DR292" s="87"/>
      <c r="DS292" s="87"/>
      <c r="DT292" s="87"/>
      <c r="DU292" s="87"/>
      <c r="DV292" s="87"/>
      <c r="DW292" s="87"/>
      <c r="DX292" s="87"/>
      <c r="DY292" s="87"/>
      <c r="DZ292" s="87"/>
      <c r="EA292" s="87"/>
      <c r="EB292" s="87"/>
      <c r="EC292" s="87"/>
      <c r="ED292" s="87"/>
      <c r="EE292" s="87"/>
      <c r="EF292" s="87"/>
      <c r="EG292" s="87"/>
      <c r="EH292" s="87"/>
      <c r="EI292" s="87"/>
    </row>
    <row r="293" spans="1:139" ht="16.5" hidden="1" thickBot="1" x14ac:dyDescent="0.35">
      <c r="A293" s="175" t="s">
        <v>239</v>
      </c>
      <c r="B293" s="176">
        <v>2</v>
      </c>
      <c r="C293" s="177">
        <f>26*0.65</f>
        <v>16.900000000000002</v>
      </c>
      <c r="D293" s="217">
        <f>C293/VLOOKUP(B293,'[2]Gas Prod per PADD'!$A$1:$C$6,2,FALSE)</f>
        <v>7.0416666666666674E-3</v>
      </c>
      <c r="E293" s="178">
        <v>45541</v>
      </c>
      <c r="F293" s="252">
        <v>45563</v>
      </c>
      <c r="G293" s="180" t="s">
        <v>599</v>
      </c>
      <c r="H293" s="277" t="s">
        <v>600</v>
      </c>
      <c r="I293" s="84"/>
      <c r="J293" s="85"/>
      <c r="K293" s="85"/>
      <c r="L293" s="85"/>
      <c r="M293" s="85"/>
      <c r="N293" s="85"/>
      <c r="O293" s="85"/>
      <c r="P293" s="85"/>
      <c r="Q293" s="85"/>
      <c r="R293" s="85"/>
      <c r="S293" s="85"/>
      <c r="T293" s="85"/>
      <c r="U293" s="85"/>
      <c r="V293" s="84"/>
      <c r="W293" s="84"/>
      <c r="X293" s="84" t="str">
        <f t="shared" si="13"/>
        <v>OK</v>
      </c>
      <c r="Y293" s="105"/>
      <c r="Z293" s="105"/>
      <c r="AA293" s="87"/>
      <c r="AB293" s="87"/>
      <c r="AC293" s="87"/>
      <c r="AD293" s="87"/>
      <c r="AE293" s="105"/>
      <c r="AF293" s="105"/>
      <c r="AG293" s="105"/>
      <c r="AH293" s="105"/>
      <c r="AI293" s="87"/>
      <c r="AJ293" s="87"/>
      <c r="AK293" s="87"/>
      <c r="AL293" s="87"/>
      <c r="AM293" s="87"/>
      <c r="AN293" s="87"/>
      <c r="AO293" s="87"/>
      <c r="AP293" s="87"/>
      <c r="AQ293" s="87"/>
      <c r="AR293" s="87"/>
      <c r="AS293" s="87"/>
      <c r="AT293" s="87"/>
      <c r="AU293" s="87"/>
      <c r="AV293" s="87"/>
      <c r="AW293" s="87"/>
      <c r="AX293" s="87"/>
      <c r="AY293" s="87"/>
      <c r="AZ293" s="87"/>
      <c r="BA293" s="87"/>
      <c r="BB293" s="87"/>
      <c r="BC293" s="87"/>
      <c r="BD293" s="87"/>
      <c r="BE293" s="87"/>
      <c r="BF293" s="87"/>
      <c r="BG293" s="87"/>
      <c r="BH293" s="87"/>
      <c r="BI293" s="87"/>
      <c r="BJ293" s="87"/>
      <c r="BK293" s="87"/>
      <c r="BL293" s="87"/>
      <c r="BM293" s="87"/>
      <c r="BN293" s="87"/>
      <c r="BO293" s="87"/>
      <c r="BP293" s="87"/>
      <c r="BQ293" s="87"/>
      <c r="BR293" s="87">
        <f>-0.75*C293</f>
        <v>-12.675000000000001</v>
      </c>
      <c r="BS293" s="87">
        <f>-0.25*C293</f>
        <v>-4.2250000000000005</v>
      </c>
      <c r="BT293" s="87"/>
      <c r="BU293" s="87">
        <f>C293</f>
        <v>16.900000000000002</v>
      </c>
      <c r="BV293" s="87"/>
      <c r="BW293" s="87"/>
      <c r="BX293" s="87"/>
      <c r="BY293" s="87"/>
      <c r="BZ293" s="87"/>
      <c r="CA293" s="87"/>
      <c r="CB293" s="87"/>
      <c r="CC293" s="87"/>
      <c r="CD293" s="87"/>
      <c r="CE293" s="87"/>
      <c r="CF293" s="87"/>
      <c r="CG293" s="87"/>
      <c r="CH293" s="87"/>
      <c r="CI293" s="87"/>
      <c r="CJ293" s="87"/>
      <c r="CK293" s="87"/>
      <c r="CL293" s="87"/>
      <c r="CM293" s="87"/>
      <c r="CN293" s="87"/>
      <c r="CO293" s="87"/>
      <c r="CP293" s="87"/>
      <c r="CQ293" s="87"/>
      <c r="CR293" s="87"/>
      <c r="CS293" s="87"/>
      <c r="CT293" s="87"/>
      <c r="CU293" s="87"/>
      <c r="CV293" s="87"/>
      <c r="CW293" s="87"/>
      <c r="CX293" s="87"/>
      <c r="CY293" s="87"/>
      <c r="CZ293" s="87"/>
      <c r="DA293" s="87"/>
      <c r="DB293" s="87"/>
      <c r="DC293" s="87"/>
      <c r="DD293" s="87"/>
      <c r="DE293" s="87"/>
      <c r="DF293" s="87"/>
      <c r="DG293" s="87"/>
      <c r="DH293" s="87"/>
      <c r="DI293" s="87"/>
      <c r="DJ293" s="87"/>
      <c r="DK293" s="87"/>
      <c r="DL293" s="87"/>
      <c r="DM293" s="87"/>
      <c r="DN293" s="87"/>
      <c r="DO293" s="87"/>
      <c r="DP293" s="87"/>
      <c r="DQ293" s="87"/>
      <c r="DR293" s="87"/>
      <c r="DS293" s="87"/>
      <c r="DT293" s="87"/>
      <c r="DU293" s="87"/>
      <c r="DV293" s="87"/>
      <c r="DW293" s="87"/>
      <c r="DX293" s="87"/>
      <c r="DY293" s="87"/>
      <c r="DZ293" s="87"/>
      <c r="EA293" s="87"/>
      <c r="EB293" s="87"/>
      <c r="EC293" s="87"/>
      <c r="ED293" s="87"/>
      <c r="EE293" s="87"/>
      <c r="EF293" s="87"/>
      <c r="EG293" s="87"/>
      <c r="EH293" s="87"/>
      <c r="EI293" s="87"/>
    </row>
    <row r="294" spans="1:139" ht="16.5" hidden="1" thickBot="1" x14ac:dyDescent="0.35">
      <c r="A294" s="237" t="s">
        <v>563</v>
      </c>
      <c r="B294" s="194">
        <v>2</v>
      </c>
      <c r="C294" s="195">
        <f>11.2*0.85</f>
        <v>9.52</v>
      </c>
      <c r="D294" s="217">
        <f>C294/VLOOKUP(B294,'[2]Gas Prod per PADD'!$A$1:$C$6,2,FALSE)</f>
        <v>3.9666666666666661E-3</v>
      </c>
      <c r="E294" s="196">
        <v>45557</v>
      </c>
      <c r="F294" s="197">
        <v>45563</v>
      </c>
      <c r="G294" s="194" t="s">
        <v>601</v>
      </c>
      <c r="H294" s="198" t="s">
        <v>539</v>
      </c>
      <c r="I294" s="84"/>
      <c r="J294" s="85"/>
      <c r="K294" s="85"/>
      <c r="L294" s="85"/>
      <c r="M294" s="85"/>
      <c r="N294" s="85"/>
      <c r="O294" s="85"/>
      <c r="P294" s="85"/>
      <c r="Q294" s="85"/>
      <c r="R294" s="85"/>
      <c r="S294" s="85"/>
      <c r="T294" s="85"/>
      <c r="U294" s="85"/>
      <c r="V294" s="84"/>
      <c r="W294" s="84"/>
      <c r="X294" s="84" t="str">
        <f t="shared" si="13"/>
        <v>OK</v>
      </c>
      <c r="Y294" s="86"/>
      <c r="Z294" s="87"/>
      <c r="AA294" s="87"/>
      <c r="AB294" s="87"/>
      <c r="AC294" s="87"/>
      <c r="AD294" s="87"/>
      <c r="AE294" s="87"/>
      <c r="AF294" s="87"/>
      <c r="AG294" s="87"/>
      <c r="AH294" s="87"/>
      <c r="AI294" s="87"/>
      <c r="AJ294" s="87"/>
      <c r="AK294" s="87"/>
      <c r="AL294" s="87"/>
      <c r="AM294" s="87"/>
      <c r="AN294" s="87"/>
      <c r="AO294" s="87"/>
      <c r="AP294" s="87"/>
      <c r="AQ294" s="87"/>
      <c r="AR294" s="87"/>
      <c r="AS294" s="87"/>
      <c r="AT294" s="87"/>
      <c r="AU294" s="87"/>
      <c r="AV294" s="87"/>
      <c r="AW294" s="87"/>
      <c r="AX294" s="87"/>
      <c r="AY294" s="87"/>
      <c r="AZ294" s="87"/>
      <c r="BA294" s="87"/>
      <c r="BB294" s="87"/>
      <c r="BC294" s="87"/>
      <c r="BD294" s="87"/>
      <c r="BE294" s="87"/>
      <c r="BF294" s="87"/>
      <c r="BG294" s="87"/>
      <c r="BH294" s="87"/>
      <c r="BI294" s="87"/>
      <c r="BJ294" s="87"/>
      <c r="BK294" s="87"/>
      <c r="BL294" s="87"/>
      <c r="BM294" s="87"/>
      <c r="BN294" s="87"/>
      <c r="BO294" s="87"/>
      <c r="BP294" s="87"/>
      <c r="BQ294" s="87"/>
      <c r="BR294" s="87"/>
      <c r="BS294" s="87"/>
      <c r="BT294" s="87">
        <f>-0.5*C294</f>
        <v>-4.76</v>
      </c>
      <c r="BU294" s="87">
        <f>-BT294</f>
        <v>4.76</v>
      </c>
      <c r="BV294" s="87"/>
      <c r="BW294" s="87"/>
      <c r="BX294" s="87"/>
      <c r="BY294" s="87"/>
      <c r="BZ294" s="87"/>
      <c r="CA294" s="87"/>
      <c r="CB294" s="87"/>
      <c r="CC294" s="87"/>
      <c r="CD294" s="87"/>
      <c r="CE294" s="87"/>
      <c r="CF294" s="87"/>
      <c r="CG294" s="87"/>
      <c r="CH294" s="87"/>
      <c r="CI294" s="87"/>
      <c r="CJ294" s="87"/>
      <c r="CK294" s="87"/>
      <c r="CL294" s="87"/>
      <c r="CM294" s="87"/>
      <c r="CN294" s="87"/>
      <c r="CO294" s="87"/>
      <c r="CP294" s="87"/>
      <c r="CQ294" s="87"/>
      <c r="CR294" s="87"/>
      <c r="CS294" s="87"/>
      <c r="CT294" s="87"/>
      <c r="CU294" s="87"/>
      <c r="CV294" s="87"/>
      <c r="CW294" s="87"/>
      <c r="CX294" s="87"/>
      <c r="CY294" s="87"/>
      <c r="CZ294" s="87"/>
      <c r="DA294" s="87"/>
      <c r="DB294" s="87"/>
      <c r="DC294" s="87"/>
      <c r="DD294" s="87"/>
      <c r="DE294" s="87"/>
      <c r="DF294" s="87"/>
      <c r="DG294" s="87"/>
      <c r="DH294" s="87"/>
      <c r="DI294" s="87"/>
      <c r="DJ294" s="87"/>
      <c r="DK294" s="87"/>
      <c r="DL294" s="87"/>
      <c r="DM294" s="87"/>
      <c r="DN294" s="87"/>
      <c r="DO294" s="87"/>
      <c r="DP294" s="87"/>
      <c r="DQ294" s="87"/>
      <c r="DR294" s="87"/>
      <c r="DS294" s="87"/>
      <c r="DT294" s="87"/>
      <c r="DU294" s="87"/>
      <c r="DV294" s="87"/>
      <c r="DW294" s="87"/>
      <c r="DX294" s="87"/>
      <c r="DY294" s="87"/>
      <c r="DZ294" s="87"/>
      <c r="EA294" s="87"/>
      <c r="EB294" s="87"/>
      <c r="EC294" s="87"/>
      <c r="ED294" s="87"/>
      <c r="EE294" s="87"/>
      <c r="EF294" s="87"/>
      <c r="EG294" s="87"/>
      <c r="EH294" s="87"/>
      <c r="EI294" s="87"/>
    </row>
    <row r="295" spans="1:139" ht="16.5" hidden="1" thickBot="1" x14ac:dyDescent="0.35">
      <c r="A295" s="190" t="s">
        <v>127</v>
      </c>
      <c r="B295" s="176">
        <v>3</v>
      </c>
      <c r="C295" s="177">
        <f>165*0.25</f>
        <v>41.25</v>
      </c>
      <c r="D295" s="217">
        <f>C295/VLOOKUP(B295,'[2]Gas Prod per PADD'!$A$1:$C$6,2,FALSE)</f>
        <v>8.9673913043478264E-3</v>
      </c>
      <c r="E295" s="196">
        <v>45560</v>
      </c>
      <c r="F295" s="197">
        <v>45563</v>
      </c>
      <c r="G295" s="180" t="s">
        <v>602</v>
      </c>
      <c r="H295" s="181" t="s">
        <v>603</v>
      </c>
      <c r="I295" s="84"/>
      <c r="J295" s="85"/>
      <c r="K295" s="85"/>
      <c r="L295" s="85"/>
      <c r="M295" s="85"/>
      <c r="N295" s="85"/>
      <c r="O295" s="85"/>
      <c r="P295" s="85"/>
      <c r="Q295" s="85"/>
      <c r="R295" s="85"/>
      <c r="S295" s="85"/>
      <c r="T295" s="85"/>
      <c r="U295" s="85"/>
      <c r="V295" s="84"/>
      <c r="W295" s="84"/>
      <c r="X295" s="84" t="str">
        <f t="shared" si="13"/>
        <v>OK</v>
      </c>
      <c r="Y295" s="105"/>
      <c r="Z295" s="105"/>
      <c r="AA295" s="87"/>
      <c r="AB295" s="87"/>
      <c r="AC295" s="87"/>
      <c r="AD295" s="87"/>
      <c r="AE295" s="105"/>
      <c r="AF295" s="105"/>
      <c r="AG295" s="105"/>
      <c r="AH295" s="105"/>
      <c r="AI295" s="87"/>
      <c r="AJ295" s="87"/>
      <c r="AK295" s="105"/>
      <c r="AL295" s="87"/>
      <c r="AM295" s="105"/>
      <c r="AN295" s="105"/>
      <c r="AO295" s="87"/>
      <c r="AP295" s="87"/>
      <c r="AQ295" s="105"/>
      <c r="AR295" s="105"/>
      <c r="AS295" s="87"/>
      <c r="AT295" s="105"/>
      <c r="AU295" s="105"/>
      <c r="AV295" s="87"/>
      <c r="AW295" s="105"/>
      <c r="AX295" s="105"/>
      <c r="AY295" s="105"/>
      <c r="AZ295" s="105"/>
      <c r="BA295" s="105"/>
      <c r="BB295" s="105"/>
      <c r="BC295" s="87"/>
      <c r="BD295" s="87"/>
      <c r="BE295" s="87"/>
      <c r="BF295" s="105"/>
      <c r="BG295" s="105"/>
      <c r="BH295" s="105"/>
      <c r="BI295" s="105"/>
      <c r="BJ295" s="87"/>
      <c r="BK295" s="87"/>
      <c r="BL295" s="87"/>
      <c r="BM295" s="87"/>
      <c r="BN295" s="87"/>
      <c r="BO295" s="87"/>
      <c r="BP295" s="87"/>
      <c r="BQ295" s="87"/>
      <c r="BR295" s="87"/>
      <c r="BS295" s="87"/>
      <c r="BT295" s="87">
        <f>-2/7*C295</f>
        <v>-11.785714285714285</v>
      </c>
      <c r="BU295" s="105">
        <f>-BT295</f>
        <v>11.785714285714285</v>
      </c>
      <c r="BV295" s="105"/>
      <c r="BW295" s="87"/>
      <c r="BX295" s="87"/>
      <c r="BY295" s="87"/>
      <c r="BZ295" s="87"/>
      <c r="CA295" s="87"/>
      <c r="CB295" s="87"/>
      <c r="CC295" s="87"/>
      <c r="CD295" s="87"/>
      <c r="CE295" s="87"/>
      <c r="CF295" s="87"/>
      <c r="CG295" s="87"/>
      <c r="CH295" s="87"/>
      <c r="CI295" s="87"/>
      <c r="CJ295" s="87"/>
      <c r="CK295" s="87"/>
      <c r="CL295" s="87"/>
      <c r="CM295" s="87"/>
      <c r="CN295" s="87"/>
      <c r="CO295" s="87"/>
      <c r="CP295" s="87"/>
      <c r="CQ295" s="87"/>
      <c r="CR295" s="87"/>
      <c r="CS295" s="87"/>
      <c r="CT295" s="87"/>
      <c r="CU295" s="87"/>
      <c r="CV295" s="87"/>
      <c r="CW295" s="87"/>
      <c r="CX295" s="87"/>
      <c r="CY295" s="87"/>
      <c r="CZ295" s="87"/>
      <c r="DA295" s="87"/>
      <c r="DB295" s="87"/>
      <c r="DC295" s="87"/>
      <c r="DD295" s="87"/>
      <c r="DE295" s="87"/>
      <c r="DF295" s="87"/>
      <c r="DG295" s="87"/>
      <c r="DH295" s="87"/>
      <c r="DI295" s="87"/>
      <c r="DJ295" s="87"/>
      <c r="DK295" s="87"/>
      <c r="DL295" s="87"/>
      <c r="DM295" s="87"/>
      <c r="DN295" s="87"/>
      <c r="DO295" s="87"/>
      <c r="DP295" s="87"/>
      <c r="DQ295" s="87"/>
      <c r="DR295" s="87"/>
      <c r="DS295" s="87"/>
      <c r="DT295" s="87"/>
      <c r="DU295" s="87"/>
      <c r="DV295" s="87"/>
      <c r="DW295" s="87"/>
      <c r="DX295" s="87"/>
      <c r="DY295" s="87"/>
      <c r="DZ295" s="87"/>
      <c r="EA295" s="87"/>
      <c r="EB295" s="87"/>
      <c r="EC295" s="87"/>
      <c r="ED295" s="87"/>
      <c r="EE295" s="87"/>
      <c r="EF295" s="87"/>
      <c r="EG295" s="87"/>
      <c r="EH295" s="87"/>
      <c r="EI295" s="87"/>
    </row>
    <row r="296" spans="1:139" ht="29.25" hidden="1" thickBot="1" x14ac:dyDescent="0.35">
      <c r="A296" s="175" t="s">
        <v>413</v>
      </c>
      <c r="B296" s="176">
        <v>4</v>
      </c>
      <c r="C296" s="177">
        <f>10*0.3</f>
        <v>3</v>
      </c>
      <c r="D296" s="217">
        <f>C296/VLOOKUP(B296,'[2]Gas Prod per PADD'!$A$1:$C$6,2,FALSE)</f>
        <v>8.8235294117647058E-3</v>
      </c>
      <c r="E296" s="178">
        <v>45505</v>
      </c>
      <c r="F296" s="252">
        <v>45564</v>
      </c>
      <c r="G296" s="180" t="s">
        <v>604</v>
      </c>
      <c r="H296" s="181" t="s">
        <v>605</v>
      </c>
      <c r="I296" s="84"/>
      <c r="J296" s="85"/>
      <c r="K296" s="85"/>
      <c r="L296" s="85"/>
      <c r="M296" s="85"/>
      <c r="N296" s="85"/>
      <c r="O296" s="85"/>
      <c r="P296" s="85"/>
      <c r="Q296" s="85"/>
      <c r="R296" s="85"/>
      <c r="S296" s="85"/>
      <c r="T296" s="85"/>
      <c r="U296" s="85"/>
      <c r="V296" s="84"/>
      <c r="W296" s="84"/>
      <c r="X296" s="84" t="str">
        <f t="shared" si="13"/>
        <v>OK</v>
      </c>
      <c r="Y296" s="105"/>
      <c r="Z296" s="105"/>
      <c r="AA296" s="87"/>
      <c r="AB296" s="87"/>
      <c r="AC296" s="87"/>
      <c r="AD296" s="87"/>
      <c r="AE296" s="105"/>
      <c r="AF296" s="105"/>
      <c r="AG296" s="105"/>
      <c r="AH296" s="105"/>
      <c r="AI296" s="87"/>
      <c r="AJ296" s="87"/>
      <c r="AK296" s="105"/>
      <c r="AL296" s="87"/>
      <c r="AM296" s="105"/>
      <c r="AN296" s="105"/>
      <c r="AO296" s="87"/>
      <c r="AP296" s="87"/>
      <c r="AQ296" s="105"/>
      <c r="AR296" s="105"/>
      <c r="AS296" s="87"/>
      <c r="AT296" s="105"/>
      <c r="AU296" s="87"/>
      <c r="AV296" s="105"/>
      <c r="AW296" s="105"/>
      <c r="AX296" s="105"/>
      <c r="AY296" s="105"/>
      <c r="AZ296" s="105"/>
      <c r="BA296" s="105"/>
      <c r="BB296" s="105"/>
      <c r="BC296" s="87"/>
      <c r="BD296" s="87"/>
      <c r="BE296" s="87"/>
      <c r="BF296" s="87"/>
      <c r="BG296" s="87"/>
      <c r="BH296" s="87"/>
      <c r="BI296" s="87"/>
      <c r="BJ296" s="87"/>
      <c r="BK296" s="87"/>
      <c r="BL296" s="87"/>
      <c r="BM296" s="87">
        <f>-C296*7/7</f>
        <v>-3</v>
      </c>
      <c r="BN296" s="87"/>
      <c r="BO296" s="87"/>
      <c r="BP296" s="87"/>
      <c r="BQ296" s="87"/>
      <c r="BR296" s="87"/>
      <c r="BS296" s="87"/>
      <c r="BT296" s="87"/>
      <c r="BU296" s="87">
        <f>5/7*C296</f>
        <v>2.1428571428571428</v>
      </c>
      <c r="BV296" s="87">
        <f>C296-BU296</f>
        <v>0.85714285714285721</v>
      </c>
      <c r="BW296" s="87"/>
      <c r="BX296" s="87"/>
      <c r="BY296" s="87"/>
      <c r="BZ296" s="87"/>
      <c r="CA296" s="87"/>
      <c r="CB296" s="87"/>
      <c r="CC296" s="87"/>
      <c r="CD296" s="87"/>
      <c r="CE296" s="87"/>
      <c r="CF296" s="87"/>
      <c r="CG296" s="87"/>
      <c r="CH296" s="87"/>
      <c r="CI296" s="87"/>
      <c r="CJ296" s="87"/>
      <c r="CK296" s="87"/>
      <c r="CL296" s="87"/>
      <c r="CM296" s="87"/>
      <c r="CN296" s="87"/>
      <c r="CO296" s="87"/>
      <c r="CP296" s="87"/>
      <c r="CQ296" s="75"/>
      <c r="CR296" s="87"/>
      <c r="CS296" s="87"/>
      <c r="CT296" s="87"/>
      <c r="CU296" s="87"/>
      <c r="CV296" s="87"/>
      <c r="CW296" s="87"/>
      <c r="CX296" s="87"/>
      <c r="CY296" s="87"/>
      <c r="CZ296" s="87"/>
      <c r="DA296" s="87"/>
      <c r="DB296" s="87"/>
      <c r="DC296" s="87"/>
      <c r="DD296" s="87"/>
      <c r="DE296" s="87"/>
      <c r="DF296" s="87"/>
      <c r="DG296" s="87"/>
      <c r="DH296" s="87"/>
      <c r="DI296" s="87"/>
      <c r="DJ296" s="87"/>
      <c r="DK296" s="87"/>
      <c r="DL296" s="87"/>
      <c r="DM296" s="87"/>
      <c r="DN296" s="87"/>
      <c r="DO296" s="87"/>
      <c r="DP296" s="87"/>
      <c r="DQ296" s="87"/>
      <c r="DR296" s="87"/>
      <c r="DS296" s="87"/>
      <c r="DT296" s="87"/>
      <c r="DU296" s="87"/>
      <c r="DV296" s="87"/>
      <c r="DW296" s="87"/>
      <c r="DX296" s="87"/>
      <c r="DY296" s="87"/>
      <c r="DZ296" s="87"/>
      <c r="EA296" s="87"/>
      <c r="EB296" s="87"/>
      <c r="EC296" s="87"/>
      <c r="ED296" s="87"/>
      <c r="EE296" s="87"/>
      <c r="EF296" s="87"/>
      <c r="EG296" s="87"/>
      <c r="EH296" s="87"/>
      <c r="EI296" s="87"/>
    </row>
    <row r="297" spans="1:139" ht="16.5" hidden="1" thickBot="1" x14ac:dyDescent="0.35">
      <c r="A297" s="222" t="s">
        <v>248</v>
      </c>
      <c r="B297" s="223">
        <v>3</v>
      </c>
      <c r="C297" s="224">
        <f>(0.65*55)</f>
        <v>35.75</v>
      </c>
      <c r="D297" s="217">
        <f>C297/VLOOKUP(B297,'[2]Gas Prod per PADD'!$A$1:$C$6,2,FALSE)</f>
        <v>7.7717391304347825E-3</v>
      </c>
      <c r="E297" s="196">
        <v>45506</v>
      </c>
      <c r="F297" s="197">
        <v>45564</v>
      </c>
      <c r="G297" s="180" t="s">
        <v>221</v>
      </c>
      <c r="H297" s="221" t="s">
        <v>606</v>
      </c>
      <c r="I297" s="84"/>
      <c r="J297" s="85"/>
      <c r="K297" s="85"/>
      <c r="L297" s="85"/>
      <c r="M297" s="85"/>
      <c r="N297" s="85"/>
      <c r="O297" s="85"/>
      <c r="P297" s="85"/>
      <c r="Q297" s="85"/>
      <c r="R297" s="85"/>
      <c r="S297" s="85"/>
      <c r="T297" s="85"/>
      <c r="U297" s="85"/>
      <c r="V297" s="84"/>
      <c r="W297" s="84"/>
      <c r="X297" s="84" t="str">
        <f t="shared" si="13"/>
        <v>OK</v>
      </c>
      <c r="Y297" s="105"/>
      <c r="Z297" s="105"/>
      <c r="AA297" s="87"/>
      <c r="AB297" s="87"/>
      <c r="AC297" s="87"/>
      <c r="AD297" s="87"/>
      <c r="AE297" s="105"/>
      <c r="AF297" s="105"/>
      <c r="AG297" s="105"/>
      <c r="AH297" s="105"/>
      <c r="AI297" s="87"/>
      <c r="AJ297" s="87"/>
      <c r="AK297" s="105"/>
      <c r="AL297" s="87"/>
      <c r="AM297" s="105"/>
      <c r="AN297" s="105"/>
      <c r="AO297" s="87"/>
      <c r="AP297" s="87"/>
      <c r="AQ297" s="105"/>
      <c r="AR297" s="105"/>
      <c r="AS297" s="87"/>
      <c r="AT297" s="105"/>
      <c r="AU297" s="87"/>
      <c r="AV297" s="87"/>
      <c r="AW297" s="105"/>
      <c r="AX297" s="105"/>
      <c r="AY297" s="87"/>
      <c r="AZ297" s="87"/>
      <c r="BA297" s="105"/>
      <c r="BB297" s="105"/>
      <c r="BC297" s="105"/>
      <c r="BD297" s="105"/>
      <c r="BE297" s="105"/>
      <c r="BF297" s="87"/>
      <c r="BG297" s="105"/>
      <c r="BH297" s="105"/>
      <c r="BI297" s="105"/>
      <c r="BJ297" s="87"/>
      <c r="BK297" s="87"/>
      <c r="BL297" s="87"/>
      <c r="BM297" s="87">
        <f>0.7*$C297*-1</f>
        <v>-25.024999999999999</v>
      </c>
      <c r="BN297" s="87">
        <f>-0.3*$C297</f>
        <v>-10.725</v>
      </c>
      <c r="BO297" s="105">
        <f>($C297-(SUM(BM297:BN297)*-1))*-1</f>
        <v>0</v>
      </c>
      <c r="BP297" s="87"/>
      <c r="BQ297" s="87"/>
      <c r="BR297" s="87"/>
      <c r="BS297" s="87"/>
      <c r="BT297" s="87"/>
      <c r="BU297" s="105">
        <f>C297</f>
        <v>35.75</v>
      </c>
      <c r="BV297" s="105"/>
      <c r="BW297" s="87"/>
      <c r="BX297" s="87"/>
      <c r="BY297" s="87"/>
      <c r="BZ297" s="87"/>
      <c r="CA297" s="87"/>
      <c r="CB297" s="87"/>
      <c r="CC297" s="87"/>
      <c r="CD297" s="87"/>
      <c r="CE297" s="87"/>
      <c r="CF297" s="87"/>
      <c r="CG297" s="87"/>
      <c r="CH297" s="87"/>
      <c r="CI297" s="87"/>
      <c r="CJ297" s="87"/>
      <c r="CK297" s="87"/>
      <c r="CL297" s="87"/>
      <c r="CM297" s="87"/>
      <c r="CN297" s="87"/>
      <c r="CO297" s="87"/>
      <c r="CP297" s="87"/>
      <c r="CQ297" s="87"/>
      <c r="CR297" s="87"/>
      <c r="CS297" s="87"/>
      <c r="CT297" s="87"/>
      <c r="CU297" s="87"/>
      <c r="CV297" s="87"/>
      <c r="CW297" s="87"/>
      <c r="CX297" s="87"/>
      <c r="CY297" s="87"/>
      <c r="CZ297" s="87"/>
      <c r="DA297" s="87"/>
      <c r="DB297" s="87"/>
      <c r="DC297" s="87"/>
      <c r="DD297" s="87"/>
      <c r="DE297" s="87"/>
      <c r="DF297" s="87"/>
      <c r="DG297" s="87"/>
      <c r="DH297" s="87"/>
      <c r="DI297" s="87"/>
      <c r="DJ297" s="87"/>
      <c r="DK297" s="87"/>
      <c r="DL297" s="87"/>
      <c r="DM297" s="87"/>
      <c r="DN297" s="87"/>
      <c r="DO297" s="87"/>
      <c r="DP297" s="87"/>
      <c r="DQ297" s="87"/>
      <c r="DR297" s="87"/>
      <c r="DS297" s="87"/>
      <c r="DT297" s="87"/>
      <c r="DU297" s="87"/>
      <c r="DV297" s="87"/>
      <c r="DW297" s="87"/>
      <c r="DX297" s="87"/>
      <c r="DY297" s="87"/>
      <c r="DZ297" s="87"/>
      <c r="EA297" s="87"/>
      <c r="EB297" s="87"/>
      <c r="EC297" s="87"/>
      <c r="ED297" s="87"/>
      <c r="EE297" s="87"/>
      <c r="EF297" s="87"/>
      <c r="EG297" s="87"/>
      <c r="EH297" s="87"/>
      <c r="EI297" s="87"/>
    </row>
    <row r="298" spans="1:139" ht="16.5" hidden="1" thickBot="1" x14ac:dyDescent="0.35">
      <c r="A298" s="222" t="s">
        <v>248</v>
      </c>
      <c r="B298" s="223">
        <v>3</v>
      </c>
      <c r="C298" s="224">
        <f>(0.85*28)</f>
        <v>23.8</v>
      </c>
      <c r="D298" s="217">
        <f>C298/VLOOKUP(B298,'[2]Gas Prod per PADD'!$A$1:$C$6,2,FALSE)</f>
        <v>5.1739130434782614E-3</v>
      </c>
      <c r="E298" s="196">
        <v>45506</v>
      </c>
      <c r="F298" s="197">
        <v>45564</v>
      </c>
      <c r="G298" s="180" t="s">
        <v>607</v>
      </c>
      <c r="H298" s="221" t="s">
        <v>606</v>
      </c>
      <c r="I298" s="84"/>
      <c r="J298" s="85"/>
      <c r="K298" s="85"/>
      <c r="L298" s="85"/>
      <c r="M298" s="85"/>
      <c r="N298" s="85"/>
      <c r="O298" s="85"/>
      <c r="P298" s="85"/>
      <c r="Q298" s="85"/>
      <c r="R298" s="85"/>
      <c r="S298" s="85"/>
      <c r="T298" s="85"/>
      <c r="U298" s="85"/>
      <c r="V298" s="84"/>
      <c r="W298" s="84"/>
      <c r="X298" s="84" t="str">
        <f t="shared" si="13"/>
        <v>OK</v>
      </c>
      <c r="Y298" s="105"/>
      <c r="Z298" s="105"/>
      <c r="AA298" s="87"/>
      <c r="AB298" s="87"/>
      <c r="AC298" s="87"/>
      <c r="AD298" s="87"/>
      <c r="AE298" s="105"/>
      <c r="AF298" s="105"/>
      <c r="AG298" s="105"/>
      <c r="AH298" s="105"/>
      <c r="AI298" s="87"/>
      <c r="AJ298" s="87"/>
      <c r="AK298" s="105"/>
      <c r="AL298" s="87"/>
      <c r="AM298" s="105"/>
      <c r="AN298" s="105"/>
      <c r="AO298" s="87"/>
      <c r="AP298" s="87"/>
      <c r="AQ298" s="105"/>
      <c r="AR298" s="105"/>
      <c r="AS298" s="87"/>
      <c r="AT298" s="105"/>
      <c r="AU298" s="87"/>
      <c r="AV298" s="87"/>
      <c r="AW298" s="105"/>
      <c r="AX298" s="105"/>
      <c r="AY298" s="87"/>
      <c r="AZ298" s="87"/>
      <c r="BA298" s="105"/>
      <c r="BB298" s="105"/>
      <c r="BC298" s="105"/>
      <c r="BD298" s="105"/>
      <c r="BE298" s="105"/>
      <c r="BF298" s="105"/>
      <c r="BG298" s="105"/>
      <c r="BH298" s="105"/>
      <c r="BI298" s="105"/>
      <c r="BJ298" s="87"/>
      <c r="BK298" s="87"/>
      <c r="BL298" s="87"/>
      <c r="BM298" s="87">
        <f>0.7*$C298*-1</f>
        <v>-16.66</v>
      </c>
      <c r="BN298" s="87">
        <f>-0.3*$C298</f>
        <v>-7.14</v>
      </c>
      <c r="BO298" s="87"/>
      <c r="BP298" s="87"/>
      <c r="BQ298" s="87"/>
      <c r="BR298" s="87"/>
      <c r="BS298" s="87"/>
      <c r="BT298" s="87"/>
      <c r="BU298" s="105">
        <f>C298</f>
        <v>23.8</v>
      </c>
      <c r="BV298" s="87"/>
      <c r="BW298" s="87"/>
      <c r="BX298" s="87"/>
      <c r="BY298" s="87"/>
      <c r="BZ298" s="87"/>
      <c r="CA298" s="87"/>
      <c r="CB298" s="87"/>
      <c r="CC298" s="87"/>
      <c r="CD298" s="87"/>
      <c r="CE298" s="87"/>
      <c r="CF298" s="87"/>
      <c r="CG298" s="87"/>
      <c r="CH298" s="87"/>
      <c r="CI298" s="87"/>
      <c r="CJ298" s="87"/>
      <c r="CK298" s="87"/>
      <c r="CL298" s="87"/>
      <c r="CM298" s="87"/>
      <c r="CN298" s="87"/>
      <c r="CO298" s="87"/>
      <c r="CP298" s="87"/>
      <c r="CQ298" s="87"/>
      <c r="CR298" s="87"/>
      <c r="CS298" s="87"/>
      <c r="CT298" s="87"/>
      <c r="CU298" s="87"/>
      <c r="CV298" s="87"/>
      <c r="CW298" s="87"/>
      <c r="CX298" s="87"/>
      <c r="CY298" s="87"/>
      <c r="CZ298" s="87"/>
      <c r="DA298" s="87"/>
      <c r="DB298" s="87"/>
      <c r="DC298" s="87"/>
      <c r="DD298" s="87"/>
      <c r="DE298" s="87"/>
      <c r="DF298" s="87"/>
      <c r="DG298" s="87"/>
      <c r="DH298" s="87"/>
      <c r="DI298" s="87"/>
      <c r="DJ298" s="87"/>
      <c r="DK298" s="87"/>
      <c r="DL298" s="87"/>
      <c r="DM298" s="87"/>
      <c r="DN298" s="87"/>
      <c r="DO298" s="87"/>
      <c r="DP298" s="87"/>
      <c r="DQ298" s="87"/>
      <c r="DR298" s="87"/>
      <c r="DS298" s="87"/>
      <c r="DT298" s="87"/>
      <c r="DU298" s="87"/>
      <c r="DV298" s="87"/>
      <c r="DW298" s="87"/>
      <c r="DX298" s="87"/>
      <c r="DY298" s="87"/>
      <c r="DZ298" s="87"/>
      <c r="EA298" s="87"/>
      <c r="EB298" s="87"/>
      <c r="EC298" s="87"/>
      <c r="ED298" s="87"/>
      <c r="EE298" s="87"/>
      <c r="EF298" s="87"/>
      <c r="EG298" s="87"/>
      <c r="EH298" s="87"/>
      <c r="EI298" s="87"/>
    </row>
    <row r="299" spans="1:139" ht="16.5" hidden="1" thickBot="1" x14ac:dyDescent="0.35">
      <c r="A299" s="175" t="s">
        <v>239</v>
      </c>
      <c r="B299" s="176">
        <v>2</v>
      </c>
      <c r="C299" s="177">
        <f>(0.3*95)</f>
        <v>28.5</v>
      </c>
      <c r="D299" s="217">
        <f>C299/VLOOKUP(B299,'[2]Gas Prod per PADD'!$A$1:$C$6,2,FALSE)</f>
        <v>1.1875E-2</v>
      </c>
      <c r="E299" s="178">
        <v>45555</v>
      </c>
      <c r="F299" s="179">
        <v>45564</v>
      </c>
      <c r="G299" s="180" t="s">
        <v>608</v>
      </c>
      <c r="H299" s="181" t="s">
        <v>609</v>
      </c>
      <c r="I299" s="84"/>
      <c r="J299" s="85"/>
      <c r="K299" s="85"/>
      <c r="L299" s="85"/>
      <c r="M299" s="85"/>
      <c r="N299" s="85"/>
      <c r="O299" s="85"/>
      <c r="P299" s="85"/>
      <c r="Q299" s="85"/>
      <c r="R299" s="85"/>
      <c r="S299" s="85"/>
      <c r="T299" s="85"/>
      <c r="U299" s="85"/>
      <c r="V299" s="84"/>
      <c r="W299" s="84"/>
      <c r="X299" s="84" t="str">
        <f t="shared" si="13"/>
        <v>OK</v>
      </c>
      <c r="Y299" s="105"/>
      <c r="Z299" s="105"/>
      <c r="AA299" s="87"/>
      <c r="AB299" s="87"/>
      <c r="AC299" s="87"/>
      <c r="AD299" s="87"/>
      <c r="AE299" s="105"/>
      <c r="AF299" s="105"/>
      <c r="AG299" s="105"/>
      <c r="AH299" s="105"/>
      <c r="AI299" s="87"/>
      <c r="AJ299" s="87"/>
      <c r="AK299" s="87"/>
      <c r="AL299" s="87"/>
      <c r="AM299" s="87"/>
      <c r="AN299" s="87"/>
      <c r="AO299" s="87"/>
      <c r="AP299" s="87"/>
      <c r="AQ299" s="87"/>
      <c r="AR299" s="87"/>
      <c r="AS299" s="87"/>
      <c r="AT299" s="87"/>
      <c r="AU299" s="87"/>
      <c r="AV299" s="87"/>
      <c r="AW299" s="87"/>
      <c r="AX299" s="87"/>
      <c r="AY299" s="87"/>
      <c r="AZ299" s="87"/>
      <c r="BA299" s="87"/>
      <c r="BB299" s="87"/>
      <c r="BC299" s="87"/>
      <c r="BD299" s="87"/>
      <c r="BE299" s="87"/>
      <c r="BF299" s="87"/>
      <c r="BG299" s="87"/>
      <c r="BH299" s="87"/>
      <c r="BI299" s="87"/>
      <c r="BJ299" s="87"/>
      <c r="BK299" s="87"/>
      <c r="BL299" s="87"/>
      <c r="BM299" s="87"/>
      <c r="BN299" s="87"/>
      <c r="BO299" s="87"/>
      <c r="BP299" s="87"/>
      <c r="BQ299" s="87"/>
      <c r="BR299" s="87"/>
      <c r="BS299" s="87"/>
      <c r="BT299" s="87">
        <f>(-0.75*C299)</f>
        <v>-21.375</v>
      </c>
      <c r="BU299" s="278">
        <f>-BT299</f>
        <v>21.375</v>
      </c>
      <c r="BV299" s="278"/>
      <c r="BW299" s="278"/>
      <c r="BX299" s="87"/>
      <c r="BY299" s="87"/>
      <c r="BZ299" s="87"/>
      <c r="CA299" s="87"/>
      <c r="CB299" s="87"/>
      <c r="CC299" s="87"/>
      <c r="CD299" s="87"/>
      <c r="CE299" s="87"/>
      <c r="CF299" s="87"/>
      <c r="CG299" s="87"/>
      <c r="CH299" s="87"/>
      <c r="CI299" s="87"/>
      <c r="CJ299" s="87"/>
      <c r="CK299" s="87"/>
      <c r="CL299" s="87"/>
      <c r="CM299" s="87"/>
      <c r="CN299" s="87"/>
      <c r="CO299" s="87"/>
      <c r="CP299" s="87"/>
      <c r="CQ299" s="87"/>
      <c r="CR299" s="87"/>
      <c r="CS299" s="87"/>
      <c r="CT299" s="87"/>
      <c r="CU299" s="87"/>
      <c r="CV299" s="87"/>
      <c r="CW299" s="87"/>
      <c r="CX299" s="87"/>
      <c r="CY299" s="87"/>
      <c r="CZ299" s="87"/>
      <c r="DA299" s="87"/>
      <c r="DB299" s="87"/>
      <c r="DC299" s="87"/>
      <c r="DD299" s="87"/>
      <c r="DE299" s="87"/>
      <c r="DF299" s="87"/>
      <c r="DG299" s="87"/>
      <c r="DH299" s="87"/>
      <c r="DI299" s="87"/>
      <c r="DJ299" s="87"/>
      <c r="DK299" s="87"/>
      <c r="DL299" s="87"/>
      <c r="DM299" s="87"/>
      <c r="DN299" s="87"/>
      <c r="DO299" s="87"/>
      <c r="DP299" s="87"/>
      <c r="DQ299" s="87"/>
      <c r="DR299" s="87"/>
      <c r="DS299" s="87"/>
      <c r="DT299" s="87"/>
      <c r="DU299" s="87"/>
      <c r="DV299" s="87"/>
      <c r="DW299" s="87"/>
      <c r="DX299" s="87"/>
      <c r="DY299" s="87"/>
      <c r="DZ299" s="87"/>
      <c r="EA299" s="87"/>
      <c r="EB299" s="87"/>
      <c r="EC299" s="87"/>
      <c r="ED299" s="87"/>
      <c r="EE299" s="87"/>
      <c r="EF299" s="87"/>
      <c r="EG299" s="87"/>
      <c r="EH299" s="87"/>
      <c r="EI299" s="87"/>
    </row>
    <row r="300" spans="1:139" ht="16.5" hidden="1" thickBot="1" x14ac:dyDescent="0.35">
      <c r="A300" s="175" t="s">
        <v>207</v>
      </c>
      <c r="B300" s="176">
        <v>5</v>
      </c>
      <c r="C300" s="177">
        <f>0.85*20</f>
        <v>17</v>
      </c>
      <c r="D300" s="217">
        <f>C300/VLOOKUP(B300,'[2]Gas Prod per PADD'!$A$1:$C$6,2,FALSE)</f>
        <v>1.2592592592592593E-2</v>
      </c>
      <c r="E300" s="220">
        <v>45558</v>
      </c>
      <c r="F300" s="252">
        <v>45564</v>
      </c>
      <c r="G300" s="180" t="s">
        <v>197</v>
      </c>
      <c r="H300" s="181" t="s">
        <v>538</v>
      </c>
      <c r="I300" s="84"/>
      <c r="J300" s="85"/>
      <c r="K300" s="85"/>
      <c r="L300" s="85"/>
      <c r="M300" s="85"/>
      <c r="N300" s="85"/>
      <c r="O300" s="85"/>
      <c r="P300" s="85"/>
      <c r="Q300" s="85"/>
      <c r="R300" s="85"/>
      <c r="S300" s="85"/>
      <c r="T300" s="85"/>
      <c r="U300" s="85"/>
      <c r="V300" s="84"/>
      <c r="W300" s="84"/>
      <c r="X300" s="84" t="str">
        <f t="shared" si="13"/>
        <v>OK</v>
      </c>
      <c r="Y300" s="105"/>
      <c r="Z300" s="105"/>
      <c r="AA300" s="87"/>
      <c r="AB300" s="87"/>
      <c r="AC300" s="87"/>
      <c r="AD300" s="87"/>
      <c r="AE300" s="105"/>
      <c r="AF300" s="105"/>
      <c r="AG300" s="105"/>
      <c r="AH300" s="105"/>
      <c r="AI300" s="87"/>
      <c r="AJ300" s="87"/>
      <c r="AK300" s="105"/>
      <c r="AL300" s="87"/>
      <c r="AM300" s="105"/>
      <c r="AN300" s="105"/>
      <c r="AO300" s="87"/>
      <c r="AP300" s="87"/>
      <c r="AQ300" s="105"/>
      <c r="AR300" s="105"/>
      <c r="AS300" s="87"/>
      <c r="AT300" s="105"/>
      <c r="AU300" s="87"/>
      <c r="AV300" s="87"/>
      <c r="AW300" s="105"/>
      <c r="AX300" s="105"/>
      <c r="AY300" s="105"/>
      <c r="AZ300" s="105"/>
      <c r="BA300" s="87"/>
      <c r="BB300" s="87"/>
      <c r="BC300" s="87"/>
      <c r="BD300" s="87"/>
      <c r="BE300" s="87"/>
      <c r="BF300" s="87"/>
      <c r="BG300" s="105"/>
      <c r="BH300" s="105"/>
      <c r="BI300" s="105"/>
      <c r="BJ300" s="87"/>
      <c r="BK300" s="87"/>
      <c r="BL300" s="87"/>
      <c r="BM300" s="87"/>
      <c r="BN300" s="87"/>
      <c r="BO300" s="87"/>
      <c r="BP300" s="87"/>
      <c r="BQ300" s="87"/>
      <c r="BR300" s="87"/>
      <c r="BS300" s="87"/>
      <c r="BT300" s="87">
        <f>-4/7*C300</f>
        <v>-9.7142857142857135</v>
      </c>
      <c r="BU300" s="87"/>
      <c r="BV300" s="87">
        <f>-BT300</f>
        <v>9.7142857142857135</v>
      </c>
      <c r="BW300" s="87"/>
      <c r="BX300" s="87"/>
      <c r="BY300" s="87"/>
      <c r="BZ300" s="87"/>
      <c r="CA300" s="87"/>
      <c r="CB300" s="87"/>
      <c r="CC300" s="87"/>
      <c r="CD300" s="87"/>
      <c r="CE300" s="87"/>
      <c r="CF300" s="87"/>
      <c r="CG300" s="87"/>
      <c r="CH300" s="87"/>
      <c r="CI300" s="87"/>
      <c r="CJ300" s="87"/>
      <c r="CK300" s="87"/>
      <c r="CL300" s="87"/>
      <c r="CM300" s="87"/>
      <c r="CN300" s="87"/>
      <c r="CO300" s="87"/>
      <c r="CP300" s="87"/>
      <c r="CQ300" s="87"/>
      <c r="CR300" s="87"/>
      <c r="CS300" s="87"/>
      <c r="CT300" s="87"/>
      <c r="CU300" s="87"/>
      <c r="CV300" s="87"/>
      <c r="CW300" s="87"/>
      <c r="CX300" s="87"/>
      <c r="CY300" s="87"/>
      <c r="CZ300" s="87"/>
      <c r="DA300" s="87"/>
      <c r="DB300" s="87"/>
      <c r="DC300" s="87"/>
      <c r="DD300" s="87"/>
      <c r="DE300" s="87"/>
      <c r="DF300" s="87"/>
      <c r="DG300" s="87"/>
      <c r="DH300" s="87"/>
      <c r="DI300" s="87"/>
      <c r="DJ300" s="87"/>
      <c r="DK300" s="87"/>
      <c r="DL300" s="87"/>
      <c r="DM300" s="87"/>
      <c r="DN300" s="87"/>
      <c r="DO300" s="87"/>
      <c r="DP300" s="87"/>
      <c r="DQ300" s="87"/>
      <c r="DR300" s="87"/>
      <c r="DS300" s="87"/>
      <c r="DT300" s="87"/>
      <c r="DU300" s="87"/>
      <c r="DV300" s="87"/>
      <c r="DW300" s="87"/>
      <c r="DX300" s="87"/>
      <c r="DY300" s="87"/>
      <c r="DZ300" s="87"/>
      <c r="EA300" s="87"/>
      <c r="EB300" s="87"/>
      <c r="EC300" s="87"/>
      <c r="ED300" s="87"/>
      <c r="EE300" s="87"/>
      <c r="EF300" s="87"/>
      <c r="EG300" s="75">
        <v>46017</v>
      </c>
      <c r="EH300" s="75">
        <v>46024</v>
      </c>
      <c r="EI300" s="75">
        <v>46031</v>
      </c>
    </row>
    <row r="301" spans="1:139" ht="16.5" hidden="1" thickBot="1" x14ac:dyDescent="0.35">
      <c r="A301" s="175" t="s">
        <v>597</v>
      </c>
      <c r="B301" s="176">
        <v>2</v>
      </c>
      <c r="C301" s="177">
        <f>20*0.85</f>
        <v>17</v>
      </c>
      <c r="D301" s="217">
        <f>C301/VLOOKUP(B301,'[2]Gas Prod per PADD'!$A$1:$C$6,2,FALSE)</f>
        <v>7.083333333333333E-3</v>
      </c>
      <c r="E301" s="251">
        <v>45541</v>
      </c>
      <c r="F301" s="179">
        <v>45565</v>
      </c>
      <c r="G301" s="180" t="s">
        <v>163</v>
      </c>
      <c r="H301" s="221" t="s">
        <v>379</v>
      </c>
      <c r="I301" s="84"/>
      <c r="J301" s="85"/>
      <c r="K301" s="85"/>
      <c r="L301" s="85"/>
      <c r="M301" s="85"/>
      <c r="N301" s="85"/>
      <c r="O301" s="85"/>
      <c r="P301" s="85"/>
      <c r="Q301" s="85"/>
      <c r="R301" s="85"/>
      <c r="S301" s="85"/>
      <c r="T301" s="85"/>
      <c r="U301" s="85"/>
      <c r="V301" s="84"/>
      <c r="W301" s="84"/>
      <c r="X301" s="84" t="str">
        <f t="shared" si="13"/>
        <v>OK</v>
      </c>
      <c r="Y301" s="105"/>
      <c r="Z301" s="105"/>
      <c r="AA301" s="87"/>
      <c r="AB301" s="87"/>
      <c r="AC301" s="87"/>
      <c r="AD301" s="87"/>
      <c r="AE301" s="105"/>
      <c r="AF301" s="105"/>
      <c r="AG301" s="105"/>
      <c r="AH301" s="105"/>
      <c r="AI301" s="87"/>
      <c r="AJ301" s="87"/>
      <c r="AK301" s="105"/>
      <c r="AL301" s="87"/>
      <c r="AM301" s="105"/>
      <c r="AN301" s="105"/>
      <c r="AO301" s="87"/>
      <c r="AP301" s="87"/>
      <c r="AQ301" s="105"/>
      <c r="AR301" s="105"/>
      <c r="AS301" s="87"/>
      <c r="AT301" s="105"/>
      <c r="AU301" s="105"/>
      <c r="AV301" s="87"/>
      <c r="AW301" s="105"/>
      <c r="AX301" s="105"/>
      <c r="AY301" s="87"/>
      <c r="AZ301" s="105"/>
      <c r="BA301" s="105"/>
      <c r="BB301" s="105"/>
      <c r="BC301" s="87"/>
      <c r="BD301" s="87"/>
      <c r="BE301" s="87"/>
      <c r="BF301" s="105"/>
      <c r="BG301" s="105"/>
      <c r="BH301" s="105"/>
      <c r="BI301" s="105"/>
      <c r="BJ301" s="105"/>
      <c r="BK301" s="87"/>
      <c r="BL301" s="87"/>
      <c r="BM301" s="87"/>
      <c r="BN301" s="87"/>
      <c r="BO301" s="87"/>
      <c r="BP301" s="87"/>
      <c r="BQ301" s="87"/>
      <c r="BR301" s="105">
        <f>-C301*2/3</f>
        <v>-11.333333333333334</v>
      </c>
      <c r="BS301" s="105">
        <f>-C301-BR301</f>
        <v>-5.6666666666666661</v>
      </c>
      <c r="BT301" s="87"/>
      <c r="BU301" s="105">
        <f>-BS301</f>
        <v>5.6666666666666661</v>
      </c>
      <c r="BV301" s="105">
        <f>-BR301</f>
        <v>11.333333333333334</v>
      </c>
      <c r="BW301" s="87"/>
      <c r="BX301" s="87"/>
      <c r="BY301" s="87"/>
      <c r="BZ301" s="87"/>
      <c r="CA301" s="87"/>
      <c r="CB301" s="87"/>
      <c r="CC301" s="87"/>
      <c r="CD301" s="87"/>
      <c r="CE301" s="87"/>
      <c r="CF301" s="87"/>
      <c r="CG301" s="87"/>
      <c r="CH301" s="87"/>
      <c r="CI301" s="87"/>
      <c r="CJ301" s="87"/>
      <c r="CK301" s="87"/>
      <c r="CL301" s="87"/>
      <c r="CM301" s="87"/>
      <c r="CN301" s="87"/>
      <c r="CO301" s="87"/>
      <c r="CP301" s="87"/>
      <c r="CQ301" s="87"/>
      <c r="CR301" s="87"/>
      <c r="CS301" s="87"/>
      <c r="CT301" s="87"/>
      <c r="CU301" s="87"/>
      <c r="CV301" s="87"/>
      <c r="CW301" s="87"/>
      <c r="CX301" s="87"/>
      <c r="CY301" s="87"/>
      <c r="CZ301" s="87"/>
      <c r="DA301" s="87"/>
      <c r="DB301" s="87"/>
      <c r="DC301" s="87"/>
      <c r="DD301" s="87"/>
      <c r="DE301" s="87"/>
      <c r="DF301" s="87"/>
      <c r="DG301" s="87"/>
      <c r="DH301" s="87"/>
      <c r="DI301" s="87"/>
      <c r="DJ301" s="87"/>
      <c r="DK301" s="87"/>
      <c r="DL301" s="87"/>
      <c r="DM301" s="87"/>
      <c r="DN301" s="87"/>
      <c r="DO301" s="87"/>
      <c r="DP301" s="87"/>
      <c r="DQ301" s="87"/>
      <c r="DR301" s="87"/>
      <c r="DS301" s="87"/>
      <c r="DT301" s="87"/>
      <c r="DU301" s="87"/>
      <c r="DV301" s="87"/>
      <c r="DW301" s="87"/>
      <c r="DX301" s="87"/>
      <c r="DY301" s="87"/>
      <c r="DZ301" s="87"/>
      <c r="EA301" s="87"/>
      <c r="EB301" s="87"/>
      <c r="EC301" s="87"/>
      <c r="ED301" s="87"/>
      <c r="EE301" s="87"/>
      <c r="EF301" s="87"/>
      <c r="EG301" s="87"/>
      <c r="EH301" s="87"/>
      <c r="EI301" s="87"/>
    </row>
    <row r="302" spans="1:139" ht="43.5" hidden="1" thickBot="1" x14ac:dyDescent="0.35">
      <c r="A302" s="190" t="s">
        <v>149</v>
      </c>
      <c r="B302" s="279">
        <v>3</v>
      </c>
      <c r="C302" s="224">
        <f>20*0.85</f>
        <v>17</v>
      </c>
      <c r="D302" s="217">
        <f>C302/VLOOKUP(B302,'[2]Gas Prod per PADD'!$A$1:$C$6,2,FALSE)</f>
        <v>3.6956521739130435E-3</v>
      </c>
      <c r="E302" s="225">
        <v>45546</v>
      </c>
      <c r="F302" s="276">
        <v>45565</v>
      </c>
      <c r="G302" s="180" t="s">
        <v>610</v>
      </c>
      <c r="H302" s="221" t="s">
        <v>611</v>
      </c>
      <c r="I302" s="84"/>
      <c r="J302" s="85"/>
      <c r="K302" s="85"/>
      <c r="L302" s="85"/>
      <c r="M302" s="85"/>
      <c r="N302" s="85"/>
      <c r="O302" s="85"/>
      <c r="P302" s="85"/>
      <c r="Q302" s="85"/>
      <c r="R302" s="85"/>
      <c r="S302" s="85"/>
      <c r="T302" s="85"/>
      <c r="U302" s="85"/>
      <c r="V302" s="84"/>
      <c r="W302" s="84"/>
      <c r="X302" s="84" t="str">
        <f t="shared" si="13"/>
        <v>OK</v>
      </c>
      <c r="Y302" s="105"/>
      <c r="Z302" s="105"/>
      <c r="AA302" s="87"/>
      <c r="AB302" s="87"/>
      <c r="AC302" s="87"/>
      <c r="AD302" s="87"/>
      <c r="AE302" s="105"/>
      <c r="AF302" s="105"/>
      <c r="AG302" s="105"/>
      <c r="AH302" s="105"/>
      <c r="AI302" s="87"/>
      <c r="AJ302" s="87"/>
      <c r="AK302" s="105"/>
      <c r="AL302" s="87"/>
      <c r="AM302" s="105"/>
      <c r="AN302" s="105"/>
      <c r="AO302" s="87"/>
      <c r="AP302" s="87"/>
      <c r="AQ302" s="105"/>
      <c r="AR302" s="105"/>
      <c r="AS302" s="87"/>
      <c r="AT302" s="105"/>
      <c r="AU302" s="105"/>
      <c r="AV302" s="87"/>
      <c r="AW302" s="105"/>
      <c r="AX302" s="105"/>
      <c r="AY302" s="87"/>
      <c r="AZ302" s="105"/>
      <c r="BA302" s="105"/>
      <c r="BB302" s="105"/>
      <c r="BC302" s="87"/>
      <c r="BD302" s="87"/>
      <c r="BE302" s="87"/>
      <c r="BF302" s="105"/>
      <c r="BG302" s="105"/>
      <c r="BH302" s="105"/>
      <c r="BI302" s="105"/>
      <c r="BJ302" s="105"/>
      <c r="BK302" s="87"/>
      <c r="BL302" s="87"/>
      <c r="BM302" s="87"/>
      <c r="BN302" s="87"/>
      <c r="BO302" s="87"/>
      <c r="BP302" s="87"/>
      <c r="BQ302" s="87"/>
      <c r="BR302" s="105"/>
      <c r="BS302" s="105">
        <f>-C302-BR302</f>
        <v>-17</v>
      </c>
      <c r="BT302" s="87"/>
      <c r="BU302" s="105">
        <f>C302/2</f>
        <v>8.5</v>
      </c>
      <c r="BV302" s="105">
        <f>C302/2</f>
        <v>8.5</v>
      </c>
      <c r="BW302" s="105"/>
      <c r="BX302" s="105"/>
      <c r="BY302" s="87"/>
      <c r="BZ302" s="87"/>
      <c r="CA302" s="87"/>
      <c r="CB302" s="87"/>
      <c r="CC302" s="87"/>
      <c r="CD302" s="87"/>
      <c r="CE302" s="87"/>
      <c r="CF302" s="87"/>
      <c r="CG302" s="87"/>
      <c r="CH302" s="87"/>
      <c r="CI302" s="87"/>
      <c r="CJ302" s="87"/>
      <c r="CK302" s="87"/>
      <c r="CL302" s="87"/>
      <c r="CM302" s="87"/>
      <c r="CN302" s="87"/>
      <c r="CO302" s="87"/>
      <c r="CP302" s="87"/>
      <c r="CQ302" s="87"/>
      <c r="CR302" s="87"/>
      <c r="CS302" s="87"/>
      <c r="CT302" s="87"/>
      <c r="CU302" s="87"/>
      <c r="CV302" s="87"/>
      <c r="CW302" s="87"/>
      <c r="CX302" s="87"/>
      <c r="CY302" s="87"/>
      <c r="CZ302" s="87"/>
      <c r="DA302" s="87"/>
      <c r="DB302" s="87"/>
      <c r="DC302" s="87"/>
      <c r="DD302" s="87"/>
      <c r="DE302" s="87"/>
      <c r="DF302" s="87"/>
      <c r="DG302" s="87"/>
      <c r="DH302" s="87"/>
      <c r="DI302" s="87"/>
      <c r="DJ302" s="87"/>
      <c r="DK302" s="87"/>
      <c r="DL302" s="87"/>
      <c r="DM302" s="87"/>
      <c r="DN302" s="87"/>
      <c r="DO302" s="87"/>
      <c r="DP302" s="87"/>
      <c r="DQ302" s="87"/>
      <c r="DR302" s="87"/>
      <c r="DS302" s="87"/>
      <c r="DT302" s="87"/>
      <c r="DU302" s="87"/>
      <c r="DV302" s="87"/>
      <c r="DW302" s="87"/>
      <c r="DX302" s="87"/>
      <c r="DY302" s="87"/>
      <c r="DZ302" s="87"/>
      <c r="EA302" s="87"/>
      <c r="EB302" s="87"/>
      <c r="EC302" s="87"/>
      <c r="ED302" s="87"/>
      <c r="EE302" s="87"/>
      <c r="EF302" s="87"/>
      <c r="EG302" s="87"/>
      <c r="EH302" s="87"/>
      <c r="EI302" s="87"/>
    </row>
    <row r="303" spans="1:139" ht="57.75" hidden="1" thickBot="1" x14ac:dyDescent="0.35">
      <c r="A303" s="175" t="s">
        <v>231</v>
      </c>
      <c r="B303" s="191">
        <v>2</v>
      </c>
      <c r="C303" s="177">
        <f>30*0.1+10*0.65</f>
        <v>9.5</v>
      </c>
      <c r="D303" s="217">
        <f>C303/VLOOKUP(B303,'[2]Gas Prod per PADD'!$A$1:$C$6,2,FALSE)</f>
        <v>3.9583333333333337E-3</v>
      </c>
      <c r="E303" s="178">
        <v>45556</v>
      </c>
      <c r="F303" s="179">
        <v>45565</v>
      </c>
      <c r="G303" s="180" t="s">
        <v>612</v>
      </c>
      <c r="H303" s="181" t="s">
        <v>613</v>
      </c>
      <c r="I303" s="84"/>
      <c r="J303" s="85"/>
      <c r="K303" s="85"/>
      <c r="L303" s="85"/>
      <c r="M303" s="85"/>
      <c r="N303" s="85"/>
      <c r="O303" s="85"/>
      <c r="P303" s="85"/>
      <c r="Q303" s="85"/>
      <c r="R303" s="85"/>
      <c r="S303" s="85"/>
      <c r="T303" s="85"/>
      <c r="U303" s="85"/>
      <c r="V303" s="84"/>
      <c r="W303" s="84"/>
      <c r="X303" s="84" t="str">
        <f t="shared" si="13"/>
        <v>OK</v>
      </c>
      <c r="Y303" s="105"/>
      <c r="Z303" s="105"/>
      <c r="AA303" s="87"/>
      <c r="AB303" s="87"/>
      <c r="AC303" s="87"/>
      <c r="AD303" s="87"/>
      <c r="AE303" s="105"/>
      <c r="AF303" s="105"/>
      <c r="AG303" s="105"/>
      <c r="AH303" s="105"/>
      <c r="AI303" s="87"/>
      <c r="AJ303" s="87"/>
      <c r="AK303" s="105"/>
      <c r="AL303" s="87"/>
      <c r="AM303" s="105"/>
      <c r="AN303" s="105"/>
      <c r="AO303" s="87"/>
      <c r="AP303" s="87"/>
      <c r="AQ303" s="105"/>
      <c r="AR303" s="105"/>
      <c r="AS303" s="87"/>
      <c r="AT303" s="105"/>
      <c r="AU303" s="105"/>
      <c r="AV303" s="87"/>
      <c r="AW303" s="105"/>
      <c r="AX303" s="105"/>
      <c r="AY303" s="87"/>
      <c r="AZ303" s="105"/>
      <c r="BA303" s="105"/>
      <c r="BB303" s="105"/>
      <c r="BC303" s="87"/>
      <c r="BD303" s="87"/>
      <c r="BE303" s="105"/>
      <c r="BF303" s="105"/>
      <c r="BG303" s="105"/>
      <c r="BH303" s="105"/>
      <c r="BI303" s="105"/>
      <c r="BJ303" s="87"/>
      <c r="BK303" s="87"/>
      <c r="BL303" s="87"/>
      <c r="BM303" s="87"/>
      <c r="BN303" s="87"/>
      <c r="BO303" s="105"/>
      <c r="BP303" s="105"/>
      <c r="BQ303" s="105"/>
      <c r="BR303" s="105"/>
      <c r="BS303" s="87"/>
      <c r="BT303" s="87">
        <f>-C303*5/7</f>
        <v>-6.7857142857142856</v>
      </c>
      <c r="BU303" s="105">
        <f>-C303-BT303</f>
        <v>-2.7142857142857144</v>
      </c>
      <c r="BV303" s="87">
        <f>-BT303</f>
        <v>6.7857142857142856</v>
      </c>
      <c r="BW303" s="105">
        <f>-BU303</f>
        <v>2.7142857142857144</v>
      </c>
      <c r="BX303" s="87"/>
      <c r="BY303" s="87"/>
      <c r="BZ303" s="87"/>
      <c r="CA303" s="87"/>
      <c r="CB303" s="87"/>
      <c r="CC303" s="87"/>
      <c r="CD303" s="87"/>
      <c r="CE303" s="87"/>
      <c r="CF303" s="87"/>
      <c r="CG303" s="87"/>
      <c r="CH303" s="87"/>
      <c r="CI303" s="87"/>
      <c r="CJ303" s="87"/>
      <c r="CK303" s="87"/>
      <c r="CL303" s="87"/>
      <c r="CM303" s="87"/>
      <c r="CN303" s="87"/>
      <c r="CO303" s="87"/>
      <c r="CP303" s="87"/>
      <c r="CQ303" s="87"/>
      <c r="CR303" s="87"/>
      <c r="CS303" s="87"/>
      <c r="CT303" s="87"/>
      <c r="CU303" s="87"/>
      <c r="CV303" s="87"/>
      <c r="CW303" s="87"/>
      <c r="CX303" s="87"/>
      <c r="CY303" s="87"/>
      <c r="CZ303" s="87"/>
      <c r="DA303" s="87"/>
      <c r="DB303" s="87"/>
      <c r="DC303" s="87"/>
      <c r="DD303" s="87"/>
      <c r="DE303" s="87"/>
      <c r="DF303" s="87"/>
      <c r="DG303" s="87"/>
      <c r="DH303" s="87"/>
      <c r="DI303" s="87"/>
      <c r="DJ303" s="87"/>
      <c r="DK303" s="87"/>
      <c r="DL303" s="87"/>
      <c r="DM303" s="87"/>
      <c r="DN303" s="87"/>
      <c r="DO303" s="87"/>
      <c r="DP303" s="87"/>
      <c r="DQ303" s="87"/>
      <c r="DR303" s="87"/>
      <c r="DS303" s="87"/>
      <c r="DT303" s="87"/>
      <c r="DU303" s="87"/>
      <c r="DV303" s="87"/>
      <c r="DW303" s="87"/>
      <c r="DX303" s="87"/>
      <c r="DY303" s="87"/>
      <c r="DZ303" s="87"/>
      <c r="EA303" s="87"/>
      <c r="EB303" s="87"/>
      <c r="EC303" s="87"/>
      <c r="ED303" s="87"/>
      <c r="EE303" s="87"/>
      <c r="EF303" s="87"/>
      <c r="EG303" s="87"/>
      <c r="EH303" s="87"/>
      <c r="EI303" s="87"/>
    </row>
    <row r="304" spans="1:139" ht="16.5" hidden="1" thickBot="1" x14ac:dyDescent="0.35">
      <c r="A304" s="218" t="s">
        <v>386</v>
      </c>
      <c r="B304" s="194">
        <v>4</v>
      </c>
      <c r="C304" s="195"/>
      <c r="D304" s="217">
        <f>C304/VLOOKUP(B304,'[2]Gas Prod per PADD'!$A$1:$C$6,2,FALSE)</f>
        <v>0</v>
      </c>
      <c r="E304" s="196">
        <v>45558</v>
      </c>
      <c r="F304" s="197">
        <f>E304+7</f>
        <v>45565</v>
      </c>
      <c r="G304" s="194" t="s">
        <v>553</v>
      </c>
      <c r="H304" s="198" t="s">
        <v>614</v>
      </c>
      <c r="I304" s="84"/>
      <c r="J304" s="85"/>
      <c r="K304" s="85"/>
      <c r="L304" s="85"/>
      <c r="M304" s="85"/>
      <c r="N304" s="85"/>
      <c r="O304" s="85"/>
      <c r="P304" s="85"/>
      <c r="Q304" s="85"/>
      <c r="R304" s="85"/>
      <c r="S304" s="85"/>
      <c r="T304" s="85"/>
      <c r="U304" s="85"/>
      <c r="V304" s="84"/>
      <c r="W304" s="84"/>
      <c r="X304" s="84" t="str">
        <f t="shared" si="13"/>
        <v>Missing</v>
      </c>
      <c r="Y304" s="87"/>
      <c r="Z304" s="87"/>
      <c r="AA304" s="87"/>
      <c r="AB304" s="87"/>
      <c r="AC304" s="87"/>
      <c r="AD304" s="87"/>
      <c r="AE304" s="87"/>
      <c r="AF304" s="87"/>
      <c r="AG304" s="87"/>
      <c r="AH304" s="87"/>
      <c r="AI304" s="87"/>
      <c r="AJ304" s="87"/>
      <c r="AK304" s="87"/>
      <c r="AL304" s="87"/>
      <c r="AM304" s="87"/>
      <c r="AN304" s="87"/>
      <c r="AO304" s="87"/>
      <c r="AP304" s="87"/>
      <c r="AQ304" s="87"/>
      <c r="AR304" s="87"/>
      <c r="AS304" s="87"/>
      <c r="AT304" s="87"/>
      <c r="AU304" s="87"/>
      <c r="AV304" s="87"/>
      <c r="AW304" s="87"/>
      <c r="AX304" s="87"/>
      <c r="AY304" s="87"/>
      <c r="AZ304" s="87"/>
      <c r="BA304" s="87"/>
      <c r="BB304" s="87"/>
      <c r="BC304" s="87"/>
      <c r="BD304" s="87"/>
      <c r="BE304" s="87"/>
      <c r="BF304" s="87"/>
      <c r="BG304" s="87"/>
      <c r="BH304" s="87"/>
      <c r="BI304" s="87"/>
      <c r="BJ304" s="87"/>
      <c r="BK304" s="87"/>
      <c r="BL304" s="87"/>
      <c r="BM304" s="87"/>
      <c r="BN304" s="87"/>
      <c r="BO304" s="87"/>
      <c r="BP304" s="87"/>
      <c r="BQ304" s="87"/>
      <c r="BR304" s="87"/>
      <c r="BS304" s="87"/>
      <c r="BT304" s="87"/>
      <c r="BU304" s="87"/>
      <c r="BV304" s="87"/>
      <c r="BW304" s="87"/>
      <c r="BX304" s="87"/>
      <c r="BY304" s="87"/>
      <c r="BZ304" s="87"/>
      <c r="CA304" s="87"/>
      <c r="CB304" s="87"/>
      <c r="CC304" s="87"/>
      <c r="CD304" s="87"/>
      <c r="CE304" s="87"/>
      <c r="CF304" s="87"/>
      <c r="CG304" s="87"/>
      <c r="CH304" s="87"/>
      <c r="CI304" s="87"/>
      <c r="CJ304" s="87"/>
      <c r="CK304" s="87"/>
      <c r="CL304" s="87"/>
      <c r="CM304" s="87"/>
      <c r="CN304" s="87"/>
      <c r="CO304" s="87"/>
      <c r="CP304" s="87"/>
      <c r="CQ304" s="87"/>
      <c r="CR304" s="87"/>
      <c r="CS304" s="87"/>
      <c r="CT304" s="87"/>
      <c r="CU304" s="87"/>
      <c r="CV304" s="87"/>
      <c r="CW304" s="87"/>
      <c r="CX304" s="87"/>
      <c r="CY304" s="87"/>
      <c r="CZ304" s="87"/>
      <c r="DA304" s="87"/>
      <c r="DB304" s="87"/>
      <c r="DC304" s="87"/>
      <c r="DD304" s="87"/>
      <c r="DE304" s="87"/>
      <c r="DF304" s="87"/>
      <c r="DG304" s="87"/>
      <c r="DH304" s="87"/>
      <c r="DI304" s="87"/>
      <c r="DJ304" s="87"/>
      <c r="DK304" s="87"/>
      <c r="DL304" s="87"/>
      <c r="DM304" s="87"/>
      <c r="DN304" s="87"/>
      <c r="DO304" s="87"/>
      <c r="DP304" s="87"/>
      <c r="DQ304" s="87"/>
      <c r="DR304" s="87"/>
      <c r="DS304" s="87"/>
      <c r="DT304" s="87"/>
      <c r="DU304" s="87"/>
      <c r="DV304" s="87"/>
      <c r="DW304" s="87"/>
      <c r="DX304" s="87"/>
      <c r="DY304" s="87"/>
      <c r="DZ304" s="87"/>
      <c r="EA304" s="87"/>
      <c r="EB304" s="87"/>
      <c r="EC304" s="87"/>
      <c r="ED304" s="87"/>
      <c r="EE304" s="87"/>
      <c r="EF304" s="87"/>
      <c r="EG304" s="87"/>
      <c r="EH304" s="87"/>
      <c r="EI304" s="87"/>
    </row>
    <row r="305" spans="1:139" ht="16.5" hidden="1" thickBot="1" x14ac:dyDescent="0.35">
      <c r="A305" s="113" t="s">
        <v>519</v>
      </c>
      <c r="B305" s="194">
        <v>2</v>
      </c>
      <c r="C305" s="280">
        <f>24*0.3</f>
        <v>7.1999999999999993</v>
      </c>
      <c r="D305" s="217">
        <f>C305/VLOOKUP(B305,'[2]Gas Prod per PADD'!$A$1:$C$6,2,FALSE)</f>
        <v>2.9999999999999996E-3</v>
      </c>
      <c r="E305" s="196">
        <v>45562</v>
      </c>
      <c r="F305" s="281">
        <v>45565</v>
      </c>
      <c r="G305" s="194" t="s">
        <v>218</v>
      </c>
      <c r="H305" s="198" t="s">
        <v>615</v>
      </c>
      <c r="I305" s="84"/>
      <c r="J305" s="85"/>
      <c r="K305" s="85"/>
      <c r="L305" s="85"/>
      <c r="M305" s="85"/>
      <c r="N305" s="85"/>
      <c r="O305" s="85"/>
      <c r="P305" s="85"/>
      <c r="Q305" s="85"/>
      <c r="R305" s="85"/>
      <c r="S305" s="85"/>
      <c r="T305" s="85"/>
      <c r="U305" s="85"/>
      <c r="V305" s="84"/>
      <c r="W305" s="84"/>
      <c r="X305" s="84" t="str">
        <f t="shared" si="13"/>
        <v>OK</v>
      </c>
      <c r="Y305" s="87"/>
      <c r="Z305" s="87"/>
      <c r="AA305" s="87"/>
      <c r="AB305" s="87"/>
      <c r="AC305" s="87"/>
      <c r="AD305" s="87"/>
      <c r="AE305" s="87"/>
      <c r="AF305" s="87"/>
      <c r="AG305" s="87"/>
      <c r="AH305" s="87"/>
      <c r="AI305" s="87"/>
      <c r="AJ305" s="87"/>
      <c r="AK305" s="87"/>
      <c r="AL305" s="87"/>
      <c r="AM305" s="87"/>
      <c r="AN305" s="87"/>
      <c r="AO305" s="87"/>
      <c r="AP305" s="87"/>
      <c r="AQ305" s="87"/>
      <c r="AR305" s="87"/>
      <c r="AS305" s="87"/>
      <c r="AT305" s="87"/>
      <c r="AU305" s="87"/>
      <c r="AV305" s="87"/>
      <c r="AW305" s="87"/>
      <c r="AX305" s="87"/>
      <c r="AY305" s="87"/>
      <c r="AZ305" s="87"/>
      <c r="BA305" s="87"/>
      <c r="BB305" s="87"/>
      <c r="BC305" s="87"/>
      <c r="BD305" s="87"/>
      <c r="BE305" s="87"/>
      <c r="BF305" s="87"/>
      <c r="BG305" s="87"/>
      <c r="BH305" s="87"/>
      <c r="BI305" s="87"/>
      <c r="BJ305" s="87"/>
      <c r="BK305" s="87"/>
      <c r="BL305" s="87"/>
      <c r="BM305" s="87"/>
      <c r="BN305" s="87"/>
      <c r="BO305" s="87"/>
      <c r="BP305" s="87"/>
      <c r="BQ305" s="87"/>
      <c r="BR305" s="87"/>
      <c r="BS305" s="87"/>
      <c r="BT305" s="87"/>
      <c r="BU305" s="87">
        <f>-3/7*C305</f>
        <v>-3.0857142857142854</v>
      </c>
      <c r="BV305" s="87">
        <f>-BU305</f>
        <v>3.0857142857142854</v>
      </c>
      <c r="BW305" s="87"/>
      <c r="BX305" s="87"/>
      <c r="BY305" s="87"/>
      <c r="BZ305" s="87"/>
      <c r="CA305" s="87"/>
      <c r="CB305" s="87"/>
      <c r="CC305" s="87"/>
      <c r="CD305" s="87"/>
      <c r="CE305" s="87"/>
      <c r="CF305" s="87"/>
      <c r="CG305" s="87"/>
      <c r="CH305" s="87"/>
      <c r="CI305" s="87"/>
      <c r="CJ305" s="87"/>
      <c r="CK305" s="87"/>
      <c r="CL305" s="87"/>
      <c r="CM305" s="87"/>
      <c r="CN305" s="87"/>
      <c r="CO305" s="87"/>
      <c r="CP305" s="87"/>
      <c r="CQ305" s="87"/>
      <c r="CR305" s="87"/>
      <c r="CS305" s="87"/>
      <c r="CT305" s="87"/>
      <c r="CU305" s="87"/>
      <c r="CV305" s="87"/>
      <c r="CW305" s="87"/>
      <c r="CX305" s="87"/>
      <c r="CY305" s="87"/>
      <c r="CZ305" s="87"/>
      <c r="DA305" s="87"/>
      <c r="DB305" s="87"/>
      <c r="DC305" s="87"/>
      <c r="DD305" s="87"/>
      <c r="DE305" s="87"/>
      <c r="DF305" s="87"/>
      <c r="DG305" s="87"/>
      <c r="DH305" s="87"/>
      <c r="DI305" s="87"/>
      <c r="DJ305" s="87"/>
      <c r="DK305" s="87"/>
      <c r="DL305" s="87"/>
      <c r="DM305" s="87"/>
      <c r="DN305" s="87"/>
      <c r="DO305" s="87"/>
      <c r="DP305" s="87"/>
      <c r="DQ305" s="87"/>
      <c r="DR305" s="87"/>
      <c r="DS305" s="87"/>
      <c r="DT305" s="87"/>
      <c r="DU305" s="87"/>
      <c r="DV305" s="87"/>
      <c r="DW305" s="87"/>
      <c r="DX305" s="87"/>
      <c r="DY305" s="87"/>
      <c r="DZ305" s="87"/>
      <c r="EA305" s="87"/>
      <c r="EB305" s="87"/>
      <c r="EC305" s="87"/>
      <c r="ED305" s="87"/>
      <c r="EE305" s="87"/>
      <c r="EF305" s="87"/>
      <c r="EG305" s="87"/>
      <c r="EH305" s="87"/>
      <c r="EI305" s="87"/>
    </row>
    <row r="306" spans="1:139" ht="29.25" hidden="1" thickBot="1" x14ac:dyDescent="0.35">
      <c r="A306" s="254" t="s">
        <v>334</v>
      </c>
      <c r="B306" s="255">
        <v>3</v>
      </c>
      <c r="C306" s="256">
        <f>65*0.3</f>
        <v>19.5</v>
      </c>
      <c r="D306" s="217">
        <f>C306/VLOOKUP(B306,'[2]Gas Prod per PADD'!$A$1:$C$6,2,FALSE)</f>
        <v>4.239130434782609E-3</v>
      </c>
      <c r="E306" s="257">
        <v>45549</v>
      </c>
      <c r="F306" s="258">
        <v>45566</v>
      </c>
      <c r="G306" s="259" t="s">
        <v>616</v>
      </c>
      <c r="H306" s="261" t="s">
        <v>543</v>
      </c>
      <c r="I306" s="84"/>
      <c r="J306" s="85"/>
      <c r="K306" s="85"/>
      <c r="L306" s="85"/>
      <c r="M306" s="85"/>
      <c r="N306" s="85"/>
      <c r="O306" s="85"/>
      <c r="P306" s="85"/>
      <c r="Q306" s="85"/>
      <c r="R306" s="85"/>
      <c r="S306" s="85"/>
      <c r="T306" s="85"/>
      <c r="U306" s="85"/>
      <c r="V306" s="84"/>
      <c r="W306" s="84"/>
      <c r="X306" s="84" t="str">
        <f t="shared" si="13"/>
        <v>OK</v>
      </c>
      <c r="Y306" s="105"/>
      <c r="Z306" s="105"/>
      <c r="AA306" s="87"/>
      <c r="AB306" s="87"/>
      <c r="AC306" s="87"/>
      <c r="AD306" s="87"/>
      <c r="AE306" s="105"/>
      <c r="AF306" s="105"/>
      <c r="AG306" s="105"/>
      <c r="AH306" s="87"/>
      <c r="AI306" s="87"/>
      <c r="AJ306" s="87"/>
      <c r="AK306" s="105"/>
      <c r="AL306" s="105"/>
      <c r="AM306" s="105"/>
      <c r="AN306" s="87"/>
      <c r="AO306" s="87"/>
      <c r="AP306" s="105"/>
      <c r="AQ306" s="105"/>
      <c r="AR306" s="105"/>
      <c r="AS306" s="105"/>
      <c r="AT306" s="105"/>
      <c r="AU306" s="87"/>
      <c r="AV306" s="105"/>
      <c r="AW306" s="105"/>
      <c r="AX306" s="87"/>
      <c r="AY306" s="87"/>
      <c r="AZ306" s="87"/>
      <c r="BA306" s="87"/>
      <c r="BB306" s="87"/>
      <c r="BC306" s="87"/>
      <c r="BD306" s="87"/>
      <c r="BE306" s="87"/>
      <c r="BF306" s="87"/>
      <c r="BG306" s="87"/>
      <c r="BH306" s="87"/>
      <c r="BI306" s="87"/>
      <c r="BJ306" s="87"/>
      <c r="BK306" s="87"/>
      <c r="BL306" s="87"/>
      <c r="BM306" s="87"/>
      <c r="BN306" s="87"/>
      <c r="BO306" s="87"/>
      <c r="BP306" s="87"/>
      <c r="BQ306" s="87"/>
      <c r="BR306" s="87"/>
      <c r="BS306" s="87">
        <f>-C306</f>
        <v>-19.5</v>
      </c>
      <c r="BT306" s="87"/>
      <c r="BU306" s="87">
        <f>C306</f>
        <v>19.5</v>
      </c>
      <c r="BV306" s="87"/>
      <c r="BW306" s="87"/>
      <c r="BX306" s="87"/>
      <c r="BY306" s="87"/>
      <c r="BZ306" s="87"/>
      <c r="CA306" s="87"/>
      <c r="CB306" s="87"/>
      <c r="CC306" s="87"/>
      <c r="CD306" s="87"/>
      <c r="CE306" s="87"/>
      <c r="CF306" s="87"/>
      <c r="CG306" s="87"/>
      <c r="CH306" s="87"/>
      <c r="CI306" s="87"/>
      <c r="CJ306" s="87"/>
      <c r="CK306" s="87"/>
      <c r="CL306" s="87"/>
      <c r="CM306" s="87"/>
      <c r="CN306" s="87"/>
      <c r="CO306" s="87"/>
      <c r="CP306" s="87"/>
      <c r="CQ306" s="87"/>
      <c r="CR306" s="87"/>
      <c r="CS306" s="87"/>
      <c r="CT306" s="87"/>
      <c r="CU306" s="87"/>
      <c r="CV306" s="87"/>
      <c r="CW306" s="87"/>
      <c r="CX306" s="87"/>
      <c r="CY306" s="87"/>
      <c r="CZ306" s="87"/>
      <c r="DA306" s="87"/>
      <c r="DB306" s="87"/>
      <c r="DC306" s="87"/>
      <c r="DD306" s="87"/>
      <c r="DE306" s="87"/>
      <c r="DF306" s="87"/>
      <c r="DG306" s="87"/>
      <c r="DH306" s="87"/>
      <c r="DI306" s="87"/>
      <c r="DJ306" s="87"/>
      <c r="DK306" s="87"/>
      <c r="DL306" s="87"/>
      <c r="DM306" s="87"/>
      <c r="DN306" s="87"/>
      <c r="DO306" s="87"/>
      <c r="DP306" s="87"/>
      <c r="DQ306" s="87"/>
      <c r="DR306" s="87"/>
      <c r="DS306" s="87"/>
      <c r="DT306" s="87"/>
      <c r="DU306" s="87"/>
      <c r="DV306" s="87"/>
      <c r="DW306" s="87"/>
      <c r="DX306" s="87"/>
      <c r="DY306" s="87"/>
      <c r="DZ306" s="87"/>
      <c r="EA306" s="87"/>
      <c r="EB306" s="87"/>
      <c r="EC306" s="87"/>
      <c r="ED306" s="87"/>
      <c r="EE306" s="87"/>
      <c r="EF306" s="87"/>
      <c r="EG306" s="87"/>
      <c r="EH306" s="87"/>
      <c r="EI306" s="87"/>
    </row>
    <row r="307" spans="1:139" ht="16.5" hidden="1" thickBot="1" x14ac:dyDescent="0.35">
      <c r="A307" s="175" t="s">
        <v>231</v>
      </c>
      <c r="B307" s="191">
        <v>2</v>
      </c>
      <c r="C307" s="177">
        <f>10*0.85</f>
        <v>8.5</v>
      </c>
      <c r="D307" s="217">
        <f>C307/VLOOKUP(B307,'[2]Gas Prod per PADD'!$A$1:$C$6,2,FALSE)</f>
        <v>3.5416666666666665E-3</v>
      </c>
      <c r="E307" s="178">
        <v>45561</v>
      </c>
      <c r="F307" s="252">
        <v>45567</v>
      </c>
      <c r="G307" s="180" t="s">
        <v>617</v>
      </c>
      <c r="H307" s="181" t="s">
        <v>613</v>
      </c>
      <c r="I307" s="84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4"/>
      <c r="W307" s="84"/>
      <c r="X307" s="84" t="str">
        <f t="shared" si="13"/>
        <v>OK</v>
      </c>
      <c r="Y307" s="105"/>
      <c r="Z307" s="105"/>
      <c r="AA307" s="87"/>
      <c r="AB307" s="87"/>
      <c r="AC307" s="87"/>
      <c r="AD307" s="87"/>
      <c r="AE307" s="105"/>
      <c r="AF307" s="105"/>
      <c r="AG307" s="105"/>
      <c r="AH307" s="105"/>
      <c r="AI307" s="87"/>
      <c r="AJ307" s="87"/>
      <c r="AK307" s="105"/>
      <c r="AL307" s="87"/>
      <c r="AM307" s="105"/>
      <c r="AN307" s="105"/>
      <c r="AO307" s="87"/>
      <c r="AP307" s="87"/>
      <c r="AQ307" s="105"/>
      <c r="AR307" s="105"/>
      <c r="AS307" s="87"/>
      <c r="AT307" s="105"/>
      <c r="AU307" s="105"/>
      <c r="AV307" s="87"/>
      <c r="AW307" s="105"/>
      <c r="AX307" s="105"/>
      <c r="AY307" s="87"/>
      <c r="AZ307" s="105"/>
      <c r="BA307" s="105"/>
      <c r="BB307" s="105"/>
      <c r="BC307" s="87"/>
      <c r="BD307" s="87"/>
      <c r="BE307" s="105"/>
      <c r="BF307" s="105"/>
      <c r="BG307" s="105"/>
      <c r="BH307" s="105"/>
      <c r="BI307" s="105"/>
      <c r="BJ307" s="87"/>
      <c r="BK307" s="87"/>
      <c r="BL307" s="87"/>
      <c r="BM307" s="87"/>
      <c r="BN307" s="87"/>
      <c r="BO307" s="105"/>
      <c r="BP307" s="105"/>
      <c r="BQ307" s="105"/>
      <c r="BR307" s="105"/>
      <c r="BS307" s="87"/>
      <c r="BT307" s="87">
        <f>-1/7*C307</f>
        <v>-1.2142857142857142</v>
      </c>
      <c r="BU307" s="87">
        <f>-BT307</f>
        <v>1.2142857142857142</v>
      </c>
      <c r="BV307" s="87"/>
      <c r="BW307" s="87"/>
      <c r="BX307" s="87"/>
      <c r="BY307" s="87"/>
      <c r="BZ307" s="87"/>
      <c r="CA307" s="87"/>
      <c r="CB307" s="87"/>
      <c r="CC307" s="87"/>
      <c r="CD307" s="87"/>
      <c r="CE307" s="87"/>
      <c r="CF307" s="87"/>
      <c r="CG307" s="87"/>
      <c r="CH307" s="87"/>
      <c r="CI307" s="87"/>
      <c r="CJ307" s="87"/>
      <c r="CK307" s="87"/>
      <c r="CL307" s="87"/>
      <c r="CM307" s="87"/>
      <c r="CN307" s="87"/>
      <c r="CO307" s="87"/>
      <c r="CP307" s="87"/>
      <c r="CQ307" s="87"/>
      <c r="CR307" s="87"/>
      <c r="CS307" s="87"/>
      <c r="CT307" s="87"/>
      <c r="CU307" s="87"/>
      <c r="CV307" s="87"/>
      <c r="CW307" s="87"/>
      <c r="CX307" s="87"/>
      <c r="CY307" s="87"/>
      <c r="CZ307" s="87"/>
      <c r="DA307" s="87"/>
      <c r="DB307" s="87"/>
      <c r="DC307" s="87"/>
      <c r="DD307" s="87"/>
      <c r="DE307" s="87"/>
      <c r="DF307" s="87"/>
      <c r="DG307" s="87"/>
      <c r="DH307" s="87"/>
      <c r="DI307" s="87"/>
      <c r="DJ307" s="87"/>
      <c r="DK307" s="87"/>
      <c r="DL307" s="87"/>
      <c r="DM307" s="87"/>
      <c r="DN307" s="87"/>
      <c r="DO307" s="87"/>
      <c r="DP307" s="87"/>
      <c r="DQ307" s="87"/>
      <c r="DR307" s="87"/>
      <c r="DS307" s="87"/>
      <c r="DT307" s="87"/>
      <c r="DU307" s="87"/>
      <c r="DV307" s="87"/>
      <c r="DW307" s="87"/>
      <c r="DX307" s="87"/>
      <c r="DY307" s="87"/>
      <c r="DZ307" s="87"/>
      <c r="EA307" s="87"/>
      <c r="EB307" s="87"/>
      <c r="EC307" s="87"/>
      <c r="ED307" s="87"/>
      <c r="EE307" s="87"/>
      <c r="EF307" s="87"/>
      <c r="EG307" s="87"/>
      <c r="EH307" s="87"/>
      <c r="EI307" s="87"/>
    </row>
    <row r="308" spans="1:139" ht="16.5" hidden="1" thickBot="1" x14ac:dyDescent="0.35">
      <c r="A308" s="190" t="s">
        <v>270</v>
      </c>
      <c r="B308" s="176">
        <v>3</v>
      </c>
      <c r="C308" s="177">
        <f>75*0.1+(18*0.85)</f>
        <v>22.799999999999997</v>
      </c>
      <c r="D308" s="217">
        <f>C308/VLOOKUP(B308,'[2]Gas Prod per PADD'!$A$1:$C$6,2,FALSE)</f>
        <v>4.9565217391304341E-3</v>
      </c>
      <c r="E308" s="178">
        <v>45564</v>
      </c>
      <c r="F308" s="252">
        <v>45568</v>
      </c>
      <c r="G308" s="194" t="s">
        <v>618</v>
      </c>
      <c r="H308" s="181" t="s">
        <v>543</v>
      </c>
      <c r="I308" s="84"/>
      <c r="J308" s="85"/>
      <c r="K308" s="85"/>
      <c r="L308" s="85"/>
      <c r="M308" s="85"/>
      <c r="N308" s="85"/>
      <c r="O308" s="85"/>
      <c r="P308" s="85"/>
      <c r="Q308" s="85"/>
      <c r="R308" s="85"/>
      <c r="S308" s="85"/>
      <c r="T308" s="85"/>
      <c r="U308" s="85"/>
      <c r="V308" s="84"/>
      <c r="W308" s="84"/>
      <c r="X308" s="84" t="str">
        <f t="shared" si="13"/>
        <v>OK</v>
      </c>
      <c r="Y308" s="105"/>
      <c r="Z308" s="105"/>
      <c r="AA308" s="87"/>
      <c r="AB308" s="87"/>
      <c r="AC308" s="87"/>
      <c r="AD308" s="87"/>
      <c r="AE308" s="105"/>
      <c r="AF308" s="105"/>
      <c r="AG308" s="105"/>
      <c r="AH308" s="87"/>
      <c r="AI308" s="87"/>
      <c r="AJ308" s="87"/>
      <c r="AK308" s="105"/>
      <c r="AL308" s="105"/>
      <c r="AM308" s="105"/>
      <c r="AN308" s="87"/>
      <c r="AO308" s="87"/>
      <c r="AP308" s="105"/>
      <c r="AQ308" s="105"/>
      <c r="AR308" s="105"/>
      <c r="AS308" s="105"/>
      <c r="AT308" s="105"/>
      <c r="AU308" s="87"/>
      <c r="AV308" s="87"/>
      <c r="AW308" s="105"/>
      <c r="AX308" s="87"/>
      <c r="AY308" s="87"/>
      <c r="AZ308" s="87"/>
      <c r="BA308" s="87"/>
      <c r="BB308" s="87"/>
      <c r="BC308" s="87"/>
      <c r="BD308" s="87"/>
      <c r="BE308" s="87"/>
      <c r="BF308" s="87"/>
      <c r="BG308" s="87"/>
      <c r="BH308" s="87"/>
      <c r="BI308" s="87"/>
      <c r="BJ308" s="87"/>
      <c r="BK308" s="87"/>
      <c r="BL308" s="87"/>
      <c r="BM308" s="87"/>
      <c r="BN308" s="87"/>
      <c r="BO308" s="87"/>
      <c r="BP308" s="87"/>
      <c r="BQ308" s="87"/>
      <c r="BR308" s="87"/>
      <c r="BS308" s="87"/>
      <c r="BT308" s="87"/>
      <c r="BU308" s="87">
        <f>-C308*0.75</f>
        <v>-17.099999999999998</v>
      </c>
      <c r="BV308" s="87">
        <f t="shared" ref="BV308:BV316" si="14">-BU308</f>
        <v>17.099999999999998</v>
      </c>
      <c r="BW308" s="87"/>
      <c r="BX308" s="87"/>
      <c r="BY308" s="87"/>
      <c r="BZ308" s="87"/>
      <c r="CA308" s="87"/>
      <c r="CB308" s="87"/>
      <c r="CC308" s="87"/>
      <c r="CD308" s="87"/>
      <c r="CE308" s="87"/>
      <c r="CF308" s="87"/>
      <c r="CG308" s="87"/>
      <c r="CH308" s="87"/>
      <c r="CI308" s="87"/>
      <c r="CJ308" s="87"/>
      <c r="CK308" s="87"/>
      <c r="CL308" s="87"/>
      <c r="CM308" s="87"/>
      <c r="CN308" s="87"/>
      <c r="CO308" s="87"/>
      <c r="CP308" s="87"/>
      <c r="CQ308" s="87"/>
      <c r="CR308" s="87"/>
      <c r="CS308" s="87"/>
      <c r="CT308" s="87"/>
      <c r="CU308" s="87"/>
      <c r="CV308" s="87"/>
      <c r="CW308" s="87"/>
      <c r="CX308" s="87"/>
      <c r="CY308" s="87"/>
      <c r="CZ308" s="87"/>
      <c r="DA308" s="87"/>
      <c r="DB308" s="87"/>
      <c r="DC308" s="87"/>
      <c r="DD308" s="87"/>
      <c r="DE308" s="87"/>
      <c r="DF308" s="87"/>
      <c r="DG308" s="87"/>
      <c r="DH308" s="87"/>
      <c r="DI308" s="87"/>
      <c r="DJ308" s="87"/>
      <c r="DK308" s="87"/>
      <c r="DL308" s="87"/>
      <c r="DM308" s="87"/>
      <c r="DN308" s="87"/>
      <c r="DO308" s="87"/>
      <c r="DP308" s="87"/>
      <c r="DQ308" s="87"/>
      <c r="DR308" s="87"/>
      <c r="DS308" s="87"/>
      <c r="DT308" s="87"/>
      <c r="DU308" s="87"/>
      <c r="DV308" s="87"/>
      <c r="DW308" s="87"/>
      <c r="DX308" s="87"/>
      <c r="DY308" s="87"/>
      <c r="DZ308" s="87"/>
      <c r="EA308" s="87"/>
      <c r="EB308" s="87"/>
      <c r="EC308" s="87"/>
      <c r="ED308" s="87"/>
      <c r="EE308" s="87"/>
      <c r="EF308" s="87"/>
      <c r="EG308" s="87"/>
      <c r="EH308" s="87"/>
      <c r="EI308" s="87"/>
    </row>
    <row r="309" spans="1:139" ht="16.5" hidden="1" thickBot="1" x14ac:dyDescent="0.35">
      <c r="A309" s="222" t="s">
        <v>322</v>
      </c>
      <c r="B309" s="191">
        <v>3</v>
      </c>
      <c r="C309" s="177">
        <f>44*0.1</f>
        <v>4.4000000000000004</v>
      </c>
      <c r="D309" s="217">
        <f>C309/VLOOKUP(B309,'[2]Gas Prod per PADD'!$A$1:$C$6,2,FALSE)</f>
        <v>9.5652173913043481E-4</v>
      </c>
      <c r="E309" s="178">
        <v>45564</v>
      </c>
      <c r="F309" s="252">
        <v>45568</v>
      </c>
      <c r="G309" s="180" t="s">
        <v>323</v>
      </c>
      <c r="H309" s="181" t="s">
        <v>543</v>
      </c>
      <c r="I309" s="84"/>
      <c r="J309" s="85"/>
      <c r="K309" s="85"/>
      <c r="L309" s="85"/>
      <c r="M309" s="85"/>
      <c r="N309" s="85"/>
      <c r="O309" s="85"/>
      <c r="P309" s="85"/>
      <c r="Q309" s="85"/>
      <c r="R309" s="85"/>
      <c r="S309" s="85"/>
      <c r="T309" s="85"/>
      <c r="U309" s="85"/>
      <c r="V309" s="84"/>
      <c r="W309" s="84"/>
      <c r="X309" s="84" t="str">
        <f t="shared" si="13"/>
        <v>OK</v>
      </c>
      <c r="Y309" s="105"/>
      <c r="Z309" s="105"/>
      <c r="AA309" s="87"/>
      <c r="AB309" s="87"/>
      <c r="AC309" s="87"/>
      <c r="AD309" s="87"/>
      <c r="AE309" s="105"/>
      <c r="AF309" s="105"/>
      <c r="AG309" s="105"/>
      <c r="AH309" s="105"/>
      <c r="AI309" s="87"/>
      <c r="AJ309" s="87"/>
      <c r="AK309" s="105"/>
      <c r="AL309" s="87"/>
      <c r="AM309" s="105"/>
      <c r="AN309" s="105"/>
      <c r="AO309" s="87"/>
      <c r="AP309" s="87"/>
      <c r="AQ309" s="105"/>
      <c r="AR309" s="105"/>
      <c r="AS309" s="87"/>
      <c r="AT309" s="105"/>
      <c r="AU309" s="105"/>
      <c r="AV309" s="87"/>
      <c r="AW309" s="105"/>
      <c r="AX309" s="105"/>
      <c r="AY309" s="87"/>
      <c r="AZ309" s="105"/>
      <c r="BA309" s="105"/>
      <c r="BB309" s="105"/>
      <c r="BC309" s="87"/>
      <c r="BD309" s="87"/>
      <c r="BE309" s="105"/>
      <c r="BF309" s="105"/>
      <c r="BG309" s="105"/>
      <c r="BH309" s="105"/>
      <c r="BI309" s="105"/>
      <c r="BJ309" s="87"/>
      <c r="BK309" s="87"/>
      <c r="BL309" s="87"/>
      <c r="BM309" s="87"/>
      <c r="BN309" s="87"/>
      <c r="BO309" s="105"/>
      <c r="BP309" s="105"/>
      <c r="BQ309" s="105"/>
      <c r="BR309" s="87"/>
      <c r="BS309" s="87"/>
      <c r="BT309" s="87"/>
      <c r="BU309" s="87">
        <f>-5/7*C309</f>
        <v>-3.1428571428571432</v>
      </c>
      <c r="BV309" s="87">
        <f t="shared" si="14"/>
        <v>3.1428571428571432</v>
      </c>
      <c r="BW309" s="87"/>
      <c r="BX309" s="87"/>
      <c r="BY309" s="87"/>
      <c r="BZ309" s="87"/>
      <c r="CA309" s="87"/>
      <c r="CB309" s="87"/>
      <c r="CC309" s="87"/>
      <c r="CD309" s="87"/>
      <c r="CE309" s="87"/>
      <c r="CF309" s="87"/>
      <c r="CG309" s="87"/>
      <c r="CH309" s="87"/>
      <c r="CI309" s="87"/>
      <c r="CJ309" s="87"/>
      <c r="CK309" s="87"/>
      <c r="CL309" s="87"/>
      <c r="CM309" s="87"/>
      <c r="CN309" s="87"/>
      <c r="CO309" s="87"/>
      <c r="CP309" s="87"/>
      <c r="CQ309" s="87"/>
      <c r="CR309" s="87"/>
      <c r="CS309" s="87"/>
      <c r="CT309" s="87"/>
      <c r="CU309" s="87"/>
      <c r="CV309" s="87"/>
      <c r="CW309" s="87"/>
      <c r="CX309" s="87"/>
      <c r="CY309" s="87"/>
      <c r="CZ309" s="87"/>
      <c r="DA309" s="87"/>
      <c r="DB309" s="87"/>
      <c r="DC309" s="87"/>
      <c r="DD309" s="87"/>
      <c r="DE309" s="87"/>
      <c r="DF309" s="87"/>
      <c r="DG309" s="87"/>
      <c r="DH309" s="87"/>
      <c r="DI309" s="87"/>
      <c r="DJ309" s="87"/>
      <c r="DK309" s="87"/>
      <c r="DL309" s="87"/>
      <c r="DM309" s="87"/>
      <c r="DN309" s="87"/>
      <c r="DO309" s="87"/>
      <c r="DP309" s="87"/>
      <c r="DQ309" s="87"/>
      <c r="DR309" s="87"/>
      <c r="DS309" s="87"/>
      <c r="DT309" s="87"/>
      <c r="DU309" s="87"/>
      <c r="DV309" s="87"/>
      <c r="DW309" s="87"/>
      <c r="DX309" s="87"/>
      <c r="DY309" s="87"/>
      <c r="DZ309" s="87"/>
      <c r="EA309" s="87"/>
      <c r="EB309" s="87"/>
      <c r="EC309" s="87"/>
      <c r="ED309" s="87"/>
      <c r="EE309" s="87"/>
      <c r="EF309" s="87"/>
      <c r="EG309" s="87"/>
      <c r="EH309" s="87"/>
      <c r="EI309" s="87"/>
    </row>
    <row r="310" spans="1:139" ht="29.25" hidden="1" thickBot="1" x14ac:dyDescent="0.35">
      <c r="A310" s="161" t="s">
        <v>231</v>
      </c>
      <c r="B310" s="176">
        <v>2</v>
      </c>
      <c r="C310" s="177">
        <f>90*0.65</f>
        <v>58.5</v>
      </c>
      <c r="D310" s="217">
        <f>C310/VLOOKUP(B310,'[2]Gas Prod per PADD'!$A$1:$C$6,2,FALSE)</f>
        <v>2.4375000000000001E-2</v>
      </c>
      <c r="E310" s="196">
        <v>45565</v>
      </c>
      <c r="F310" s="197">
        <v>45568</v>
      </c>
      <c r="G310" s="180" t="s">
        <v>619</v>
      </c>
      <c r="H310" s="181" t="s">
        <v>620</v>
      </c>
      <c r="I310" s="84"/>
      <c r="J310" s="85"/>
      <c r="K310" s="85"/>
      <c r="L310" s="85"/>
      <c r="M310" s="85"/>
      <c r="N310" s="85"/>
      <c r="O310" s="85"/>
      <c r="P310" s="85"/>
      <c r="Q310" s="85"/>
      <c r="R310" s="85"/>
      <c r="S310" s="85"/>
      <c r="T310" s="85"/>
      <c r="U310" s="85"/>
      <c r="V310" s="84"/>
      <c r="W310" s="84"/>
      <c r="X310" s="84" t="str">
        <f t="shared" si="13"/>
        <v>OK</v>
      </c>
      <c r="Y310" s="105"/>
      <c r="Z310" s="105"/>
      <c r="AA310" s="87"/>
      <c r="AB310" s="87"/>
      <c r="AC310" s="87"/>
      <c r="AD310" s="87"/>
      <c r="AE310" s="105"/>
      <c r="AF310" s="105"/>
      <c r="AG310" s="105"/>
      <c r="AH310" s="105"/>
      <c r="AI310" s="87"/>
      <c r="AJ310" s="87"/>
      <c r="AK310" s="105"/>
      <c r="AL310" s="87"/>
      <c r="AM310" s="105"/>
      <c r="AN310" s="105"/>
      <c r="AO310" s="87"/>
      <c r="AP310" s="87"/>
      <c r="AQ310" s="105"/>
      <c r="AR310" s="105"/>
      <c r="AS310" s="87"/>
      <c r="AT310" s="105"/>
      <c r="AU310" s="105"/>
      <c r="AV310" s="87"/>
      <c r="AW310" s="105"/>
      <c r="AX310" s="105"/>
      <c r="AY310" s="105"/>
      <c r="AZ310" s="105"/>
      <c r="BA310" s="105"/>
      <c r="BB310" s="105"/>
      <c r="BC310" s="87"/>
      <c r="BD310" s="87"/>
      <c r="BE310" s="87"/>
      <c r="BF310" s="105"/>
      <c r="BG310" s="105"/>
      <c r="BH310" s="105"/>
      <c r="BI310" s="105"/>
      <c r="BJ310" s="87"/>
      <c r="BK310" s="87"/>
      <c r="BL310" s="87"/>
      <c r="BM310" s="87"/>
      <c r="BN310" s="87"/>
      <c r="BO310" s="87"/>
      <c r="BP310" s="87"/>
      <c r="BQ310" s="87"/>
      <c r="BR310" s="87"/>
      <c r="BS310" s="87"/>
      <c r="BT310" s="87"/>
      <c r="BU310" s="87">
        <f>-3*C310/7</f>
        <v>-25.071428571428573</v>
      </c>
      <c r="BV310" s="87">
        <f t="shared" si="14"/>
        <v>25.071428571428573</v>
      </c>
      <c r="BW310" s="87"/>
      <c r="BX310" s="87"/>
      <c r="BY310" s="87"/>
      <c r="BZ310" s="87"/>
      <c r="CA310" s="87"/>
      <c r="CB310" s="87"/>
      <c r="CC310" s="87"/>
      <c r="CD310" s="87"/>
      <c r="CE310" s="87"/>
      <c r="CF310" s="87"/>
      <c r="CG310" s="87"/>
      <c r="CH310" s="87"/>
      <c r="CI310" s="87"/>
      <c r="CJ310" s="87"/>
      <c r="CK310" s="87"/>
      <c r="CL310" s="87"/>
      <c r="CM310" s="87"/>
      <c r="CN310" s="87"/>
      <c r="CO310" s="87"/>
      <c r="CP310" s="87"/>
      <c r="CQ310" s="87"/>
      <c r="CR310" s="87"/>
      <c r="CS310" s="87"/>
      <c r="CT310" s="87"/>
      <c r="CU310" s="87"/>
      <c r="CV310" s="87"/>
      <c r="CW310" s="87"/>
      <c r="CX310" s="87"/>
      <c r="CY310" s="87"/>
      <c r="CZ310" s="87"/>
      <c r="DA310" s="87"/>
      <c r="DB310" s="87"/>
      <c r="DC310" s="87"/>
      <c r="DD310" s="87"/>
      <c r="DE310" s="87"/>
      <c r="DF310" s="87"/>
      <c r="DG310" s="87"/>
      <c r="DH310" s="87"/>
      <c r="DI310" s="87"/>
      <c r="DJ310" s="87"/>
      <c r="DK310" s="87"/>
      <c r="DL310" s="87"/>
      <c r="DM310" s="87"/>
      <c r="DN310" s="87"/>
      <c r="DO310" s="87"/>
      <c r="DP310" s="87"/>
      <c r="DQ310" s="87"/>
      <c r="DR310" s="87"/>
      <c r="DS310" s="87"/>
      <c r="DT310" s="87"/>
      <c r="DU310" s="87"/>
      <c r="DV310" s="87"/>
      <c r="DW310" s="87"/>
      <c r="DX310" s="87"/>
      <c r="DY310" s="87"/>
      <c r="DZ310" s="87"/>
      <c r="EA310" s="87"/>
      <c r="EB310" s="87"/>
      <c r="EC310" s="87"/>
      <c r="ED310" s="87"/>
      <c r="EE310" s="87"/>
      <c r="EF310" s="87"/>
      <c r="EG310" s="87"/>
      <c r="EH310" s="87"/>
      <c r="EI310" s="87"/>
    </row>
    <row r="311" spans="1:139" ht="16.5" hidden="1" thickBot="1" x14ac:dyDescent="0.35">
      <c r="A311" s="218" t="s">
        <v>231</v>
      </c>
      <c r="B311" s="194">
        <v>2</v>
      </c>
      <c r="C311" s="177">
        <f>40*0.1</f>
        <v>4</v>
      </c>
      <c r="D311" s="217">
        <f>C311/VLOOKUP(B311,'[2]Gas Prod per PADD'!$A$1:$C$6,2,FALSE)</f>
        <v>1.6666666666666668E-3</v>
      </c>
      <c r="E311" s="178">
        <v>45565</v>
      </c>
      <c r="F311" s="252">
        <v>45568</v>
      </c>
      <c r="G311" s="180" t="s">
        <v>621</v>
      </c>
      <c r="H311" s="181"/>
      <c r="I311" s="84"/>
      <c r="J311" s="85"/>
      <c r="K311" s="85"/>
      <c r="L311" s="85"/>
      <c r="M311" s="85"/>
      <c r="N311" s="85"/>
      <c r="O311" s="85"/>
      <c r="P311" s="85"/>
      <c r="Q311" s="85"/>
      <c r="R311" s="85"/>
      <c r="S311" s="85"/>
      <c r="T311" s="85"/>
      <c r="U311" s="85"/>
      <c r="V311" s="84"/>
      <c r="W311" s="84"/>
      <c r="X311" s="84" t="str">
        <f t="shared" si="13"/>
        <v>OK</v>
      </c>
      <c r="Y311" s="105"/>
      <c r="Z311" s="105"/>
      <c r="AA311" s="87"/>
      <c r="AB311" s="87"/>
      <c r="AC311" s="87"/>
      <c r="AD311" s="87"/>
      <c r="AE311" s="105"/>
      <c r="AF311" s="105"/>
      <c r="AG311" s="105"/>
      <c r="AH311" s="105"/>
      <c r="AI311" s="87"/>
      <c r="AJ311" s="87"/>
      <c r="AK311" s="105"/>
      <c r="AL311" s="87"/>
      <c r="AM311" s="105"/>
      <c r="AN311" s="105"/>
      <c r="AO311" s="87"/>
      <c r="AP311" s="87"/>
      <c r="AQ311" s="105"/>
      <c r="AR311" s="105"/>
      <c r="AS311" s="87"/>
      <c r="AT311" s="105"/>
      <c r="AU311" s="105"/>
      <c r="AV311" s="87"/>
      <c r="AW311" s="105"/>
      <c r="AX311" s="105"/>
      <c r="AY311" s="87"/>
      <c r="AZ311" s="105"/>
      <c r="BA311" s="105"/>
      <c r="BB311" s="105"/>
      <c r="BC311" s="87"/>
      <c r="BD311" s="87"/>
      <c r="BE311" s="105"/>
      <c r="BF311" s="105"/>
      <c r="BG311" s="105"/>
      <c r="BH311" s="105"/>
      <c r="BI311" s="105"/>
      <c r="BJ311" s="87"/>
      <c r="BK311" s="87"/>
      <c r="BL311" s="87"/>
      <c r="BM311" s="87"/>
      <c r="BN311" s="87"/>
      <c r="BO311" s="105"/>
      <c r="BP311" s="105"/>
      <c r="BQ311" s="105"/>
      <c r="BR311" s="105"/>
      <c r="BS311" s="87"/>
      <c r="BT311" s="87"/>
      <c r="BU311" s="87">
        <f>-3/7*C311</f>
        <v>-1.7142857142857142</v>
      </c>
      <c r="BV311" s="87">
        <f t="shared" si="14"/>
        <v>1.7142857142857142</v>
      </c>
      <c r="BW311" s="87"/>
      <c r="BX311" s="87"/>
      <c r="BY311" s="87"/>
      <c r="BZ311" s="87"/>
      <c r="CA311" s="87"/>
      <c r="CB311" s="87"/>
      <c r="CC311" s="87"/>
      <c r="CD311" s="87"/>
      <c r="CE311" s="87"/>
      <c r="CF311" s="87"/>
      <c r="CG311" s="87"/>
      <c r="CH311" s="87"/>
      <c r="CI311" s="87"/>
      <c r="CJ311" s="87"/>
      <c r="CK311" s="87"/>
      <c r="CL311" s="87"/>
      <c r="CM311" s="87"/>
      <c r="CN311" s="87"/>
      <c r="CO311" s="87"/>
      <c r="CP311" s="87"/>
      <c r="CQ311" s="87"/>
      <c r="CR311" s="87"/>
      <c r="CS311" s="87"/>
      <c r="CT311" s="87"/>
      <c r="CU311" s="87"/>
      <c r="CV311" s="87"/>
      <c r="CW311" s="87"/>
      <c r="CX311" s="87"/>
      <c r="CY311" s="87"/>
      <c r="CZ311" s="87"/>
      <c r="DA311" s="87"/>
      <c r="DB311" s="87"/>
      <c r="DC311" s="87"/>
      <c r="DD311" s="87"/>
      <c r="DE311" s="87"/>
      <c r="DF311" s="87"/>
      <c r="DG311" s="87"/>
      <c r="DH311" s="87"/>
      <c r="DI311" s="87"/>
      <c r="DJ311" s="87"/>
      <c r="DK311" s="87"/>
      <c r="DL311" s="87"/>
      <c r="DM311" s="87"/>
      <c r="DN311" s="87"/>
      <c r="DO311" s="87"/>
      <c r="DP311" s="87"/>
      <c r="DQ311" s="87"/>
      <c r="DR311" s="87"/>
      <c r="DS311" s="87"/>
      <c r="DT311" s="87"/>
      <c r="DU311" s="87"/>
      <c r="DV311" s="87"/>
      <c r="DW311" s="87"/>
      <c r="DX311" s="87"/>
      <c r="DY311" s="87"/>
      <c r="DZ311" s="87"/>
      <c r="EA311" s="87"/>
      <c r="EB311" s="87"/>
      <c r="EC311" s="87"/>
      <c r="ED311" s="87"/>
      <c r="EE311" s="87"/>
      <c r="EF311" s="87"/>
      <c r="EG311" s="87"/>
      <c r="EH311" s="87"/>
      <c r="EI311" s="87"/>
    </row>
    <row r="312" spans="1:139" ht="16.5" hidden="1" thickBot="1" x14ac:dyDescent="0.35">
      <c r="A312" s="113" t="s">
        <v>384</v>
      </c>
      <c r="B312" s="194">
        <v>2</v>
      </c>
      <c r="C312" s="195">
        <f>12*0.3</f>
        <v>3.5999999999999996</v>
      </c>
      <c r="D312" s="217">
        <f>C312/VLOOKUP(B312,'[2]Gas Prod per PADD'!$A$1:$C$6,2,FALSE)</f>
        <v>1.4999999999999998E-3</v>
      </c>
      <c r="E312" s="196">
        <v>45565</v>
      </c>
      <c r="F312" s="281">
        <v>45569</v>
      </c>
      <c r="G312" s="194" t="s">
        <v>218</v>
      </c>
      <c r="H312" s="198" t="s">
        <v>543</v>
      </c>
      <c r="I312" s="84"/>
      <c r="J312" s="85"/>
      <c r="K312" s="85"/>
      <c r="L312" s="85"/>
      <c r="M312" s="85"/>
      <c r="N312" s="85"/>
      <c r="O312" s="85"/>
      <c r="P312" s="85"/>
      <c r="Q312" s="85"/>
      <c r="R312" s="85"/>
      <c r="S312" s="85"/>
      <c r="T312" s="85"/>
      <c r="U312" s="85"/>
      <c r="V312" s="84"/>
      <c r="W312" s="84"/>
      <c r="X312" s="84" t="str">
        <f t="shared" si="13"/>
        <v>OK</v>
      </c>
      <c r="Y312" s="87"/>
      <c r="Z312" s="87"/>
      <c r="AA312" s="87"/>
      <c r="AB312" s="87"/>
      <c r="AC312" s="87"/>
      <c r="AD312" s="87"/>
      <c r="AE312" s="87"/>
      <c r="AF312" s="87"/>
      <c r="AG312" s="87"/>
      <c r="AH312" s="87"/>
      <c r="AI312" s="87"/>
      <c r="AJ312" s="87"/>
      <c r="AK312" s="87"/>
      <c r="AL312" s="87"/>
      <c r="AM312" s="87"/>
      <c r="AN312" s="87"/>
      <c r="AO312" s="87"/>
      <c r="AP312" s="87"/>
      <c r="AQ312" s="87"/>
      <c r="AR312" s="87"/>
      <c r="AS312" s="87"/>
      <c r="AT312" s="87"/>
      <c r="AU312" s="87"/>
      <c r="AV312" s="87"/>
      <c r="AW312" s="87"/>
      <c r="AX312" s="87"/>
      <c r="AY312" s="87"/>
      <c r="AZ312" s="87"/>
      <c r="BA312" s="87"/>
      <c r="BB312" s="87"/>
      <c r="BC312" s="87"/>
      <c r="BD312" s="87"/>
      <c r="BE312" s="87"/>
      <c r="BF312" s="87"/>
      <c r="BG312" s="87"/>
      <c r="BH312" s="87"/>
      <c r="BI312" s="87"/>
      <c r="BJ312" s="87"/>
      <c r="BK312" s="87"/>
      <c r="BL312" s="87"/>
      <c r="BM312" s="87"/>
      <c r="BN312" s="87"/>
      <c r="BO312" s="87"/>
      <c r="BP312" s="87"/>
      <c r="BQ312" s="87"/>
      <c r="BR312" s="87"/>
      <c r="BS312" s="87"/>
      <c r="BT312" s="87"/>
      <c r="BU312" s="87">
        <f>-0.5*C312</f>
        <v>-1.7999999999999998</v>
      </c>
      <c r="BV312" s="87">
        <f t="shared" si="14"/>
        <v>1.7999999999999998</v>
      </c>
      <c r="BW312" s="87"/>
      <c r="BX312" s="87"/>
      <c r="BY312" s="87"/>
      <c r="BZ312" s="87"/>
      <c r="CA312" s="87"/>
      <c r="CB312" s="87"/>
      <c r="CC312" s="87"/>
      <c r="CD312" s="87"/>
      <c r="CE312" s="87"/>
      <c r="CF312" s="87"/>
      <c r="CG312" s="87"/>
      <c r="CH312" s="87"/>
      <c r="CI312" s="87"/>
      <c r="CJ312" s="87"/>
      <c r="CK312" s="87"/>
      <c r="CL312" s="87"/>
      <c r="CM312" s="87"/>
      <c r="CN312" s="87"/>
      <c r="CO312" s="87"/>
      <c r="CP312" s="87"/>
      <c r="CQ312" s="87"/>
      <c r="CR312" s="87"/>
      <c r="CS312" s="87"/>
      <c r="CT312" s="87"/>
      <c r="CU312" s="87"/>
      <c r="CV312" s="87"/>
      <c r="CW312" s="87"/>
      <c r="CX312" s="87"/>
      <c r="CY312" s="87"/>
      <c r="CZ312" s="87"/>
      <c r="DA312" s="87"/>
      <c r="DB312" s="87"/>
      <c r="DC312" s="87"/>
      <c r="DD312" s="87"/>
      <c r="DE312" s="87"/>
      <c r="DF312" s="87"/>
      <c r="DG312" s="87"/>
      <c r="DH312" s="87"/>
      <c r="DI312" s="87"/>
      <c r="DJ312" s="87"/>
      <c r="DK312" s="87"/>
      <c r="DL312" s="87"/>
      <c r="DM312" s="87"/>
      <c r="DN312" s="87"/>
      <c r="DO312" s="87"/>
      <c r="DP312" s="87"/>
      <c r="DQ312" s="87"/>
      <c r="DR312" s="87"/>
      <c r="DS312" s="87"/>
      <c r="DT312" s="87"/>
      <c r="DU312" s="87"/>
      <c r="DV312" s="87"/>
      <c r="DW312" s="87"/>
      <c r="DX312" s="87"/>
      <c r="DY312" s="87"/>
      <c r="DZ312" s="87"/>
      <c r="EA312" s="87"/>
      <c r="EB312" s="87"/>
      <c r="EC312" s="87"/>
      <c r="ED312" s="87"/>
      <c r="EE312" s="87"/>
      <c r="EF312" s="87"/>
      <c r="EG312" s="87"/>
      <c r="EH312" s="87"/>
      <c r="EI312" s="87"/>
    </row>
    <row r="313" spans="1:139" ht="16.5" hidden="1" thickBot="1" x14ac:dyDescent="0.35">
      <c r="A313" s="175" t="s">
        <v>207</v>
      </c>
      <c r="B313" s="176">
        <v>5</v>
      </c>
      <c r="C313" s="177">
        <f>0.65*40</f>
        <v>26</v>
      </c>
      <c r="D313" s="217">
        <f>C313/VLOOKUP(B313,'[2]Gas Prod per PADD'!$A$1:$C$6,2,FALSE)</f>
        <v>1.9259259259259261E-2</v>
      </c>
      <c r="E313" s="220">
        <v>45566</v>
      </c>
      <c r="F313" s="252">
        <v>45569</v>
      </c>
      <c r="G313" s="180" t="s">
        <v>622</v>
      </c>
      <c r="H313" s="181" t="s">
        <v>538</v>
      </c>
      <c r="I313" s="84"/>
      <c r="J313" s="85"/>
      <c r="K313" s="85"/>
      <c r="L313" s="85"/>
      <c r="M313" s="85"/>
      <c r="N313" s="85"/>
      <c r="O313" s="85"/>
      <c r="P313" s="85"/>
      <c r="Q313" s="85"/>
      <c r="R313" s="85"/>
      <c r="S313" s="85"/>
      <c r="T313" s="85"/>
      <c r="U313" s="85"/>
      <c r="V313" s="84"/>
      <c r="W313" s="84"/>
      <c r="X313" s="84" t="str">
        <f t="shared" si="13"/>
        <v>OK</v>
      </c>
      <c r="Y313" s="105"/>
      <c r="Z313" s="105"/>
      <c r="AA313" s="87"/>
      <c r="AB313" s="87"/>
      <c r="AC313" s="87"/>
      <c r="AD313" s="87"/>
      <c r="AE313" s="105"/>
      <c r="AF313" s="105"/>
      <c r="AG313" s="105"/>
      <c r="AH313" s="105"/>
      <c r="AI313" s="87"/>
      <c r="AJ313" s="87"/>
      <c r="AK313" s="105"/>
      <c r="AL313" s="87"/>
      <c r="AM313" s="105"/>
      <c r="AN313" s="105"/>
      <c r="AO313" s="87"/>
      <c r="AP313" s="87"/>
      <c r="AQ313" s="105"/>
      <c r="AR313" s="105"/>
      <c r="AS313" s="87"/>
      <c r="AT313" s="105"/>
      <c r="AU313" s="87"/>
      <c r="AV313" s="87"/>
      <c r="AW313" s="105"/>
      <c r="AX313" s="105"/>
      <c r="AY313" s="105"/>
      <c r="AZ313" s="105"/>
      <c r="BA313" s="87"/>
      <c r="BB313" s="87"/>
      <c r="BC313" s="87"/>
      <c r="BD313" s="87"/>
      <c r="BE313" s="87"/>
      <c r="BF313" s="87"/>
      <c r="BG313" s="105"/>
      <c r="BH313" s="105"/>
      <c r="BI313" s="105"/>
      <c r="BJ313" s="87"/>
      <c r="BK313" s="87"/>
      <c r="BL313" s="87"/>
      <c r="BM313" s="87"/>
      <c r="BN313" s="87"/>
      <c r="BO313" s="87"/>
      <c r="BP313" s="87"/>
      <c r="BQ313" s="87"/>
      <c r="BR313" s="87"/>
      <c r="BS313" s="87"/>
      <c r="BT313" s="87"/>
      <c r="BU313" s="87">
        <f>-C313/2</f>
        <v>-13</v>
      </c>
      <c r="BV313" s="87">
        <f t="shared" si="14"/>
        <v>13</v>
      </c>
      <c r="BW313" s="87"/>
      <c r="BX313" s="87"/>
      <c r="BY313" s="87"/>
      <c r="BZ313" s="87"/>
      <c r="CA313" s="87"/>
      <c r="CB313" s="87"/>
      <c r="CC313" s="87"/>
      <c r="CD313" s="87"/>
      <c r="CE313" s="87"/>
      <c r="CF313" s="87"/>
      <c r="CG313" s="87"/>
      <c r="CH313" s="87"/>
      <c r="CI313" s="87"/>
      <c r="CJ313" s="87"/>
      <c r="CK313" s="87"/>
      <c r="CL313" s="87"/>
      <c r="CM313" s="87"/>
      <c r="CN313" s="87"/>
      <c r="CO313" s="87"/>
      <c r="CP313" s="87"/>
      <c r="CQ313" s="87"/>
      <c r="CR313" s="87"/>
      <c r="CS313" s="87"/>
      <c r="CT313" s="87"/>
      <c r="CU313" s="87"/>
      <c r="CV313" s="87"/>
      <c r="CW313" s="87"/>
      <c r="CX313" s="87"/>
      <c r="CY313" s="87"/>
      <c r="CZ313" s="87"/>
      <c r="DA313" s="87"/>
      <c r="DB313" s="87"/>
      <c r="DC313" s="87"/>
      <c r="DD313" s="87"/>
      <c r="DE313" s="87"/>
      <c r="DF313" s="87"/>
      <c r="DG313" s="87"/>
      <c r="DH313" s="87"/>
      <c r="DI313" s="87"/>
      <c r="DJ313" s="87"/>
      <c r="DK313" s="87"/>
      <c r="DL313" s="87"/>
      <c r="DM313" s="87"/>
      <c r="DN313" s="87"/>
      <c r="DO313" s="87"/>
      <c r="DP313" s="87"/>
      <c r="DQ313" s="87"/>
      <c r="DR313" s="87"/>
      <c r="DS313" s="87"/>
      <c r="DT313" s="87"/>
      <c r="DU313" s="87"/>
      <c r="DV313" s="87"/>
      <c r="DW313" s="87"/>
      <c r="DX313" s="87"/>
      <c r="DY313" s="87"/>
      <c r="DZ313" s="87"/>
      <c r="EA313" s="87"/>
      <c r="EB313" s="87"/>
      <c r="EC313" s="87"/>
      <c r="ED313" s="87"/>
      <c r="EE313" s="87"/>
      <c r="EF313" s="87"/>
      <c r="EG313" s="75">
        <v>46017</v>
      </c>
      <c r="EH313" s="75">
        <v>46024</v>
      </c>
      <c r="EI313" s="75">
        <v>46031</v>
      </c>
    </row>
    <row r="314" spans="1:139" ht="29.25" hidden="1" thickBot="1" x14ac:dyDescent="0.35">
      <c r="A314" s="218" t="s">
        <v>231</v>
      </c>
      <c r="B314" s="194">
        <v>2</v>
      </c>
      <c r="C314" s="177">
        <f>40*0.3</f>
        <v>12</v>
      </c>
      <c r="D314" s="217">
        <f>C314/VLOOKUP(B314,'[2]Gas Prod per PADD'!$A$1:$C$6,2,FALSE)</f>
        <v>5.0000000000000001E-3</v>
      </c>
      <c r="E314" s="178">
        <v>45568</v>
      </c>
      <c r="F314" s="252">
        <v>45569</v>
      </c>
      <c r="G314" s="180" t="s">
        <v>623</v>
      </c>
      <c r="H314" s="181"/>
      <c r="I314" s="84"/>
      <c r="J314" s="85"/>
      <c r="K314" s="85"/>
      <c r="L314" s="85"/>
      <c r="M314" s="85"/>
      <c r="N314" s="85"/>
      <c r="O314" s="85"/>
      <c r="P314" s="85"/>
      <c r="Q314" s="85"/>
      <c r="R314" s="85"/>
      <c r="S314" s="85"/>
      <c r="T314" s="85"/>
      <c r="U314" s="85"/>
      <c r="V314" s="84"/>
      <c r="W314" s="84"/>
      <c r="X314" s="84" t="str">
        <f t="shared" si="13"/>
        <v>OK</v>
      </c>
      <c r="Y314" s="105"/>
      <c r="Z314" s="105"/>
      <c r="AA314" s="87"/>
      <c r="AB314" s="87"/>
      <c r="AC314" s="87"/>
      <c r="AD314" s="87"/>
      <c r="AE314" s="105"/>
      <c r="AF314" s="105"/>
      <c r="AG314" s="105"/>
      <c r="AH314" s="105"/>
      <c r="AI314" s="87"/>
      <c r="AJ314" s="87"/>
      <c r="AK314" s="105"/>
      <c r="AL314" s="87"/>
      <c r="AM314" s="105"/>
      <c r="AN314" s="105"/>
      <c r="AO314" s="87"/>
      <c r="AP314" s="87"/>
      <c r="AQ314" s="105"/>
      <c r="AR314" s="105"/>
      <c r="AS314" s="87"/>
      <c r="AT314" s="105"/>
      <c r="AU314" s="105"/>
      <c r="AV314" s="87"/>
      <c r="AW314" s="105"/>
      <c r="AX314" s="105"/>
      <c r="AY314" s="87"/>
      <c r="AZ314" s="105"/>
      <c r="BA314" s="105"/>
      <c r="BB314" s="105"/>
      <c r="BC314" s="87"/>
      <c r="BD314" s="87"/>
      <c r="BE314" s="105"/>
      <c r="BF314" s="105"/>
      <c r="BG314" s="105"/>
      <c r="BH314" s="105"/>
      <c r="BI314" s="105"/>
      <c r="BJ314" s="87"/>
      <c r="BK314" s="87"/>
      <c r="BL314" s="87"/>
      <c r="BM314" s="87"/>
      <c r="BN314" s="87"/>
      <c r="BO314" s="105"/>
      <c r="BP314" s="105"/>
      <c r="BQ314" s="105"/>
      <c r="BR314" s="105"/>
      <c r="BS314" s="87"/>
      <c r="BT314" s="87"/>
      <c r="BU314" s="87">
        <f>-1/7*C314</f>
        <v>-1.7142857142857142</v>
      </c>
      <c r="BV314" s="87">
        <f t="shared" si="14"/>
        <v>1.7142857142857142</v>
      </c>
      <c r="BW314" s="87"/>
      <c r="BX314" s="87"/>
      <c r="BY314" s="87"/>
      <c r="BZ314" s="87"/>
      <c r="CA314" s="87"/>
      <c r="CB314" s="87"/>
      <c r="CC314" s="87"/>
      <c r="CD314" s="87"/>
      <c r="CE314" s="87"/>
      <c r="CF314" s="87"/>
      <c r="CG314" s="87"/>
      <c r="CH314" s="87"/>
      <c r="CI314" s="87"/>
      <c r="CJ314" s="87"/>
      <c r="CK314" s="87"/>
      <c r="CL314" s="87"/>
      <c r="CM314" s="87"/>
      <c r="CN314" s="87"/>
      <c r="CO314" s="87"/>
      <c r="CP314" s="87"/>
      <c r="CQ314" s="87"/>
      <c r="CR314" s="87"/>
      <c r="CS314" s="87"/>
      <c r="CT314" s="87"/>
      <c r="CU314" s="87"/>
      <c r="CV314" s="87"/>
      <c r="CW314" s="87"/>
      <c r="CX314" s="87"/>
      <c r="CY314" s="87"/>
      <c r="CZ314" s="87"/>
      <c r="DA314" s="87"/>
      <c r="DB314" s="87"/>
      <c r="DC314" s="87"/>
      <c r="DD314" s="87"/>
      <c r="DE314" s="87"/>
      <c r="DF314" s="87"/>
      <c r="DG314" s="87"/>
      <c r="DH314" s="87"/>
      <c r="DI314" s="87"/>
      <c r="DJ314" s="87"/>
      <c r="DK314" s="87"/>
      <c r="DL314" s="87"/>
      <c r="DM314" s="87"/>
      <c r="DN314" s="87"/>
      <c r="DO314" s="87"/>
      <c r="DP314" s="87"/>
      <c r="DQ314" s="87"/>
      <c r="DR314" s="87"/>
      <c r="DS314" s="87"/>
      <c r="DT314" s="87"/>
      <c r="DU314" s="87"/>
      <c r="DV314" s="87"/>
      <c r="DW314" s="87"/>
      <c r="DX314" s="87"/>
      <c r="DY314" s="87"/>
      <c r="DZ314" s="87"/>
      <c r="EA314" s="87"/>
      <c r="EB314" s="87"/>
      <c r="EC314" s="87"/>
      <c r="ED314" s="87"/>
      <c r="EE314" s="87"/>
      <c r="EF314" s="87"/>
      <c r="EG314" s="87"/>
      <c r="EH314" s="87"/>
      <c r="EI314" s="87"/>
    </row>
    <row r="315" spans="1:139" ht="16.5" hidden="1" thickBot="1" x14ac:dyDescent="0.35">
      <c r="A315" s="200" t="s">
        <v>123</v>
      </c>
      <c r="B315" s="223">
        <v>1</v>
      </c>
      <c r="C315" s="224">
        <v>34.450000000000003</v>
      </c>
      <c r="D315" s="217">
        <f>C315/VLOOKUP(B315,'[2]Gas Prod per PADD'!$A$1:$C$6,2,FALSE)</f>
        <v>7.1770833333333339E-2</v>
      </c>
      <c r="E315" s="225">
        <v>45568</v>
      </c>
      <c r="F315" s="276">
        <v>45569</v>
      </c>
      <c r="G315" s="180" t="s">
        <v>500</v>
      </c>
      <c r="H315" s="221" t="s">
        <v>543</v>
      </c>
      <c r="I315" s="84"/>
      <c r="J315" s="85"/>
      <c r="K315" s="85"/>
      <c r="L315" s="85"/>
      <c r="M315" s="85"/>
      <c r="N315" s="85"/>
      <c r="O315" s="85"/>
      <c r="P315" s="85"/>
      <c r="Q315" s="85"/>
      <c r="R315" s="85"/>
      <c r="S315" s="85"/>
      <c r="T315" s="85"/>
      <c r="U315" s="85"/>
      <c r="V315" s="84"/>
      <c r="W315" s="84"/>
      <c r="X315" s="84" t="str">
        <f t="shared" si="13"/>
        <v>OK</v>
      </c>
      <c r="Y315" s="87"/>
      <c r="Z315" s="87"/>
      <c r="AA315" s="87"/>
      <c r="AB315" s="87"/>
      <c r="AC315" s="87"/>
      <c r="AD315" s="87"/>
      <c r="AE315" s="87"/>
      <c r="AF315" s="87"/>
      <c r="AG315" s="87"/>
      <c r="AH315" s="87">
        <v>-4.9214285714285717</v>
      </c>
      <c r="AI315" s="87">
        <v>-29.528571428571428</v>
      </c>
      <c r="AJ315" s="87"/>
      <c r="AK315" s="87"/>
      <c r="AL315" s="87"/>
      <c r="AM315" s="87"/>
      <c r="AN315" s="87"/>
      <c r="AO315" s="87">
        <v>29.528571428571428</v>
      </c>
      <c r="AP315" s="87">
        <v>4.9214285714285717</v>
      </c>
      <c r="AQ315" s="87"/>
      <c r="AR315" s="87"/>
      <c r="AS315" s="87"/>
      <c r="AT315" s="87"/>
      <c r="AU315" s="87"/>
      <c r="AV315" s="87"/>
      <c r="AW315" s="87"/>
      <c r="AX315" s="87"/>
      <c r="AY315" s="87"/>
      <c r="AZ315" s="87"/>
      <c r="BA315" s="87"/>
      <c r="BB315" s="87"/>
      <c r="BC315" s="87"/>
      <c r="BD315" s="87"/>
      <c r="BE315" s="87"/>
      <c r="BF315" s="87"/>
      <c r="BG315" s="87"/>
      <c r="BH315" s="87"/>
      <c r="BI315" s="87"/>
      <c r="BJ315" s="87"/>
      <c r="BK315" s="87"/>
      <c r="BL315" s="87"/>
      <c r="BM315" s="87"/>
      <c r="BN315" s="87"/>
      <c r="BO315" s="87"/>
      <c r="BP315" s="87"/>
      <c r="BQ315" s="87"/>
      <c r="BR315" s="87"/>
      <c r="BS315" s="87"/>
      <c r="BT315" s="87"/>
      <c r="BU315" s="87">
        <f>-2/7*C315</f>
        <v>-9.8428571428571434</v>
      </c>
      <c r="BV315" s="87">
        <f t="shared" si="14"/>
        <v>9.8428571428571434</v>
      </c>
      <c r="BW315" s="87"/>
      <c r="BX315" s="87"/>
      <c r="BY315" s="87"/>
      <c r="BZ315" s="87"/>
      <c r="CA315" s="87"/>
      <c r="CB315" s="87"/>
      <c r="CC315" s="87"/>
      <c r="CD315" s="87"/>
      <c r="CE315" s="87"/>
      <c r="CF315" s="87"/>
      <c r="CG315" s="87"/>
      <c r="CH315" s="87"/>
      <c r="CI315" s="87"/>
      <c r="CJ315" s="87"/>
      <c r="CK315" s="87"/>
      <c r="CL315" s="87"/>
      <c r="CM315" s="87"/>
      <c r="CN315" s="87"/>
      <c r="CO315" s="87"/>
      <c r="CP315" s="87"/>
      <c r="CQ315" s="87"/>
      <c r="CR315" s="87"/>
      <c r="CS315" s="87"/>
      <c r="CT315" s="87"/>
      <c r="CU315" s="87"/>
      <c r="CV315" s="87"/>
      <c r="CW315" s="87"/>
      <c r="CX315" s="87"/>
      <c r="CY315" s="87"/>
      <c r="CZ315" s="87"/>
      <c r="DA315" s="87"/>
      <c r="DB315" s="87"/>
      <c r="DC315" s="87"/>
      <c r="DD315" s="87"/>
      <c r="DE315" s="87"/>
      <c r="DF315" s="87"/>
      <c r="DG315" s="87"/>
      <c r="DH315" s="87"/>
      <c r="DI315" s="87"/>
      <c r="DJ315" s="87"/>
      <c r="DK315" s="87"/>
      <c r="DL315" s="87"/>
      <c r="DM315" s="87"/>
      <c r="DN315" s="87"/>
      <c r="DO315" s="87"/>
      <c r="DP315" s="87"/>
      <c r="DQ315" s="87"/>
      <c r="DR315" s="87"/>
      <c r="DS315" s="87"/>
      <c r="DT315" s="87"/>
      <c r="DU315" s="87"/>
      <c r="DV315" s="87"/>
      <c r="DW315" s="87"/>
      <c r="DX315" s="87"/>
      <c r="DY315" s="87"/>
      <c r="DZ315" s="87"/>
      <c r="EA315" s="87"/>
      <c r="EB315" s="87"/>
      <c r="EC315" s="87"/>
      <c r="ED315" s="87"/>
      <c r="EE315" s="87"/>
      <c r="EF315" s="87"/>
      <c r="EG315" s="87"/>
      <c r="EH315" s="87"/>
      <c r="EI315" s="87"/>
    </row>
    <row r="316" spans="1:139" ht="16.5" hidden="1" thickBot="1" x14ac:dyDescent="0.35">
      <c r="A316" s="113" t="s">
        <v>519</v>
      </c>
      <c r="B316" s="194">
        <v>2</v>
      </c>
      <c r="C316" s="280">
        <f>24*0.3</f>
        <v>7.1999999999999993</v>
      </c>
      <c r="D316" s="217">
        <f>C316/VLOOKUP(B316,'[2]Gas Prod per PADD'!$A$1:$C$6,2,FALSE)</f>
        <v>2.9999999999999996E-3</v>
      </c>
      <c r="E316" s="196">
        <v>45568</v>
      </c>
      <c r="F316" s="281">
        <v>45569</v>
      </c>
      <c r="G316" s="194" t="s">
        <v>218</v>
      </c>
      <c r="H316" s="198" t="s">
        <v>615</v>
      </c>
      <c r="I316" s="84"/>
      <c r="J316" s="85"/>
      <c r="K316" s="85"/>
      <c r="L316" s="85"/>
      <c r="M316" s="85"/>
      <c r="N316" s="85"/>
      <c r="O316" s="85"/>
      <c r="P316" s="85"/>
      <c r="Q316" s="85"/>
      <c r="R316" s="85"/>
      <c r="S316" s="85"/>
      <c r="T316" s="85"/>
      <c r="U316" s="85"/>
      <c r="V316" s="84"/>
      <c r="W316" s="84"/>
      <c r="X316" s="84" t="str">
        <f t="shared" si="13"/>
        <v>OK</v>
      </c>
      <c r="Y316" s="87"/>
      <c r="Z316" s="87"/>
      <c r="AA316" s="87"/>
      <c r="AB316" s="87"/>
      <c r="AC316" s="87"/>
      <c r="AD316" s="87"/>
      <c r="AE316" s="87"/>
      <c r="AF316" s="87"/>
      <c r="AG316" s="87"/>
      <c r="AH316" s="87">
        <v>-3.0857142857142854</v>
      </c>
      <c r="AI316" s="87">
        <v>3.0857142857142854</v>
      </c>
      <c r="AJ316" s="87"/>
      <c r="AK316" s="87"/>
      <c r="AL316" s="87"/>
      <c r="AM316" s="87"/>
      <c r="AN316" s="87"/>
      <c r="AO316" s="87"/>
      <c r="AP316" s="87"/>
      <c r="AQ316" s="87"/>
      <c r="AR316" s="87"/>
      <c r="AS316" s="87"/>
      <c r="AT316" s="87"/>
      <c r="AU316" s="87"/>
      <c r="AV316" s="87"/>
      <c r="AW316" s="87"/>
      <c r="AX316" s="87"/>
      <c r="AY316" s="87"/>
      <c r="AZ316" s="87"/>
      <c r="BA316" s="87"/>
      <c r="BB316" s="87"/>
      <c r="BC316" s="87"/>
      <c r="BD316" s="87"/>
      <c r="BE316" s="87"/>
      <c r="BF316" s="87"/>
      <c r="BG316" s="87"/>
      <c r="BH316" s="87"/>
      <c r="BI316" s="87"/>
      <c r="BJ316" s="87"/>
      <c r="BK316" s="87"/>
      <c r="BL316" s="87"/>
      <c r="BM316" s="87"/>
      <c r="BN316" s="87"/>
      <c r="BO316" s="87"/>
      <c r="BP316" s="87"/>
      <c r="BQ316" s="87"/>
      <c r="BR316" s="87"/>
      <c r="BS316" s="87"/>
      <c r="BT316" s="87"/>
      <c r="BU316" s="87">
        <f>-1/7*C316</f>
        <v>-1.0285714285714285</v>
      </c>
      <c r="BV316" s="87">
        <f t="shared" si="14"/>
        <v>1.0285714285714285</v>
      </c>
      <c r="BW316" s="87"/>
      <c r="BX316" s="87"/>
      <c r="BY316" s="87"/>
      <c r="BZ316" s="87"/>
      <c r="CA316" s="87"/>
      <c r="CB316" s="87"/>
      <c r="CC316" s="87"/>
      <c r="CD316" s="87"/>
      <c r="CE316" s="87"/>
      <c r="CF316" s="87"/>
      <c r="CG316" s="87"/>
      <c r="CH316" s="87"/>
      <c r="CI316" s="87"/>
      <c r="CJ316" s="87"/>
      <c r="CK316" s="87"/>
      <c r="CL316" s="87"/>
      <c r="CM316" s="87"/>
      <c r="CN316" s="87"/>
      <c r="CO316" s="87"/>
      <c r="CP316" s="87"/>
      <c r="CQ316" s="87"/>
      <c r="CR316" s="87"/>
      <c r="CS316" s="87"/>
      <c r="CT316" s="87"/>
      <c r="CU316" s="87"/>
      <c r="CV316" s="87"/>
      <c r="CW316" s="87"/>
      <c r="CX316" s="87"/>
      <c r="CY316" s="87"/>
      <c r="CZ316" s="87"/>
      <c r="DA316" s="87"/>
      <c r="DB316" s="87"/>
      <c r="DC316" s="87"/>
      <c r="DD316" s="87"/>
      <c r="DE316" s="87"/>
      <c r="DF316" s="87"/>
      <c r="DG316" s="87"/>
      <c r="DH316" s="87"/>
      <c r="DI316" s="87"/>
      <c r="DJ316" s="87"/>
      <c r="DK316" s="87"/>
      <c r="DL316" s="87"/>
      <c r="DM316" s="87"/>
      <c r="DN316" s="87"/>
      <c r="DO316" s="87"/>
      <c r="DP316" s="87"/>
      <c r="DQ316" s="87"/>
      <c r="DR316" s="87"/>
      <c r="DS316" s="87"/>
      <c r="DT316" s="87"/>
      <c r="DU316" s="87"/>
      <c r="DV316" s="87"/>
      <c r="DW316" s="87"/>
      <c r="DX316" s="87"/>
      <c r="DY316" s="87"/>
      <c r="DZ316" s="87"/>
      <c r="EA316" s="87"/>
      <c r="EB316" s="87"/>
      <c r="EC316" s="87"/>
      <c r="ED316" s="87"/>
      <c r="EE316" s="87"/>
      <c r="EF316" s="87"/>
      <c r="EG316" s="87"/>
      <c r="EH316" s="87"/>
      <c r="EI316" s="87"/>
    </row>
    <row r="317" spans="1:139" ht="16.5" hidden="1" thickBot="1" x14ac:dyDescent="0.35">
      <c r="A317" s="113" t="s">
        <v>517</v>
      </c>
      <c r="B317" s="194">
        <v>3</v>
      </c>
      <c r="C317" s="195">
        <f>0.65*20+0.25*10</f>
        <v>15.5</v>
      </c>
      <c r="D317" s="217">
        <f>C317/VLOOKUP(B317,'[2]Gas Prod per PADD'!$A$1:$C$6,2,FALSE)</f>
        <v>3.3695652173913043E-3</v>
      </c>
      <c r="E317" s="196">
        <v>45541</v>
      </c>
      <c r="F317" s="281">
        <v>45570</v>
      </c>
      <c r="G317" s="194" t="s">
        <v>624</v>
      </c>
      <c r="H317" s="198" t="s">
        <v>625</v>
      </c>
      <c r="I317" s="84"/>
      <c r="J317" s="85"/>
      <c r="K317" s="85"/>
      <c r="L317" s="85"/>
      <c r="M317" s="85"/>
      <c r="N317" s="85"/>
      <c r="O317" s="85"/>
      <c r="P317" s="85"/>
      <c r="Q317" s="85"/>
      <c r="R317" s="85"/>
      <c r="S317" s="85"/>
      <c r="T317" s="85"/>
      <c r="U317" s="85"/>
      <c r="V317" s="84"/>
      <c r="W317" s="84"/>
      <c r="X317" s="84" t="str">
        <f t="shared" si="13"/>
        <v>OK</v>
      </c>
      <c r="Y317" s="87"/>
      <c r="Z317" s="87">
        <v>13</v>
      </c>
      <c r="AA317" s="87"/>
      <c r="AB317" s="87"/>
      <c r="AC317" s="87"/>
      <c r="AD317" s="87"/>
      <c r="AE317" s="87"/>
      <c r="AF317" s="87"/>
      <c r="AG317" s="87"/>
      <c r="AH317" s="87"/>
      <c r="AI317" s="87"/>
      <c r="AJ317" s="87"/>
      <c r="AK317" s="87"/>
      <c r="AL317" s="87"/>
      <c r="AM317" s="87"/>
      <c r="AN317" s="87"/>
      <c r="AO317" s="87"/>
      <c r="AP317" s="87"/>
      <c r="AQ317" s="87"/>
      <c r="AR317" s="87"/>
      <c r="AS317" s="87"/>
      <c r="AT317" s="87"/>
      <c r="AU317" s="87"/>
      <c r="AV317" s="87"/>
      <c r="AW317" s="87"/>
      <c r="AX317" s="87"/>
      <c r="AY317" s="87"/>
      <c r="AZ317" s="87"/>
      <c r="BA317" s="87"/>
      <c r="BB317" s="87"/>
      <c r="BC317" s="87"/>
      <c r="BD317" s="87"/>
      <c r="BE317" s="87"/>
      <c r="BF317" s="87"/>
      <c r="BG317" s="87"/>
      <c r="BH317" s="87"/>
      <c r="BI317" s="87"/>
      <c r="BJ317" s="87"/>
      <c r="BK317" s="87"/>
      <c r="BL317" s="87"/>
      <c r="BM317" s="87"/>
      <c r="BN317" s="87"/>
      <c r="BO317" s="87"/>
      <c r="BP317" s="87"/>
      <c r="BQ317" s="87"/>
      <c r="BR317" s="87">
        <f>-C317</f>
        <v>-15.5</v>
      </c>
      <c r="BS317" s="87"/>
      <c r="BT317" s="87"/>
      <c r="BU317" s="87"/>
      <c r="BV317" s="87">
        <f>-BR317</f>
        <v>15.5</v>
      </c>
      <c r="BW317" s="87"/>
      <c r="BX317" s="87"/>
      <c r="BY317" s="87"/>
      <c r="BZ317" s="87"/>
      <c r="CA317" s="87"/>
      <c r="CB317" s="87"/>
      <c r="CC317" s="87"/>
      <c r="CD317" s="87"/>
      <c r="CE317" s="87"/>
      <c r="CF317" s="87"/>
      <c r="CG317" s="87"/>
      <c r="CH317" s="87"/>
      <c r="CI317" s="87"/>
      <c r="CJ317" s="87"/>
      <c r="CK317" s="87"/>
      <c r="CL317" s="87"/>
      <c r="CM317" s="87"/>
      <c r="CN317" s="87"/>
      <c r="CO317" s="87"/>
      <c r="CP317" s="87"/>
      <c r="CQ317" s="87"/>
      <c r="CR317" s="87"/>
      <c r="CS317" s="87"/>
      <c r="CT317" s="87"/>
      <c r="CU317" s="87"/>
      <c r="CV317" s="87"/>
      <c r="CW317" s="87"/>
      <c r="CX317" s="87"/>
      <c r="CY317" s="87"/>
      <c r="CZ317" s="87"/>
      <c r="DA317" s="87"/>
      <c r="DB317" s="87"/>
      <c r="DC317" s="87"/>
      <c r="DD317" s="87"/>
      <c r="DE317" s="87"/>
      <c r="DF317" s="87"/>
      <c r="DG317" s="87"/>
      <c r="DH317" s="87"/>
      <c r="DI317" s="87"/>
      <c r="DJ317" s="87"/>
      <c r="DK317" s="87"/>
      <c r="DL317" s="87"/>
      <c r="DM317" s="87"/>
      <c r="DN317" s="87"/>
      <c r="DO317" s="87"/>
      <c r="DP317" s="87"/>
      <c r="DQ317" s="87"/>
      <c r="DR317" s="87"/>
      <c r="DS317" s="87"/>
      <c r="DT317" s="87"/>
      <c r="DU317" s="87"/>
      <c r="DV317" s="87"/>
      <c r="DW317" s="87"/>
      <c r="DX317" s="87"/>
      <c r="DY317" s="87"/>
      <c r="DZ317" s="87"/>
      <c r="EA317" s="87"/>
      <c r="EB317" s="87"/>
      <c r="EC317" s="87"/>
      <c r="ED317" s="87"/>
      <c r="EE317" s="87"/>
      <c r="EF317" s="87"/>
      <c r="EG317" s="87"/>
      <c r="EH317" s="87"/>
      <c r="EI317" s="87"/>
    </row>
    <row r="318" spans="1:139" ht="16.5" hidden="1" thickBot="1" x14ac:dyDescent="0.35">
      <c r="A318" s="190" t="s">
        <v>140</v>
      </c>
      <c r="B318" s="282">
        <v>3</v>
      </c>
      <c r="C318" s="177">
        <f>0.25*145</f>
        <v>36.25</v>
      </c>
      <c r="D318" s="217">
        <f>C318/VLOOKUP(B318,'[2]Gas Prod per PADD'!$A$1:$C$6,2,FALSE)</f>
        <v>7.8804347826086953E-3</v>
      </c>
      <c r="E318" s="225">
        <v>45551</v>
      </c>
      <c r="F318" s="276">
        <v>45572</v>
      </c>
      <c r="G318" s="180" t="s">
        <v>626</v>
      </c>
      <c r="H318" s="221" t="s">
        <v>627</v>
      </c>
      <c r="I318" s="84"/>
      <c r="J318" s="85"/>
      <c r="K318" s="85"/>
      <c r="L318" s="85"/>
      <c r="M318" s="85"/>
      <c r="N318" s="85"/>
      <c r="O318" s="85"/>
      <c r="P318" s="85"/>
      <c r="Q318" s="85"/>
      <c r="R318" s="85"/>
      <c r="S318" s="85"/>
      <c r="T318" s="85"/>
      <c r="U318" s="85"/>
      <c r="V318" s="84"/>
      <c r="W318" s="84"/>
      <c r="X318" s="84" t="str">
        <f t="shared" si="13"/>
        <v>OK</v>
      </c>
      <c r="Y318" s="87"/>
      <c r="Z318" s="87"/>
      <c r="AA318" s="87"/>
      <c r="AB318" s="87"/>
      <c r="AC318" s="87"/>
      <c r="AD318" s="87"/>
      <c r="AE318" s="87"/>
      <c r="AF318" s="87"/>
      <c r="AG318" s="87"/>
      <c r="AH318" s="87"/>
      <c r="AI318" s="87"/>
      <c r="AJ318" s="87"/>
      <c r="AK318" s="87"/>
      <c r="AL318" s="87"/>
      <c r="AM318" s="87"/>
      <c r="AN318" s="87"/>
      <c r="AO318" s="87"/>
      <c r="AP318" s="87"/>
      <c r="AQ318" s="87"/>
      <c r="AR318" s="87"/>
      <c r="AS318" s="87"/>
      <c r="AT318" s="87"/>
      <c r="AU318" s="87"/>
      <c r="AV318" s="87"/>
      <c r="AW318" s="87"/>
      <c r="AX318" s="87"/>
      <c r="AY318" s="87"/>
      <c r="AZ318" s="87"/>
      <c r="BA318" s="87"/>
      <c r="BB318" s="87"/>
      <c r="BC318" s="87"/>
      <c r="BD318" s="87"/>
      <c r="BE318" s="87"/>
      <c r="BF318" s="87"/>
      <c r="BG318" s="87"/>
      <c r="BH318" s="87"/>
      <c r="BI318" s="87"/>
      <c r="BJ318" s="87"/>
      <c r="BK318" s="87"/>
      <c r="BL318" s="87"/>
      <c r="BM318" s="87"/>
      <c r="BN318" s="87"/>
      <c r="BO318" s="87"/>
      <c r="BP318" s="87"/>
      <c r="BQ318" s="87"/>
      <c r="BR318" s="87"/>
      <c r="BS318" s="87">
        <f>0.5*-1*C318</f>
        <v>-18.125</v>
      </c>
      <c r="BT318" s="87">
        <f>(C318*-1)-BS318</f>
        <v>-18.125</v>
      </c>
      <c r="BU318" s="87"/>
      <c r="BV318" s="87">
        <f>-C318*-1*0.5</f>
        <v>18.125</v>
      </c>
      <c r="BW318" s="87">
        <f>(C318-BV318)</f>
        <v>18.125</v>
      </c>
      <c r="BX318" s="87"/>
      <c r="BY318" s="87"/>
      <c r="BZ318" s="87"/>
      <c r="CA318" s="87"/>
      <c r="CB318" s="87"/>
      <c r="CC318" s="87"/>
      <c r="CD318" s="87"/>
      <c r="CE318" s="87"/>
      <c r="CF318" s="87"/>
      <c r="CG318" s="87"/>
      <c r="CH318" s="87"/>
      <c r="CI318" s="87"/>
      <c r="CJ318" s="87"/>
      <c r="CK318" s="87"/>
      <c r="CL318" s="87"/>
      <c r="CM318" s="87"/>
      <c r="CN318" s="87"/>
      <c r="CO318" s="87"/>
      <c r="CP318" s="87"/>
      <c r="CQ318" s="87"/>
      <c r="CR318" s="87"/>
      <c r="CS318" s="87"/>
      <c r="CT318" s="87"/>
      <c r="CU318" s="87"/>
      <c r="CV318" s="87"/>
      <c r="CW318" s="87"/>
      <c r="CX318" s="87"/>
      <c r="CY318" s="87"/>
      <c r="CZ318" s="87"/>
      <c r="DA318" s="87"/>
      <c r="DB318" s="87"/>
      <c r="DC318" s="87"/>
      <c r="DD318" s="87"/>
      <c r="DE318" s="87"/>
      <c r="DF318" s="87"/>
      <c r="DG318" s="87"/>
      <c r="DH318" s="87"/>
      <c r="DI318" s="87"/>
      <c r="DJ318" s="87"/>
      <c r="DK318" s="87"/>
      <c r="DL318" s="87"/>
      <c r="DM318" s="87"/>
      <c r="DN318" s="87"/>
      <c r="DO318" s="87"/>
      <c r="DP318" s="87"/>
      <c r="DQ318" s="87"/>
      <c r="DR318" s="87"/>
      <c r="DS318" s="87"/>
      <c r="DT318" s="87"/>
      <c r="DU318" s="87"/>
      <c r="DV318" s="87"/>
      <c r="DW318" s="87"/>
      <c r="DX318" s="87"/>
      <c r="DY318" s="87"/>
      <c r="DZ318" s="87"/>
      <c r="EA318" s="87"/>
      <c r="EB318" s="87"/>
      <c r="EC318" s="87"/>
      <c r="ED318" s="87"/>
      <c r="EE318" s="87"/>
      <c r="EF318" s="87"/>
      <c r="EG318" s="87"/>
      <c r="EH318" s="87"/>
      <c r="EI318" s="87"/>
    </row>
    <row r="319" spans="1:139" ht="16.5" hidden="1" thickBot="1" x14ac:dyDescent="0.35">
      <c r="A319" s="190" t="s">
        <v>140</v>
      </c>
      <c r="B319" s="282">
        <v>3</v>
      </c>
      <c r="C319" s="177">
        <f>0.25*145</f>
        <v>36.25</v>
      </c>
      <c r="D319" s="217">
        <f>C319/VLOOKUP(B319,'[2]Gas Prod per PADD'!$A$1:$C$6,2,FALSE)</f>
        <v>7.8804347826086953E-3</v>
      </c>
      <c r="E319" s="225">
        <v>45551</v>
      </c>
      <c r="F319" s="276">
        <v>45572</v>
      </c>
      <c r="G319" s="180" t="s">
        <v>628</v>
      </c>
      <c r="H319" s="221" t="s">
        <v>627</v>
      </c>
      <c r="I319" s="84"/>
      <c r="J319" s="85"/>
      <c r="K319" s="85"/>
      <c r="L319" s="85"/>
      <c r="M319" s="85"/>
      <c r="N319" s="85"/>
      <c r="O319" s="85"/>
      <c r="P319" s="85"/>
      <c r="Q319" s="85"/>
      <c r="R319" s="85"/>
      <c r="S319" s="85"/>
      <c r="T319" s="85"/>
      <c r="U319" s="85"/>
      <c r="V319" s="84"/>
      <c r="W319" s="84"/>
      <c r="X319" s="84" t="str">
        <f t="shared" si="13"/>
        <v>OK</v>
      </c>
      <c r="Y319" s="87"/>
      <c r="Z319" s="87"/>
      <c r="AA319" s="87"/>
      <c r="AB319" s="87"/>
      <c r="AC319" s="87"/>
      <c r="AD319" s="87"/>
      <c r="AE319" s="87"/>
      <c r="AF319" s="87"/>
      <c r="AG319" s="87"/>
      <c r="AH319" s="87"/>
      <c r="AI319" s="87"/>
      <c r="AJ319" s="87"/>
      <c r="AK319" s="87"/>
      <c r="AL319" s="87"/>
      <c r="AM319" s="87"/>
      <c r="AN319" s="87"/>
      <c r="AO319" s="87"/>
      <c r="AP319" s="87"/>
      <c r="AQ319" s="87"/>
      <c r="AR319" s="87"/>
      <c r="AS319" s="87"/>
      <c r="AT319" s="87"/>
      <c r="AU319" s="87"/>
      <c r="AV319" s="87"/>
      <c r="AW319" s="87"/>
      <c r="AX319" s="87"/>
      <c r="AY319" s="87"/>
      <c r="AZ319" s="87"/>
      <c r="BA319" s="87"/>
      <c r="BB319" s="87"/>
      <c r="BC319" s="87"/>
      <c r="BD319" s="87"/>
      <c r="BE319" s="87"/>
      <c r="BF319" s="87"/>
      <c r="BG319" s="87"/>
      <c r="BH319" s="87"/>
      <c r="BI319" s="87"/>
      <c r="BJ319" s="87"/>
      <c r="BK319" s="87"/>
      <c r="BL319" s="87"/>
      <c r="BM319" s="87"/>
      <c r="BN319" s="87"/>
      <c r="BO319" s="87"/>
      <c r="BP319" s="87"/>
      <c r="BQ319" s="87"/>
      <c r="BR319" s="87"/>
      <c r="BS319" s="87">
        <f>0.5*-1*$C319</f>
        <v>-18.125</v>
      </c>
      <c r="BT319" s="87">
        <f>($C319*-1)-BS319</f>
        <v>-18.125</v>
      </c>
      <c r="BU319" s="87"/>
      <c r="BV319" s="87">
        <f>-C319*-1*0.5</f>
        <v>18.125</v>
      </c>
      <c r="BW319" s="87">
        <f>(C319-BV319)</f>
        <v>18.125</v>
      </c>
      <c r="BX319" s="87"/>
      <c r="BY319" s="87"/>
      <c r="BZ319" s="87"/>
      <c r="CA319" s="87"/>
      <c r="CB319" s="87"/>
      <c r="CC319" s="87"/>
      <c r="CD319" s="87"/>
      <c r="CE319" s="87"/>
      <c r="CF319" s="87"/>
      <c r="CG319" s="87"/>
      <c r="CH319" s="87"/>
      <c r="CI319" s="87"/>
      <c r="CJ319" s="87"/>
      <c r="CK319" s="87"/>
      <c r="CL319" s="87"/>
      <c r="CM319" s="87"/>
      <c r="CN319" s="87"/>
      <c r="CO319" s="87"/>
      <c r="CP319" s="87"/>
      <c r="CQ319" s="87"/>
      <c r="CR319" s="87"/>
      <c r="CS319" s="87"/>
      <c r="CT319" s="87"/>
      <c r="CU319" s="87"/>
      <c r="CV319" s="87"/>
      <c r="CW319" s="87"/>
      <c r="CX319" s="87"/>
      <c r="CY319" s="87"/>
      <c r="CZ319" s="87"/>
      <c r="DA319" s="87"/>
      <c r="DB319" s="87"/>
      <c r="DC319" s="87"/>
      <c r="DD319" s="87"/>
      <c r="DE319" s="87"/>
      <c r="DF319" s="87"/>
      <c r="DG319" s="87"/>
      <c r="DH319" s="87"/>
      <c r="DI319" s="87"/>
      <c r="DJ319" s="87"/>
      <c r="DK319" s="87"/>
      <c r="DL319" s="87"/>
      <c r="DM319" s="87"/>
      <c r="DN319" s="87"/>
      <c r="DO319" s="87"/>
      <c r="DP319" s="87"/>
      <c r="DQ319" s="87"/>
      <c r="DR319" s="87"/>
      <c r="DS319" s="87"/>
      <c r="DT319" s="87"/>
      <c r="DU319" s="87"/>
      <c r="DV319" s="87"/>
      <c r="DW319" s="87"/>
      <c r="DX319" s="87"/>
      <c r="DY319" s="87"/>
      <c r="DZ319" s="87"/>
      <c r="EA319" s="87"/>
      <c r="EB319" s="87"/>
      <c r="EC319" s="87"/>
      <c r="ED319" s="87"/>
      <c r="EE319" s="87"/>
      <c r="EF319" s="87"/>
      <c r="EG319" s="87"/>
      <c r="EH319" s="87"/>
      <c r="EI319" s="87"/>
    </row>
    <row r="320" spans="1:139" ht="16.5" hidden="1" thickBot="1" x14ac:dyDescent="0.35">
      <c r="A320" s="113" t="s">
        <v>519</v>
      </c>
      <c r="B320" s="199">
        <v>2</v>
      </c>
      <c r="C320" s="195">
        <v>7.1999999999999993</v>
      </c>
      <c r="D320" s="217">
        <f>C320/VLOOKUP(B320,'[2]Gas Prod per PADD'!$A$1:$C$6,2,FALSE)</f>
        <v>2.9999999999999996E-3</v>
      </c>
      <c r="E320" s="196">
        <v>45569</v>
      </c>
      <c r="F320" s="281">
        <v>45572</v>
      </c>
      <c r="G320" s="194" t="s">
        <v>480</v>
      </c>
      <c r="H320" s="198" t="s">
        <v>543</v>
      </c>
      <c r="I320" s="84"/>
      <c r="J320" s="85"/>
      <c r="K320" s="85"/>
      <c r="L320" s="85"/>
      <c r="M320" s="85"/>
      <c r="N320" s="85"/>
      <c r="O320" s="85"/>
      <c r="P320" s="85"/>
      <c r="Q320" s="85"/>
      <c r="R320" s="85"/>
      <c r="S320" s="85"/>
      <c r="T320" s="85"/>
      <c r="U320" s="85"/>
      <c r="V320" s="84"/>
      <c r="W320" s="84"/>
      <c r="X320" s="84" t="str">
        <f t="shared" si="13"/>
        <v>OK</v>
      </c>
      <c r="Y320" s="87"/>
      <c r="Z320" s="87"/>
      <c r="AA320" s="87"/>
      <c r="AB320" s="87"/>
      <c r="AC320" s="87"/>
      <c r="AD320" s="87"/>
      <c r="AE320" s="87"/>
      <c r="AF320" s="87"/>
      <c r="AG320" s="87"/>
      <c r="AH320" s="87">
        <v>-3.0857142857142854</v>
      </c>
      <c r="AI320" s="87">
        <v>3.0857142857142854</v>
      </c>
      <c r="AJ320" s="87"/>
      <c r="AK320" s="87"/>
      <c r="AL320" s="87"/>
      <c r="AM320" s="87"/>
      <c r="AN320" s="87"/>
      <c r="AO320" s="87"/>
      <c r="AP320" s="87"/>
      <c r="AQ320" s="87"/>
      <c r="AR320" s="87"/>
      <c r="AS320" s="87"/>
      <c r="AT320" s="87"/>
      <c r="AU320" s="87"/>
      <c r="AV320" s="87"/>
      <c r="AW320" s="87"/>
      <c r="AX320" s="87"/>
      <c r="AY320" s="87"/>
      <c r="AZ320" s="87"/>
      <c r="BA320" s="87"/>
      <c r="BB320" s="87"/>
      <c r="BC320" s="87"/>
      <c r="BD320" s="87"/>
      <c r="BE320" s="87"/>
      <c r="BF320" s="87"/>
      <c r="BG320" s="87"/>
      <c r="BH320" s="87"/>
      <c r="BI320" s="87"/>
      <c r="BJ320" s="87"/>
      <c r="BK320" s="87"/>
      <c r="BL320" s="87"/>
      <c r="BM320" s="87"/>
      <c r="BN320" s="87"/>
      <c r="BO320" s="87"/>
      <c r="BP320" s="87"/>
      <c r="BQ320" s="87"/>
      <c r="BR320" s="87"/>
      <c r="BS320" s="87"/>
      <c r="BT320" s="87"/>
      <c r="BU320" s="87"/>
      <c r="BV320" s="87">
        <f>-C320/2</f>
        <v>-3.5999999999999996</v>
      </c>
      <c r="BW320" s="87">
        <f>-BV320</f>
        <v>3.5999999999999996</v>
      </c>
      <c r="BX320" s="87"/>
      <c r="BY320" s="87"/>
      <c r="BZ320" s="87"/>
      <c r="CA320" s="87"/>
      <c r="CB320" s="87"/>
      <c r="CC320" s="87"/>
      <c r="CD320" s="87"/>
      <c r="CE320" s="87"/>
      <c r="CF320" s="87"/>
      <c r="CG320" s="87"/>
      <c r="CH320" s="87"/>
      <c r="CI320" s="87"/>
      <c r="CJ320" s="87"/>
      <c r="CK320" s="87"/>
      <c r="CL320" s="87"/>
      <c r="CM320" s="87"/>
      <c r="CN320" s="87"/>
      <c r="CO320" s="87"/>
      <c r="CP320" s="87"/>
      <c r="CQ320" s="87"/>
      <c r="CR320" s="87"/>
      <c r="CS320" s="87"/>
      <c r="CT320" s="87"/>
      <c r="CU320" s="87"/>
      <c r="CV320" s="87"/>
      <c r="CW320" s="87"/>
      <c r="CX320" s="87"/>
      <c r="CY320" s="87"/>
      <c r="CZ320" s="87"/>
      <c r="DA320" s="87"/>
      <c r="DB320" s="87"/>
      <c r="DC320" s="87"/>
      <c r="DD320" s="87"/>
      <c r="DE320" s="87"/>
      <c r="DF320" s="87"/>
      <c r="DG320" s="87"/>
      <c r="DH320" s="87"/>
      <c r="DI320" s="87"/>
      <c r="DJ320" s="87"/>
      <c r="DK320" s="87"/>
      <c r="DL320" s="87"/>
      <c r="DM320" s="87"/>
      <c r="DN320" s="87"/>
      <c r="DO320" s="87"/>
      <c r="DP320" s="87"/>
      <c r="DQ320" s="87"/>
      <c r="DR320" s="87"/>
      <c r="DS320" s="87"/>
      <c r="DT320" s="87"/>
      <c r="DU320" s="87"/>
      <c r="DV320" s="87"/>
      <c r="DW320" s="87"/>
      <c r="DX320" s="87"/>
      <c r="DY320" s="87"/>
      <c r="DZ320" s="87"/>
      <c r="EA320" s="87"/>
      <c r="EB320" s="87"/>
      <c r="EC320" s="87"/>
      <c r="ED320" s="87"/>
      <c r="EE320" s="87"/>
      <c r="EF320" s="87"/>
      <c r="EG320" s="87"/>
      <c r="EH320" s="87"/>
      <c r="EI320" s="87"/>
    </row>
    <row r="321" spans="1:139" ht="16.5" hidden="1" thickBot="1" x14ac:dyDescent="0.35">
      <c r="A321" s="190" t="s">
        <v>334</v>
      </c>
      <c r="B321" s="282">
        <v>3</v>
      </c>
      <c r="C321" s="177">
        <f>65*0.3</f>
        <v>19.5</v>
      </c>
      <c r="D321" s="217">
        <f>C321/VLOOKUP(B321,'[2]Gas Prod per PADD'!$A$1:$C$6,2,FALSE)</f>
        <v>4.239130434782609E-3</v>
      </c>
      <c r="E321" s="178">
        <v>45562</v>
      </c>
      <c r="F321" s="252">
        <f>E321+11</f>
        <v>45573</v>
      </c>
      <c r="G321" s="180" t="s">
        <v>629</v>
      </c>
      <c r="H321" s="221" t="s">
        <v>543</v>
      </c>
      <c r="I321" s="84"/>
      <c r="J321" s="85"/>
      <c r="K321" s="85"/>
      <c r="L321" s="85"/>
      <c r="M321" s="85"/>
      <c r="N321" s="85"/>
      <c r="O321" s="85"/>
      <c r="P321" s="85"/>
      <c r="Q321" s="85"/>
      <c r="R321" s="85"/>
      <c r="S321" s="85"/>
      <c r="T321" s="85"/>
      <c r="U321" s="85"/>
      <c r="V321" s="84"/>
      <c r="W321" s="84"/>
      <c r="X321" s="84" t="str">
        <f t="shared" si="13"/>
        <v>OK</v>
      </c>
      <c r="Y321" s="105"/>
      <c r="Z321" s="105"/>
      <c r="AA321" s="87"/>
      <c r="AB321" s="87"/>
      <c r="AC321" s="87"/>
      <c r="AD321" s="87"/>
      <c r="AE321" s="105"/>
      <c r="AF321" s="105"/>
      <c r="AG321" s="105"/>
      <c r="AH321" s="87"/>
      <c r="AI321" s="87"/>
      <c r="AJ321" s="87"/>
      <c r="AK321" s="105"/>
      <c r="AL321" s="105"/>
      <c r="AM321" s="105"/>
      <c r="AN321" s="87"/>
      <c r="AO321" s="87"/>
      <c r="AP321" s="105"/>
      <c r="AQ321" s="105"/>
      <c r="AR321" s="105"/>
      <c r="AS321" s="105"/>
      <c r="AT321" s="105"/>
      <c r="AU321" s="87"/>
      <c r="AV321" s="105"/>
      <c r="AW321" s="105"/>
      <c r="AX321" s="87"/>
      <c r="AY321" s="87"/>
      <c r="AZ321" s="87"/>
      <c r="BA321" s="87"/>
      <c r="BB321" s="87"/>
      <c r="BC321" s="87"/>
      <c r="BD321" s="87"/>
      <c r="BE321" s="87"/>
      <c r="BF321" s="87"/>
      <c r="BG321" s="87"/>
      <c r="BH321" s="87"/>
      <c r="BI321" s="87"/>
      <c r="BJ321" s="87"/>
      <c r="BK321" s="87"/>
      <c r="BL321" s="87"/>
      <c r="BM321" s="87"/>
      <c r="BN321" s="87"/>
      <c r="BO321" s="87"/>
      <c r="BP321" s="87"/>
      <c r="BQ321" s="87"/>
      <c r="BR321" s="87"/>
      <c r="BS321" s="87"/>
      <c r="BT321" s="87"/>
      <c r="BU321" s="87">
        <f>-C321</f>
        <v>-19.5</v>
      </c>
      <c r="BV321" s="87">
        <f>C321*3/7</f>
        <v>8.3571428571428577</v>
      </c>
      <c r="BW321" s="87">
        <f>C321-BV321</f>
        <v>11.142857142857142</v>
      </c>
      <c r="BX321" s="87"/>
      <c r="BY321" s="87"/>
      <c r="BZ321" s="87"/>
      <c r="CA321" s="87"/>
      <c r="CB321" s="87"/>
      <c r="CC321" s="87"/>
      <c r="CD321" s="87"/>
      <c r="CE321" s="87"/>
      <c r="CF321" s="87"/>
      <c r="CG321" s="87"/>
      <c r="CH321" s="87"/>
      <c r="CI321" s="87"/>
      <c r="CJ321" s="87"/>
      <c r="CK321" s="87"/>
      <c r="CL321" s="87"/>
      <c r="CM321" s="87"/>
      <c r="CN321" s="87"/>
      <c r="CO321" s="87"/>
      <c r="CP321" s="87"/>
      <c r="CQ321" s="87"/>
      <c r="CR321" s="87"/>
      <c r="CS321" s="87"/>
      <c r="CT321" s="87"/>
      <c r="CU321" s="87"/>
      <c r="CV321" s="87"/>
      <c r="CW321" s="87"/>
      <c r="CX321" s="87"/>
      <c r="CY321" s="87"/>
      <c r="CZ321" s="87"/>
      <c r="DA321" s="87"/>
      <c r="DB321" s="87"/>
      <c r="DC321" s="87"/>
      <c r="DD321" s="87"/>
      <c r="DE321" s="87"/>
      <c r="DF321" s="87"/>
      <c r="DG321" s="87"/>
      <c r="DH321" s="87"/>
      <c r="DI321" s="87"/>
      <c r="DJ321" s="87"/>
      <c r="DK321" s="87"/>
      <c r="DL321" s="87"/>
      <c r="DM321" s="87"/>
      <c r="DN321" s="87"/>
      <c r="DO321" s="87"/>
      <c r="DP321" s="87"/>
      <c r="DQ321" s="87"/>
      <c r="DR321" s="87"/>
      <c r="DS321" s="87"/>
      <c r="DT321" s="87"/>
      <c r="DU321" s="87"/>
      <c r="DV321" s="87"/>
      <c r="DW321" s="87"/>
      <c r="DX321" s="87"/>
      <c r="DY321" s="87"/>
      <c r="DZ321" s="87"/>
      <c r="EA321" s="87"/>
      <c r="EB321" s="87"/>
      <c r="EC321" s="87"/>
      <c r="ED321" s="87"/>
      <c r="EE321" s="87"/>
      <c r="EF321" s="87"/>
      <c r="EG321" s="87"/>
      <c r="EH321" s="87"/>
      <c r="EI321" s="87"/>
    </row>
    <row r="322" spans="1:139" ht="16.5" hidden="1" thickBot="1" x14ac:dyDescent="0.35">
      <c r="A322" s="242" t="s">
        <v>630</v>
      </c>
      <c r="B322" s="199">
        <v>5</v>
      </c>
      <c r="C322" s="195">
        <f>56*0.65</f>
        <v>36.4</v>
      </c>
      <c r="D322" s="217">
        <f>C322/VLOOKUP(B322,'[2]Gas Prod per PADD'!$A$1:$C$6,2,FALSE)</f>
        <v>2.6962962962962963E-2</v>
      </c>
      <c r="E322" s="231">
        <v>45569</v>
      </c>
      <c r="F322" s="281">
        <v>45574</v>
      </c>
      <c r="G322" s="194" t="s">
        <v>221</v>
      </c>
      <c r="H322" s="198" t="s">
        <v>543</v>
      </c>
      <c r="I322" s="84"/>
      <c r="J322" s="85"/>
      <c r="K322" s="85"/>
      <c r="L322" s="85"/>
      <c r="M322" s="85"/>
      <c r="N322" s="85"/>
      <c r="O322" s="85"/>
      <c r="P322" s="85"/>
      <c r="Q322" s="85"/>
      <c r="R322" s="85"/>
      <c r="S322" s="85"/>
      <c r="T322" s="85"/>
      <c r="U322" s="85"/>
      <c r="V322" s="84"/>
      <c r="W322" s="84"/>
      <c r="X322" s="84" t="str">
        <f t="shared" ref="X322:X385" si="15">IF(COUNTA(Y322:EI322)=0,"Missing","OK")</f>
        <v>OK</v>
      </c>
      <c r="Y322" s="87"/>
      <c r="Z322" s="87"/>
      <c r="AA322" s="87"/>
      <c r="AB322" s="87"/>
      <c r="AC322" s="87"/>
      <c r="AD322" s="87"/>
      <c r="AE322" s="87"/>
      <c r="AF322" s="87"/>
      <c r="AG322" s="87"/>
      <c r="AH322" s="87"/>
      <c r="AI322" s="87"/>
      <c r="AJ322" s="87"/>
      <c r="AK322" s="87"/>
      <c r="AL322" s="87"/>
      <c r="AM322" s="87"/>
      <c r="AN322" s="87"/>
      <c r="AO322" s="87"/>
      <c r="AP322" s="87"/>
      <c r="AQ322" s="87"/>
      <c r="AR322" s="87"/>
      <c r="AS322" s="87"/>
      <c r="AT322" s="87"/>
      <c r="AU322" s="87"/>
      <c r="AV322" s="87"/>
      <c r="AW322" s="87"/>
      <c r="AX322" s="87"/>
      <c r="AY322" s="87"/>
      <c r="AZ322" s="87"/>
      <c r="BA322" s="87"/>
      <c r="BB322" s="87"/>
      <c r="BC322" s="87"/>
      <c r="BD322" s="87"/>
      <c r="BE322" s="87"/>
      <c r="BF322" s="87"/>
      <c r="BG322" s="87"/>
      <c r="BH322" s="87"/>
      <c r="BI322" s="87"/>
      <c r="BJ322" s="87"/>
      <c r="BK322" s="87"/>
      <c r="BL322" s="87"/>
      <c r="BM322" s="87"/>
      <c r="BN322" s="87"/>
      <c r="BO322" s="87"/>
      <c r="BP322" s="87"/>
      <c r="BQ322" s="87"/>
      <c r="BR322" s="87"/>
      <c r="BS322" s="87"/>
      <c r="BT322" s="87"/>
      <c r="BU322" s="87"/>
      <c r="BV322" s="87">
        <f>-5/7*C322</f>
        <v>-26</v>
      </c>
      <c r="BW322" s="87">
        <f>-BV322</f>
        <v>26</v>
      </c>
      <c r="BX322" s="87"/>
      <c r="BY322" s="87"/>
      <c r="BZ322" s="87"/>
      <c r="CA322" s="87"/>
      <c r="CB322" s="87"/>
      <c r="CC322" s="87"/>
      <c r="CD322" s="87"/>
      <c r="CE322" s="87"/>
      <c r="CF322" s="87"/>
      <c r="CG322" s="87"/>
      <c r="CH322" s="87"/>
      <c r="CI322" s="87"/>
      <c r="CJ322" s="87"/>
      <c r="CK322" s="87"/>
      <c r="CL322" s="87"/>
      <c r="CM322" s="87"/>
      <c r="CN322" s="87"/>
      <c r="CO322" s="87"/>
      <c r="CP322" s="87"/>
      <c r="CQ322" s="87"/>
      <c r="CR322" s="87"/>
      <c r="CS322" s="87"/>
      <c r="CT322" s="87"/>
      <c r="CU322" s="87"/>
      <c r="CV322" s="87"/>
      <c r="CW322" s="87"/>
      <c r="CX322" s="87"/>
      <c r="CY322" s="87"/>
      <c r="CZ322" s="87"/>
      <c r="DA322" s="87"/>
      <c r="DB322" s="87"/>
      <c r="DC322" s="87"/>
      <c r="DD322" s="87"/>
      <c r="DE322" s="87"/>
      <c r="DF322" s="87"/>
      <c r="DG322" s="87"/>
      <c r="DH322" s="87"/>
      <c r="DI322" s="87"/>
      <c r="DJ322" s="87"/>
      <c r="DK322" s="87"/>
      <c r="DL322" s="87"/>
      <c r="DM322" s="87"/>
      <c r="DN322" s="87"/>
      <c r="DO322" s="87"/>
      <c r="DP322" s="87"/>
      <c r="DQ322" s="87"/>
      <c r="DR322" s="87"/>
      <c r="DS322" s="87"/>
      <c r="DT322" s="87"/>
      <c r="DU322" s="87"/>
      <c r="DV322" s="87"/>
      <c r="DW322" s="87"/>
      <c r="DX322" s="87"/>
      <c r="DY322" s="87"/>
      <c r="DZ322" s="87"/>
      <c r="EA322" s="87"/>
      <c r="EB322" s="87"/>
      <c r="EC322" s="87"/>
      <c r="ED322" s="87"/>
      <c r="EE322" s="87"/>
      <c r="EF322" s="87"/>
      <c r="EG322" s="75">
        <v>46017</v>
      </c>
      <c r="EH322" s="75">
        <v>46024</v>
      </c>
      <c r="EI322" s="75">
        <v>46031</v>
      </c>
    </row>
    <row r="323" spans="1:139" ht="16.5" hidden="1" thickBot="1" x14ac:dyDescent="0.35">
      <c r="A323" s="193" t="s">
        <v>239</v>
      </c>
      <c r="B323" s="282">
        <v>2</v>
      </c>
      <c r="C323" s="177">
        <f>(0.1*23)</f>
        <v>2.3000000000000003</v>
      </c>
      <c r="D323" s="217">
        <f>C323/VLOOKUP(B323,'[2]Gas Prod per PADD'!$A$1:$C$6,2,FALSE)</f>
        <v>9.583333333333335E-4</v>
      </c>
      <c r="E323" s="178">
        <v>45572</v>
      </c>
      <c r="F323" s="252">
        <v>45574</v>
      </c>
      <c r="G323" s="180" t="s">
        <v>631</v>
      </c>
      <c r="H323" s="181" t="s">
        <v>632</v>
      </c>
      <c r="I323" s="84"/>
      <c r="J323" s="85"/>
      <c r="K323" s="85"/>
      <c r="L323" s="85"/>
      <c r="M323" s="85"/>
      <c r="N323" s="85"/>
      <c r="O323" s="85"/>
      <c r="P323" s="85"/>
      <c r="Q323" s="85"/>
      <c r="R323" s="85"/>
      <c r="S323" s="85"/>
      <c r="T323" s="85"/>
      <c r="U323" s="85"/>
      <c r="V323" s="84"/>
      <c r="W323" s="84"/>
      <c r="X323" s="84" t="str">
        <f t="shared" si="15"/>
        <v>OK</v>
      </c>
      <c r="Y323" s="105"/>
      <c r="Z323" s="105"/>
      <c r="AA323" s="87"/>
      <c r="AB323" s="87"/>
      <c r="AC323" s="87"/>
      <c r="AD323" s="87"/>
      <c r="AE323" s="105"/>
      <c r="AF323" s="105"/>
      <c r="AG323" s="105"/>
      <c r="AH323" s="105"/>
      <c r="AI323" s="87"/>
      <c r="AJ323" s="87"/>
      <c r="AK323" s="87"/>
      <c r="AL323" s="87"/>
      <c r="AM323" s="87"/>
      <c r="AN323" s="87"/>
      <c r="AO323" s="87"/>
      <c r="AP323" s="87"/>
      <c r="AQ323" s="87"/>
      <c r="AR323" s="87"/>
      <c r="AS323" s="87"/>
      <c r="AT323" s="87"/>
      <c r="AU323" s="87"/>
      <c r="AV323" s="87"/>
      <c r="AW323" s="87"/>
      <c r="AX323" s="87"/>
      <c r="AY323" s="87"/>
      <c r="AZ323" s="87"/>
      <c r="BA323" s="87"/>
      <c r="BB323" s="87"/>
      <c r="BC323" s="87"/>
      <c r="BD323" s="87"/>
      <c r="BE323" s="87"/>
      <c r="BF323" s="87"/>
      <c r="BG323" s="87"/>
      <c r="BH323" s="87"/>
      <c r="BI323" s="87"/>
      <c r="BJ323" s="87"/>
      <c r="BK323" s="87"/>
      <c r="BL323" s="87"/>
      <c r="BM323" s="87"/>
      <c r="BN323" s="87"/>
      <c r="BO323" s="87"/>
      <c r="BP323" s="87"/>
      <c r="BQ323" s="87"/>
      <c r="BR323" s="87"/>
      <c r="BS323" s="87"/>
      <c r="BT323" s="278"/>
      <c r="BU323" s="278"/>
      <c r="BV323" s="278">
        <f>-C323/2</f>
        <v>-1.1500000000000001</v>
      </c>
      <c r="BW323" s="278">
        <f>-BV323</f>
        <v>1.1500000000000001</v>
      </c>
      <c r="BX323" s="278"/>
      <c r="BY323" s="278"/>
      <c r="BZ323" s="87"/>
      <c r="CA323" s="87"/>
      <c r="CB323" s="87"/>
      <c r="CC323" s="87"/>
      <c r="CD323" s="87"/>
      <c r="CE323" s="87"/>
      <c r="CF323" s="87"/>
      <c r="CG323" s="87"/>
      <c r="CH323" s="87"/>
      <c r="CI323" s="87"/>
      <c r="CJ323" s="87"/>
      <c r="CK323" s="87"/>
      <c r="CL323" s="87"/>
      <c r="CM323" s="87"/>
      <c r="CN323" s="87"/>
      <c r="CO323" s="87"/>
      <c r="CP323" s="87"/>
      <c r="CQ323" s="87"/>
      <c r="CR323" s="87"/>
      <c r="CS323" s="87"/>
      <c r="CT323" s="87"/>
      <c r="CU323" s="87"/>
      <c r="CV323" s="87"/>
      <c r="CW323" s="87"/>
      <c r="CX323" s="87"/>
      <c r="CY323" s="87"/>
      <c r="CZ323" s="87"/>
      <c r="DA323" s="87"/>
      <c r="DB323" s="87"/>
      <c r="DC323" s="87"/>
      <c r="DD323" s="87"/>
      <c r="DE323" s="87"/>
      <c r="DF323" s="87"/>
      <c r="DG323" s="87"/>
      <c r="DH323" s="87"/>
      <c r="DI323" s="87"/>
      <c r="DJ323" s="87"/>
      <c r="DK323" s="87"/>
      <c r="DL323" s="87"/>
      <c r="DM323" s="87"/>
      <c r="DN323" s="87"/>
      <c r="DO323" s="87"/>
      <c r="DP323" s="87"/>
      <c r="DQ323" s="87"/>
      <c r="DR323" s="87"/>
      <c r="DS323" s="87"/>
      <c r="DT323" s="87"/>
      <c r="DU323" s="87"/>
      <c r="DV323" s="87"/>
      <c r="DW323" s="87"/>
      <c r="DX323" s="87"/>
      <c r="DY323" s="87"/>
      <c r="DZ323" s="87"/>
      <c r="EA323" s="87"/>
      <c r="EB323" s="87"/>
      <c r="EC323" s="87"/>
      <c r="ED323" s="87"/>
      <c r="EE323" s="87"/>
      <c r="EF323" s="87"/>
      <c r="EG323" s="87"/>
      <c r="EH323" s="87"/>
      <c r="EI323" s="87"/>
    </row>
    <row r="324" spans="1:139" ht="16.5" hidden="1" thickBot="1" x14ac:dyDescent="0.35">
      <c r="A324" s="190" t="s">
        <v>127</v>
      </c>
      <c r="B324" s="282">
        <v>3</v>
      </c>
      <c r="C324" s="177">
        <f>165*0.25</f>
        <v>41.25</v>
      </c>
      <c r="D324" s="217">
        <f>C324/VLOOKUP(B324,'[2]Gas Prod per PADD'!$A$1:$C$6,2,FALSE)</f>
        <v>8.9673913043478264E-3</v>
      </c>
      <c r="E324" s="178">
        <v>45573</v>
      </c>
      <c r="F324" s="252">
        <v>45574</v>
      </c>
      <c r="G324" s="180" t="s">
        <v>602</v>
      </c>
      <c r="H324" s="181" t="s">
        <v>364</v>
      </c>
      <c r="I324" s="84"/>
      <c r="J324" s="85"/>
      <c r="K324" s="85"/>
      <c r="L324" s="85"/>
      <c r="M324" s="85"/>
      <c r="N324" s="85"/>
      <c r="O324" s="85"/>
      <c r="P324" s="85"/>
      <c r="Q324" s="85"/>
      <c r="R324" s="85"/>
      <c r="S324" s="85"/>
      <c r="T324" s="85"/>
      <c r="U324" s="85"/>
      <c r="V324" s="84"/>
      <c r="W324" s="84"/>
      <c r="X324" s="84" t="str">
        <f t="shared" si="15"/>
        <v>OK</v>
      </c>
      <c r="Y324" s="105"/>
      <c r="Z324" s="105"/>
      <c r="AA324" s="87"/>
      <c r="AB324" s="87"/>
      <c r="AC324" s="87"/>
      <c r="AD324" s="87"/>
      <c r="AE324" s="105"/>
      <c r="AF324" s="105"/>
      <c r="AG324" s="105"/>
      <c r="AH324" s="105"/>
      <c r="AI324" s="87"/>
      <c r="AJ324" s="87"/>
      <c r="AK324" s="105"/>
      <c r="AL324" s="87"/>
      <c r="AM324" s="105"/>
      <c r="AN324" s="105"/>
      <c r="AO324" s="87"/>
      <c r="AP324" s="87"/>
      <c r="AQ324" s="105"/>
      <c r="AR324" s="105"/>
      <c r="AS324" s="87"/>
      <c r="AT324" s="105"/>
      <c r="AU324" s="105"/>
      <c r="AV324" s="87"/>
      <c r="AW324" s="105"/>
      <c r="AX324" s="105"/>
      <c r="AY324" s="105"/>
      <c r="AZ324" s="105"/>
      <c r="BA324" s="105"/>
      <c r="BB324" s="105"/>
      <c r="BC324" s="87"/>
      <c r="BD324" s="87"/>
      <c r="BE324" s="87"/>
      <c r="BF324" s="105"/>
      <c r="BG324" s="105"/>
      <c r="BH324" s="105"/>
      <c r="BI324" s="105"/>
      <c r="BJ324" s="87"/>
      <c r="BK324" s="87"/>
      <c r="BL324" s="87"/>
      <c r="BM324" s="87"/>
      <c r="BN324" s="87"/>
      <c r="BO324" s="87"/>
      <c r="BP324" s="87"/>
      <c r="BQ324" s="87"/>
      <c r="BR324" s="87"/>
      <c r="BS324" s="87"/>
      <c r="BT324" s="87"/>
      <c r="BU324" s="87"/>
      <c r="BV324" s="87">
        <f>-1/7*C324</f>
        <v>-5.8928571428571423</v>
      </c>
      <c r="BW324" s="87">
        <f>-BV324</f>
        <v>5.8928571428571423</v>
      </c>
      <c r="BX324" s="87"/>
      <c r="BY324" s="87"/>
      <c r="BZ324" s="87"/>
      <c r="CA324" s="87"/>
      <c r="CB324" s="87"/>
      <c r="CC324" s="87"/>
      <c r="CD324" s="87"/>
      <c r="CE324" s="87"/>
      <c r="CF324" s="87"/>
      <c r="CG324" s="87"/>
      <c r="CH324" s="87"/>
      <c r="CI324" s="87"/>
      <c r="CJ324" s="87"/>
      <c r="CK324" s="87"/>
      <c r="CL324" s="87"/>
      <c r="CM324" s="87"/>
      <c r="CN324" s="87"/>
      <c r="CO324" s="87"/>
      <c r="CP324" s="87"/>
      <c r="CQ324" s="87"/>
      <c r="CR324" s="87"/>
      <c r="CS324" s="87"/>
      <c r="CT324" s="87"/>
      <c r="CU324" s="87"/>
      <c r="CV324" s="87"/>
      <c r="CW324" s="87"/>
      <c r="CX324" s="87"/>
      <c r="CY324" s="87"/>
      <c r="CZ324" s="87"/>
      <c r="DA324" s="87"/>
      <c r="DB324" s="87"/>
      <c r="DC324" s="87"/>
      <c r="DD324" s="87"/>
      <c r="DE324" s="87"/>
      <c r="DF324" s="87"/>
      <c r="DG324" s="87"/>
      <c r="DH324" s="87"/>
      <c r="DI324" s="87"/>
      <c r="DJ324" s="87"/>
      <c r="DK324" s="87"/>
      <c r="DL324" s="87"/>
      <c r="DM324" s="87"/>
      <c r="DN324" s="87"/>
      <c r="DO324" s="87"/>
      <c r="DP324" s="87"/>
      <c r="DQ324" s="87"/>
      <c r="DR324" s="87"/>
      <c r="DS324" s="87"/>
      <c r="DT324" s="87"/>
      <c r="DU324" s="87"/>
      <c r="DV324" s="87"/>
      <c r="DW324" s="87"/>
      <c r="DX324" s="87"/>
      <c r="DY324" s="87"/>
      <c r="DZ324" s="87"/>
      <c r="EA324" s="87"/>
      <c r="EB324" s="87"/>
      <c r="EC324" s="87"/>
      <c r="ED324" s="87"/>
      <c r="EE324" s="87"/>
      <c r="EF324" s="87"/>
      <c r="EG324" s="87"/>
      <c r="EH324" s="87"/>
      <c r="EI324" s="87"/>
    </row>
    <row r="325" spans="1:139" ht="29.25" hidden="1" thickBot="1" x14ac:dyDescent="0.35">
      <c r="A325" s="161" t="s">
        <v>633</v>
      </c>
      <c r="B325" s="279">
        <v>4</v>
      </c>
      <c r="C325" s="224">
        <f>(0.3*16)+62*0.25</f>
        <v>20.3</v>
      </c>
      <c r="D325" s="217">
        <f>C325/VLOOKUP(B325,'[2]Gas Prod per PADD'!$A$1:$C$6,2,FALSE)</f>
        <v>5.9705882352941178E-2</v>
      </c>
      <c r="E325" s="283">
        <v>45541</v>
      </c>
      <c r="F325" s="276">
        <v>45575</v>
      </c>
      <c r="G325" s="180" t="s">
        <v>634</v>
      </c>
      <c r="H325" s="221" t="s">
        <v>635</v>
      </c>
      <c r="I325" s="84"/>
      <c r="J325" s="85"/>
      <c r="K325" s="85"/>
      <c r="L325" s="85"/>
      <c r="M325" s="85"/>
      <c r="N325" s="85"/>
      <c r="O325" s="85"/>
      <c r="P325" s="85"/>
      <c r="Q325" s="85"/>
      <c r="R325" s="85"/>
      <c r="S325" s="85"/>
      <c r="T325" s="85"/>
      <c r="U325" s="85"/>
      <c r="V325" s="84"/>
      <c r="W325" s="84"/>
      <c r="X325" s="84" t="str">
        <f t="shared" si="15"/>
        <v>OK</v>
      </c>
      <c r="Y325" s="87"/>
      <c r="Z325" s="87"/>
      <c r="AA325" s="87"/>
      <c r="AB325" s="87"/>
      <c r="AC325" s="87"/>
      <c r="AD325" s="87"/>
      <c r="AE325" s="87"/>
      <c r="AF325" s="87"/>
      <c r="AG325" s="87"/>
      <c r="AH325" s="87"/>
      <c r="AI325" s="87"/>
      <c r="AJ325" s="87"/>
      <c r="AK325" s="87"/>
      <c r="AL325" s="87"/>
      <c r="AM325" s="87"/>
      <c r="AN325" s="87"/>
      <c r="AO325" s="87"/>
      <c r="AP325" s="87"/>
      <c r="AQ325" s="87"/>
      <c r="AR325" s="87"/>
      <c r="AS325" s="87"/>
      <c r="AT325" s="87"/>
      <c r="AU325" s="87"/>
      <c r="AV325" s="87"/>
      <c r="AW325" s="87"/>
      <c r="AX325" s="87"/>
      <c r="AY325" s="87"/>
      <c r="AZ325" s="87"/>
      <c r="BA325" s="87"/>
      <c r="BB325" s="87"/>
      <c r="BC325" s="87"/>
      <c r="BD325" s="87"/>
      <c r="BE325" s="87"/>
      <c r="BF325" s="87"/>
      <c r="BG325" s="87"/>
      <c r="BH325" s="87"/>
      <c r="BI325" s="87"/>
      <c r="BJ325" s="87"/>
      <c r="BK325" s="87"/>
      <c r="BL325" s="87"/>
      <c r="BM325" s="87"/>
      <c r="BN325" s="87"/>
      <c r="BO325" s="87"/>
      <c r="BP325" s="87"/>
      <c r="BQ325" s="87"/>
      <c r="BR325" s="87">
        <f>-C325</f>
        <v>-20.3</v>
      </c>
      <c r="BS325" s="87"/>
      <c r="BT325" s="87"/>
      <c r="BU325" s="87"/>
      <c r="BV325" s="87">
        <f>-BR325*1/7</f>
        <v>2.9</v>
      </c>
      <c r="BW325" s="87">
        <f>C325-BV325</f>
        <v>17.400000000000002</v>
      </c>
      <c r="BX325" s="87"/>
      <c r="BY325" s="87"/>
      <c r="BZ325" s="87"/>
      <c r="CA325" s="87"/>
      <c r="CB325" s="87"/>
      <c r="CC325" s="87"/>
      <c r="CD325" s="87"/>
      <c r="CE325" s="87"/>
      <c r="CF325" s="87"/>
      <c r="CG325" s="87"/>
      <c r="CH325" s="87"/>
      <c r="CI325" s="87"/>
      <c r="CJ325" s="87"/>
      <c r="CK325" s="87"/>
      <c r="CL325" s="87"/>
      <c r="CM325" s="87"/>
      <c r="CN325" s="87"/>
      <c r="CO325" s="87"/>
      <c r="CP325" s="87"/>
      <c r="CQ325" s="87"/>
      <c r="CR325" s="87"/>
      <c r="CS325" s="87"/>
      <c r="CT325" s="87"/>
      <c r="CU325" s="87"/>
      <c r="CV325" s="87"/>
      <c r="CW325" s="87"/>
      <c r="CX325" s="87"/>
      <c r="CY325" s="87"/>
      <c r="CZ325" s="87"/>
      <c r="DA325" s="87"/>
      <c r="DB325" s="87"/>
      <c r="DC325" s="87"/>
      <c r="DD325" s="87"/>
      <c r="DE325" s="87"/>
      <c r="DF325" s="87"/>
      <c r="DG325" s="87"/>
      <c r="DH325" s="87"/>
      <c r="DI325" s="87"/>
      <c r="DJ325" s="87"/>
      <c r="DK325" s="87"/>
      <c r="DL325" s="87"/>
      <c r="DM325" s="87"/>
      <c r="DN325" s="87"/>
      <c r="DO325" s="87"/>
      <c r="DP325" s="87"/>
      <c r="DQ325" s="87"/>
      <c r="DR325" s="87"/>
      <c r="DS325" s="87"/>
      <c r="DT325" s="87"/>
      <c r="DU325" s="87"/>
      <c r="DV325" s="87"/>
      <c r="DW325" s="87"/>
      <c r="DX325" s="87"/>
      <c r="DY325" s="87"/>
      <c r="DZ325" s="87"/>
      <c r="EA325" s="87"/>
      <c r="EB325" s="87"/>
      <c r="EC325" s="87"/>
      <c r="ED325" s="87"/>
      <c r="EE325" s="87"/>
      <c r="EF325" s="87"/>
      <c r="EG325" s="87"/>
      <c r="EH325" s="87"/>
      <c r="EI325" s="87"/>
    </row>
    <row r="326" spans="1:139" ht="29.25" hidden="1" thickBot="1" x14ac:dyDescent="0.35">
      <c r="A326" s="161" t="s">
        <v>119</v>
      </c>
      <c r="B326" s="279">
        <v>5</v>
      </c>
      <c r="C326" s="224">
        <f>0.65*72.5+ 87*0.1</f>
        <v>55.825000000000003</v>
      </c>
      <c r="D326" s="217">
        <f>C326/VLOOKUP(B326,'[2]Gas Prod per PADD'!$A$1:$C$6,2,FALSE)</f>
        <v>4.1351851851851855E-2</v>
      </c>
      <c r="E326" s="228">
        <v>45561</v>
      </c>
      <c r="F326" s="226">
        <f>E326+14</f>
        <v>45575</v>
      </c>
      <c r="G326" s="180" t="s">
        <v>636</v>
      </c>
      <c r="H326" s="181" t="s">
        <v>637</v>
      </c>
      <c r="I326" s="84"/>
      <c r="J326" s="85"/>
      <c r="K326" s="85"/>
      <c r="L326" s="85"/>
      <c r="M326" s="85"/>
      <c r="N326" s="85"/>
      <c r="O326" s="85"/>
      <c r="P326" s="85"/>
      <c r="Q326" s="85"/>
      <c r="R326" s="85"/>
      <c r="S326" s="85"/>
      <c r="T326" s="85"/>
      <c r="U326" s="85"/>
      <c r="V326" s="84"/>
      <c r="W326" s="84"/>
      <c r="X326" s="84" t="str">
        <f t="shared" si="15"/>
        <v>OK</v>
      </c>
      <c r="Y326" s="87"/>
      <c r="Z326" s="87"/>
      <c r="AA326" s="87"/>
      <c r="AB326" s="87"/>
      <c r="AC326" s="105"/>
      <c r="AD326" s="87"/>
      <c r="AE326" s="105"/>
      <c r="AF326" s="87"/>
      <c r="AG326" s="87"/>
      <c r="AH326" s="87"/>
      <c r="AI326" s="87"/>
      <c r="AJ326" s="87"/>
      <c r="AK326" s="87"/>
      <c r="AL326" s="87"/>
      <c r="AM326" s="87"/>
      <c r="AN326" s="87"/>
      <c r="AO326" s="87"/>
      <c r="AP326" s="87"/>
      <c r="AQ326" s="87"/>
      <c r="AR326" s="87"/>
      <c r="AS326" s="87"/>
      <c r="AT326" s="87"/>
      <c r="AU326" s="87"/>
      <c r="AV326" s="87"/>
      <c r="AW326" s="87"/>
      <c r="AX326" s="87"/>
      <c r="AY326" s="87"/>
      <c r="AZ326" s="87"/>
      <c r="BA326" s="87"/>
      <c r="BB326" s="87"/>
      <c r="BC326" s="87"/>
      <c r="BD326" s="87"/>
      <c r="BE326" s="87"/>
      <c r="BF326" s="87"/>
      <c r="BG326" s="87"/>
      <c r="BH326" s="87"/>
      <c r="BI326" s="87"/>
      <c r="BJ326" s="87"/>
      <c r="BK326" s="87"/>
      <c r="BL326" s="87"/>
      <c r="BM326" s="87"/>
      <c r="BN326" s="87"/>
      <c r="BO326" s="87"/>
      <c r="BP326" s="87"/>
      <c r="BQ326" s="87"/>
      <c r="BR326" s="87"/>
      <c r="BS326" s="87"/>
      <c r="BT326" s="87">
        <f>-0.25*C326</f>
        <v>-13.956250000000001</v>
      </c>
      <c r="BU326" s="87">
        <f>-0.75*C326</f>
        <v>-41.868750000000006</v>
      </c>
      <c r="BV326" s="87"/>
      <c r="BW326" s="87">
        <f>-BU326</f>
        <v>41.868750000000006</v>
      </c>
      <c r="BX326" s="87">
        <f>-BT326</f>
        <v>13.956250000000001</v>
      </c>
      <c r="BY326" s="105"/>
      <c r="BZ326" s="105"/>
      <c r="CA326" s="87"/>
      <c r="CB326" s="87"/>
      <c r="CC326" s="87"/>
      <c r="CD326" s="87"/>
      <c r="CE326" s="87"/>
      <c r="CF326" s="87"/>
      <c r="CG326" s="87"/>
      <c r="CH326" s="87"/>
      <c r="CI326" s="87"/>
      <c r="CJ326" s="87"/>
      <c r="CK326" s="87"/>
      <c r="CL326" s="87"/>
      <c r="CM326" s="87"/>
      <c r="CN326" s="87"/>
      <c r="CO326" s="87"/>
      <c r="CP326" s="87"/>
      <c r="CQ326" s="87"/>
      <c r="CR326" s="87"/>
      <c r="CS326" s="87"/>
      <c r="CT326" s="87"/>
      <c r="CU326" s="87"/>
      <c r="CV326" s="87"/>
      <c r="CW326" s="87"/>
      <c r="CX326" s="87"/>
      <c r="CY326" s="87"/>
      <c r="CZ326" s="87"/>
      <c r="DA326" s="87"/>
      <c r="DB326" s="87"/>
      <c r="DC326" s="87"/>
      <c r="DD326" s="87"/>
      <c r="DE326" s="87"/>
      <c r="DF326" s="87"/>
      <c r="DG326" s="87"/>
      <c r="DH326" s="87"/>
      <c r="DI326" s="87"/>
      <c r="DJ326" s="87"/>
      <c r="DK326" s="87"/>
      <c r="DL326" s="87"/>
      <c r="DM326" s="87"/>
      <c r="DN326" s="87"/>
      <c r="DO326" s="87"/>
      <c r="DP326" s="87"/>
      <c r="DQ326" s="87"/>
      <c r="DR326" s="87"/>
      <c r="DS326" s="87"/>
      <c r="DT326" s="87"/>
      <c r="DU326" s="87"/>
      <c r="DV326" s="87"/>
      <c r="DW326" s="87"/>
      <c r="DX326" s="87"/>
      <c r="DY326" s="87"/>
      <c r="DZ326" s="87"/>
      <c r="EA326" s="87"/>
      <c r="EB326" s="87"/>
      <c r="EC326" s="87"/>
      <c r="ED326" s="87"/>
      <c r="EE326" s="87"/>
      <c r="EF326" s="87"/>
      <c r="EG326" s="75">
        <v>46017</v>
      </c>
      <c r="EH326" s="75">
        <v>46024</v>
      </c>
      <c r="EI326" s="75">
        <v>46031</v>
      </c>
    </row>
    <row r="327" spans="1:139" ht="16.5" hidden="1" thickBot="1" x14ac:dyDescent="0.35">
      <c r="A327" s="193" t="s">
        <v>239</v>
      </c>
      <c r="B327" s="282">
        <v>2</v>
      </c>
      <c r="C327" s="177">
        <f>(0.1*95)</f>
        <v>9.5</v>
      </c>
      <c r="D327" s="217">
        <f>C327/VLOOKUP(B327,'[2]Gas Prod per PADD'!$A$1:$C$6,2,FALSE)</f>
        <v>3.9583333333333337E-3</v>
      </c>
      <c r="E327" s="178">
        <v>45565</v>
      </c>
      <c r="F327" s="252">
        <v>45576</v>
      </c>
      <c r="G327" s="180" t="s">
        <v>608</v>
      </c>
      <c r="H327" s="181" t="s">
        <v>638</v>
      </c>
      <c r="I327" s="84"/>
      <c r="J327" s="85"/>
      <c r="K327" s="85"/>
      <c r="L327" s="85"/>
      <c r="M327" s="85"/>
      <c r="N327" s="85"/>
      <c r="O327" s="85"/>
      <c r="P327" s="85"/>
      <c r="Q327" s="85"/>
      <c r="R327" s="85"/>
      <c r="S327" s="85"/>
      <c r="T327" s="85"/>
      <c r="U327" s="85"/>
      <c r="V327" s="84"/>
      <c r="W327" s="84"/>
      <c r="X327" s="84" t="str">
        <f t="shared" si="15"/>
        <v>OK</v>
      </c>
      <c r="Y327" s="105"/>
      <c r="Z327" s="105"/>
      <c r="AA327" s="87"/>
      <c r="AB327" s="87"/>
      <c r="AC327" s="87"/>
      <c r="AD327" s="87"/>
      <c r="AE327" s="105"/>
      <c r="AF327" s="105"/>
      <c r="AG327" s="105"/>
      <c r="AH327" s="105"/>
      <c r="AI327" s="87"/>
      <c r="AJ327" s="87"/>
      <c r="AK327" s="87"/>
      <c r="AL327" s="87"/>
      <c r="AM327" s="87"/>
      <c r="AN327" s="87"/>
      <c r="AO327" s="87"/>
      <c r="AP327" s="87"/>
      <c r="AQ327" s="87"/>
      <c r="AR327" s="87"/>
      <c r="AS327" s="87"/>
      <c r="AT327" s="87"/>
      <c r="AU327" s="87"/>
      <c r="AV327" s="87"/>
      <c r="AW327" s="87"/>
      <c r="AX327" s="87"/>
      <c r="AY327" s="87"/>
      <c r="AZ327" s="87"/>
      <c r="BA327" s="87"/>
      <c r="BB327" s="87"/>
      <c r="BC327" s="87"/>
      <c r="BD327" s="87"/>
      <c r="BE327" s="87"/>
      <c r="BF327" s="87"/>
      <c r="BG327" s="87"/>
      <c r="BH327" s="87"/>
      <c r="BI327" s="87"/>
      <c r="BJ327" s="87"/>
      <c r="BK327" s="87"/>
      <c r="BL327" s="87"/>
      <c r="BM327" s="87"/>
      <c r="BN327" s="87"/>
      <c r="BO327" s="87"/>
      <c r="BP327" s="87"/>
      <c r="BQ327" s="87"/>
      <c r="BR327" s="87"/>
      <c r="BS327" s="87"/>
      <c r="BT327" s="87"/>
      <c r="BU327" s="278">
        <f>-5/7*C327</f>
        <v>-6.7857142857142856</v>
      </c>
      <c r="BV327" s="278">
        <f>-2/7*C327</f>
        <v>-2.714285714285714</v>
      </c>
      <c r="BW327" s="278">
        <f>-BU327</f>
        <v>6.7857142857142856</v>
      </c>
      <c r="BX327" s="278">
        <f>-BV327</f>
        <v>2.714285714285714</v>
      </c>
      <c r="BY327" s="87"/>
      <c r="BZ327" s="87"/>
      <c r="CA327" s="87"/>
      <c r="CB327" s="87"/>
      <c r="CC327" s="87"/>
      <c r="CD327" s="87"/>
      <c r="CE327" s="87"/>
      <c r="CF327" s="87"/>
      <c r="CG327" s="87"/>
      <c r="CH327" s="87"/>
      <c r="CI327" s="87"/>
      <c r="CJ327" s="87"/>
      <c r="CK327" s="87"/>
      <c r="CL327" s="87"/>
      <c r="CM327" s="87"/>
      <c r="CN327" s="87"/>
      <c r="CO327" s="87"/>
      <c r="CP327" s="87"/>
      <c r="CQ327" s="87"/>
      <c r="CR327" s="87"/>
      <c r="CS327" s="87"/>
      <c r="CT327" s="87"/>
      <c r="CU327" s="87"/>
      <c r="CV327" s="87"/>
      <c r="CW327" s="87"/>
      <c r="CX327" s="87"/>
      <c r="CY327" s="87"/>
      <c r="CZ327" s="87"/>
      <c r="DA327" s="87"/>
      <c r="DB327" s="87"/>
      <c r="DC327" s="87"/>
      <c r="DD327" s="87"/>
      <c r="DE327" s="87"/>
      <c r="DF327" s="87"/>
      <c r="DG327" s="87"/>
      <c r="DH327" s="87"/>
      <c r="DI327" s="87"/>
      <c r="DJ327" s="87"/>
      <c r="DK327" s="87"/>
      <c r="DL327" s="87"/>
      <c r="DM327" s="87"/>
      <c r="DN327" s="87"/>
      <c r="DO327" s="87"/>
      <c r="DP327" s="87"/>
      <c r="DQ327" s="87"/>
      <c r="DR327" s="87"/>
      <c r="DS327" s="87"/>
      <c r="DT327" s="87"/>
      <c r="DU327" s="87"/>
      <c r="DV327" s="87"/>
      <c r="DW327" s="87"/>
      <c r="DX327" s="87"/>
      <c r="DY327" s="87"/>
      <c r="DZ327" s="87"/>
      <c r="EA327" s="87"/>
      <c r="EB327" s="87"/>
      <c r="EC327" s="87"/>
      <c r="ED327" s="87"/>
      <c r="EE327" s="87"/>
      <c r="EF327" s="87"/>
      <c r="EG327" s="87"/>
      <c r="EH327" s="87"/>
      <c r="EI327" s="87"/>
    </row>
    <row r="328" spans="1:139" ht="29.25" hidden="1" thickBot="1" x14ac:dyDescent="0.35">
      <c r="A328" s="190" t="s">
        <v>158</v>
      </c>
      <c r="B328" s="282">
        <v>3</v>
      </c>
      <c r="C328" s="177">
        <f>77.5*0.85</f>
        <v>65.875</v>
      </c>
      <c r="D328" s="217">
        <f>C328/VLOOKUP(B328,'[2]Gas Prod per PADD'!$A$1:$C$6,2,FALSE)</f>
        <v>1.4320652173913043E-2</v>
      </c>
      <c r="E328" s="178">
        <v>45571</v>
      </c>
      <c r="F328" s="252">
        <v>45578</v>
      </c>
      <c r="G328" s="180" t="s">
        <v>639</v>
      </c>
      <c r="H328" s="181" t="s">
        <v>640</v>
      </c>
      <c r="I328" s="84"/>
      <c r="J328" s="85"/>
      <c r="K328" s="85"/>
      <c r="L328" s="85"/>
      <c r="M328" s="85"/>
      <c r="N328" s="85"/>
      <c r="O328" s="85"/>
      <c r="P328" s="85"/>
      <c r="Q328" s="85"/>
      <c r="R328" s="85"/>
      <c r="S328" s="85"/>
      <c r="T328" s="85"/>
      <c r="U328" s="85"/>
      <c r="V328" s="84"/>
      <c r="W328" s="84"/>
      <c r="X328" s="84" t="str">
        <f t="shared" si="15"/>
        <v>OK</v>
      </c>
      <c r="Y328" s="105"/>
      <c r="Z328" s="105"/>
      <c r="AA328" s="87"/>
      <c r="AB328" s="87"/>
      <c r="AC328" s="87"/>
      <c r="AD328" s="87"/>
      <c r="AE328" s="105"/>
      <c r="AF328" s="105"/>
      <c r="AG328" s="105"/>
      <c r="AH328" s="105"/>
      <c r="AI328" s="87"/>
      <c r="AJ328" s="87"/>
      <c r="AK328" s="105"/>
      <c r="AL328" s="87"/>
      <c r="AM328" s="105"/>
      <c r="AN328" s="105"/>
      <c r="AO328" s="87"/>
      <c r="AP328" s="87"/>
      <c r="AQ328" s="105"/>
      <c r="AR328" s="105"/>
      <c r="AS328" s="87"/>
      <c r="AT328" s="105"/>
      <c r="AU328" s="87"/>
      <c r="AV328" s="87"/>
      <c r="AW328" s="105"/>
      <c r="AX328" s="105"/>
      <c r="AY328" s="105"/>
      <c r="AZ328" s="105"/>
      <c r="BA328" s="105"/>
      <c r="BB328" s="105"/>
      <c r="BC328" s="105"/>
      <c r="BD328" s="87"/>
      <c r="BE328" s="87"/>
      <c r="BF328" s="87"/>
      <c r="BG328" s="87"/>
      <c r="BH328" s="87"/>
      <c r="BI328" s="87"/>
      <c r="BJ328" s="87"/>
      <c r="BK328" s="87"/>
      <c r="BL328" s="87"/>
      <c r="BM328" s="87"/>
      <c r="BN328" s="87"/>
      <c r="BO328" s="87"/>
      <c r="BP328" s="87"/>
      <c r="BQ328" s="87"/>
      <c r="BR328" s="87"/>
      <c r="BS328" s="87"/>
      <c r="BT328" s="87"/>
      <c r="BU328" s="87"/>
      <c r="BV328" s="87">
        <f>-5/7*C328</f>
        <v>-47.053571428571431</v>
      </c>
      <c r="BW328" s="87">
        <f>-BV328</f>
        <v>47.053571428571431</v>
      </c>
      <c r="BX328" s="87"/>
      <c r="BY328" s="87"/>
      <c r="BZ328" s="87"/>
      <c r="CA328" s="87"/>
      <c r="CB328" s="87"/>
      <c r="CC328" s="87"/>
      <c r="CD328" s="87"/>
      <c r="CE328" s="87"/>
      <c r="CF328" s="87"/>
      <c r="CG328" s="87"/>
      <c r="CH328" s="87"/>
      <c r="CI328" s="87"/>
      <c r="CJ328" s="87"/>
      <c r="CK328" s="87"/>
      <c r="CL328" s="87"/>
      <c r="CM328" s="87"/>
      <c r="CN328" s="87"/>
      <c r="CO328" s="87"/>
      <c r="CP328" s="87"/>
      <c r="CQ328" s="87"/>
      <c r="CR328" s="87"/>
      <c r="CS328" s="87"/>
      <c r="CT328" s="87"/>
      <c r="CU328" s="87"/>
      <c r="CV328" s="87"/>
      <c r="CW328" s="87"/>
      <c r="CX328" s="87"/>
      <c r="CY328" s="87"/>
      <c r="CZ328" s="87"/>
      <c r="DA328" s="87"/>
      <c r="DB328" s="87"/>
      <c r="DC328" s="87"/>
      <c r="DD328" s="87"/>
      <c r="DE328" s="87"/>
      <c r="DF328" s="87"/>
      <c r="DG328" s="87"/>
      <c r="DH328" s="87"/>
      <c r="DI328" s="87"/>
      <c r="DJ328" s="87"/>
      <c r="DK328" s="87"/>
      <c r="DL328" s="87"/>
      <c r="DM328" s="87"/>
      <c r="DN328" s="87"/>
      <c r="DO328" s="87"/>
      <c r="DP328" s="87"/>
      <c r="DQ328" s="87"/>
      <c r="DR328" s="87"/>
      <c r="DS328" s="87"/>
      <c r="DT328" s="87"/>
      <c r="DU328" s="87"/>
      <c r="DV328" s="87"/>
      <c r="DW328" s="87"/>
      <c r="DX328" s="87"/>
      <c r="DY328" s="87"/>
      <c r="DZ328" s="87"/>
      <c r="EA328" s="87"/>
      <c r="EB328" s="87"/>
      <c r="EC328" s="87"/>
      <c r="ED328" s="87"/>
      <c r="EE328" s="87"/>
      <c r="EF328" s="87"/>
      <c r="EG328" s="87"/>
      <c r="EH328" s="87"/>
      <c r="EI328" s="87"/>
    </row>
    <row r="329" spans="1:139" ht="57.75" hidden="1" thickBot="1" x14ac:dyDescent="0.35">
      <c r="A329" s="190" t="s">
        <v>225</v>
      </c>
      <c r="B329" s="282">
        <v>3</v>
      </c>
      <c r="C329" s="177">
        <f>81*0.65+(55*0.25)</f>
        <v>66.400000000000006</v>
      </c>
      <c r="D329" s="217">
        <f>C329/VLOOKUP(B329,'[2]Gas Prod per PADD'!$A$1:$C$6,2,FALSE)</f>
        <v>1.4434782608695653E-2</v>
      </c>
      <c r="E329" s="178">
        <v>45582</v>
      </c>
      <c r="F329" s="252">
        <v>45583</v>
      </c>
      <c r="G329" s="191" t="s">
        <v>641</v>
      </c>
      <c r="H329" s="181" t="s">
        <v>364</v>
      </c>
      <c r="I329" s="84"/>
      <c r="J329" s="85"/>
      <c r="K329" s="85"/>
      <c r="L329" s="85"/>
      <c r="M329" s="85"/>
      <c r="N329" s="85"/>
      <c r="O329" s="85"/>
      <c r="P329" s="85"/>
      <c r="Q329" s="85"/>
      <c r="R329" s="85"/>
      <c r="S329" s="85"/>
      <c r="T329" s="85"/>
      <c r="U329" s="85"/>
      <c r="V329" s="84"/>
      <c r="W329" s="84"/>
      <c r="X329" s="84" t="str">
        <f t="shared" si="15"/>
        <v>OK</v>
      </c>
      <c r="Y329" s="105"/>
      <c r="Z329" s="105"/>
      <c r="AA329" s="87"/>
      <c r="AB329" s="87"/>
      <c r="AC329" s="87"/>
      <c r="AD329" s="87"/>
      <c r="AE329" s="105"/>
      <c r="AF329" s="105"/>
      <c r="AG329" s="105"/>
      <c r="AH329" s="105"/>
      <c r="AI329" s="87"/>
      <c r="AJ329" s="87"/>
      <c r="AK329" s="87"/>
      <c r="AL329" s="87"/>
      <c r="AM329" s="87"/>
      <c r="AN329" s="87"/>
      <c r="AO329" s="87"/>
      <c r="AP329" s="87"/>
      <c r="AQ329" s="87"/>
      <c r="AR329" s="87"/>
      <c r="AS329" s="87"/>
      <c r="AT329" s="87"/>
      <c r="AU329" s="87"/>
      <c r="AV329" s="87"/>
      <c r="AW329" s="87"/>
      <c r="AX329" s="87"/>
      <c r="AY329" s="87"/>
      <c r="AZ329" s="87"/>
      <c r="BA329" s="87"/>
      <c r="BB329" s="87"/>
      <c r="BC329" s="87"/>
      <c r="BD329" s="87"/>
      <c r="BE329" s="87"/>
      <c r="BF329" s="87"/>
      <c r="BG329" s="87"/>
      <c r="BH329" s="87"/>
      <c r="BI329" s="87"/>
      <c r="BJ329" s="87"/>
      <c r="BK329" s="87"/>
      <c r="BL329" s="87"/>
      <c r="BM329" s="87"/>
      <c r="BN329" s="87"/>
      <c r="BO329" s="87"/>
      <c r="BP329" s="87"/>
      <c r="BQ329" s="87"/>
      <c r="BR329" s="87"/>
      <c r="BS329" s="87"/>
      <c r="BT329" s="87"/>
      <c r="BU329" s="87"/>
      <c r="BV329" s="87"/>
      <c r="BW329" s="87">
        <f>-2/7*C329</f>
        <v>-18.971428571428572</v>
      </c>
      <c r="BX329" s="87">
        <f>-BW329</f>
        <v>18.971428571428572</v>
      </c>
      <c r="BY329" s="87"/>
      <c r="BZ329" s="87"/>
      <c r="CA329" s="87"/>
      <c r="CB329" s="87"/>
      <c r="CC329" s="87"/>
      <c r="CD329" s="87"/>
      <c r="CE329" s="87"/>
      <c r="CF329" s="87"/>
      <c r="CG329" s="87"/>
      <c r="CH329" s="87"/>
      <c r="CI329" s="87"/>
      <c r="CJ329" s="87"/>
      <c r="CK329" s="87"/>
      <c r="CL329" s="87"/>
      <c r="CM329" s="87"/>
      <c r="CN329" s="87"/>
      <c r="CO329" s="87"/>
      <c r="CP329" s="87"/>
      <c r="CQ329" s="87"/>
      <c r="CR329" s="87"/>
      <c r="CS329" s="87"/>
      <c r="CT329" s="87"/>
      <c r="CU329" s="87"/>
      <c r="CV329" s="87"/>
      <c r="CW329" s="87"/>
      <c r="CX329" s="87"/>
      <c r="CY329" s="87"/>
      <c r="CZ329" s="87"/>
      <c r="DA329" s="87"/>
      <c r="DB329" s="87"/>
      <c r="DC329" s="87"/>
      <c r="DD329" s="87"/>
      <c r="DE329" s="87"/>
      <c r="DF329" s="87"/>
      <c r="DG329" s="87"/>
      <c r="DH329" s="87"/>
      <c r="DI329" s="87"/>
      <c r="DJ329" s="87"/>
      <c r="DK329" s="87"/>
      <c r="DL329" s="87"/>
      <c r="DM329" s="87"/>
      <c r="DN329" s="87"/>
      <c r="DO329" s="87"/>
      <c r="DP329" s="87"/>
      <c r="DQ329" s="87"/>
      <c r="DR329" s="87"/>
      <c r="DS329" s="87"/>
      <c r="DT329" s="87"/>
      <c r="DU329" s="87"/>
      <c r="DV329" s="87"/>
      <c r="DW329" s="87"/>
      <c r="DX329" s="87"/>
      <c r="DY329" s="87"/>
      <c r="DZ329" s="87"/>
      <c r="EA329" s="87"/>
      <c r="EB329" s="87"/>
      <c r="EC329" s="87"/>
      <c r="ED329" s="87"/>
      <c r="EE329" s="87"/>
      <c r="EF329" s="87"/>
      <c r="EG329" s="87"/>
      <c r="EH329" s="87"/>
      <c r="EI329" s="87"/>
    </row>
    <row r="330" spans="1:139" ht="16.5" hidden="1" thickBot="1" x14ac:dyDescent="0.35">
      <c r="A330" s="113" t="s">
        <v>479</v>
      </c>
      <c r="B330" s="199">
        <v>2</v>
      </c>
      <c r="C330" s="195">
        <f>8.5*0.3</f>
        <v>2.5499999999999998</v>
      </c>
      <c r="D330" s="217">
        <f>C330/VLOOKUP(B330,'[2]Gas Prod per PADD'!$A$1:$C$6,2,FALSE)</f>
        <v>1.0624999999999999E-3</v>
      </c>
      <c r="E330" s="196">
        <v>45578</v>
      </c>
      <c r="F330" s="281">
        <f>E330+7</f>
        <v>45585</v>
      </c>
      <c r="G330" s="194" t="s">
        <v>480</v>
      </c>
      <c r="H330" s="198" t="s">
        <v>481</v>
      </c>
      <c r="I330" s="84"/>
      <c r="J330" s="85"/>
      <c r="K330" s="85"/>
      <c r="L330" s="85"/>
      <c r="M330" s="85"/>
      <c r="N330" s="85"/>
      <c r="O330" s="85"/>
      <c r="P330" s="85"/>
      <c r="Q330" s="85"/>
      <c r="R330" s="85"/>
      <c r="S330" s="85"/>
      <c r="T330" s="85"/>
      <c r="U330" s="85"/>
      <c r="V330" s="84"/>
      <c r="W330" s="84"/>
      <c r="X330" s="84" t="str">
        <f t="shared" si="15"/>
        <v>OK</v>
      </c>
      <c r="Y330" s="105"/>
      <c r="Z330" s="105"/>
      <c r="AA330" s="87"/>
      <c r="AB330" s="87"/>
      <c r="AC330" s="87"/>
      <c r="AD330" s="87"/>
      <c r="AE330" s="105"/>
      <c r="AF330" s="105"/>
      <c r="AG330" s="105"/>
      <c r="AH330" s="105"/>
      <c r="AI330" s="87"/>
      <c r="AJ330" s="87"/>
      <c r="AK330" s="105"/>
      <c r="AL330" s="87"/>
      <c r="AM330" s="105"/>
      <c r="AN330" s="105"/>
      <c r="AO330" s="87"/>
      <c r="AP330" s="87"/>
      <c r="AQ330" s="105"/>
      <c r="AR330" s="105"/>
      <c r="AS330" s="87"/>
      <c r="AT330" s="105"/>
      <c r="AU330" s="87"/>
      <c r="AV330" s="105"/>
      <c r="AW330" s="105"/>
      <c r="AX330" s="105"/>
      <c r="AY330" s="87"/>
      <c r="AZ330" s="105"/>
      <c r="BA330" s="105"/>
      <c r="BB330" s="105"/>
      <c r="BC330" s="105"/>
      <c r="BD330" s="105"/>
      <c r="BE330" s="105"/>
      <c r="BF330" s="87"/>
      <c r="BG330" s="87"/>
      <c r="BH330" s="87"/>
      <c r="BI330" s="87"/>
      <c r="BJ330" s="87"/>
      <c r="BK330" s="87"/>
      <c r="BL330" s="87"/>
      <c r="BM330" s="87"/>
      <c r="BN330" s="87"/>
      <c r="BO330" s="87"/>
      <c r="BP330" s="87"/>
      <c r="BQ330" s="87"/>
      <c r="BR330" s="87"/>
      <c r="BS330" s="87"/>
      <c r="BT330" s="87"/>
      <c r="BU330" s="87"/>
      <c r="BV330" s="87"/>
      <c r="BW330" s="87">
        <f>C330*-1</f>
        <v>-2.5499999999999998</v>
      </c>
      <c r="BX330" s="87">
        <f>BW330*-1</f>
        <v>2.5499999999999998</v>
      </c>
      <c r="BY330" s="87"/>
      <c r="BZ330" s="87"/>
      <c r="CA330" s="87"/>
      <c r="CB330" s="87"/>
      <c r="CC330" s="87"/>
      <c r="CD330" s="87"/>
      <c r="CE330" s="87"/>
      <c r="CF330" s="87"/>
      <c r="CG330" s="87"/>
      <c r="CH330" s="87"/>
      <c r="CI330" s="87"/>
      <c r="CJ330" s="87"/>
      <c r="CK330" s="87"/>
      <c r="CL330" s="87"/>
      <c r="CM330" s="87"/>
      <c r="CN330" s="87"/>
      <c r="CO330" s="87"/>
      <c r="CP330" s="87"/>
      <c r="CQ330" s="87"/>
      <c r="CR330" s="87"/>
      <c r="CS330" s="87"/>
      <c r="CT330" s="87"/>
      <c r="CU330" s="87"/>
      <c r="CV330" s="87"/>
      <c r="CW330" s="87"/>
      <c r="CX330" s="87"/>
      <c r="CY330" s="87"/>
      <c r="CZ330" s="87"/>
      <c r="DA330" s="87"/>
      <c r="DB330" s="87"/>
      <c r="DC330" s="87"/>
      <c r="DD330" s="87"/>
      <c r="DE330" s="87"/>
      <c r="DF330" s="87"/>
      <c r="DG330" s="87"/>
      <c r="DH330" s="87"/>
      <c r="DI330" s="87"/>
      <c r="DJ330" s="87"/>
      <c r="DK330" s="87"/>
      <c r="DL330" s="87"/>
      <c r="DM330" s="87"/>
      <c r="DN330" s="87"/>
      <c r="DO330" s="87"/>
      <c r="DP330" s="87"/>
      <c r="DQ330" s="87"/>
      <c r="DR330" s="87"/>
      <c r="DS330" s="87"/>
      <c r="DT330" s="87"/>
      <c r="DU330" s="87"/>
      <c r="DV330" s="87"/>
      <c r="DW330" s="87"/>
      <c r="DX330" s="87"/>
      <c r="DY330" s="87"/>
      <c r="DZ330" s="87"/>
      <c r="EA330" s="87"/>
      <c r="EB330" s="87"/>
      <c r="EC330" s="87"/>
      <c r="ED330" s="87"/>
      <c r="EE330" s="87"/>
      <c r="EF330" s="87"/>
      <c r="EG330" s="87"/>
      <c r="EH330" s="87"/>
      <c r="EI330" s="87"/>
    </row>
    <row r="331" spans="1:139" ht="16.5" hidden="1" thickBot="1" x14ac:dyDescent="0.35">
      <c r="A331" s="190" t="s">
        <v>127</v>
      </c>
      <c r="B331" s="282">
        <v>3</v>
      </c>
      <c r="C331" s="177">
        <f>210*0.25</f>
        <v>52.5</v>
      </c>
      <c r="D331" s="217">
        <f>C331/VLOOKUP(B331,'[2]Gas Prod per PADD'!$A$1:$C$6,2,FALSE)</f>
        <v>1.141304347826087E-2</v>
      </c>
      <c r="E331" s="178">
        <v>45585</v>
      </c>
      <c r="F331" s="252">
        <v>45585</v>
      </c>
      <c r="G331" s="180" t="s">
        <v>642</v>
      </c>
      <c r="H331" s="181" t="s">
        <v>364</v>
      </c>
      <c r="I331" s="84"/>
      <c r="J331" s="85"/>
      <c r="K331" s="85"/>
      <c r="L331" s="85"/>
      <c r="M331" s="85"/>
      <c r="N331" s="85"/>
      <c r="O331" s="85"/>
      <c r="P331" s="85"/>
      <c r="Q331" s="85"/>
      <c r="R331" s="85"/>
      <c r="S331" s="85"/>
      <c r="T331" s="85"/>
      <c r="U331" s="85"/>
      <c r="V331" s="84"/>
      <c r="W331" s="84"/>
      <c r="X331" s="84" t="str">
        <f t="shared" si="15"/>
        <v>OK</v>
      </c>
      <c r="Y331" s="86"/>
      <c r="Z331" s="87"/>
      <c r="AA331" s="87"/>
      <c r="AB331" s="87"/>
      <c r="AC331" s="87"/>
      <c r="AD331" s="87"/>
      <c r="AE331" s="87"/>
      <c r="AF331" s="87"/>
      <c r="AG331" s="87"/>
      <c r="AH331" s="87"/>
      <c r="AI331" s="87"/>
      <c r="AJ331" s="87"/>
      <c r="AK331" s="87"/>
      <c r="AL331" s="87"/>
      <c r="AM331" s="87"/>
      <c r="AN331" s="87"/>
      <c r="AO331" s="87"/>
      <c r="AP331" s="87"/>
      <c r="AQ331" s="87"/>
      <c r="AR331" s="87"/>
      <c r="AS331" s="87"/>
      <c r="AT331" s="87"/>
      <c r="AU331" s="87"/>
      <c r="AV331" s="87"/>
      <c r="AW331" s="87"/>
      <c r="AX331" s="87"/>
      <c r="AY331" s="87"/>
      <c r="AZ331" s="87"/>
      <c r="BA331" s="87"/>
      <c r="BB331" s="87"/>
      <c r="BC331" s="87"/>
      <c r="BD331" s="87"/>
      <c r="BE331" s="87"/>
      <c r="BF331" s="87"/>
      <c r="BG331" s="87"/>
      <c r="BH331" s="87"/>
      <c r="BI331" s="87"/>
      <c r="BJ331" s="87"/>
      <c r="BK331" s="87"/>
      <c r="BL331" s="87"/>
      <c r="BM331" s="87"/>
      <c r="BN331" s="87"/>
      <c r="BO331" s="87"/>
      <c r="BP331" s="87"/>
      <c r="BQ331" s="87"/>
      <c r="BR331" s="87"/>
      <c r="BS331" s="87"/>
      <c r="BT331" s="87"/>
      <c r="BU331" s="87"/>
      <c r="BV331" s="87"/>
      <c r="BW331" s="87"/>
      <c r="BX331" s="87">
        <f>-1/7*C331</f>
        <v>-7.5</v>
      </c>
      <c r="BY331" s="87">
        <f>-BX331</f>
        <v>7.5</v>
      </c>
      <c r="BZ331" s="87"/>
      <c r="CA331" s="87"/>
      <c r="CB331" s="87"/>
      <c r="CC331" s="87"/>
      <c r="CD331" s="87"/>
      <c r="CE331" s="87"/>
      <c r="CF331" s="87"/>
      <c r="CG331" s="87"/>
      <c r="CH331" s="87"/>
      <c r="CI331" s="87"/>
      <c r="CJ331" s="87"/>
      <c r="CK331" s="87"/>
      <c r="CL331" s="87"/>
      <c r="CM331" s="87"/>
      <c r="CN331" s="87"/>
      <c r="CO331" s="87"/>
      <c r="CP331" s="87"/>
      <c r="CQ331" s="87"/>
      <c r="CR331" s="87"/>
      <c r="CS331" s="87"/>
      <c r="CT331" s="87"/>
      <c r="CU331" s="87"/>
      <c r="CV331" s="87"/>
      <c r="CW331" s="87"/>
      <c r="CX331" s="87"/>
      <c r="CY331" s="87"/>
      <c r="CZ331" s="87"/>
      <c r="DA331" s="87"/>
      <c r="DB331" s="87"/>
      <c r="DC331" s="87"/>
      <c r="DD331" s="87"/>
      <c r="DE331" s="87"/>
      <c r="DF331" s="87"/>
      <c r="DG331" s="87"/>
      <c r="DH331" s="87"/>
      <c r="DI331" s="87"/>
      <c r="DJ331" s="87"/>
      <c r="DK331" s="87"/>
      <c r="DL331" s="87"/>
      <c r="DM331" s="87"/>
      <c r="DN331" s="87"/>
      <c r="DO331" s="87"/>
      <c r="DP331" s="87"/>
      <c r="DQ331" s="87"/>
      <c r="DR331" s="87"/>
      <c r="DS331" s="87"/>
      <c r="DT331" s="87"/>
      <c r="DU331" s="87"/>
      <c r="DV331" s="87"/>
      <c r="DW331" s="87"/>
      <c r="DX331" s="87"/>
      <c r="DY331" s="87"/>
      <c r="DZ331" s="87"/>
      <c r="EA331" s="87"/>
      <c r="EB331" s="87"/>
      <c r="EC331" s="87"/>
      <c r="ED331" s="87"/>
      <c r="EE331" s="87"/>
      <c r="EF331" s="87"/>
      <c r="EG331" s="87"/>
      <c r="EH331" s="87"/>
      <c r="EI331" s="87"/>
    </row>
    <row r="332" spans="1:139" ht="16.5" hidden="1" thickBot="1" x14ac:dyDescent="0.35">
      <c r="A332" s="242" t="s">
        <v>251</v>
      </c>
      <c r="B332" s="194">
        <v>5</v>
      </c>
      <c r="C332" s="195">
        <f>25*0.25</f>
        <v>6.25</v>
      </c>
      <c r="D332" s="217">
        <f>C332/VLOOKUP(B332,'[2]Gas Prod per PADD'!$A$1:$C$6,2,FALSE)</f>
        <v>4.6296296296296294E-3</v>
      </c>
      <c r="E332" s="196">
        <v>45583</v>
      </c>
      <c r="F332" s="197">
        <v>45586</v>
      </c>
      <c r="G332" s="284" t="s">
        <v>643</v>
      </c>
      <c r="H332" s="198" t="s">
        <v>640</v>
      </c>
      <c r="I332" s="84"/>
      <c r="J332" s="85"/>
      <c r="K332" s="85"/>
      <c r="L332" s="85"/>
      <c r="M332" s="85"/>
      <c r="N332" s="85"/>
      <c r="O332" s="85"/>
      <c r="P332" s="85"/>
      <c r="Q332" s="85"/>
      <c r="R332" s="85"/>
      <c r="S332" s="85"/>
      <c r="T332" s="85"/>
      <c r="U332" s="85"/>
      <c r="V332" s="84"/>
      <c r="W332" s="84"/>
      <c r="X332" s="84" t="str">
        <f t="shared" si="15"/>
        <v>OK</v>
      </c>
      <c r="Y332" s="87"/>
      <c r="Z332" s="87"/>
      <c r="AA332" s="87"/>
      <c r="AB332" s="87"/>
      <c r="AC332" s="87"/>
      <c r="AD332" s="87"/>
      <c r="AE332" s="87"/>
      <c r="AF332" s="87"/>
      <c r="AG332" s="87"/>
      <c r="AH332" s="87"/>
      <c r="AI332" s="87"/>
      <c r="AJ332" s="87"/>
      <c r="AK332" s="87"/>
      <c r="AL332" s="87"/>
      <c r="AM332" s="87"/>
      <c r="AN332" s="87"/>
      <c r="AO332" s="87"/>
      <c r="AP332" s="87"/>
      <c r="AQ332" s="87"/>
      <c r="AR332" s="87"/>
      <c r="AS332" s="87"/>
      <c r="AT332" s="87"/>
      <c r="AU332" s="87"/>
      <c r="AV332" s="87"/>
      <c r="AW332" s="87"/>
      <c r="AX332" s="87"/>
      <c r="AY332" s="87"/>
      <c r="AZ332" s="87"/>
      <c r="BA332" s="87"/>
      <c r="BB332" s="87"/>
      <c r="BC332" s="87"/>
      <c r="BD332" s="87"/>
      <c r="BE332" s="87"/>
      <c r="BF332" s="87"/>
      <c r="BG332" s="87"/>
      <c r="BH332" s="87"/>
      <c r="BI332" s="87"/>
      <c r="BJ332" s="87"/>
      <c r="BK332" s="87"/>
      <c r="BL332" s="87"/>
      <c r="BM332" s="87"/>
      <c r="BN332" s="87"/>
      <c r="BO332" s="87"/>
      <c r="BP332" s="87"/>
      <c r="BQ332" s="87"/>
      <c r="BR332" s="87"/>
      <c r="BS332" s="87"/>
      <c r="BT332" s="87"/>
      <c r="BU332" s="87"/>
      <c r="BV332" s="87"/>
      <c r="BW332" s="87"/>
      <c r="BX332" s="87">
        <f>-C332*4/7</f>
        <v>-3.5714285714285716</v>
      </c>
      <c r="BY332" s="87">
        <f>-BX332</f>
        <v>3.5714285714285716</v>
      </c>
      <c r="BZ332" s="87"/>
      <c r="CA332" s="87"/>
      <c r="CB332" s="87"/>
      <c r="CC332" s="87"/>
      <c r="CD332" s="87"/>
      <c r="CE332" s="87"/>
      <c r="CF332" s="87"/>
      <c r="CG332" s="87"/>
      <c r="CH332" s="87"/>
      <c r="CI332" s="87"/>
      <c r="CJ332" s="87"/>
      <c r="CK332" s="87"/>
      <c r="CL332" s="87"/>
      <c r="CM332" s="87"/>
      <c r="CN332" s="87"/>
      <c r="CO332" s="87"/>
      <c r="CP332" s="87"/>
      <c r="CQ332" s="87"/>
      <c r="CR332" s="87"/>
      <c r="CS332" s="87"/>
      <c r="CT332" s="87"/>
      <c r="CU332" s="87"/>
      <c r="CV332" s="87"/>
      <c r="CW332" s="87"/>
      <c r="CX332" s="87"/>
      <c r="CY332" s="87"/>
      <c r="CZ332" s="87"/>
      <c r="DA332" s="87"/>
      <c r="DB332" s="87"/>
      <c r="DC332" s="87"/>
      <c r="DD332" s="87"/>
      <c r="DE332" s="87"/>
      <c r="DF332" s="87"/>
      <c r="DG332" s="87"/>
      <c r="DH332" s="87"/>
      <c r="DI332" s="87"/>
      <c r="DJ332" s="87"/>
      <c r="DK332" s="87"/>
      <c r="DL332" s="87"/>
      <c r="DM332" s="87"/>
      <c r="DN332" s="87"/>
      <c r="DO332" s="87"/>
      <c r="DP332" s="87"/>
      <c r="DQ332" s="87"/>
      <c r="DR332" s="87"/>
      <c r="DS332" s="87"/>
      <c r="DT332" s="87"/>
      <c r="DU332" s="87"/>
      <c r="DV332" s="87"/>
      <c r="DW332" s="87"/>
      <c r="DX332" s="87"/>
      <c r="DY332" s="87"/>
      <c r="DZ332" s="87"/>
      <c r="EA332" s="87"/>
      <c r="EB332" s="87"/>
      <c r="EC332" s="87"/>
      <c r="ED332" s="87"/>
      <c r="EE332" s="87"/>
      <c r="EF332" s="87"/>
      <c r="EG332" s="75">
        <v>46017</v>
      </c>
      <c r="EH332" s="75">
        <v>46024</v>
      </c>
      <c r="EI332" s="75">
        <v>46031</v>
      </c>
    </row>
    <row r="333" spans="1:139" ht="16.5" hidden="1" thickBot="1" x14ac:dyDescent="0.35">
      <c r="A333" s="218" t="s">
        <v>644</v>
      </c>
      <c r="B333" s="194">
        <v>2</v>
      </c>
      <c r="C333" s="195">
        <f>13*0.5*0.65+15*0.25</f>
        <v>7.9750000000000005</v>
      </c>
      <c r="D333" s="217">
        <f>C333/VLOOKUP(B333,'[2]Gas Prod per PADD'!$A$1:$C$6,2,FALSE)</f>
        <v>3.3229166666666667E-3</v>
      </c>
      <c r="E333" s="178">
        <v>45585</v>
      </c>
      <c r="F333" s="197">
        <v>45586</v>
      </c>
      <c r="G333" s="194" t="s">
        <v>645</v>
      </c>
      <c r="H333" s="230" t="s">
        <v>543</v>
      </c>
      <c r="I333" s="84"/>
      <c r="J333" s="85"/>
      <c r="K333" s="85"/>
      <c r="L333" s="85"/>
      <c r="M333" s="85"/>
      <c r="N333" s="85"/>
      <c r="O333" s="85"/>
      <c r="P333" s="85"/>
      <c r="Q333" s="85"/>
      <c r="R333" s="85"/>
      <c r="S333" s="85"/>
      <c r="T333" s="85"/>
      <c r="U333" s="85"/>
      <c r="V333" s="84"/>
      <c r="W333" s="84"/>
      <c r="X333" s="84" t="str">
        <f t="shared" si="15"/>
        <v>OK</v>
      </c>
      <c r="Y333" s="86"/>
      <c r="Z333" s="87"/>
      <c r="AA333" s="87"/>
      <c r="AB333" s="87"/>
      <c r="AC333" s="87"/>
      <c r="AD333" s="87"/>
      <c r="AE333" s="87"/>
      <c r="AF333" s="87"/>
      <c r="AG333" s="87"/>
      <c r="AH333" s="87"/>
      <c r="AI333" s="87"/>
      <c r="AJ333" s="87"/>
      <c r="AK333" s="87"/>
      <c r="AL333" s="87"/>
      <c r="AM333" s="87"/>
      <c r="AN333" s="87"/>
      <c r="AO333" s="87"/>
      <c r="AP333" s="87"/>
      <c r="AQ333" s="87"/>
      <c r="AR333" s="87"/>
      <c r="AS333" s="87"/>
      <c r="AT333" s="87"/>
      <c r="AU333" s="87"/>
      <c r="AV333" s="87"/>
      <c r="AW333" s="87"/>
      <c r="AX333" s="87"/>
      <c r="AY333" s="87"/>
      <c r="AZ333" s="87"/>
      <c r="BA333" s="87"/>
      <c r="BB333" s="87"/>
      <c r="BC333" s="87"/>
      <c r="BD333" s="87"/>
      <c r="BE333" s="87"/>
      <c r="BF333" s="87"/>
      <c r="BG333" s="87"/>
      <c r="BH333" s="87"/>
      <c r="BI333" s="87"/>
      <c r="BJ333" s="105"/>
      <c r="BK333" s="87"/>
      <c r="BL333" s="105"/>
      <c r="BM333" s="87"/>
      <c r="BN333" s="105"/>
      <c r="BO333" s="105"/>
      <c r="BP333" s="87"/>
      <c r="BQ333" s="87"/>
      <c r="BR333" s="87"/>
      <c r="BS333" s="87"/>
      <c r="BT333" s="87"/>
      <c r="BU333" s="87"/>
      <c r="BV333" s="87"/>
      <c r="BW333" s="87"/>
      <c r="BX333" s="87">
        <f>-1/7*C333</f>
        <v>-1.1392857142857142</v>
      </c>
      <c r="BY333" s="87">
        <f>-BX333</f>
        <v>1.1392857142857142</v>
      </c>
      <c r="BZ333" s="87"/>
      <c r="CA333" s="87"/>
      <c r="CB333" s="87"/>
      <c r="CC333" s="87"/>
      <c r="CD333" s="87"/>
      <c r="CE333" s="87"/>
      <c r="CF333" s="87"/>
      <c r="CG333" s="87"/>
      <c r="CH333" s="87"/>
      <c r="CI333" s="87"/>
      <c r="CJ333" s="87"/>
      <c r="CK333" s="87"/>
      <c r="CL333" s="87"/>
      <c r="CM333" s="87"/>
      <c r="CN333" s="87"/>
      <c r="CO333" s="87"/>
      <c r="CP333" s="87"/>
      <c r="CQ333" s="87"/>
      <c r="CR333" s="87"/>
      <c r="CS333" s="87"/>
      <c r="CT333" s="87"/>
      <c r="CU333" s="87"/>
      <c r="CV333" s="87"/>
      <c r="CW333" s="87"/>
      <c r="CX333" s="87"/>
      <c r="CY333" s="87"/>
      <c r="CZ333" s="87"/>
      <c r="DA333" s="87"/>
      <c r="DB333" s="87"/>
      <c r="DC333" s="87"/>
      <c r="DD333" s="87"/>
      <c r="DE333" s="87"/>
      <c r="DF333" s="87"/>
      <c r="DG333" s="87"/>
      <c r="DH333" s="87"/>
      <c r="DI333" s="87"/>
      <c r="DJ333" s="87"/>
      <c r="DK333" s="87"/>
      <c r="DL333" s="87"/>
      <c r="DM333" s="87"/>
      <c r="DN333" s="87"/>
      <c r="DO333" s="87"/>
      <c r="DP333" s="87"/>
      <c r="DQ333" s="87"/>
      <c r="DR333" s="87"/>
      <c r="DS333" s="87"/>
      <c r="DT333" s="87"/>
      <c r="DU333" s="87"/>
      <c r="DV333" s="87"/>
      <c r="DW333" s="87"/>
      <c r="DX333" s="87"/>
      <c r="DY333" s="87"/>
      <c r="DZ333" s="87"/>
      <c r="EA333" s="87"/>
      <c r="EB333" s="87"/>
      <c r="EC333" s="87"/>
      <c r="ED333" s="87"/>
      <c r="EE333" s="87"/>
      <c r="EF333" s="87"/>
      <c r="EG333" s="87"/>
      <c r="EH333" s="87"/>
      <c r="EI333" s="87"/>
    </row>
    <row r="334" spans="1:139" ht="16.5" hidden="1" thickBot="1" x14ac:dyDescent="0.35">
      <c r="A334" s="218" t="s">
        <v>285</v>
      </c>
      <c r="B334" s="194">
        <v>5</v>
      </c>
      <c r="C334" s="195">
        <f>80*0.65</f>
        <v>52</v>
      </c>
      <c r="D334" s="217">
        <f>C334/VLOOKUP(B334,'[2]Gas Prod per PADD'!$A$1:$C$6,2,FALSE)</f>
        <v>3.8518518518518521E-2</v>
      </c>
      <c r="E334" s="225">
        <v>45534</v>
      </c>
      <c r="F334" s="276">
        <v>45587</v>
      </c>
      <c r="G334" s="180" t="s">
        <v>587</v>
      </c>
      <c r="H334" s="221" t="s">
        <v>646</v>
      </c>
      <c r="I334" s="84"/>
      <c r="J334" s="85"/>
      <c r="K334" s="85"/>
      <c r="L334" s="85"/>
      <c r="M334" s="85"/>
      <c r="N334" s="85"/>
      <c r="O334" s="85"/>
      <c r="P334" s="85"/>
      <c r="Q334" s="85"/>
      <c r="R334" s="85"/>
      <c r="S334" s="85"/>
      <c r="T334" s="85"/>
      <c r="U334" s="85"/>
      <c r="V334" s="84"/>
      <c r="W334" s="84"/>
      <c r="X334" s="84" t="str">
        <f t="shared" si="15"/>
        <v>OK</v>
      </c>
      <c r="Y334" s="86"/>
      <c r="Z334" s="87"/>
      <c r="AA334" s="87"/>
      <c r="AB334" s="87"/>
      <c r="AC334" s="87"/>
      <c r="AD334" s="87"/>
      <c r="AE334" s="87"/>
      <c r="AF334" s="87"/>
      <c r="AG334" s="87"/>
      <c r="AH334" s="87"/>
      <c r="AI334" s="87"/>
      <c r="AJ334" s="87"/>
      <c r="AK334" s="87"/>
      <c r="AL334" s="87"/>
      <c r="AM334" s="87"/>
      <c r="AN334" s="87"/>
      <c r="AO334" s="87"/>
      <c r="AP334" s="87"/>
      <c r="AQ334" s="87"/>
      <c r="AR334" s="87"/>
      <c r="AS334" s="87"/>
      <c r="AT334" s="87"/>
      <c r="AU334" s="87"/>
      <c r="AV334" s="87"/>
      <c r="AW334" s="87"/>
      <c r="AX334" s="87"/>
      <c r="AY334" s="87"/>
      <c r="AZ334" s="87"/>
      <c r="BA334" s="87"/>
      <c r="BB334" s="87"/>
      <c r="BC334" s="87"/>
      <c r="BD334" s="87"/>
      <c r="BE334" s="87"/>
      <c r="BF334" s="87"/>
      <c r="BG334" s="87"/>
      <c r="BH334" s="87"/>
      <c r="BI334" s="87"/>
      <c r="BJ334" s="87"/>
      <c r="BK334" s="87"/>
      <c r="BL334" s="87"/>
      <c r="BM334" s="87"/>
      <c r="BN334" s="87"/>
      <c r="BO334" s="87"/>
      <c r="BP334" s="87"/>
      <c r="BQ334" s="87">
        <f>(-0.75*C334)</f>
        <v>-39</v>
      </c>
      <c r="BR334" s="87">
        <f>(BQ334*-1)-C334</f>
        <v>-13</v>
      </c>
      <c r="BS334" s="87"/>
      <c r="BT334" s="87"/>
      <c r="BU334" s="87"/>
      <c r="BV334" s="105"/>
      <c r="BW334" s="87"/>
      <c r="BX334" s="87">
        <f>BR334*-1</f>
        <v>13</v>
      </c>
      <c r="BY334" s="105">
        <f>C334-BX334</f>
        <v>39</v>
      </c>
      <c r="BZ334" s="87"/>
      <c r="CA334" s="87"/>
      <c r="CB334" s="87"/>
      <c r="CC334" s="87"/>
      <c r="CD334" s="87"/>
      <c r="CE334" s="87"/>
      <c r="CF334" s="87"/>
      <c r="CG334" s="87"/>
      <c r="CH334" s="87"/>
      <c r="CI334" s="87"/>
      <c r="CJ334" s="87"/>
      <c r="CK334" s="87"/>
      <c r="CL334" s="87"/>
      <c r="CM334" s="87"/>
      <c r="CN334" s="87"/>
      <c r="CO334" s="87"/>
      <c r="CP334" s="87"/>
      <c r="CQ334" s="87"/>
      <c r="CR334" s="87"/>
      <c r="CS334" s="87"/>
      <c r="CT334" s="87"/>
      <c r="CU334" s="87"/>
      <c r="CV334" s="87"/>
      <c r="CW334" s="87"/>
      <c r="CX334" s="87"/>
      <c r="CY334" s="87"/>
      <c r="CZ334" s="87"/>
      <c r="DA334" s="87"/>
      <c r="DB334" s="87"/>
      <c r="DC334" s="87"/>
      <c r="DD334" s="87"/>
      <c r="DE334" s="87"/>
      <c r="DF334" s="87"/>
      <c r="DG334" s="87"/>
      <c r="DH334" s="87"/>
      <c r="DI334" s="87"/>
      <c r="DJ334" s="87"/>
      <c r="DK334" s="87"/>
      <c r="DL334" s="87"/>
      <c r="DM334" s="87"/>
      <c r="DN334" s="87"/>
      <c r="DO334" s="87"/>
      <c r="DP334" s="87"/>
      <c r="DQ334" s="87"/>
      <c r="DR334" s="87"/>
      <c r="DS334" s="87"/>
      <c r="DT334" s="87"/>
      <c r="DU334" s="87"/>
      <c r="DV334" s="87"/>
      <c r="DW334" s="87"/>
      <c r="DX334" s="87"/>
      <c r="DY334" s="87"/>
      <c r="DZ334" s="87"/>
      <c r="EA334" s="87"/>
      <c r="EB334" s="87"/>
      <c r="EC334" s="87"/>
      <c r="ED334" s="87"/>
      <c r="EE334" s="87"/>
      <c r="EF334" s="87"/>
      <c r="EG334" s="75">
        <v>46017</v>
      </c>
      <c r="EH334" s="75">
        <v>46024</v>
      </c>
      <c r="EI334" s="75">
        <v>46031</v>
      </c>
    </row>
    <row r="335" spans="1:139" ht="16.5" hidden="1" thickBot="1" x14ac:dyDescent="0.35">
      <c r="A335" s="193" t="s">
        <v>409</v>
      </c>
      <c r="B335" s="282" t="s">
        <v>410</v>
      </c>
      <c r="C335" s="177">
        <v>0</v>
      </c>
      <c r="D335" s="217" t="e">
        <f>C335/VLOOKUP(B335,'[2]Gas Prod per PADD'!$A$1:$C$6,2,FALSE)</f>
        <v>#N/A</v>
      </c>
      <c r="E335" s="196">
        <v>45548</v>
      </c>
      <c r="F335" s="281">
        <v>45587</v>
      </c>
      <c r="G335" s="180" t="s">
        <v>647</v>
      </c>
      <c r="H335" s="181" t="s">
        <v>379</v>
      </c>
      <c r="I335" s="84"/>
      <c r="J335" s="85"/>
      <c r="K335" s="85"/>
      <c r="L335" s="85"/>
      <c r="M335" s="85"/>
      <c r="N335" s="85"/>
      <c r="O335" s="85"/>
      <c r="P335" s="85"/>
      <c r="Q335" s="85"/>
      <c r="R335" s="85"/>
      <c r="S335" s="85"/>
      <c r="T335" s="85"/>
      <c r="U335" s="85"/>
      <c r="V335" s="84"/>
      <c r="W335" s="84"/>
      <c r="X335" s="84" t="str">
        <f t="shared" si="15"/>
        <v>Missing</v>
      </c>
      <c r="Y335" s="105"/>
      <c r="Z335" s="105"/>
      <c r="AA335" s="87"/>
      <c r="AB335" s="87"/>
      <c r="AC335" s="87"/>
      <c r="AD335" s="87"/>
      <c r="AE335" s="105"/>
      <c r="AF335" s="105"/>
      <c r="AG335" s="105"/>
      <c r="AH335" s="105"/>
      <c r="AI335" s="87"/>
      <c r="AJ335" s="87"/>
      <c r="AK335" s="105"/>
      <c r="AL335" s="87"/>
      <c r="AM335" s="105"/>
      <c r="AN335" s="105"/>
      <c r="AO335" s="87"/>
      <c r="AP335" s="87"/>
      <c r="AQ335" s="105"/>
      <c r="AR335" s="105"/>
      <c r="AS335" s="87"/>
      <c r="AT335" s="105"/>
      <c r="AU335" s="105"/>
      <c r="AV335" s="87"/>
      <c r="AW335" s="105"/>
      <c r="AX335" s="105"/>
      <c r="AY335" s="87"/>
      <c r="AZ335" s="105"/>
      <c r="BA335" s="105"/>
      <c r="BB335" s="105"/>
      <c r="BC335" s="87"/>
      <c r="BD335" s="87"/>
      <c r="BE335" s="105"/>
      <c r="BF335" s="105"/>
      <c r="BG335" s="105"/>
      <c r="BH335" s="105"/>
      <c r="BI335" s="105"/>
      <c r="BJ335" s="87"/>
      <c r="BK335" s="87"/>
      <c r="BL335" s="87"/>
      <c r="BM335" s="87"/>
      <c r="BN335" s="87"/>
      <c r="BO335" s="105"/>
      <c r="BP335" s="105"/>
      <c r="BQ335" s="105"/>
      <c r="BR335" s="105"/>
      <c r="BS335" s="87"/>
      <c r="BT335" s="87"/>
      <c r="BU335" s="87"/>
      <c r="BV335" s="87"/>
      <c r="BW335" s="87"/>
      <c r="BX335" s="87"/>
      <c r="BY335" s="87"/>
      <c r="BZ335" s="87"/>
      <c r="CA335" s="87"/>
      <c r="CB335" s="87"/>
      <c r="CC335" s="87"/>
      <c r="CD335" s="87"/>
      <c r="CE335" s="87"/>
      <c r="CF335" s="87"/>
      <c r="CG335" s="87"/>
      <c r="CH335" s="87"/>
      <c r="CI335" s="87"/>
      <c r="CJ335" s="87"/>
      <c r="CK335" s="87"/>
      <c r="CL335" s="87"/>
      <c r="CM335" s="87"/>
      <c r="CN335" s="87"/>
      <c r="CO335" s="87"/>
      <c r="CP335" s="87"/>
      <c r="CQ335" s="87"/>
      <c r="CR335" s="87"/>
      <c r="CS335" s="87"/>
      <c r="CT335" s="87"/>
      <c r="CU335" s="87"/>
      <c r="CV335" s="87"/>
      <c r="CW335" s="87"/>
      <c r="CX335" s="87"/>
      <c r="CY335" s="87"/>
      <c r="CZ335" s="87"/>
      <c r="DA335" s="87"/>
      <c r="DB335" s="87"/>
      <c r="DC335" s="87"/>
      <c r="DD335" s="87"/>
      <c r="DE335" s="87"/>
      <c r="DF335" s="87"/>
      <c r="DG335" s="87"/>
      <c r="DH335" s="87"/>
      <c r="DI335" s="87"/>
      <c r="DJ335" s="87"/>
      <c r="DK335" s="87"/>
      <c r="DL335" s="87"/>
      <c r="DM335" s="87"/>
      <c r="DN335" s="87"/>
      <c r="DO335" s="87"/>
      <c r="DP335" s="87"/>
      <c r="DQ335" s="87"/>
      <c r="DR335" s="87"/>
      <c r="DS335" s="87"/>
      <c r="DT335" s="87"/>
      <c r="DU335" s="87"/>
      <c r="DV335" s="87"/>
      <c r="DW335" s="87"/>
      <c r="DX335" s="87"/>
      <c r="DY335" s="87"/>
      <c r="DZ335" s="87"/>
      <c r="EA335" s="87"/>
      <c r="EB335" s="87"/>
      <c r="EC335" s="87"/>
      <c r="ED335" s="87"/>
      <c r="EE335" s="87"/>
      <c r="EF335" s="87"/>
      <c r="EG335" s="87"/>
      <c r="EH335" s="87"/>
      <c r="EI335" s="87"/>
    </row>
    <row r="336" spans="1:139" ht="16.5" hidden="1" thickBot="1" x14ac:dyDescent="0.35">
      <c r="A336" s="161" t="s">
        <v>467</v>
      </c>
      <c r="B336" s="279">
        <v>2</v>
      </c>
      <c r="C336" s="224">
        <f>24*0.85</f>
        <v>20.399999999999999</v>
      </c>
      <c r="D336" s="217">
        <f>C336/VLOOKUP(B336,'[2]Gas Prod per PADD'!$A$1:$C$6,2,FALSE)</f>
        <v>8.4999999999999989E-3</v>
      </c>
      <c r="E336" s="196">
        <v>45585</v>
      </c>
      <c r="F336" s="197">
        <f>E336+5</f>
        <v>45590</v>
      </c>
      <c r="G336" s="180" t="s">
        <v>648</v>
      </c>
      <c r="H336" s="221" t="s">
        <v>649</v>
      </c>
      <c r="I336" s="84"/>
      <c r="J336" s="85"/>
      <c r="K336" s="85"/>
      <c r="L336" s="85"/>
      <c r="M336" s="85"/>
      <c r="N336" s="85"/>
      <c r="O336" s="85"/>
      <c r="P336" s="85"/>
      <c r="Q336" s="85"/>
      <c r="R336" s="85"/>
      <c r="S336" s="85"/>
      <c r="T336" s="85"/>
      <c r="U336" s="85"/>
      <c r="V336" s="84"/>
      <c r="W336" s="84"/>
      <c r="X336" s="84" t="str">
        <f t="shared" si="15"/>
        <v>OK</v>
      </c>
      <c r="Y336" s="87"/>
      <c r="Z336" s="87"/>
      <c r="AA336" s="87"/>
      <c r="AB336" s="87"/>
      <c r="AC336" s="87"/>
      <c r="AD336" s="87"/>
      <c r="AE336" s="87"/>
      <c r="AF336" s="87"/>
      <c r="AG336" s="87"/>
      <c r="AH336" s="87"/>
      <c r="AI336" s="87"/>
      <c r="AJ336" s="87"/>
      <c r="AK336" s="87"/>
      <c r="AL336" s="87"/>
      <c r="AM336" s="87"/>
      <c r="AN336" s="87"/>
      <c r="AO336" s="87"/>
      <c r="AP336" s="87"/>
      <c r="AQ336" s="87"/>
      <c r="AR336" s="87"/>
      <c r="AS336" s="87"/>
      <c r="AT336" s="87"/>
      <c r="AU336" s="87"/>
      <c r="AV336" s="87"/>
      <c r="AW336" s="87"/>
      <c r="AX336" s="87"/>
      <c r="AY336" s="87"/>
      <c r="AZ336" s="87"/>
      <c r="BA336" s="87"/>
      <c r="BB336" s="87"/>
      <c r="BC336" s="87"/>
      <c r="BD336" s="87"/>
      <c r="BE336" s="87"/>
      <c r="BF336" s="87"/>
      <c r="BG336" s="87"/>
      <c r="BH336" s="87"/>
      <c r="BI336" s="87"/>
      <c r="BJ336" s="87"/>
      <c r="BK336" s="87"/>
      <c r="BL336" s="87"/>
      <c r="BM336" s="87"/>
      <c r="BN336" s="87"/>
      <c r="BO336" s="87"/>
      <c r="BP336" s="87"/>
      <c r="BQ336" s="87"/>
      <c r="BR336" s="87"/>
      <c r="BS336" s="87"/>
      <c r="BT336" s="87"/>
      <c r="BU336" s="87"/>
      <c r="BV336" s="87"/>
      <c r="BW336" s="87"/>
      <c r="BX336" s="87">
        <v>0</v>
      </c>
      <c r="BY336" s="87">
        <v>0</v>
      </c>
      <c r="BZ336" s="87"/>
      <c r="CA336" s="87"/>
      <c r="CB336" s="87"/>
      <c r="CC336" s="87"/>
      <c r="CD336" s="87"/>
      <c r="CE336" s="87"/>
      <c r="CF336" s="87"/>
      <c r="CG336" s="87"/>
      <c r="CH336" s="87"/>
      <c r="CI336" s="87"/>
      <c r="CJ336" s="87"/>
      <c r="CK336" s="87"/>
      <c r="CL336" s="87"/>
      <c r="CM336" s="87"/>
      <c r="CN336" s="87"/>
      <c r="CO336" s="87"/>
      <c r="CP336" s="87"/>
      <c r="CQ336" s="87"/>
      <c r="CR336" s="87"/>
      <c r="CS336" s="87"/>
      <c r="CT336" s="87"/>
      <c r="CU336" s="87"/>
      <c r="CV336" s="87"/>
      <c r="CW336" s="87"/>
      <c r="CX336" s="87"/>
      <c r="CY336" s="87"/>
      <c r="CZ336" s="87"/>
      <c r="DA336" s="87"/>
      <c r="DB336" s="87"/>
      <c r="DC336" s="87"/>
      <c r="DD336" s="87"/>
      <c r="DE336" s="87"/>
      <c r="DF336" s="87"/>
      <c r="DG336" s="87"/>
      <c r="DH336" s="87"/>
      <c r="DI336" s="87"/>
      <c r="DJ336" s="87"/>
      <c r="DK336" s="87"/>
      <c r="DL336" s="87"/>
      <c r="DM336" s="87"/>
      <c r="DN336" s="87"/>
      <c r="DO336" s="87"/>
      <c r="DP336" s="87"/>
      <c r="DQ336" s="87"/>
      <c r="DR336" s="87"/>
      <c r="DS336" s="87"/>
      <c r="DT336" s="87"/>
      <c r="DU336" s="87"/>
      <c r="DV336" s="87"/>
      <c r="DW336" s="87"/>
      <c r="DX336" s="87"/>
      <c r="DY336" s="87"/>
      <c r="DZ336" s="87"/>
      <c r="EA336" s="87"/>
      <c r="EB336" s="87"/>
      <c r="EC336" s="87"/>
      <c r="ED336" s="87"/>
      <c r="EE336" s="87"/>
      <c r="EF336" s="87"/>
      <c r="EG336" s="87"/>
      <c r="EH336" s="87"/>
      <c r="EI336" s="87"/>
    </row>
    <row r="337" spans="1:139" ht="57.75" hidden="1" thickBot="1" x14ac:dyDescent="0.35">
      <c r="A337" s="161" t="s">
        <v>650</v>
      </c>
      <c r="B337" s="279">
        <v>2</v>
      </c>
      <c r="C337" s="224">
        <f>(150*0.1)+(0.65*45)+(22*0.85)+(0.1*28)</f>
        <v>65.75</v>
      </c>
      <c r="D337" s="217">
        <f>C337/VLOOKUP(B337,'[2]Gas Prod per PADD'!$A$1:$C$6,2,FALSE)</f>
        <v>2.7395833333333335E-2</v>
      </c>
      <c r="E337" s="196">
        <v>45547</v>
      </c>
      <c r="F337" s="281">
        <f>E337+44</f>
        <v>45591</v>
      </c>
      <c r="G337" s="180" t="s">
        <v>651</v>
      </c>
      <c r="H337" s="221" t="s">
        <v>652</v>
      </c>
      <c r="I337" s="84"/>
      <c r="J337" s="85"/>
      <c r="K337" s="85"/>
      <c r="L337" s="85"/>
      <c r="M337" s="85"/>
      <c r="N337" s="85"/>
      <c r="O337" s="85"/>
      <c r="P337" s="85"/>
      <c r="Q337" s="85"/>
      <c r="R337" s="85"/>
      <c r="S337" s="85"/>
      <c r="T337" s="85"/>
      <c r="U337" s="85"/>
      <c r="V337" s="84"/>
      <c r="W337" s="84"/>
      <c r="X337" s="84" t="str">
        <f t="shared" si="15"/>
        <v>OK</v>
      </c>
      <c r="Y337" s="87"/>
      <c r="Z337" s="87"/>
      <c r="AA337" s="87"/>
      <c r="AB337" s="87"/>
      <c r="AC337" s="87"/>
      <c r="AD337" s="87"/>
      <c r="AE337" s="87"/>
      <c r="AF337" s="87"/>
      <c r="AG337" s="87"/>
      <c r="AH337" s="87"/>
      <c r="AI337" s="87"/>
      <c r="AJ337" s="87"/>
      <c r="AK337" s="87"/>
      <c r="AL337" s="87"/>
      <c r="AM337" s="87"/>
      <c r="AN337" s="87"/>
      <c r="AO337" s="87"/>
      <c r="AP337" s="87"/>
      <c r="AQ337" s="87"/>
      <c r="AR337" s="87"/>
      <c r="AS337" s="87"/>
      <c r="AT337" s="87"/>
      <c r="AU337" s="87"/>
      <c r="AV337" s="87"/>
      <c r="AW337" s="87"/>
      <c r="AX337" s="87"/>
      <c r="AY337" s="87"/>
      <c r="AZ337" s="87"/>
      <c r="BA337" s="87"/>
      <c r="BB337" s="87"/>
      <c r="BC337" s="87"/>
      <c r="BD337" s="87"/>
      <c r="BE337" s="87"/>
      <c r="BF337" s="87"/>
      <c r="BG337" s="87"/>
      <c r="BH337" s="87"/>
      <c r="BI337" s="87"/>
      <c r="BJ337" s="87"/>
      <c r="BK337" s="87"/>
      <c r="BL337" s="87"/>
      <c r="BM337" s="87"/>
      <c r="BN337" s="87"/>
      <c r="BO337" s="87"/>
      <c r="BP337" s="87"/>
      <c r="BQ337" s="87"/>
      <c r="BR337" s="87"/>
      <c r="BS337" s="87">
        <f>-0.7*$C337</f>
        <v>-46.024999999999999</v>
      </c>
      <c r="BT337" s="87">
        <f>C337*-1-BS337</f>
        <v>-19.725000000000001</v>
      </c>
      <c r="BU337" s="87"/>
      <c r="BV337" s="87"/>
      <c r="BW337" s="87"/>
      <c r="BX337" s="87"/>
      <c r="BY337" s="87">
        <f>C337/2</f>
        <v>32.875</v>
      </c>
      <c r="BZ337" s="87">
        <f>(C337/2)-27</f>
        <v>5.875</v>
      </c>
      <c r="CA337" s="87">
        <f>27</f>
        <v>27</v>
      </c>
      <c r="CB337" s="87"/>
      <c r="CC337" s="87"/>
      <c r="CD337" s="87"/>
      <c r="CE337" s="87"/>
      <c r="CF337" s="87"/>
      <c r="CG337" s="87"/>
      <c r="CH337" s="87"/>
      <c r="CI337" s="87"/>
      <c r="CJ337" s="87"/>
      <c r="CK337" s="87"/>
      <c r="CL337" s="87"/>
      <c r="CM337" s="87"/>
      <c r="CN337" s="87"/>
      <c r="CO337" s="87"/>
      <c r="CP337" s="87"/>
      <c r="CQ337" s="87"/>
      <c r="CR337" s="87"/>
      <c r="CS337" s="87"/>
      <c r="CT337" s="87"/>
      <c r="CU337" s="87"/>
      <c r="CV337" s="87"/>
      <c r="CW337" s="87"/>
      <c r="CX337" s="87"/>
      <c r="CY337" s="87"/>
      <c r="CZ337" s="87"/>
      <c r="DA337" s="87"/>
      <c r="DB337" s="87"/>
      <c r="DC337" s="87"/>
      <c r="DD337" s="87"/>
      <c r="DE337" s="87"/>
      <c r="DF337" s="87"/>
      <c r="DG337" s="87"/>
      <c r="DH337" s="87"/>
      <c r="DI337" s="87"/>
      <c r="DJ337" s="87"/>
      <c r="DK337" s="87"/>
      <c r="DL337" s="87"/>
      <c r="DM337" s="87"/>
      <c r="DN337" s="87"/>
      <c r="DO337" s="87"/>
      <c r="DP337" s="87"/>
      <c r="DQ337" s="87"/>
      <c r="DR337" s="87"/>
      <c r="DS337" s="87"/>
      <c r="DT337" s="87"/>
      <c r="DU337" s="87"/>
      <c r="DV337" s="87"/>
      <c r="DW337" s="87"/>
      <c r="DX337" s="87"/>
      <c r="DY337" s="87"/>
      <c r="DZ337" s="87"/>
      <c r="EA337" s="87"/>
      <c r="EB337" s="87"/>
      <c r="EC337" s="87"/>
      <c r="ED337" s="87"/>
      <c r="EE337" s="87"/>
      <c r="EF337" s="87"/>
      <c r="EG337" s="87"/>
      <c r="EH337" s="87"/>
      <c r="EI337" s="87"/>
    </row>
    <row r="338" spans="1:139" ht="16.5" hidden="1" thickBot="1" x14ac:dyDescent="0.35">
      <c r="A338" s="88" t="s">
        <v>336</v>
      </c>
      <c r="B338" s="285">
        <v>3</v>
      </c>
      <c r="C338" s="286">
        <f>40*0.05</f>
        <v>2</v>
      </c>
      <c r="D338" s="217">
        <f>C338/VLOOKUP(B338,'[2]Gas Prod per PADD'!$A$1:$C$6,2,FALSE)</f>
        <v>4.3478260869565219E-4</v>
      </c>
      <c r="E338" s="196">
        <v>45550</v>
      </c>
      <c r="F338" s="281">
        <v>45591</v>
      </c>
      <c r="G338" s="274" t="s">
        <v>583</v>
      </c>
      <c r="H338" s="275" t="s">
        <v>653</v>
      </c>
      <c r="I338" s="84"/>
      <c r="J338" s="85"/>
      <c r="K338" s="85"/>
      <c r="L338" s="85"/>
      <c r="M338" s="85"/>
      <c r="N338" s="85"/>
      <c r="O338" s="85"/>
      <c r="P338" s="85"/>
      <c r="Q338" s="85"/>
      <c r="R338" s="85"/>
      <c r="S338" s="85"/>
      <c r="T338" s="85"/>
      <c r="U338" s="85"/>
      <c r="V338" s="84"/>
      <c r="W338" s="84"/>
      <c r="X338" s="84" t="str">
        <f t="shared" si="15"/>
        <v>OK</v>
      </c>
      <c r="Y338" s="87"/>
      <c r="Z338" s="87"/>
      <c r="AA338" s="87"/>
      <c r="AB338" s="87"/>
      <c r="AC338" s="87"/>
      <c r="AD338" s="87"/>
      <c r="AE338" s="87"/>
      <c r="AF338" s="87"/>
      <c r="AG338" s="87"/>
      <c r="AH338" s="87"/>
      <c r="AI338" s="87"/>
      <c r="AJ338" s="87"/>
      <c r="AK338" s="87"/>
      <c r="AL338" s="87"/>
      <c r="AM338" s="87"/>
      <c r="AN338" s="87"/>
      <c r="AO338" s="87"/>
      <c r="AP338" s="87"/>
      <c r="AQ338" s="87"/>
      <c r="AR338" s="87"/>
      <c r="AS338" s="87"/>
      <c r="AT338" s="87"/>
      <c r="AU338" s="87"/>
      <c r="AV338" s="87"/>
      <c r="AW338" s="87"/>
      <c r="AX338" s="87"/>
      <c r="AY338" s="87"/>
      <c r="AZ338" s="87"/>
      <c r="BA338" s="87"/>
      <c r="BB338" s="87"/>
      <c r="BC338" s="87"/>
      <c r="BD338" s="87"/>
      <c r="BE338" s="87"/>
      <c r="BF338" s="87"/>
      <c r="BG338" s="87"/>
      <c r="BH338" s="87"/>
      <c r="BI338" s="87"/>
      <c r="BJ338" s="87"/>
      <c r="BK338" s="87"/>
      <c r="BL338" s="87"/>
      <c r="BM338" s="87"/>
      <c r="BN338" s="87"/>
      <c r="BO338" s="87"/>
      <c r="BP338" s="87"/>
      <c r="BQ338" s="87"/>
      <c r="BR338" s="87"/>
      <c r="BS338" s="87">
        <f>-0.8*C338</f>
        <v>-1.6</v>
      </c>
      <c r="BT338" s="87">
        <f>-C338*0.2</f>
        <v>-0.4</v>
      </c>
      <c r="BU338" s="87"/>
      <c r="BV338" s="87"/>
      <c r="BW338" s="87"/>
      <c r="BX338" s="87"/>
      <c r="BY338" s="105">
        <f>C338</f>
        <v>2</v>
      </c>
      <c r="BZ338" s="87"/>
      <c r="CA338" s="87"/>
      <c r="CB338" s="87"/>
      <c r="CC338" s="87"/>
      <c r="CD338" s="87"/>
      <c r="CE338" s="87"/>
      <c r="CF338" s="87"/>
      <c r="CG338" s="87"/>
      <c r="CH338" s="87"/>
      <c r="CI338" s="87"/>
      <c r="CJ338" s="87"/>
      <c r="CK338" s="87"/>
      <c r="CL338" s="87"/>
      <c r="CM338" s="87"/>
      <c r="CN338" s="87"/>
      <c r="CO338" s="87"/>
      <c r="CP338" s="87"/>
      <c r="CQ338" s="87"/>
      <c r="CR338" s="87"/>
      <c r="CS338" s="87"/>
      <c r="CT338" s="87"/>
      <c r="CU338" s="87"/>
      <c r="CV338" s="87"/>
      <c r="CW338" s="87"/>
      <c r="CX338" s="87"/>
      <c r="CY338" s="87"/>
      <c r="CZ338" s="87"/>
      <c r="DA338" s="87"/>
      <c r="DB338" s="87"/>
      <c r="DC338" s="87"/>
      <c r="DD338" s="87"/>
      <c r="DE338" s="87"/>
      <c r="DF338" s="87"/>
      <c r="DG338" s="87"/>
      <c r="DH338" s="87"/>
      <c r="DI338" s="87"/>
      <c r="DJ338" s="87"/>
      <c r="DK338" s="87"/>
      <c r="DL338" s="87"/>
      <c r="DM338" s="87"/>
      <c r="DN338" s="87"/>
      <c r="DO338" s="87"/>
      <c r="DP338" s="87"/>
      <c r="DQ338" s="87"/>
      <c r="DR338" s="87"/>
      <c r="DS338" s="87"/>
      <c r="DT338" s="87"/>
      <c r="DU338" s="87"/>
      <c r="DV338" s="87"/>
      <c r="DW338" s="87"/>
      <c r="DX338" s="87"/>
      <c r="DY338" s="87"/>
      <c r="DZ338" s="87"/>
      <c r="EA338" s="87"/>
      <c r="EB338" s="87"/>
      <c r="EC338" s="87"/>
      <c r="ED338" s="87"/>
      <c r="EE338" s="87"/>
      <c r="EF338" s="87"/>
      <c r="EG338" s="87"/>
      <c r="EH338" s="87"/>
      <c r="EI338" s="87"/>
    </row>
    <row r="339" spans="1:139" ht="29.25" hidden="1" thickBot="1" x14ac:dyDescent="0.35">
      <c r="A339" s="161" t="s">
        <v>168</v>
      </c>
      <c r="B339" s="282">
        <v>2</v>
      </c>
      <c r="C339" s="177">
        <v>0</v>
      </c>
      <c r="D339" s="217">
        <f>C339/VLOOKUP(B339,'[2]Gas Prod per PADD'!$A$1:$C$6,2,FALSE)</f>
        <v>0</v>
      </c>
      <c r="E339" s="178">
        <v>45560</v>
      </c>
      <c r="F339" s="179">
        <v>45592</v>
      </c>
      <c r="G339" s="180" t="s">
        <v>654</v>
      </c>
      <c r="H339" s="277" t="s">
        <v>655</v>
      </c>
      <c r="I339" s="84"/>
      <c r="J339" s="85"/>
      <c r="K339" s="85"/>
      <c r="L339" s="85"/>
      <c r="M339" s="85"/>
      <c r="N339" s="85"/>
      <c r="O339" s="85"/>
      <c r="P339" s="85"/>
      <c r="Q339" s="85"/>
      <c r="R339" s="85"/>
      <c r="S339" s="85"/>
      <c r="T339" s="85"/>
      <c r="U339" s="85"/>
      <c r="V339" s="84"/>
      <c r="W339" s="84"/>
      <c r="X339" s="84" t="str">
        <f t="shared" si="15"/>
        <v>OK</v>
      </c>
      <c r="Y339" s="87"/>
      <c r="Z339" s="87"/>
      <c r="AA339" s="87"/>
      <c r="AB339" s="87"/>
      <c r="AC339" s="87"/>
      <c r="AD339" s="87"/>
      <c r="AE339" s="87"/>
      <c r="AF339" s="87"/>
      <c r="AG339" s="87"/>
      <c r="AH339" s="87"/>
      <c r="AI339" s="87"/>
      <c r="AJ339" s="87"/>
      <c r="AK339" s="87"/>
      <c r="AL339" s="87"/>
      <c r="AM339" s="87"/>
      <c r="AN339" s="87"/>
      <c r="AO339" s="87"/>
      <c r="AP339" s="87"/>
      <c r="AQ339" s="87"/>
      <c r="AR339" s="87"/>
      <c r="AS339" s="87"/>
      <c r="AT339" s="87"/>
      <c r="AU339" s="87"/>
      <c r="AV339" s="87"/>
      <c r="AW339" s="87"/>
      <c r="AX339" s="87"/>
      <c r="AY339" s="87"/>
      <c r="AZ339" s="87"/>
      <c r="BA339" s="87"/>
      <c r="BB339" s="87"/>
      <c r="BC339" s="87"/>
      <c r="BD339" s="87"/>
      <c r="BE339" s="87"/>
      <c r="BF339" s="87"/>
      <c r="BG339" s="87"/>
      <c r="BH339" s="87"/>
      <c r="BI339" s="87"/>
      <c r="BJ339" s="87"/>
      <c r="BK339" s="87"/>
      <c r="BL339" s="87"/>
      <c r="BM339" s="87"/>
      <c r="BN339" s="87"/>
      <c r="BO339" s="87"/>
      <c r="BP339" s="87"/>
      <c r="BQ339" s="87"/>
      <c r="BR339" s="87"/>
      <c r="BS339" s="87"/>
      <c r="BT339" s="87">
        <f>C339*(-2/7)*0.5</f>
        <v>0</v>
      </c>
      <c r="BU339" s="87">
        <f>(C339*-1)-BT339</f>
        <v>0</v>
      </c>
      <c r="BV339" s="87"/>
      <c r="BW339" s="87"/>
      <c r="BX339" s="87"/>
      <c r="BY339" s="87">
        <f>BU339*-1</f>
        <v>0</v>
      </c>
      <c r="BZ339" s="87">
        <f>BT339*-1</f>
        <v>0</v>
      </c>
      <c r="CA339" s="87"/>
      <c r="CB339" s="87"/>
      <c r="CC339" s="87"/>
      <c r="CD339" s="87"/>
      <c r="CE339" s="87"/>
      <c r="CF339" s="87"/>
      <c r="CG339" s="87"/>
      <c r="CH339" s="87"/>
      <c r="CI339" s="87"/>
      <c r="CJ339" s="87"/>
      <c r="CK339" s="87"/>
      <c r="CL339" s="87"/>
      <c r="CM339" s="87"/>
      <c r="CN339" s="87"/>
      <c r="CO339" s="87"/>
      <c r="CP339" s="87"/>
      <c r="CQ339" s="87"/>
      <c r="CR339" s="87"/>
      <c r="CS339" s="87"/>
      <c r="CT339" s="87"/>
      <c r="CU339" s="87"/>
      <c r="CV339" s="87"/>
      <c r="CW339" s="87"/>
      <c r="CX339" s="87"/>
      <c r="CY339" s="87"/>
      <c r="CZ339" s="87"/>
      <c r="DA339" s="87"/>
      <c r="DB339" s="87"/>
      <c r="DC339" s="87"/>
      <c r="DD339" s="87"/>
      <c r="DE339" s="87"/>
      <c r="DF339" s="87"/>
      <c r="DG339" s="87"/>
      <c r="DH339" s="87"/>
      <c r="DI339" s="87"/>
      <c r="DJ339" s="87"/>
      <c r="DK339" s="87"/>
      <c r="DL339" s="87"/>
      <c r="DM339" s="87"/>
      <c r="DN339" s="87"/>
      <c r="DO339" s="87"/>
      <c r="DP339" s="87"/>
      <c r="DQ339" s="87"/>
      <c r="DR339" s="87"/>
      <c r="DS339" s="87"/>
      <c r="DT339" s="87"/>
      <c r="DU339" s="87"/>
      <c r="DV339" s="87"/>
      <c r="DW339" s="87"/>
      <c r="DX339" s="87"/>
      <c r="DY339" s="87"/>
      <c r="DZ339" s="87"/>
      <c r="EA339" s="87"/>
      <c r="EB339" s="87"/>
      <c r="EC339" s="87"/>
      <c r="ED339" s="87"/>
      <c r="EE339" s="87"/>
      <c r="EF339" s="87"/>
      <c r="EG339" s="87"/>
      <c r="EH339" s="87"/>
      <c r="EI339" s="87"/>
    </row>
    <row r="340" spans="1:139" ht="29.25" hidden="1" thickBot="1" x14ac:dyDescent="0.35">
      <c r="A340" s="193" t="s">
        <v>239</v>
      </c>
      <c r="B340" s="282">
        <v>2</v>
      </c>
      <c r="C340" s="177">
        <f>(0.85*20)</f>
        <v>17</v>
      </c>
      <c r="D340" s="217">
        <f>C340/VLOOKUP(B340,'[2]Gas Prod per PADD'!$A$1:$C$6,2,FALSE)</f>
        <v>7.083333333333333E-3</v>
      </c>
      <c r="E340" s="178">
        <v>45565</v>
      </c>
      <c r="F340" s="252">
        <v>45592</v>
      </c>
      <c r="G340" s="180" t="s">
        <v>656</v>
      </c>
      <c r="H340" s="181" t="s">
        <v>657</v>
      </c>
      <c r="I340" s="84"/>
      <c r="J340" s="85"/>
      <c r="K340" s="85"/>
      <c r="L340" s="85"/>
      <c r="M340" s="85"/>
      <c r="N340" s="85"/>
      <c r="O340" s="85"/>
      <c r="P340" s="85"/>
      <c r="Q340" s="85"/>
      <c r="R340" s="85"/>
      <c r="S340" s="85"/>
      <c r="T340" s="85"/>
      <c r="U340" s="85"/>
      <c r="V340" s="84"/>
      <c r="W340" s="84"/>
      <c r="X340" s="84" t="str">
        <f t="shared" si="15"/>
        <v>OK</v>
      </c>
      <c r="Y340" s="105"/>
      <c r="Z340" s="105"/>
      <c r="AA340" s="87"/>
      <c r="AB340" s="87"/>
      <c r="AC340" s="87"/>
      <c r="AD340" s="87"/>
      <c r="AE340" s="105"/>
      <c r="AF340" s="105"/>
      <c r="AG340" s="105"/>
      <c r="AH340" s="105"/>
      <c r="AI340" s="87"/>
      <c r="AJ340" s="87"/>
      <c r="AK340" s="87"/>
      <c r="AL340" s="87"/>
      <c r="AM340" s="87"/>
      <c r="AN340" s="87"/>
      <c r="AO340" s="87"/>
      <c r="AP340" s="87"/>
      <c r="AQ340" s="87"/>
      <c r="AR340" s="87"/>
      <c r="AS340" s="87"/>
      <c r="AT340" s="87"/>
      <c r="AU340" s="87"/>
      <c r="AV340" s="87"/>
      <c r="AW340" s="87"/>
      <c r="AX340" s="87"/>
      <c r="AY340" s="87"/>
      <c r="AZ340" s="87"/>
      <c r="BA340" s="87"/>
      <c r="BB340" s="87"/>
      <c r="BC340" s="87"/>
      <c r="BD340" s="87"/>
      <c r="BE340" s="87"/>
      <c r="BF340" s="87"/>
      <c r="BG340" s="87"/>
      <c r="BH340" s="87"/>
      <c r="BI340" s="87"/>
      <c r="BJ340" s="87"/>
      <c r="BK340" s="87"/>
      <c r="BL340" s="87"/>
      <c r="BM340" s="87"/>
      <c r="BN340" s="87"/>
      <c r="BO340" s="87"/>
      <c r="BP340" s="87"/>
      <c r="BQ340" s="87"/>
      <c r="BR340" s="87"/>
      <c r="BS340" s="87"/>
      <c r="BT340" s="278"/>
      <c r="BU340" s="278">
        <f>(-2/3)*C340</f>
        <v>-11.333333333333332</v>
      </c>
      <c r="BV340" s="278">
        <f>(-1/3)*C340</f>
        <v>-5.6666666666666661</v>
      </c>
      <c r="BW340" s="278"/>
      <c r="BX340" s="278"/>
      <c r="BY340" s="278">
        <f>C340</f>
        <v>17</v>
      </c>
      <c r="BZ340" s="278"/>
      <c r="CA340" s="87"/>
      <c r="CB340" s="87"/>
      <c r="CC340" s="87"/>
      <c r="CD340" s="87"/>
      <c r="CE340" s="87"/>
      <c r="CF340" s="87"/>
      <c r="CG340" s="87"/>
      <c r="CH340" s="87"/>
      <c r="CI340" s="87"/>
      <c r="CJ340" s="87"/>
      <c r="CK340" s="87"/>
      <c r="CL340" s="87"/>
      <c r="CM340" s="87"/>
      <c r="CN340" s="87"/>
      <c r="CO340" s="87"/>
      <c r="CP340" s="87"/>
      <c r="CQ340" s="87"/>
      <c r="CR340" s="87"/>
      <c r="CS340" s="87"/>
      <c r="CT340" s="87"/>
      <c r="CU340" s="87"/>
      <c r="CV340" s="87"/>
      <c r="CW340" s="87"/>
      <c r="CX340" s="87"/>
      <c r="CY340" s="87"/>
      <c r="CZ340" s="87"/>
      <c r="DA340" s="87"/>
      <c r="DB340" s="87"/>
      <c r="DC340" s="87"/>
      <c r="DD340" s="87"/>
      <c r="DE340" s="87"/>
      <c r="DF340" s="87"/>
      <c r="DG340" s="87"/>
      <c r="DH340" s="87"/>
      <c r="DI340" s="87"/>
      <c r="DJ340" s="87"/>
      <c r="DK340" s="87"/>
      <c r="DL340" s="87"/>
      <c r="DM340" s="87"/>
      <c r="DN340" s="87"/>
      <c r="DO340" s="87"/>
      <c r="DP340" s="87"/>
      <c r="DQ340" s="87"/>
      <c r="DR340" s="87"/>
      <c r="DS340" s="87"/>
      <c r="DT340" s="87"/>
      <c r="DU340" s="87"/>
      <c r="DV340" s="87"/>
      <c r="DW340" s="87"/>
      <c r="DX340" s="87"/>
      <c r="DY340" s="87"/>
      <c r="DZ340" s="87"/>
      <c r="EA340" s="87"/>
      <c r="EB340" s="87"/>
      <c r="EC340" s="87"/>
      <c r="ED340" s="87"/>
      <c r="EE340" s="87"/>
      <c r="EF340" s="87"/>
      <c r="EG340" s="87"/>
      <c r="EH340" s="87"/>
      <c r="EI340" s="87"/>
    </row>
    <row r="341" spans="1:139" ht="16.5" hidden="1" thickBot="1" x14ac:dyDescent="0.35">
      <c r="A341" s="113" t="s">
        <v>317</v>
      </c>
      <c r="B341" s="199">
        <v>1</v>
      </c>
      <c r="C341" s="195">
        <f>0.25*70</f>
        <v>17.5</v>
      </c>
      <c r="D341" s="217">
        <f>C341/VLOOKUP(B341,'[2]Gas Prod per PADD'!$A$1:$C$6,2,FALSE)</f>
        <v>3.6458333333333336E-2</v>
      </c>
      <c r="E341" s="196">
        <v>45576</v>
      </c>
      <c r="F341" s="281">
        <v>45592</v>
      </c>
      <c r="G341" s="194" t="s">
        <v>658</v>
      </c>
      <c r="H341" s="198"/>
      <c r="I341" s="84"/>
      <c r="J341" s="85"/>
      <c r="K341" s="85"/>
      <c r="L341" s="85"/>
      <c r="M341" s="85"/>
      <c r="N341" s="85"/>
      <c r="O341" s="85"/>
      <c r="P341" s="85"/>
      <c r="Q341" s="85"/>
      <c r="R341" s="85"/>
      <c r="S341" s="85"/>
      <c r="T341" s="85"/>
      <c r="U341" s="85"/>
      <c r="V341" s="84"/>
      <c r="W341" s="84"/>
      <c r="X341" s="84" t="str">
        <f t="shared" si="15"/>
        <v>OK</v>
      </c>
      <c r="Y341" s="87"/>
      <c r="Z341" s="87"/>
      <c r="AA341" s="87"/>
      <c r="AB341" s="87"/>
      <c r="AC341" s="87"/>
      <c r="AD341" s="87"/>
      <c r="AE341" s="87"/>
      <c r="AF341" s="87"/>
      <c r="AG341" s="87"/>
      <c r="AH341" s="87"/>
      <c r="AI341" s="87"/>
      <c r="AJ341" s="87"/>
      <c r="AK341" s="87"/>
      <c r="AL341" s="87"/>
      <c r="AM341" s="87"/>
      <c r="AN341" s="87"/>
      <c r="AO341" s="87"/>
      <c r="AP341" s="87"/>
      <c r="AQ341" s="87"/>
      <c r="AR341" s="87"/>
      <c r="AS341" s="87"/>
      <c r="AT341" s="87"/>
      <c r="AU341" s="87"/>
      <c r="AV341" s="87"/>
      <c r="AW341" s="87"/>
      <c r="AX341" s="87"/>
      <c r="AY341" s="87"/>
      <c r="AZ341" s="87"/>
      <c r="BA341" s="87"/>
      <c r="BB341" s="87"/>
      <c r="BC341" s="87"/>
      <c r="BD341" s="87"/>
      <c r="BE341" s="87"/>
      <c r="BF341" s="87"/>
      <c r="BG341" s="87"/>
      <c r="BH341" s="87"/>
      <c r="BI341" s="87"/>
      <c r="BJ341" s="87"/>
      <c r="BK341" s="87"/>
      <c r="BL341" s="87"/>
      <c r="BM341" s="87"/>
      <c r="BN341" s="87"/>
      <c r="BO341" s="87"/>
      <c r="BP341" s="87"/>
      <c r="BQ341" s="87"/>
      <c r="BR341" s="87"/>
      <c r="BS341" s="87"/>
      <c r="BT341" s="87"/>
      <c r="BU341" s="87"/>
      <c r="BV341" s="87"/>
      <c r="BW341" s="87">
        <f>-C341</f>
        <v>-17.5</v>
      </c>
      <c r="BX341" s="87"/>
      <c r="BY341" s="87">
        <f>-BW341</f>
        <v>17.5</v>
      </c>
      <c r="BZ341" s="87"/>
      <c r="CA341" s="87"/>
      <c r="CB341" s="87"/>
      <c r="CC341" s="87"/>
      <c r="CD341" s="87"/>
      <c r="CE341" s="87"/>
      <c r="CF341" s="87"/>
      <c r="CG341" s="87"/>
      <c r="CH341" s="87"/>
      <c r="CI341" s="87"/>
      <c r="CJ341" s="87"/>
      <c r="CK341" s="87"/>
      <c r="CL341" s="87"/>
      <c r="CM341" s="87"/>
      <c r="CN341" s="87"/>
      <c r="CO341" s="87"/>
      <c r="CP341" s="87"/>
      <c r="CQ341" s="87"/>
      <c r="CR341" s="87"/>
      <c r="CS341" s="87"/>
      <c r="CT341" s="87"/>
      <c r="CU341" s="87"/>
      <c r="CV341" s="87"/>
      <c r="CW341" s="87"/>
      <c r="CX341" s="87"/>
      <c r="CY341" s="87"/>
      <c r="CZ341" s="87"/>
      <c r="DA341" s="87"/>
      <c r="DB341" s="87"/>
      <c r="DC341" s="87"/>
      <c r="DD341" s="87"/>
      <c r="DE341" s="87"/>
      <c r="DF341" s="87"/>
      <c r="DG341" s="87"/>
      <c r="DH341" s="87"/>
      <c r="DI341" s="87"/>
      <c r="DJ341" s="87"/>
      <c r="DK341" s="87"/>
      <c r="DL341" s="87"/>
      <c r="DM341" s="87"/>
      <c r="DN341" s="87"/>
      <c r="DO341" s="87"/>
      <c r="DP341" s="87"/>
      <c r="DQ341" s="87"/>
      <c r="DR341" s="87"/>
      <c r="DS341" s="87"/>
      <c r="DT341" s="87"/>
      <c r="DU341" s="87"/>
      <c r="DV341" s="87"/>
      <c r="DW341" s="87"/>
      <c r="DX341" s="87"/>
      <c r="DY341" s="87"/>
      <c r="DZ341" s="87"/>
      <c r="EA341" s="87"/>
      <c r="EB341" s="87"/>
      <c r="EC341" s="87"/>
      <c r="ED341" s="87"/>
      <c r="EE341" s="87"/>
      <c r="EF341" s="87"/>
      <c r="EG341" s="87"/>
      <c r="EH341" s="87"/>
      <c r="EI341" s="87"/>
    </row>
    <row r="342" spans="1:139" ht="16.5" hidden="1" thickBot="1" x14ac:dyDescent="0.35">
      <c r="A342" s="222" t="s">
        <v>659</v>
      </c>
      <c r="B342" s="191">
        <v>3</v>
      </c>
      <c r="C342" s="177">
        <f>0.85*23</f>
        <v>19.55</v>
      </c>
      <c r="D342" s="217">
        <f>C342/VLOOKUP(B342,'[2]Gas Prod per PADD'!$A$1:$C$6,2,FALSE)</f>
        <v>4.2500000000000003E-3</v>
      </c>
      <c r="E342" s="178">
        <v>45580</v>
      </c>
      <c r="F342" s="252">
        <v>45593</v>
      </c>
      <c r="G342" s="191" t="s">
        <v>163</v>
      </c>
      <c r="H342" s="181" t="s">
        <v>660</v>
      </c>
      <c r="I342" s="84"/>
      <c r="J342" s="85"/>
      <c r="K342" s="85"/>
      <c r="L342" s="85"/>
      <c r="M342" s="85"/>
      <c r="N342" s="85"/>
      <c r="O342" s="85"/>
      <c r="P342" s="85"/>
      <c r="Q342" s="85"/>
      <c r="R342" s="85"/>
      <c r="S342" s="85"/>
      <c r="T342" s="85"/>
      <c r="U342" s="85"/>
      <c r="V342" s="84"/>
      <c r="W342" s="84"/>
      <c r="X342" s="84" t="str">
        <f t="shared" si="15"/>
        <v>OK</v>
      </c>
      <c r="Y342" s="105"/>
      <c r="Z342" s="105"/>
      <c r="AA342" s="87"/>
      <c r="AB342" s="87"/>
      <c r="AC342" s="87"/>
      <c r="AD342" s="87"/>
      <c r="AE342" s="105"/>
      <c r="AF342" s="105"/>
      <c r="AG342" s="105"/>
      <c r="AH342" s="105"/>
      <c r="AI342" s="87"/>
      <c r="AJ342" s="87"/>
      <c r="AK342" s="105"/>
      <c r="AL342" s="87"/>
      <c r="AM342" s="105"/>
      <c r="AN342" s="105"/>
      <c r="AO342" s="87"/>
      <c r="AP342" s="87"/>
      <c r="AQ342" s="105"/>
      <c r="AR342" s="105"/>
      <c r="AS342" s="87"/>
      <c r="AT342" s="105"/>
      <c r="AU342" s="105"/>
      <c r="AV342" s="87"/>
      <c r="AW342" s="105"/>
      <c r="AX342" s="105"/>
      <c r="AY342" s="87"/>
      <c r="AZ342" s="105"/>
      <c r="BA342" s="105"/>
      <c r="BB342" s="105"/>
      <c r="BC342" s="87"/>
      <c r="BD342" s="87"/>
      <c r="BE342" s="105"/>
      <c r="BF342" s="105"/>
      <c r="BG342" s="105"/>
      <c r="BH342" s="105"/>
      <c r="BI342" s="105"/>
      <c r="BJ342" s="87"/>
      <c r="BK342" s="87"/>
      <c r="BL342" s="87"/>
      <c r="BM342" s="87"/>
      <c r="BN342" s="87"/>
      <c r="BO342" s="105"/>
      <c r="BP342" s="105"/>
      <c r="BQ342" s="105"/>
      <c r="BR342" s="105"/>
      <c r="BS342" s="105"/>
      <c r="BT342" s="87"/>
      <c r="BU342" s="87"/>
      <c r="BV342" s="87"/>
      <c r="BW342" s="87">
        <f>-3/7*C342</f>
        <v>-8.3785714285714281</v>
      </c>
      <c r="BX342" s="87">
        <f>-4/7*C342</f>
        <v>-11.171428571428571</v>
      </c>
      <c r="BY342" s="105">
        <f>C342</f>
        <v>19.55</v>
      </c>
      <c r="BZ342" s="87"/>
      <c r="CA342" s="87"/>
      <c r="CB342" s="87"/>
      <c r="CC342" s="87"/>
      <c r="CD342" s="87"/>
      <c r="CE342" s="87"/>
      <c r="CF342" s="87"/>
      <c r="CG342" s="87"/>
      <c r="CH342" s="87"/>
      <c r="CI342" s="87"/>
      <c r="CJ342" s="87"/>
      <c r="CK342" s="87"/>
      <c r="CL342" s="87"/>
      <c r="CM342" s="87"/>
      <c r="CN342" s="87"/>
      <c r="CO342" s="87"/>
      <c r="CP342" s="87"/>
      <c r="CQ342" s="87"/>
      <c r="CR342" s="87"/>
      <c r="CS342" s="87"/>
      <c r="CT342" s="87"/>
      <c r="CU342" s="87"/>
      <c r="CV342" s="87"/>
      <c r="CW342" s="87"/>
      <c r="CX342" s="87"/>
      <c r="CY342" s="87"/>
      <c r="CZ342" s="87"/>
      <c r="DA342" s="87"/>
      <c r="DB342" s="87"/>
      <c r="DC342" s="87"/>
      <c r="DD342" s="87"/>
      <c r="DE342" s="87"/>
      <c r="DF342" s="87"/>
      <c r="DG342" s="87"/>
      <c r="DH342" s="87"/>
      <c r="DI342" s="87"/>
      <c r="DJ342" s="87"/>
      <c r="DK342" s="87"/>
      <c r="DL342" s="87"/>
      <c r="DM342" s="87"/>
      <c r="DN342" s="87"/>
      <c r="DO342" s="87"/>
      <c r="DP342" s="87"/>
      <c r="DQ342" s="87"/>
      <c r="DR342" s="87"/>
      <c r="DS342" s="87"/>
      <c r="DT342" s="87"/>
      <c r="DU342" s="87"/>
      <c r="DV342" s="87"/>
      <c r="DW342" s="87"/>
      <c r="DX342" s="87"/>
      <c r="DY342" s="87"/>
      <c r="DZ342" s="87"/>
      <c r="EA342" s="87"/>
      <c r="EB342" s="87"/>
      <c r="EC342" s="87"/>
      <c r="ED342" s="87"/>
      <c r="EE342" s="87"/>
      <c r="EF342" s="87"/>
      <c r="EG342" s="87"/>
      <c r="EH342" s="87"/>
      <c r="EI342" s="87"/>
    </row>
    <row r="343" spans="1:139" ht="16.5" hidden="1" thickBot="1" x14ac:dyDescent="0.35">
      <c r="A343" s="190" t="s">
        <v>330</v>
      </c>
      <c r="B343" s="279">
        <v>3</v>
      </c>
      <c r="C343" s="224">
        <f>55*0.05</f>
        <v>2.75</v>
      </c>
      <c r="D343" s="217">
        <f>C343/VLOOKUP(B343,'[2]Gas Prod per PADD'!$A$1:$C$6,2,FALSE)</f>
        <v>5.9782608695652171E-4</v>
      </c>
      <c r="E343" s="196">
        <v>45545</v>
      </c>
      <c r="F343" s="281">
        <v>45594</v>
      </c>
      <c r="G343" s="180" t="s">
        <v>454</v>
      </c>
      <c r="H343" s="221" t="s">
        <v>661</v>
      </c>
      <c r="I343" s="84"/>
      <c r="J343" s="85"/>
      <c r="K343" s="85"/>
      <c r="L343" s="85"/>
      <c r="M343" s="85"/>
      <c r="N343" s="85"/>
      <c r="O343" s="85"/>
      <c r="P343" s="85"/>
      <c r="Q343" s="85"/>
      <c r="R343" s="85"/>
      <c r="S343" s="85"/>
      <c r="T343" s="85"/>
      <c r="U343" s="85"/>
      <c r="V343" s="84"/>
      <c r="W343" s="84"/>
      <c r="X343" s="84" t="str">
        <f t="shared" si="15"/>
        <v>OK</v>
      </c>
      <c r="Y343" s="105"/>
      <c r="Z343" s="105"/>
      <c r="AA343" s="87"/>
      <c r="AB343" s="87"/>
      <c r="AC343" s="87"/>
      <c r="AD343" s="87"/>
      <c r="AE343" s="105"/>
      <c r="AF343" s="105"/>
      <c r="AG343" s="105"/>
      <c r="AH343" s="105"/>
      <c r="AI343" s="87"/>
      <c r="AJ343" s="87"/>
      <c r="AK343" s="105"/>
      <c r="AL343" s="87"/>
      <c r="AM343" s="105"/>
      <c r="AN343" s="105"/>
      <c r="AO343" s="87"/>
      <c r="AP343" s="87"/>
      <c r="AQ343" s="105"/>
      <c r="AR343" s="105"/>
      <c r="AS343" s="87"/>
      <c r="AT343" s="105"/>
      <c r="AU343" s="105"/>
      <c r="AV343" s="87"/>
      <c r="AW343" s="105"/>
      <c r="AX343" s="105"/>
      <c r="AY343" s="87"/>
      <c r="AZ343" s="105"/>
      <c r="BA343" s="105"/>
      <c r="BB343" s="105"/>
      <c r="BC343" s="87"/>
      <c r="BD343" s="87"/>
      <c r="BE343" s="87"/>
      <c r="BF343" s="105"/>
      <c r="BG343" s="105"/>
      <c r="BH343" s="105"/>
      <c r="BI343" s="105"/>
      <c r="BJ343" s="105"/>
      <c r="BK343" s="87"/>
      <c r="BL343" s="87"/>
      <c r="BM343" s="87"/>
      <c r="BN343" s="87"/>
      <c r="BO343" s="87"/>
      <c r="BP343" s="87"/>
      <c r="BQ343" s="87"/>
      <c r="BR343" s="105"/>
      <c r="BS343" s="105">
        <f>-C343</f>
        <v>-2.75</v>
      </c>
      <c r="BT343" s="87"/>
      <c r="BU343" s="105"/>
      <c r="BV343" s="105"/>
      <c r="BW343" s="87"/>
      <c r="BX343" s="87"/>
      <c r="BY343" s="105">
        <f>-BS343</f>
        <v>2.75</v>
      </c>
      <c r="BZ343" s="87"/>
      <c r="CA343" s="87"/>
      <c r="CB343" s="87"/>
      <c r="CC343" s="87"/>
      <c r="CD343" s="87"/>
      <c r="CE343" s="87"/>
      <c r="CF343" s="87"/>
      <c r="CG343" s="87"/>
      <c r="CH343" s="87"/>
      <c r="CI343" s="87"/>
      <c r="CJ343" s="87"/>
      <c r="CK343" s="87"/>
      <c r="CL343" s="87"/>
      <c r="CM343" s="87"/>
      <c r="CN343" s="87"/>
      <c r="CO343" s="87"/>
      <c r="CP343" s="87"/>
      <c r="CQ343" s="87"/>
      <c r="CR343" s="87"/>
      <c r="CS343" s="87"/>
      <c r="CT343" s="87"/>
      <c r="CU343" s="87"/>
      <c r="CV343" s="87"/>
      <c r="CW343" s="87"/>
      <c r="CX343" s="87"/>
      <c r="CY343" s="87"/>
      <c r="CZ343" s="87"/>
      <c r="DA343" s="87"/>
      <c r="DB343" s="87"/>
      <c r="DC343" s="87"/>
      <c r="DD343" s="87"/>
      <c r="DE343" s="87"/>
      <c r="DF343" s="87"/>
      <c r="DG343" s="87"/>
      <c r="DH343" s="87"/>
      <c r="DI343" s="87"/>
      <c r="DJ343" s="87"/>
      <c r="DK343" s="87"/>
      <c r="DL343" s="87"/>
      <c r="DM343" s="87"/>
      <c r="DN343" s="87"/>
      <c r="DO343" s="87"/>
      <c r="DP343" s="87"/>
      <c r="DQ343" s="87"/>
      <c r="DR343" s="87"/>
      <c r="DS343" s="87"/>
      <c r="DT343" s="87"/>
      <c r="DU343" s="87"/>
      <c r="DV343" s="87"/>
      <c r="DW343" s="87"/>
      <c r="DX343" s="87"/>
      <c r="DY343" s="87"/>
      <c r="DZ343" s="87"/>
      <c r="EA343" s="87"/>
      <c r="EB343" s="87"/>
      <c r="EC343" s="87"/>
      <c r="ED343" s="87"/>
      <c r="EE343" s="87"/>
      <c r="EF343" s="87"/>
      <c r="EG343" s="87"/>
      <c r="EH343" s="87"/>
      <c r="EI343" s="87"/>
    </row>
    <row r="344" spans="1:139" ht="16.5" hidden="1" thickBot="1" x14ac:dyDescent="0.35">
      <c r="A344" s="222" t="s">
        <v>339</v>
      </c>
      <c r="B344" s="191">
        <v>3</v>
      </c>
      <c r="C344" s="177">
        <f>50*0.25</f>
        <v>12.5</v>
      </c>
      <c r="D344" s="217">
        <f>C344/VLOOKUP(B344,'[2]Gas Prod per PADD'!$A$1:$C$6,2,FALSE)</f>
        <v>2.717391304347826E-3</v>
      </c>
      <c r="E344" s="178">
        <v>45525</v>
      </c>
      <c r="F344" s="252">
        <v>45595</v>
      </c>
      <c r="G344" s="180" t="s">
        <v>351</v>
      </c>
      <c r="H344" s="181" t="s">
        <v>662</v>
      </c>
      <c r="I344" s="84"/>
      <c r="J344" s="85"/>
      <c r="K344" s="85"/>
      <c r="L344" s="85"/>
      <c r="M344" s="85"/>
      <c r="N344" s="85"/>
      <c r="O344" s="85"/>
      <c r="P344" s="85"/>
      <c r="Q344" s="85"/>
      <c r="R344" s="85"/>
      <c r="S344" s="85"/>
      <c r="T344" s="85"/>
      <c r="U344" s="85"/>
      <c r="V344" s="84"/>
      <c r="W344" s="84"/>
      <c r="X344" s="84" t="str">
        <f t="shared" si="15"/>
        <v>OK</v>
      </c>
      <c r="Y344" s="105"/>
      <c r="Z344" s="105"/>
      <c r="AA344" s="87"/>
      <c r="AB344" s="87"/>
      <c r="AC344" s="87"/>
      <c r="AD344" s="87"/>
      <c r="AE344" s="105"/>
      <c r="AF344" s="105"/>
      <c r="AG344" s="105"/>
      <c r="AH344" s="105"/>
      <c r="AI344" s="87"/>
      <c r="AJ344" s="87"/>
      <c r="AK344" s="105"/>
      <c r="AL344" s="87"/>
      <c r="AM344" s="105"/>
      <c r="AN344" s="105"/>
      <c r="AO344" s="87"/>
      <c r="AP344" s="87"/>
      <c r="AQ344" s="105"/>
      <c r="AR344" s="105"/>
      <c r="AS344" s="87"/>
      <c r="AT344" s="105"/>
      <c r="AU344" s="105"/>
      <c r="AV344" s="87"/>
      <c r="AW344" s="105"/>
      <c r="AX344" s="105"/>
      <c r="AY344" s="87"/>
      <c r="AZ344" s="105"/>
      <c r="BA344" s="105"/>
      <c r="BB344" s="105"/>
      <c r="BC344" s="87"/>
      <c r="BD344" s="87"/>
      <c r="BE344" s="105"/>
      <c r="BF344" s="105"/>
      <c r="BG344" s="105"/>
      <c r="BH344" s="105"/>
      <c r="BI344" s="105"/>
      <c r="BJ344" s="87"/>
      <c r="BK344" s="87"/>
      <c r="BL344" s="87"/>
      <c r="BM344" s="87"/>
      <c r="BN344" s="87"/>
      <c r="BO344" s="105">
        <f>-1/7*C344</f>
        <v>-1.7857142857142856</v>
      </c>
      <c r="BP344" s="105">
        <f>-C344-BO344</f>
        <v>-10.714285714285715</v>
      </c>
      <c r="BQ344" s="105"/>
      <c r="BR344" s="105"/>
      <c r="BS344" s="105"/>
      <c r="BT344" s="105"/>
      <c r="BU344" s="105"/>
      <c r="BV344" s="105"/>
      <c r="BW344" s="105"/>
      <c r="BX344" s="105"/>
      <c r="BY344" s="105">
        <f>-BO344</f>
        <v>1.7857142857142856</v>
      </c>
      <c r="BZ344" s="105">
        <f>$C344-BY344</f>
        <v>10.714285714285715</v>
      </c>
      <c r="CA344" s="87"/>
      <c r="CB344" s="87"/>
      <c r="CC344" s="87"/>
      <c r="CD344" s="87"/>
      <c r="CE344" s="87"/>
      <c r="CF344" s="87"/>
      <c r="CG344" s="87"/>
      <c r="CH344" s="87"/>
      <c r="CI344" s="87"/>
      <c r="CJ344" s="87"/>
      <c r="CK344" s="87"/>
      <c r="CL344" s="87"/>
      <c r="CM344" s="87"/>
      <c r="CN344" s="87"/>
      <c r="CO344" s="87"/>
      <c r="CP344" s="87"/>
      <c r="CQ344" s="87"/>
      <c r="CR344" s="87"/>
      <c r="CS344" s="87"/>
      <c r="CT344" s="87"/>
      <c r="CU344" s="87"/>
      <c r="CV344" s="87"/>
      <c r="CW344" s="87"/>
      <c r="CX344" s="87"/>
      <c r="CY344" s="87"/>
      <c r="CZ344" s="87"/>
      <c r="DA344" s="87"/>
      <c r="DB344" s="87"/>
      <c r="DC344" s="87"/>
      <c r="DD344" s="87"/>
      <c r="DE344" s="87"/>
      <c r="DF344" s="87"/>
      <c r="DG344" s="87"/>
      <c r="DH344" s="87"/>
      <c r="DI344" s="87"/>
      <c r="DJ344" s="87"/>
      <c r="DK344" s="87"/>
      <c r="DL344" s="87"/>
      <c r="DM344" s="87"/>
      <c r="DN344" s="87"/>
      <c r="DO344" s="87"/>
      <c r="DP344" s="87"/>
      <c r="DQ344" s="87"/>
      <c r="DR344" s="87"/>
      <c r="DS344" s="87"/>
      <c r="DT344" s="87"/>
      <c r="DU344" s="87"/>
      <c r="DV344" s="87"/>
      <c r="DW344" s="87"/>
      <c r="DX344" s="87"/>
      <c r="DY344" s="87"/>
      <c r="DZ344" s="87"/>
      <c r="EA344" s="87"/>
      <c r="EB344" s="87"/>
      <c r="EC344" s="87"/>
      <c r="ED344" s="87"/>
      <c r="EE344" s="87"/>
      <c r="EF344" s="87"/>
      <c r="EG344" s="87"/>
      <c r="EH344" s="87"/>
      <c r="EI344" s="87"/>
    </row>
    <row r="345" spans="1:139" ht="16.5" hidden="1" thickBot="1" x14ac:dyDescent="0.35">
      <c r="A345" s="161" t="s">
        <v>467</v>
      </c>
      <c r="B345" s="279">
        <v>2</v>
      </c>
      <c r="C345" s="224">
        <f>(0.25*20.5)</f>
        <v>5.125</v>
      </c>
      <c r="D345" s="217">
        <f>C345/VLOOKUP(B345,'[2]Gas Prod per PADD'!$A$1:$C$6,2,FALSE)</f>
        <v>2.1354166666666665E-3</v>
      </c>
      <c r="E345" s="287">
        <v>45558</v>
      </c>
      <c r="F345" s="281">
        <v>45595</v>
      </c>
      <c r="G345" s="180" t="s">
        <v>663</v>
      </c>
      <c r="H345" s="221" t="s">
        <v>635</v>
      </c>
      <c r="I345" s="84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4"/>
      <c r="W345" s="84"/>
      <c r="X345" s="84" t="str">
        <f t="shared" si="15"/>
        <v>OK</v>
      </c>
      <c r="Y345" s="105"/>
      <c r="Z345" s="105"/>
      <c r="AA345" s="87"/>
      <c r="AB345" s="87"/>
      <c r="AC345" s="87"/>
      <c r="AD345" s="87"/>
      <c r="AE345" s="105"/>
      <c r="AF345" s="105"/>
      <c r="AG345" s="105"/>
      <c r="AH345" s="105"/>
      <c r="AI345" s="87"/>
      <c r="AJ345" s="87"/>
      <c r="AK345" s="105"/>
      <c r="AL345" s="87"/>
      <c r="AM345" s="105"/>
      <c r="AN345" s="105"/>
      <c r="AO345" s="87"/>
      <c r="AP345" s="87"/>
      <c r="AQ345" s="105"/>
      <c r="AR345" s="105"/>
      <c r="AS345" s="87"/>
      <c r="AT345" s="105"/>
      <c r="AU345" s="87"/>
      <c r="AV345" s="87"/>
      <c r="AW345" s="105"/>
      <c r="AX345" s="105"/>
      <c r="AY345" s="105"/>
      <c r="AZ345" s="105"/>
      <c r="BA345" s="105"/>
      <c r="BB345" s="105"/>
      <c r="BC345" s="105"/>
      <c r="BD345" s="87"/>
      <c r="BE345" s="87"/>
      <c r="BF345" s="87"/>
      <c r="BG345" s="87"/>
      <c r="BH345" s="87"/>
      <c r="BI345" s="87"/>
      <c r="BJ345" s="87"/>
      <c r="BK345" s="87"/>
      <c r="BL345" s="87"/>
      <c r="BM345" s="87"/>
      <c r="BN345" s="87"/>
      <c r="BO345" s="87"/>
      <c r="BP345" s="87"/>
      <c r="BQ345" s="87"/>
      <c r="BR345" s="87"/>
      <c r="BS345" s="87"/>
      <c r="BT345" s="87">
        <f>-5/7*C345</f>
        <v>-3.6607142857142856</v>
      </c>
      <c r="BU345" s="87">
        <f>-2/7*C345</f>
        <v>-1.4642857142857142</v>
      </c>
      <c r="BV345" s="87"/>
      <c r="BW345" s="87"/>
      <c r="BX345" s="87"/>
      <c r="BY345" s="105">
        <f>C345</f>
        <v>5.125</v>
      </c>
      <c r="BZ345" s="87"/>
      <c r="CA345" s="87"/>
      <c r="CB345" s="87"/>
      <c r="CC345" s="87"/>
      <c r="CD345" s="87"/>
      <c r="CE345" s="87"/>
      <c r="CF345" s="87"/>
      <c r="CG345" s="87"/>
      <c r="CH345" s="87"/>
      <c r="CI345" s="87"/>
      <c r="CJ345" s="87"/>
      <c r="CK345" s="87"/>
      <c r="CL345" s="87"/>
      <c r="CM345" s="87"/>
      <c r="CN345" s="87"/>
      <c r="CO345" s="87"/>
      <c r="CP345" s="87"/>
      <c r="CQ345" s="87"/>
      <c r="CR345" s="87"/>
      <c r="CS345" s="87"/>
      <c r="CT345" s="87"/>
      <c r="CU345" s="87"/>
      <c r="CV345" s="87"/>
      <c r="CW345" s="87"/>
      <c r="CX345" s="87"/>
      <c r="CY345" s="87"/>
      <c r="CZ345" s="87"/>
      <c r="DA345" s="87"/>
      <c r="DB345" s="87"/>
      <c r="DC345" s="87"/>
      <c r="DD345" s="87"/>
      <c r="DE345" s="87"/>
      <c r="DF345" s="87"/>
      <c r="DG345" s="87"/>
      <c r="DH345" s="87"/>
      <c r="DI345" s="87"/>
      <c r="DJ345" s="87"/>
      <c r="DK345" s="87"/>
      <c r="DL345" s="87"/>
      <c r="DM345" s="87"/>
      <c r="DN345" s="87"/>
      <c r="DO345" s="87"/>
      <c r="DP345" s="87"/>
      <c r="DQ345" s="87"/>
      <c r="DR345" s="87"/>
      <c r="DS345" s="87"/>
      <c r="DT345" s="87"/>
      <c r="DU345" s="87"/>
      <c r="DV345" s="87"/>
      <c r="DW345" s="87"/>
      <c r="DX345" s="87"/>
      <c r="DY345" s="87"/>
      <c r="DZ345" s="87"/>
      <c r="EA345" s="87"/>
      <c r="EB345" s="87"/>
      <c r="EC345" s="87"/>
      <c r="ED345" s="87"/>
      <c r="EE345" s="87"/>
      <c r="EF345" s="87"/>
      <c r="EG345" s="87"/>
      <c r="EH345" s="87"/>
      <c r="EI345" s="87"/>
    </row>
    <row r="346" spans="1:139" ht="16.5" hidden="1" thickBot="1" x14ac:dyDescent="0.35">
      <c r="A346" s="161" t="s">
        <v>467</v>
      </c>
      <c r="B346" s="199">
        <v>2</v>
      </c>
      <c r="C346" s="195">
        <f>(0.3*20.5)</f>
        <v>6.1499999999999995</v>
      </c>
      <c r="D346" s="217">
        <f>C346/VLOOKUP(B346,'[2]Gas Prod per PADD'!$A$1:$C$6,2,FALSE)</f>
        <v>2.5624999999999997E-3</v>
      </c>
      <c r="E346" s="287">
        <v>45562</v>
      </c>
      <c r="F346" s="281">
        <v>45595</v>
      </c>
      <c r="G346" s="180" t="s">
        <v>663</v>
      </c>
      <c r="H346" s="221" t="s">
        <v>635</v>
      </c>
      <c r="I346" s="84" t="s">
        <v>664</v>
      </c>
      <c r="J346" s="85"/>
      <c r="K346" s="85"/>
      <c r="L346" s="85"/>
      <c r="M346" s="85"/>
      <c r="N346" s="85"/>
      <c r="O346" s="85"/>
      <c r="P346" s="85"/>
      <c r="Q346" s="85"/>
      <c r="R346" s="85"/>
      <c r="S346" s="85"/>
      <c r="T346" s="85"/>
      <c r="U346" s="85"/>
      <c r="V346" s="84"/>
      <c r="W346" s="84"/>
      <c r="X346" s="84" t="str">
        <f t="shared" si="15"/>
        <v>OK</v>
      </c>
      <c r="Y346" s="87"/>
      <c r="Z346" s="87"/>
      <c r="AA346" s="87"/>
      <c r="AB346" s="87"/>
      <c r="AC346" s="87"/>
      <c r="AD346" s="87"/>
      <c r="AE346" s="87"/>
      <c r="AF346" s="87"/>
      <c r="AG346" s="87"/>
      <c r="AH346" s="87"/>
      <c r="AI346" s="87"/>
      <c r="AJ346" s="87"/>
      <c r="AK346" s="87"/>
      <c r="AL346" s="87"/>
      <c r="AM346" s="87"/>
      <c r="AN346" s="87"/>
      <c r="AO346" s="87"/>
      <c r="AP346" s="87"/>
      <c r="AQ346" s="87"/>
      <c r="AR346" s="87"/>
      <c r="AS346" s="87"/>
      <c r="AT346" s="87"/>
      <c r="AU346" s="87"/>
      <c r="AV346" s="87"/>
      <c r="AW346" s="87"/>
      <c r="AX346" s="87"/>
      <c r="AY346" s="87"/>
      <c r="AZ346" s="87"/>
      <c r="BA346" s="87"/>
      <c r="BB346" s="87"/>
      <c r="BC346" s="87"/>
      <c r="BD346" s="87"/>
      <c r="BE346" s="87"/>
      <c r="BF346" s="87"/>
      <c r="BG346" s="87"/>
      <c r="BH346" s="87"/>
      <c r="BI346" s="87"/>
      <c r="BJ346" s="87"/>
      <c r="BK346" s="87"/>
      <c r="BL346" s="87"/>
      <c r="BM346" s="87"/>
      <c r="BN346" s="87"/>
      <c r="BO346" s="87"/>
      <c r="BP346" s="87"/>
      <c r="BQ346" s="87"/>
      <c r="BR346" s="87"/>
      <c r="BS346" s="87"/>
      <c r="BT346" s="87"/>
      <c r="BU346" s="87">
        <f>-4/7*C346</f>
        <v>-3.5142857142857138</v>
      </c>
      <c r="BV346" s="87">
        <f>-C346-BU346</f>
        <v>-2.6357142857142857</v>
      </c>
      <c r="BW346" s="87"/>
      <c r="BX346" s="87"/>
      <c r="BY346" s="105">
        <f>C346</f>
        <v>6.1499999999999995</v>
      </c>
      <c r="BZ346" s="87"/>
      <c r="CA346" s="87"/>
      <c r="CB346" s="87"/>
      <c r="CC346" s="87"/>
      <c r="CD346" s="87"/>
      <c r="CE346" s="87"/>
      <c r="CF346" s="87"/>
      <c r="CG346" s="87"/>
      <c r="CH346" s="87"/>
      <c r="CI346" s="87"/>
      <c r="CJ346" s="87"/>
      <c r="CK346" s="87"/>
      <c r="CL346" s="87"/>
      <c r="CM346" s="87"/>
      <c r="CN346" s="87"/>
      <c r="CO346" s="87"/>
      <c r="CP346" s="87"/>
      <c r="CQ346" s="87"/>
      <c r="CR346" s="87"/>
      <c r="CS346" s="87"/>
      <c r="CT346" s="87"/>
      <c r="CU346" s="87"/>
      <c r="CV346" s="87"/>
      <c r="CW346" s="87"/>
      <c r="CX346" s="87"/>
      <c r="CY346" s="87"/>
      <c r="CZ346" s="87"/>
      <c r="DA346" s="87"/>
      <c r="DB346" s="87"/>
      <c r="DC346" s="87"/>
      <c r="DD346" s="87"/>
      <c r="DE346" s="87"/>
      <c r="DF346" s="87"/>
      <c r="DG346" s="87"/>
      <c r="DH346" s="87"/>
      <c r="DI346" s="87"/>
      <c r="DJ346" s="87"/>
      <c r="DK346" s="87"/>
      <c r="DL346" s="87"/>
      <c r="DM346" s="87"/>
      <c r="DN346" s="87"/>
      <c r="DO346" s="87"/>
      <c r="DP346" s="87"/>
      <c r="DQ346" s="87"/>
      <c r="DR346" s="87"/>
      <c r="DS346" s="87"/>
      <c r="DT346" s="87"/>
      <c r="DU346" s="87"/>
      <c r="DV346" s="87"/>
      <c r="DW346" s="87"/>
      <c r="DX346" s="87"/>
      <c r="DY346" s="87"/>
      <c r="DZ346" s="87"/>
      <c r="EA346" s="87"/>
      <c r="EB346" s="87"/>
      <c r="EC346" s="87"/>
      <c r="ED346" s="87"/>
      <c r="EE346" s="87"/>
      <c r="EF346" s="87"/>
      <c r="EG346" s="87"/>
      <c r="EH346" s="87"/>
      <c r="EI346" s="87"/>
    </row>
    <row r="347" spans="1:139" ht="16.5" hidden="1" thickBot="1" x14ac:dyDescent="0.35">
      <c r="A347" s="88" t="s">
        <v>117</v>
      </c>
      <c r="B347" s="199">
        <v>3</v>
      </c>
      <c r="C347" s="195">
        <f>92*0.1</f>
        <v>9.2000000000000011</v>
      </c>
      <c r="D347" s="217">
        <f>C347/VLOOKUP(B347,'[2]Gas Prod per PADD'!$A$1:$C$6,2,FALSE)</f>
        <v>2E-3</v>
      </c>
      <c r="E347" s="196">
        <v>45576</v>
      </c>
      <c r="F347" s="281">
        <f>E347+20</f>
        <v>45596</v>
      </c>
      <c r="G347" s="194" t="s">
        <v>665</v>
      </c>
      <c r="H347" s="230" t="s">
        <v>666</v>
      </c>
      <c r="I347" s="84"/>
      <c r="J347" s="85"/>
      <c r="K347" s="85"/>
      <c r="L347" s="85"/>
      <c r="M347" s="85"/>
      <c r="N347" s="85"/>
      <c r="O347" s="85"/>
      <c r="P347" s="85"/>
      <c r="Q347" s="85"/>
      <c r="R347" s="85"/>
      <c r="S347" s="85"/>
      <c r="T347" s="85"/>
      <c r="U347" s="85"/>
      <c r="V347" s="84"/>
      <c r="W347" s="84"/>
      <c r="X347" s="84" t="str">
        <f t="shared" si="15"/>
        <v>OK</v>
      </c>
      <c r="Y347" s="105"/>
      <c r="Z347" s="105"/>
      <c r="AA347" s="87"/>
      <c r="AB347" s="87"/>
      <c r="AC347" s="87"/>
      <c r="AD347" s="87"/>
      <c r="AE347" s="105"/>
      <c r="AF347" s="105"/>
      <c r="AG347" s="105"/>
      <c r="AH347" s="105"/>
      <c r="AI347" s="87"/>
      <c r="AJ347" s="87"/>
      <c r="AK347" s="105"/>
      <c r="AL347" s="87"/>
      <c r="AM347" s="105"/>
      <c r="AN347" s="105"/>
      <c r="AO347" s="87"/>
      <c r="AP347" s="87"/>
      <c r="AQ347" s="105"/>
      <c r="AR347" s="105"/>
      <c r="AS347" s="87"/>
      <c r="AT347" s="105"/>
      <c r="AU347" s="105"/>
      <c r="AV347" s="87"/>
      <c r="AW347" s="105"/>
      <c r="AX347" s="105"/>
      <c r="AY347" s="87"/>
      <c r="AZ347" s="105"/>
      <c r="BA347" s="105"/>
      <c r="BB347" s="105"/>
      <c r="BC347" s="87"/>
      <c r="BD347" s="87"/>
      <c r="BE347" s="105"/>
      <c r="BF347" s="105"/>
      <c r="BG347" s="105"/>
      <c r="BH347" s="105"/>
      <c r="BI347" s="105"/>
      <c r="BJ347" s="87"/>
      <c r="BK347" s="87"/>
      <c r="BL347" s="87"/>
      <c r="BM347" s="87"/>
      <c r="BN347" s="87"/>
      <c r="BO347" s="87"/>
      <c r="BP347" s="87"/>
      <c r="BQ347" s="87"/>
      <c r="BR347" s="87"/>
      <c r="BS347" s="87"/>
      <c r="BT347" s="87"/>
      <c r="BU347" s="87"/>
      <c r="BV347" s="87">
        <f>-1/7*C347</f>
        <v>-1.3142857142857143</v>
      </c>
      <c r="BW347" s="87">
        <f>-6/7*C347</f>
        <v>-7.8857142857142861</v>
      </c>
      <c r="BX347" s="87"/>
      <c r="BY347" s="105">
        <f>C347</f>
        <v>9.2000000000000011</v>
      </c>
      <c r="BZ347" s="87"/>
      <c r="CA347" s="87"/>
      <c r="CB347" s="87"/>
      <c r="CC347" s="87"/>
      <c r="CD347" s="87"/>
      <c r="CE347" s="87"/>
      <c r="CF347" s="87"/>
      <c r="CG347" s="87"/>
      <c r="CH347" s="87"/>
      <c r="CI347" s="87"/>
      <c r="CJ347" s="87"/>
      <c r="CK347" s="87"/>
      <c r="CL347" s="87"/>
      <c r="CM347" s="87"/>
      <c r="CN347" s="87"/>
      <c r="CO347" s="87"/>
      <c r="CP347" s="87"/>
      <c r="CQ347" s="87"/>
      <c r="CR347" s="87"/>
      <c r="CS347" s="87"/>
      <c r="CT347" s="87"/>
      <c r="CU347" s="87"/>
      <c r="CV347" s="87"/>
      <c r="CW347" s="87"/>
      <c r="CX347" s="87"/>
      <c r="CY347" s="87"/>
      <c r="CZ347" s="87"/>
      <c r="DA347" s="87"/>
      <c r="DB347" s="87"/>
      <c r="DC347" s="87"/>
      <c r="DD347" s="87"/>
      <c r="DE347" s="87"/>
      <c r="DF347" s="87"/>
      <c r="DG347" s="87"/>
      <c r="DH347" s="87"/>
      <c r="DI347" s="87"/>
      <c r="DJ347" s="87"/>
      <c r="DK347" s="87"/>
      <c r="DL347" s="87"/>
      <c r="DM347" s="87"/>
      <c r="DN347" s="87"/>
      <c r="DO347" s="87"/>
      <c r="DP347" s="87"/>
      <c r="DQ347" s="87"/>
      <c r="DR347" s="87"/>
      <c r="DS347" s="87"/>
      <c r="DT347" s="87"/>
      <c r="DU347" s="87"/>
      <c r="DV347" s="87"/>
      <c r="DW347" s="87"/>
      <c r="DX347" s="87"/>
      <c r="DY347" s="87"/>
      <c r="DZ347" s="87"/>
      <c r="EA347" s="87"/>
      <c r="EB347" s="87"/>
      <c r="EC347" s="87"/>
      <c r="ED347" s="87"/>
      <c r="EE347" s="87"/>
      <c r="EF347" s="87"/>
      <c r="EG347" s="87"/>
      <c r="EH347" s="87"/>
      <c r="EI347" s="87"/>
    </row>
    <row r="348" spans="1:139" ht="16.5" hidden="1" thickBot="1" x14ac:dyDescent="0.35">
      <c r="A348" s="88" t="s">
        <v>117</v>
      </c>
      <c r="B348" s="199">
        <v>3</v>
      </c>
      <c r="C348" s="195">
        <f>100*0.1</f>
        <v>10</v>
      </c>
      <c r="D348" s="217">
        <f>C348/VLOOKUP(B348,'[2]Gas Prod per PADD'!$A$1:$C$6,2,FALSE)</f>
        <v>2.1739130434782609E-3</v>
      </c>
      <c r="E348" s="196">
        <v>45576</v>
      </c>
      <c r="F348" s="281">
        <f>E348+20</f>
        <v>45596</v>
      </c>
      <c r="G348" s="194" t="s">
        <v>667</v>
      </c>
      <c r="H348" s="230" t="s">
        <v>666</v>
      </c>
      <c r="I348" s="84"/>
      <c r="J348" s="85"/>
      <c r="K348" s="85"/>
      <c r="L348" s="85"/>
      <c r="M348" s="85"/>
      <c r="N348" s="85"/>
      <c r="O348" s="85"/>
      <c r="P348" s="85"/>
      <c r="Q348" s="85"/>
      <c r="R348" s="85"/>
      <c r="S348" s="85"/>
      <c r="T348" s="85"/>
      <c r="U348" s="85"/>
      <c r="V348" s="84"/>
      <c r="W348" s="84"/>
      <c r="X348" s="84" t="str">
        <f t="shared" si="15"/>
        <v>OK</v>
      </c>
      <c r="Y348" s="105"/>
      <c r="Z348" s="105"/>
      <c r="AA348" s="87"/>
      <c r="AB348" s="87"/>
      <c r="AC348" s="87"/>
      <c r="AD348" s="87"/>
      <c r="AE348" s="105"/>
      <c r="AF348" s="105"/>
      <c r="AG348" s="105"/>
      <c r="AH348" s="105"/>
      <c r="AI348" s="87"/>
      <c r="AJ348" s="87"/>
      <c r="AK348" s="105"/>
      <c r="AL348" s="87"/>
      <c r="AM348" s="105"/>
      <c r="AN348" s="105"/>
      <c r="AO348" s="87"/>
      <c r="AP348" s="87"/>
      <c r="AQ348" s="105"/>
      <c r="AR348" s="105"/>
      <c r="AS348" s="87"/>
      <c r="AT348" s="105"/>
      <c r="AU348" s="105"/>
      <c r="AV348" s="87"/>
      <c r="AW348" s="105"/>
      <c r="AX348" s="105"/>
      <c r="AY348" s="87"/>
      <c r="AZ348" s="105"/>
      <c r="BA348" s="105"/>
      <c r="BB348" s="105"/>
      <c r="BC348" s="87"/>
      <c r="BD348" s="87"/>
      <c r="BE348" s="105"/>
      <c r="BF348" s="105"/>
      <c r="BG348" s="105"/>
      <c r="BH348" s="105"/>
      <c r="BI348" s="105"/>
      <c r="BJ348" s="87"/>
      <c r="BK348" s="87"/>
      <c r="BL348" s="87"/>
      <c r="BM348" s="87"/>
      <c r="BN348" s="87"/>
      <c r="BO348" s="87"/>
      <c r="BP348" s="87"/>
      <c r="BQ348" s="87"/>
      <c r="BR348" s="87"/>
      <c r="BS348" s="87"/>
      <c r="BT348" s="87"/>
      <c r="BU348" s="87"/>
      <c r="BV348" s="87">
        <f>-1/7*C348</f>
        <v>-1.4285714285714284</v>
      </c>
      <c r="BW348" s="87">
        <f>-6/7*C348</f>
        <v>-8.5714285714285712</v>
      </c>
      <c r="BX348" s="87"/>
      <c r="BY348" s="105">
        <f>C348</f>
        <v>10</v>
      </c>
      <c r="BZ348" s="87"/>
      <c r="CA348" s="87"/>
      <c r="CB348" s="87"/>
      <c r="CC348" s="87"/>
      <c r="CD348" s="87"/>
      <c r="CE348" s="87"/>
      <c r="CF348" s="87"/>
      <c r="CG348" s="87"/>
      <c r="CH348" s="87"/>
      <c r="CI348" s="87"/>
      <c r="CJ348" s="87"/>
      <c r="CK348" s="87"/>
      <c r="CL348" s="87"/>
      <c r="CM348" s="87"/>
      <c r="CN348" s="87"/>
      <c r="CO348" s="87"/>
      <c r="CP348" s="87"/>
      <c r="CQ348" s="87"/>
      <c r="CR348" s="87"/>
      <c r="CS348" s="87"/>
      <c r="CT348" s="87"/>
      <c r="CU348" s="87"/>
      <c r="CV348" s="87"/>
      <c r="CW348" s="87"/>
      <c r="CX348" s="87"/>
      <c r="CY348" s="87"/>
      <c r="CZ348" s="87"/>
      <c r="DA348" s="87"/>
      <c r="DB348" s="87"/>
      <c r="DC348" s="87"/>
      <c r="DD348" s="87"/>
      <c r="DE348" s="87"/>
      <c r="DF348" s="87"/>
      <c r="DG348" s="87"/>
      <c r="DH348" s="87"/>
      <c r="DI348" s="87"/>
      <c r="DJ348" s="87"/>
      <c r="DK348" s="87"/>
      <c r="DL348" s="87"/>
      <c r="DM348" s="87"/>
      <c r="DN348" s="87"/>
      <c r="DO348" s="87"/>
      <c r="DP348" s="87"/>
      <c r="DQ348" s="87"/>
      <c r="DR348" s="87"/>
      <c r="DS348" s="87"/>
      <c r="DT348" s="87"/>
      <c r="DU348" s="87"/>
      <c r="DV348" s="87"/>
      <c r="DW348" s="87"/>
      <c r="DX348" s="87"/>
      <c r="DY348" s="87"/>
      <c r="DZ348" s="87"/>
      <c r="EA348" s="87"/>
      <c r="EB348" s="87"/>
      <c r="EC348" s="87"/>
      <c r="ED348" s="87"/>
      <c r="EE348" s="87"/>
      <c r="EF348" s="87"/>
      <c r="EG348" s="87"/>
      <c r="EH348" s="87"/>
      <c r="EI348" s="87"/>
    </row>
    <row r="349" spans="1:139" ht="16.5" hidden="1" thickBot="1" x14ac:dyDescent="0.35">
      <c r="A349" s="88" t="s">
        <v>117</v>
      </c>
      <c r="B349" s="199">
        <v>3</v>
      </c>
      <c r="C349" s="195">
        <f>15*0.65</f>
        <v>9.75</v>
      </c>
      <c r="D349" s="217">
        <f>C349/VLOOKUP(B349,'[2]Gas Prod per PADD'!$A$1:$C$6,2,FALSE)</f>
        <v>2.1195652173913045E-3</v>
      </c>
      <c r="E349" s="196">
        <v>45576</v>
      </c>
      <c r="F349" s="281">
        <f>E349+20</f>
        <v>45596</v>
      </c>
      <c r="G349" s="194" t="s">
        <v>668</v>
      </c>
      <c r="H349" s="230" t="s">
        <v>666</v>
      </c>
      <c r="I349" s="84"/>
      <c r="J349" s="85"/>
      <c r="K349" s="85"/>
      <c r="L349" s="85"/>
      <c r="M349" s="85"/>
      <c r="N349" s="85"/>
      <c r="O349" s="85"/>
      <c r="P349" s="85"/>
      <c r="Q349" s="85"/>
      <c r="R349" s="85"/>
      <c r="S349" s="85"/>
      <c r="T349" s="85"/>
      <c r="U349" s="85"/>
      <c r="V349" s="84"/>
      <c r="W349" s="84"/>
      <c r="X349" s="84" t="str">
        <f t="shared" si="15"/>
        <v>OK</v>
      </c>
      <c r="Y349" s="105"/>
      <c r="Z349" s="105"/>
      <c r="AA349" s="87"/>
      <c r="AB349" s="87"/>
      <c r="AC349" s="87"/>
      <c r="AD349" s="87"/>
      <c r="AE349" s="105"/>
      <c r="AF349" s="105"/>
      <c r="AG349" s="105"/>
      <c r="AH349" s="105"/>
      <c r="AI349" s="87"/>
      <c r="AJ349" s="87"/>
      <c r="AK349" s="105"/>
      <c r="AL349" s="87"/>
      <c r="AM349" s="105"/>
      <c r="AN349" s="105"/>
      <c r="AO349" s="87"/>
      <c r="AP349" s="87"/>
      <c r="AQ349" s="105"/>
      <c r="AR349" s="105"/>
      <c r="AS349" s="87"/>
      <c r="AT349" s="105"/>
      <c r="AU349" s="105"/>
      <c r="AV349" s="87"/>
      <c r="AW349" s="105"/>
      <c r="AX349" s="105"/>
      <c r="AY349" s="87"/>
      <c r="AZ349" s="105"/>
      <c r="BA349" s="105"/>
      <c r="BB349" s="105"/>
      <c r="BC349" s="87"/>
      <c r="BD349" s="87"/>
      <c r="BE349" s="105"/>
      <c r="BF349" s="105"/>
      <c r="BG349" s="105"/>
      <c r="BH349" s="105"/>
      <c r="BI349" s="105"/>
      <c r="BJ349" s="87"/>
      <c r="BK349" s="87"/>
      <c r="BL349" s="87"/>
      <c r="BM349" s="87"/>
      <c r="BN349" s="87"/>
      <c r="BO349" s="87"/>
      <c r="BP349" s="87"/>
      <c r="BQ349" s="87"/>
      <c r="BR349" s="87"/>
      <c r="BS349" s="87"/>
      <c r="BT349" s="87"/>
      <c r="BU349" s="87"/>
      <c r="BV349" s="87">
        <f>-1/7*C349</f>
        <v>-1.3928571428571428</v>
      </c>
      <c r="BW349" s="87">
        <f>-6/7*C349</f>
        <v>-8.3571428571428559</v>
      </c>
      <c r="BX349" s="87"/>
      <c r="BY349" s="105">
        <f>C349</f>
        <v>9.75</v>
      </c>
      <c r="BZ349" s="87"/>
      <c r="CA349" s="87"/>
      <c r="CB349" s="87"/>
      <c r="CC349" s="87"/>
      <c r="CD349" s="87"/>
      <c r="CE349" s="87"/>
      <c r="CF349" s="87"/>
      <c r="CG349" s="87"/>
      <c r="CH349" s="87"/>
      <c r="CI349" s="87"/>
      <c r="CJ349" s="87"/>
      <c r="CK349" s="87"/>
      <c r="CL349" s="87"/>
      <c r="CM349" s="87"/>
      <c r="CN349" s="87"/>
      <c r="CO349" s="87"/>
      <c r="CP349" s="87"/>
      <c r="CQ349" s="87"/>
      <c r="CR349" s="87"/>
      <c r="CS349" s="87"/>
      <c r="CT349" s="87"/>
      <c r="CU349" s="87"/>
      <c r="CV349" s="87"/>
      <c r="CW349" s="87"/>
      <c r="CX349" s="87"/>
      <c r="CY349" s="87"/>
      <c r="CZ349" s="87"/>
      <c r="DA349" s="87"/>
      <c r="DB349" s="87"/>
      <c r="DC349" s="87"/>
      <c r="DD349" s="87"/>
      <c r="DE349" s="87"/>
      <c r="DF349" s="87"/>
      <c r="DG349" s="87"/>
      <c r="DH349" s="87"/>
      <c r="DI349" s="87"/>
      <c r="DJ349" s="87"/>
      <c r="DK349" s="87"/>
      <c r="DL349" s="87"/>
      <c r="DM349" s="87"/>
      <c r="DN349" s="87"/>
      <c r="DO349" s="87"/>
      <c r="DP349" s="87"/>
      <c r="DQ349" s="87"/>
      <c r="DR349" s="87"/>
      <c r="DS349" s="87"/>
      <c r="DT349" s="87"/>
      <c r="DU349" s="87"/>
      <c r="DV349" s="87"/>
      <c r="DW349" s="87"/>
      <c r="DX349" s="87"/>
      <c r="DY349" s="87"/>
      <c r="DZ349" s="87"/>
      <c r="EA349" s="87"/>
      <c r="EB349" s="87"/>
      <c r="EC349" s="87"/>
      <c r="ED349" s="87"/>
      <c r="EE349" s="87"/>
      <c r="EF349" s="87"/>
      <c r="EG349" s="87"/>
      <c r="EH349" s="87"/>
      <c r="EI349" s="87"/>
    </row>
    <row r="350" spans="1:139" ht="16.5" hidden="1" thickBot="1" x14ac:dyDescent="0.35">
      <c r="A350" s="190" t="s">
        <v>334</v>
      </c>
      <c r="B350" s="282">
        <v>3</v>
      </c>
      <c r="C350" s="177">
        <f>64*0.3</f>
        <v>19.2</v>
      </c>
      <c r="D350" s="217">
        <f>C350/VLOOKUP(B350,'[2]Gas Prod per PADD'!$A$1:$C$6,2,FALSE)</f>
        <v>4.1739130434782605E-3</v>
      </c>
      <c r="E350" s="178">
        <v>45594</v>
      </c>
      <c r="F350" s="252">
        <f>E350+3</f>
        <v>45597</v>
      </c>
      <c r="G350" s="180" t="s">
        <v>669</v>
      </c>
      <c r="H350" s="221" t="s">
        <v>670</v>
      </c>
      <c r="I350" s="84"/>
      <c r="J350" s="85"/>
      <c r="K350" s="85"/>
      <c r="L350" s="85"/>
      <c r="M350" s="85"/>
      <c r="N350" s="85"/>
      <c r="O350" s="85"/>
      <c r="P350" s="85"/>
      <c r="Q350" s="85"/>
      <c r="R350" s="85"/>
      <c r="S350" s="85"/>
      <c r="T350" s="85"/>
      <c r="U350" s="85"/>
      <c r="V350" s="84"/>
      <c r="W350" s="84"/>
      <c r="X350" s="84" t="str">
        <f t="shared" si="15"/>
        <v>OK</v>
      </c>
      <c r="Y350" s="105"/>
      <c r="Z350" s="105"/>
      <c r="AA350" s="87"/>
      <c r="AB350" s="87"/>
      <c r="AC350" s="87"/>
      <c r="AD350" s="87"/>
      <c r="AE350" s="105"/>
      <c r="AF350" s="105"/>
      <c r="AG350" s="105"/>
      <c r="AH350" s="105"/>
      <c r="AI350" s="87"/>
      <c r="AJ350" s="87"/>
      <c r="AK350" s="87"/>
      <c r="AL350" s="87"/>
      <c r="AM350" s="87"/>
      <c r="AN350" s="87"/>
      <c r="AO350" s="87"/>
      <c r="AP350" s="87"/>
      <c r="AQ350" s="87"/>
      <c r="AR350" s="87"/>
      <c r="AS350" s="87"/>
      <c r="AT350" s="87"/>
      <c r="AU350" s="87"/>
      <c r="AV350" s="87"/>
      <c r="AW350" s="87"/>
      <c r="AX350" s="87"/>
      <c r="AY350" s="87"/>
      <c r="AZ350" s="87"/>
      <c r="BA350" s="87"/>
      <c r="BB350" s="87"/>
      <c r="BC350" s="87"/>
      <c r="BD350" s="87"/>
      <c r="BE350" s="87"/>
      <c r="BF350" s="87"/>
      <c r="BG350" s="87"/>
      <c r="BH350" s="87"/>
      <c r="BI350" s="87"/>
      <c r="BJ350" s="87"/>
      <c r="BK350" s="87"/>
      <c r="BL350" s="87"/>
      <c r="BM350" s="87"/>
      <c r="BN350" s="87"/>
      <c r="BO350" s="87"/>
      <c r="BP350" s="87"/>
      <c r="BQ350" s="87"/>
      <c r="BR350" s="87"/>
      <c r="BS350" s="87"/>
      <c r="BT350" s="87"/>
      <c r="BU350" s="278"/>
      <c r="BV350" s="278"/>
      <c r="BW350" s="278"/>
      <c r="BX350" s="87"/>
      <c r="BY350" s="87">
        <f>-2/7*C350</f>
        <v>-5.4857142857142849</v>
      </c>
      <c r="BZ350" s="87">
        <f>-BY350</f>
        <v>5.4857142857142849</v>
      </c>
      <c r="CA350" s="87"/>
      <c r="CB350" s="87"/>
      <c r="CC350" s="87"/>
      <c r="CD350" s="87"/>
      <c r="CE350" s="87"/>
      <c r="CF350" s="87"/>
      <c r="CG350" s="87"/>
      <c r="CH350" s="87"/>
      <c r="CI350" s="87"/>
      <c r="CJ350" s="87"/>
      <c r="CK350" s="87"/>
      <c r="CL350" s="87"/>
      <c r="CM350" s="87"/>
      <c r="CN350" s="87"/>
      <c r="CO350" s="87"/>
      <c r="CP350" s="87"/>
      <c r="CQ350" s="87"/>
      <c r="CR350" s="87"/>
      <c r="CS350" s="87"/>
      <c r="CT350" s="87"/>
      <c r="CU350" s="87"/>
      <c r="CV350" s="87"/>
      <c r="CW350" s="87"/>
      <c r="CX350" s="87"/>
      <c r="CY350" s="87"/>
      <c r="CZ350" s="87"/>
      <c r="DA350" s="87"/>
      <c r="DB350" s="87"/>
      <c r="DC350" s="87"/>
      <c r="DD350" s="87"/>
      <c r="DE350" s="87"/>
      <c r="DF350" s="87"/>
      <c r="DG350" s="87"/>
      <c r="DH350" s="87"/>
      <c r="DI350" s="87"/>
      <c r="DJ350" s="87"/>
      <c r="DK350" s="87"/>
      <c r="DL350" s="87"/>
      <c r="DM350" s="87"/>
      <c r="DN350" s="87"/>
      <c r="DO350" s="87"/>
      <c r="DP350" s="87"/>
      <c r="DQ350" s="87"/>
      <c r="DR350" s="87"/>
      <c r="DS350" s="87"/>
      <c r="DT350" s="87"/>
      <c r="DU350" s="87"/>
      <c r="DV350" s="87"/>
      <c r="DW350" s="87"/>
      <c r="DX350" s="87"/>
      <c r="DY350" s="87"/>
      <c r="DZ350" s="87"/>
      <c r="EA350" s="87"/>
      <c r="EB350" s="87"/>
      <c r="EC350" s="87"/>
      <c r="ED350" s="87"/>
      <c r="EE350" s="87"/>
      <c r="EF350" s="87"/>
      <c r="EG350" s="87"/>
      <c r="EH350" s="87"/>
      <c r="EI350" s="87"/>
    </row>
    <row r="351" spans="1:139" ht="29.25" hidden="1" thickBot="1" x14ac:dyDescent="0.35">
      <c r="A351" s="193" t="s">
        <v>156</v>
      </c>
      <c r="B351" s="282">
        <v>2</v>
      </c>
      <c r="C351" s="177">
        <f>67.5*0.25</f>
        <v>16.875</v>
      </c>
      <c r="D351" s="217">
        <f>C351/VLOOKUP(B351,'[2]Gas Prod per PADD'!$A$1:$C$6,2,FALSE)</f>
        <v>7.0312500000000002E-3</v>
      </c>
      <c r="E351" s="196">
        <v>45534</v>
      </c>
      <c r="F351" s="197">
        <v>45598</v>
      </c>
      <c r="G351" s="180" t="s">
        <v>671</v>
      </c>
      <c r="H351" s="277" t="s">
        <v>672</v>
      </c>
      <c r="I351" s="84"/>
      <c r="J351" s="85"/>
      <c r="K351" s="85"/>
      <c r="L351" s="85"/>
      <c r="M351" s="85"/>
      <c r="N351" s="85"/>
      <c r="O351" s="85"/>
      <c r="P351" s="85"/>
      <c r="Q351" s="85"/>
      <c r="R351" s="85"/>
      <c r="S351" s="85"/>
      <c r="T351" s="85"/>
      <c r="U351" s="85"/>
      <c r="V351" s="84"/>
      <c r="W351" s="84"/>
      <c r="X351" s="84" t="str">
        <f t="shared" si="15"/>
        <v>Missing</v>
      </c>
      <c r="Y351" s="87"/>
      <c r="Z351" s="87"/>
      <c r="AA351" s="87"/>
      <c r="AB351" s="87"/>
      <c r="AC351" s="87"/>
      <c r="AD351" s="87"/>
      <c r="AE351" s="87"/>
      <c r="AF351" s="87"/>
      <c r="AG351" s="87"/>
      <c r="AH351" s="87"/>
      <c r="AI351" s="87"/>
      <c r="AJ351" s="87"/>
      <c r="AK351" s="87"/>
      <c r="AL351" s="87"/>
      <c r="AM351" s="87"/>
      <c r="AN351" s="87"/>
      <c r="AO351" s="87"/>
      <c r="AP351" s="87"/>
      <c r="AQ351" s="87"/>
      <c r="AR351" s="87"/>
      <c r="AS351" s="87"/>
      <c r="AT351" s="87"/>
      <c r="AU351" s="87"/>
      <c r="AV351" s="87"/>
      <c r="AW351" s="87"/>
      <c r="AX351" s="87"/>
      <c r="AY351" s="87"/>
      <c r="AZ351" s="87"/>
      <c r="BA351" s="87"/>
      <c r="BB351" s="87"/>
      <c r="BC351" s="87"/>
      <c r="BD351" s="87"/>
      <c r="BE351" s="87"/>
      <c r="BF351" s="87"/>
      <c r="BG351" s="87"/>
      <c r="BH351" s="87"/>
      <c r="BI351" s="87"/>
      <c r="BJ351" s="87"/>
      <c r="BK351" s="87"/>
      <c r="BL351" s="87"/>
      <c r="BM351" s="87"/>
      <c r="BN351" s="87"/>
      <c r="BO351" s="87"/>
      <c r="BP351" s="87"/>
      <c r="BQ351" s="87"/>
      <c r="BR351" s="87"/>
      <c r="BS351" s="87"/>
      <c r="BT351" s="87"/>
      <c r="BU351" s="87"/>
      <c r="BV351" s="87"/>
      <c r="BW351" s="87"/>
      <c r="BX351" s="105"/>
      <c r="BY351" s="87"/>
      <c r="BZ351" s="87"/>
      <c r="CA351" s="105"/>
      <c r="CB351" s="87"/>
      <c r="CC351" s="87"/>
      <c r="CD351" s="87"/>
      <c r="CE351" s="87"/>
      <c r="CF351" s="87"/>
      <c r="CG351" s="87"/>
      <c r="CH351" s="87"/>
      <c r="CI351" s="87"/>
      <c r="CJ351" s="87"/>
      <c r="CK351" s="87"/>
      <c r="CL351" s="87"/>
      <c r="CM351" s="87"/>
      <c r="CN351" s="87"/>
      <c r="CO351" s="87"/>
      <c r="CP351" s="87"/>
      <c r="CQ351" s="87"/>
      <c r="CR351" s="87"/>
      <c r="CS351" s="87"/>
      <c r="CT351" s="87"/>
      <c r="CU351" s="87"/>
      <c r="CV351" s="87"/>
      <c r="CW351" s="87"/>
      <c r="CX351" s="87"/>
      <c r="CY351" s="87"/>
      <c r="CZ351" s="87"/>
      <c r="DA351" s="87"/>
      <c r="DB351" s="87"/>
      <c r="DC351" s="87"/>
      <c r="DD351" s="87"/>
      <c r="DE351" s="87"/>
      <c r="DF351" s="87"/>
      <c r="DG351" s="87"/>
      <c r="DH351" s="87"/>
      <c r="DI351" s="87"/>
      <c r="DJ351" s="87"/>
      <c r="DK351" s="87"/>
      <c r="DL351" s="87"/>
      <c r="DM351" s="87"/>
      <c r="DN351" s="87"/>
      <c r="DO351" s="87"/>
      <c r="DP351" s="87"/>
      <c r="DQ351" s="87"/>
      <c r="DR351" s="87"/>
      <c r="DS351" s="87"/>
      <c r="DT351" s="87"/>
      <c r="DU351" s="87"/>
      <c r="DV351" s="87"/>
      <c r="DW351" s="87"/>
      <c r="DX351" s="87"/>
      <c r="DY351" s="87"/>
      <c r="DZ351" s="87"/>
      <c r="EA351" s="87"/>
      <c r="EB351" s="87"/>
      <c r="EC351" s="87"/>
      <c r="ED351" s="87"/>
      <c r="EE351" s="87"/>
      <c r="EF351" s="87"/>
      <c r="EG351" s="87"/>
      <c r="EH351" s="87"/>
      <c r="EI351" s="87"/>
    </row>
    <row r="352" spans="1:139" ht="16.5" hidden="1" thickBot="1" x14ac:dyDescent="0.35">
      <c r="A352" s="113" t="s">
        <v>298</v>
      </c>
      <c r="B352" s="199">
        <v>4</v>
      </c>
      <c r="C352" s="195">
        <f>8.5*0.65</f>
        <v>5.5250000000000004</v>
      </c>
      <c r="D352" s="217">
        <f>C352/VLOOKUP(B352,'[2]Gas Prod per PADD'!$A$1:$C$6,2,FALSE)</f>
        <v>1.6250000000000001E-2</v>
      </c>
      <c r="E352" s="196">
        <v>45585</v>
      </c>
      <c r="F352" s="281">
        <v>45598</v>
      </c>
      <c r="G352" s="194" t="s">
        <v>673</v>
      </c>
      <c r="H352" s="198" t="s">
        <v>543</v>
      </c>
      <c r="I352" s="84"/>
      <c r="J352" s="85"/>
      <c r="K352" s="85"/>
      <c r="L352" s="85"/>
      <c r="M352" s="85"/>
      <c r="N352" s="85"/>
      <c r="O352" s="85"/>
      <c r="P352" s="85"/>
      <c r="Q352" s="85"/>
      <c r="R352" s="85"/>
      <c r="S352" s="85"/>
      <c r="T352" s="85"/>
      <c r="U352" s="85"/>
      <c r="V352" s="84"/>
      <c r="W352" s="84"/>
      <c r="X352" s="84" t="str">
        <f t="shared" si="15"/>
        <v>OK</v>
      </c>
      <c r="Y352" s="87"/>
      <c r="Z352" s="87"/>
      <c r="AA352" s="87"/>
      <c r="AB352" s="87"/>
      <c r="AC352" s="87"/>
      <c r="AD352" s="87"/>
      <c r="AE352" s="87"/>
      <c r="AF352" s="87"/>
      <c r="AG352" s="87"/>
      <c r="AH352" s="87"/>
      <c r="AI352" s="87"/>
      <c r="AJ352" s="87"/>
      <c r="AK352" s="87"/>
      <c r="AL352" s="87"/>
      <c r="AM352" s="87"/>
      <c r="AN352" s="87"/>
      <c r="AO352" s="87"/>
      <c r="AP352" s="87"/>
      <c r="AQ352" s="87"/>
      <c r="AR352" s="87"/>
      <c r="AS352" s="87"/>
      <c r="AT352" s="87"/>
      <c r="AU352" s="87"/>
      <c r="AV352" s="87"/>
      <c r="AW352" s="87"/>
      <c r="AX352" s="87"/>
      <c r="AY352" s="87"/>
      <c r="AZ352" s="87"/>
      <c r="BA352" s="87"/>
      <c r="BB352" s="87"/>
      <c r="BC352" s="87"/>
      <c r="BD352" s="87"/>
      <c r="BE352" s="87"/>
      <c r="BF352" s="87"/>
      <c r="BG352" s="87"/>
      <c r="BH352" s="87"/>
      <c r="BI352" s="87"/>
      <c r="BJ352" s="87"/>
      <c r="BK352" s="87"/>
      <c r="BL352" s="87"/>
      <c r="BM352" s="87"/>
      <c r="BN352" s="87"/>
      <c r="BO352" s="87"/>
      <c r="BP352" s="87"/>
      <c r="BQ352" s="87"/>
      <c r="BR352" s="87"/>
      <c r="BS352" s="87"/>
      <c r="BT352" s="87"/>
      <c r="BU352" s="87"/>
      <c r="BV352" s="87"/>
      <c r="BW352" s="87"/>
      <c r="BX352" s="87">
        <f>-5/7*C352</f>
        <v>-3.9464285714285716</v>
      </c>
      <c r="BY352" s="87"/>
      <c r="BZ352" s="87">
        <f>-BX352</f>
        <v>3.9464285714285716</v>
      </c>
      <c r="CA352" s="87"/>
      <c r="CB352" s="87"/>
      <c r="CC352" s="87"/>
      <c r="CD352" s="87"/>
      <c r="CE352" s="87"/>
      <c r="CF352" s="87"/>
      <c r="CG352" s="87"/>
      <c r="CH352" s="87"/>
      <c r="CI352" s="87"/>
      <c r="CJ352" s="87"/>
      <c r="CK352" s="87"/>
      <c r="CL352" s="87"/>
      <c r="CM352" s="87"/>
      <c r="CN352" s="87"/>
      <c r="CO352" s="87"/>
      <c r="CP352" s="87"/>
      <c r="CQ352" s="87"/>
      <c r="CR352" s="87"/>
      <c r="CS352" s="87"/>
      <c r="CT352" s="87"/>
      <c r="CU352" s="87"/>
      <c r="CV352" s="87"/>
      <c r="CW352" s="87"/>
      <c r="CX352" s="87"/>
      <c r="CY352" s="87"/>
      <c r="CZ352" s="87"/>
      <c r="DA352" s="87"/>
      <c r="DB352" s="87"/>
      <c r="DC352" s="87"/>
      <c r="DD352" s="87"/>
      <c r="DE352" s="87"/>
      <c r="DF352" s="87"/>
      <c r="DG352" s="87"/>
      <c r="DH352" s="87"/>
      <c r="DI352" s="87"/>
      <c r="DJ352" s="87"/>
      <c r="DK352" s="87"/>
      <c r="DL352" s="87"/>
      <c r="DM352" s="87"/>
      <c r="DN352" s="87"/>
      <c r="DO352" s="87"/>
      <c r="DP352" s="87"/>
      <c r="DQ352" s="87"/>
      <c r="DR352" s="87"/>
      <c r="DS352" s="87"/>
      <c r="DT352" s="87"/>
      <c r="DU352" s="87"/>
      <c r="DV352" s="87"/>
      <c r="DW352" s="87"/>
      <c r="DX352" s="87"/>
      <c r="DY352" s="87"/>
      <c r="DZ352" s="87"/>
      <c r="EA352" s="87"/>
      <c r="EB352" s="87"/>
      <c r="EC352" s="87"/>
      <c r="ED352" s="87"/>
      <c r="EE352" s="87"/>
      <c r="EF352" s="87"/>
      <c r="EG352" s="87"/>
      <c r="EH352" s="87"/>
      <c r="EI352" s="87"/>
    </row>
    <row r="353" spans="1:139" ht="16.5" hidden="1" thickBot="1" x14ac:dyDescent="0.35">
      <c r="A353" s="190" t="s">
        <v>304</v>
      </c>
      <c r="B353" s="282">
        <v>3</v>
      </c>
      <c r="C353" s="177">
        <f>0.65*46.2</f>
        <v>30.03</v>
      </c>
      <c r="D353" s="217">
        <f>C353/VLOOKUP(B353,'[2]Gas Prod per PADD'!$A$1:$C$6,2,FALSE)</f>
        <v>6.5282608695652177E-3</v>
      </c>
      <c r="E353" s="196">
        <v>45541</v>
      </c>
      <c r="F353" s="281">
        <v>45599</v>
      </c>
      <c r="G353" s="180" t="s">
        <v>674</v>
      </c>
      <c r="H353" s="181" t="s">
        <v>675</v>
      </c>
      <c r="I353" s="84"/>
      <c r="J353" s="85"/>
      <c r="K353" s="85"/>
      <c r="L353" s="85"/>
      <c r="M353" s="85"/>
      <c r="N353" s="85"/>
      <c r="O353" s="85"/>
      <c r="P353" s="85"/>
      <c r="Q353" s="85"/>
      <c r="R353" s="85"/>
      <c r="S353" s="85"/>
      <c r="T353" s="85"/>
      <c r="U353" s="85"/>
      <c r="V353" s="84"/>
      <c r="W353" s="84"/>
      <c r="X353" s="84" t="str">
        <f t="shared" si="15"/>
        <v>OK</v>
      </c>
      <c r="Y353" s="105"/>
      <c r="Z353" s="105"/>
      <c r="AA353" s="87"/>
      <c r="AB353" s="87"/>
      <c r="AC353" s="87"/>
      <c r="AD353" s="87"/>
      <c r="AE353" s="105"/>
      <c r="AF353" s="105"/>
      <c r="AG353" s="105"/>
      <c r="AH353" s="105"/>
      <c r="AI353" s="87"/>
      <c r="AJ353" s="87"/>
      <c r="AK353" s="87"/>
      <c r="AL353" s="87"/>
      <c r="AM353" s="87"/>
      <c r="AN353" s="87"/>
      <c r="AO353" s="87"/>
      <c r="AP353" s="87"/>
      <c r="AQ353" s="87"/>
      <c r="AR353" s="87"/>
      <c r="AS353" s="87"/>
      <c r="AT353" s="87"/>
      <c r="AU353" s="87"/>
      <c r="AV353" s="87"/>
      <c r="AW353" s="87"/>
      <c r="AX353" s="87"/>
      <c r="AY353" s="87"/>
      <c r="AZ353" s="87"/>
      <c r="BA353" s="87"/>
      <c r="BB353" s="87"/>
      <c r="BC353" s="87"/>
      <c r="BD353" s="87"/>
      <c r="BE353" s="87"/>
      <c r="BF353" s="87"/>
      <c r="BG353" s="87"/>
      <c r="BH353" s="87"/>
      <c r="BI353" s="87"/>
      <c r="BJ353" s="87"/>
      <c r="BK353" s="87"/>
      <c r="BL353" s="87"/>
      <c r="BM353" s="87"/>
      <c r="BN353" s="87"/>
      <c r="BO353" s="87"/>
      <c r="BP353" s="87"/>
      <c r="BQ353" s="87"/>
      <c r="BR353" s="87">
        <f>-2/3*C353</f>
        <v>-20.02</v>
      </c>
      <c r="BS353" s="87">
        <f>-C353-BR353</f>
        <v>-10.010000000000002</v>
      </c>
      <c r="BT353" s="87"/>
      <c r="BU353" s="87"/>
      <c r="BV353" s="87"/>
      <c r="BW353" s="87"/>
      <c r="BX353" s="87"/>
      <c r="BY353" s="87"/>
      <c r="BZ353" s="87">
        <f>-BS353</f>
        <v>10.010000000000002</v>
      </c>
      <c r="CA353" s="87">
        <f>-BR353</f>
        <v>20.02</v>
      </c>
      <c r="CB353" s="87"/>
      <c r="CC353" s="87"/>
      <c r="CD353" s="87"/>
      <c r="CE353" s="87"/>
      <c r="CF353" s="87"/>
      <c r="CG353" s="87"/>
      <c r="CH353" s="87"/>
      <c r="CI353" s="87"/>
      <c r="CJ353" s="87"/>
      <c r="CK353" s="87"/>
      <c r="CL353" s="87"/>
      <c r="CM353" s="87"/>
      <c r="CN353" s="87"/>
      <c r="CO353" s="87"/>
      <c r="CP353" s="87"/>
      <c r="CQ353" s="87"/>
      <c r="CR353" s="87"/>
      <c r="CS353" s="87"/>
      <c r="CT353" s="87"/>
      <c r="CU353" s="87"/>
      <c r="CV353" s="87"/>
      <c r="CW353" s="87"/>
      <c r="CX353" s="87"/>
      <c r="CY353" s="87"/>
      <c r="CZ353" s="87"/>
      <c r="DA353" s="87"/>
      <c r="DB353" s="87"/>
      <c r="DC353" s="87"/>
      <c r="DD353" s="87"/>
      <c r="DE353" s="87"/>
      <c r="DF353" s="87"/>
      <c r="DG353" s="87"/>
      <c r="DH353" s="87"/>
      <c r="DI353" s="87"/>
      <c r="DJ353" s="87"/>
      <c r="DK353" s="87"/>
      <c r="DL353" s="87"/>
      <c r="DM353" s="87"/>
      <c r="DN353" s="87"/>
      <c r="DO353" s="87"/>
      <c r="DP353" s="87"/>
      <c r="DQ353" s="87"/>
      <c r="DR353" s="87"/>
      <c r="DS353" s="87"/>
      <c r="DT353" s="87"/>
      <c r="DU353" s="87"/>
      <c r="DV353" s="87"/>
      <c r="DW353" s="87"/>
      <c r="DX353" s="87"/>
      <c r="DY353" s="87"/>
      <c r="DZ353" s="87"/>
      <c r="EA353" s="87"/>
      <c r="EB353" s="87"/>
      <c r="EC353" s="87"/>
      <c r="ED353" s="87"/>
      <c r="EE353" s="87"/>
      <c r="EF353" s="87"/>
      <c r="EG353" s="87"/>
      <c r="EH353" s="87"/>
      <c r="EI353" s="87"/>
    </row>
    <row r="354" spans="1:139" ht="57.75" hidden="1" thickBot="1" x14ac:dyDescent="0.35">
      <c r="A354" s="190" t="s">
        <v>162</v>
      </c>
      <c r="B354" s="282">
        <v>3</v>
      </c>
      <c r="C354" s="177">
        <f>0.85*52</f>
        <v>44.199999999999996</v>
      </c>
      <c r="D354" s="217">
        <f>C354/VLOOKUP(B354,'[2]Gas Prod per PADD'!$A$1:$C$6,2,FALSE)</f>
        <v>9.6086956521739125E-3</v>
      </c>
      <c r="E354" s="196">
        <v>45562</v>
      </c>
      <c r="F354" s="281">
        <v>45599</v>
      </c>
      <c r="G354" s="180" t="s">
        <v>676</v>
      </c>
      <c r="H354" s="277" t="s">
        <v>677</v>
      </c>
      <c r="I354" s="216">
        <f>F354+7</f>
        <v>45606</v>
      </c>
      <c r="J354" s="85"/>
      <c r="K354" s="85"/>
      <c r="L354" s="85"/>
      <c r="M354" s="85"/>
      <c r="N354" s="85"/>
      <c r="O354" s="85"/>
      <c r="P354" s="85"/>
      <c r="Q354" s="85"/>
      <c r="R354" s="85"/>
      <c r="S354" s="85"/>
      <c r="T354" s="85"/>
      <c r="U354" s="85"/>
      <c r="V354" s="84"/>
      <c r="W354" s="84"/>
      <c r="X354" s="84" t="str">
        <f t="shared" si="15"/>
        <v>OK</v>
      </c>
      <c r="Y354" s="105"/>
      <c r="Z354" s="105"/>
      <c r="AA354" s="87"/>
      <c r="AB354" s="87"/>
      <c r="AC354" s="87"/>
      <c r="AD354" s="87"/>
      <c r="AE354" s="105"/>
      <c r="AF354" s="105"/>
      <c r="AG354" s="105"/>
      <c r="AH354" s="105"/>
      <c r="AI354" s="87"/>
      <c r="AJ354" s="87"/>
      <c r="AK354" s="105"/>
      <c r="AL354" s="87"/>
      <c r="AM354" s="87"/>
      <c r="AN354" s="87"/>
      <c r="AO354" s="87"/>
      <c r="AP354" s="87"/>
      <c r="AQ354" s="105"/>
      <c r="AR354" s="105"/>
      <c r="AS354" s="87"/>
      <c r="AT354" s="87"/>
      <c r="AU354" s="87"/>
      <c r="AV354" s="87"/>
      <c r="AW354" s="87"/>
      <c r="AX354" s="87"/>
      <c r="AY354" s="87"/>
      <c r="AZ354" s="87"/>
      <c r="BA354" s="87"/>
      <c r="BB354" s="87"/>
      <c r="BC354" s="87"/>
      <c r="BD354" s="87"/>
      <c r="BE354" s="87"/>
      <c r="BF354" s="87"/>
      <c r="BG354" s="87"/>
      <c r="BH354" s="87"/>
      <c r="BI354" s="87"/>
      <c r="BJ354" s="87"/>
      <c r="BK354" s="87"/>
      <c r="BL354" s="87"/>
      <c r="BM354" s="87"/>
      <c r="BN354" s="87"/>
      <c r="BO354" s="87"/>
      <c r="BP354" s="87"/>
      <c r="BQ354" s="87"/>
      <c r="BR354" s="87"/>
      <c r="BS354" s="87"/>
      <c r="BT354" s="87"/>
      <c r="BU354" s="87">
        <f>-0.75*$C354</f>
        <v>-33.15</v>
      </c>
      <c r="BV354" s="87">
        <f>(C354+BU354)*-1</f>
        <v>-11.049999999999997</v>
      </c>
      <c r="BW354" s="87"/>
      <c r="BX354" s="87"/>
      <c r="BY354" s="87"/>
      <c r="BZ354" s="87">
        <f>-BV354</f>
        <v>11.049999999999997</v>
      </c>
      <c r="CA354" s="87">
        <f>C354-BZ354</f>
        <v>33.15</v>
      </c>
      <c r="CB354" s="87"/>
      <c r="CC354" s="87"/>
      <c r="CD354" s="87"/>
      <c r="CE354" s="87"/>
      <c r="CF354" s="87"/>
      <c r="CG354" s="87"/>
      <c r="CH354" s="87"/>
      <c r="CI354" s="87"/>
      <c r="CJ354" s="87"/>
      <c r="CK354" s="87"/>
      <c r="CL354" s="87"/>
      <c r="CM354" s="87"/>
      <c r="CN354" s="87"/>
      <c r="CO354" s="87"/>
      <c r="CP354" s="87"/>
      <c r="CQ354" s="87"/>
      <c r="CR354" s="87"/>
      <c r="CS354" s="87"/>
      <c r="CT354" s="87"/>
      <c r="CU354" s="87"/>
      <c r="CV354" s="87"/>
      <c r="CW354" s="87"/>
      <c r="CX354" s="87"/>
      <c r="CY354" s="87"/>
      <c r="CZ354" s="87"/>
      <c r="DA354" s="87"/>
      <c r="DB354" s="87"/>
      <c r="DC354" s="87"/>
      <c r="DD354" s="87"/>
      <c r="DE354" s="87"/>
      <c r="DF354" s="87"/>
      <c r="DG354" s="87"/>
      <c r="DH354" s="87"/>
      <c r="DI354" s="87"/>
      <c r="DJ354" s="87"/>
      <c r="DK354" s="87"/>
      <c r="DL354" s="87"/>
      <c r="DM354" s="87"/>
      <c r="DN354" s="87"/>
      <c r="DO354" s="87"/>
      <c r="DP354" s="87"/>
      <c r="DQ354" s="87"/>
      <c r="DR354" s="87"/>
      <c r="DS354" s="87"/>
      <c r="DT354" s="87"/>
      <c r="DU354" s="87"/>
      <c r="DV354" s="87"/>
      <c r="DW354" s="87"/>
      <c r="DX354" s="87"/>
      <c r="DY354" s="87"/>
      <c r="DZ354" s="87"/>
      <c r="EA354" s="87"/>
      <c r="EB354" s="87"/>
      <c r="EC354" s="87"/>
      <c r="ED354" s="87"/>
      <c r="EE354" s="87"/>
      <c r="EF354" s="87"/>
      <c r="EG354" s="87"/>
      <c r="EH354" s="87"/>
      <c r="EI354" s="87"/>
    </row>
    <row r="355" spans="1:139" ht="57.75" hidden="1" thickBot="1" x14ac:dyDescent="0.35">
      <c r="A355" s="88" t="s">
        <v>162</v>
      </c>
      <c r="B355" s="199">
        <v>3</v>
      </c>
      <c r="C355" s="195">
        <f>0.05*51.2</f>
        <v>2.5600000000000005</v>
      </c>
      <c r="D355" s="217">
        <f>C355/VLOOKUP(B355,'[2]Gas Prod per PADD'!$A$1:$C$6,2,FALSE)</f>
        <v>5.5652173913043484E-4</v>
      </c>
      <c r="E355" s="196">
        <v>45562</v>
      </c>
      <c r="F355" s="281">
        <v>45599</v>
      </c>
      <c r="G355" s="194" t="s">
        <v>678</v>
      </c>
      <c r="H355" s="277" t="s">
        <v>677</v>
      </c>
      <c r="I355" s="84"/>
      <c r="J355" s="85"/>
      <c r="K355" s="85"/>
      <c r="L355" s="85"/>
      <c r="M355" s="85"/>
      <c r="N355" s="85"/>
      <c r="O355" s="85"/>
      <c r="P355" s="85"/>
      <c r="Q355" s="85"/>
      <c r="R355" s="85"/>
      <c r="S355" s="85"/>
      <c r="T355" s="85"/>
      <c r="U355" s="85"/>
      <c r="V355" s="84"/>
      <c r="W355" s="84"/>
      <c r="X355" s="84" t="str">
        <f t="shared" si="15"/>
        <v>OK</v>
      </c>
      <c r="Y355" s="87"/>
      <c r="Z355" s="87"/>
      <c r="AA355" s="87"/>
      <c r="AB355" s="87"/>
      <c r="AC355" s="87"/>
      <c r="AD355" s="87">
        <v>-30.605714285714285</v>
      </c>
      <c r="AE355" s="87"/>
      <c r="AF355" s="87"/>
      <c r="AG355" s="87"/>
      <c r="AH355" s="87"/>
      <c r="AI355" s="87"/>
      <c r="AJ355" s="87"/>
      <c r="AK355" s="87"/>
      <c r="AL355" s="87"/>
      <c r="AM355" s="87"/>
      <c r="AN355" s="87"/>
      <c r="AO355" s="87"/>
      <c r="AP355" s="87"/>
      <c r="AQ355" s="87"/>
      <c r="AR355" s="87"/>
      <c r="AS355" s="87"/>
      <c r="AT355" s="87"/>
      <c r="AU355" s="87"/>
      <c r="AV355" s="87"/>
      <c r="AW355" s="87"/>
      <c r="AX355" s="87"/>
      <c r="AY355" s="87"/>
      <c r="AZ355" s="87"/>
      <c r="BA355" s="87"/>
      <c r="BB355" s="87"/>
      <c r="BC355" s="87"/>
      <c r="BD355" s="87"/>
      <c r="BE355" s="87"/>
      <c r="BF355" s="87"/>
      <c r="BG355" s="87"/>
      <c r="BH355" s="87"/>
      <c r="BI355" s="87"/>
      <c r="BJ355" s="87"/>
      <c r="BK355" s="87"/>
      <c r="BL355" s="87"/>
      <c r="BM355" s="87"/>
      <c r="BN355" s="87"/>
      <c r="BO355" s="87"/>
      <c r="BP355" s="87"/>
      <c r="BQ355" s="87"/>
      <c r="BR355" s="87"/>
      <c r="BS355" s="87"/>
      <c r="BT355" s="87"/>
      <c r="BU355" s="87">
        <f>C355*-1</f>
        <v>-2.5600000000000005</v>
      </c>
      <c r="BV355" s="87"/>
      <c r="BW355" s="87"/>
      <c r="BX355" s="87"/>
      <c r="BY355" s="87"/>
      <c r="BZ355" s="87">
        <f>BU355*-1</f>
        <v>2.5600000000000005</v>
      </c>
      <c r="CA355" s="87"/>
      <c r="CB355" s="87"/>
      <c r="CC355" s="87"/>
      <c r="CD355" s="87"/>
      <c r="CE355" s="87"/>
      <c r="CF355" s="87"/>
      <c r="CG355" s="87"/>
      <c r="CH355" s="87"/>
      <c r="CI355" s="87"/>
      <c r="CJ355" s="87"/>
      <c r="CK355" s="87"/>
      <c r="CL355" s="87"/>
      <c r="CM355" s="87"/>
      <c r="CN355" s="87"/>
      <c r="CO355" s="87"/>
      <c r="CP355" s="87"/>
      <c r="CQ355" s="87"/>
      <c r="CR355" s="87"/>
      <c r="CS355" s="87"/>
      <c r="CT355" s="87"/>
      <c r="CU355" s="87"/>
      <c r="CV355" s="87"/>
      <c r="CW355" s="87"/>
      <c r="CX355" s="87"/>
      <c r="CY355" s="87"/>
      <c r="CZ355" s="87"/>
      <c r="DA355" s="87"/>
      <c r="DB355" s="87"/>
      <c r="DC355" s="87"/>
      <c r="DD355" s="87"/>
      <c r="DE355" s="87"/>
      <c r="DF355" s="87"/>
      <c r="DG355" s="87"/>
      <c r="DH355" s="87"/>
      <c r="DI355" s="87"/>
      <c r="DJ355" s="87"/>
      <c r="DK355" s="87"/>
      <c r="DL355" s="87"/>
      <c r="DM355" s="87"/>
      <c r="DN355" s="87"/>
      <c r="DO355" s="87"/>
      <c r="DP355" s="87"/>
      <c r="DQ355" s="87"/>
      <c r="DR355" s="87"/>
      <c r="DS355" s="87"/>
      <c r="DT355" s="87"/>
      <c r="DU355" s="87"/>
      <c r="DV355" s="87"/>
      <c r="DW355" s="87"/>
      <c r="DX355" s="87"/>
      <c r="DY355" s="87"/>
      <c r="DZ355" s="87"/>
      <c r="EA355" s="87"/>
      <c r="EB355" s="87"/>
      <c r="EC355" s="87"/>
      <c r="ED355" s="87"/>
      <c r="EE355" s="87"/>
      <c r="EF355" s="87"/>
      <c r="EG355" s="87"/>
      <c r="EH355" s="87"/>
      <c r="EI355" s="87"/>
    </row>
    <row r="356" spans="1:139" ht="16.5" hidden="1" thickBot="1" x14ac:dyDescent="0.35">
      <c r="A356" s="113" t="s">
        <v>186</v>
      </c>
      <c r="B356" s="199">
        <v>4</v>
      </c>
      <c r="C356" s="195">
        <f>9.3*0.65</f>
        <v>6.0450000000000008</v>
      </c>
      <c r="D356" s="217">
        <f>C356/VLOOKUP(B356,'[2]Gas Prod per PADD'!$A$1:$C$6,2,FALSE)</f>
        <v>1.7779411764705884E-2</v>
      </c>
      <c r="E356" s="196">
        <v>45584</v>
      </c>
      <c r="F356" s="281">
        <v>45599</v>
      </c>
      <c r="G356" s="194" t="s">
        <v>679</v>
      </c>
      <c r="H356" s="198" t="s">
        <v>543</v>
      </c>
      <c r="I356" s="84"/>
      <c r="J356" s="85"/>
      <c r="K356" s="85"/>
      <c r="L356" s="85"/>
      <c r="M356" s="85"/>
      <c r="N356" s="85"/>
      <c r="O356" s="85"/>
      <c r="P356" s="85"/>
      <c r="Q356" s="85"/>
      <c r="R356" s="85"/>
      <c r="S356" s="85"/>
      <c r="T356" s="85"/>
      <c r="U356" s="85"/>
      <c r="V356" s="84"/>
      <c r="W356" s="84"/>
      <c r="X356" s="84" t="str">
        <f t="shared" si="15"/>
        <v>OK</v>
      </c>
      <c r="Y356" s="86"/>
      <c r="Z356" s="86"/>
      <c r="AA356" s="87"/>
      <c r="AB356" s="87"/>
      <c r="AC356" s="87"/>
      <c r="AD356" s="87"/>
      <c r="AE356" s="87"/>
      <c r="AF356" s="87"/>
      <c r="AG356" s="87"/>
      <c r="AH356" s="87"/>
      <c r="AI356" s="87"/>
      <c r="AJ356" s="87"/>
      <c r="AK356" s="87"/>
      <c r="AL356" s="87"/>
      <c r="AM356" s="87"/>
      <c r="AN356" s="87"/>
      <c r="AO356" s="87"/>
      <c r="AP356" s="87"/>
      <c r="AQ356" s="87"/>
      <c r="AR356" s="87"/>
      <c r="AS356" s="87"/>
      <c r="AT356" s="87"/>
      <c r="AU356" s="87"/>
      <c r="AV356" s="87"/>
      <c r="AW356" s="87"/>
      <c r="AX356" s="87"/>
      <c r="AY356" s="87"/>
      <c r="AZ356" s="87"/>
      <c r="BA356" s="87"/>
      <c r="BB356" s="87"/>
      <c r="BC356" s="87"/>
      <c r="BD356" s="87"/>
      <c r="BE356" s="87"/>
      <c r="BF356" s="87"/>
      <c r="BG356" s="87"/>
      <c r="BH356" s="87"/>
      <c r="BI356" s="87"/>
      <c r="BJ356" s="87"/>
      <c r="BK356" s="87"/>
      <c r="BL356" s="87"/>
      <c r="BM356" s="87"/>
      <c r="BN356" s="87"/>
      <c r="BO356" s="87"/>
      <c r="BP356" s="87"/>
      <c r="BQ356" s="87"/>
      <c r="BR356" s="87"/>
      <c r="BS356" s="87"/>
      <c r="BT356" s="87"/>
      <c r="BU356" s="87"/>
      <c r="BV356" s="87"/>
      <c r="BW356" s="87"/>
      <c r="BX356" s="87">
        <f>-6/7*B356</f>
        <v>-3.4285714285714284</v>
      </c>
      <c r="BY356" s="87"/>
      <c r="BZ356" s="87">
        <f>-BX356</f>
        <v>3.4285714285714284</v>
      </c>
      <c r="CA356" s="87"/>
      <c r="CB356" s="87"/>
      <c r="CC356" s="87"/>
      <c r="CD356" s="87"/>
      <c r="CE356" s="87"/>
      <c r="CF356" s="87"/>
      <c r="CG356" s="87"/>
      <c r="CH356" s="87"/>
      <c r="CI356" s="87"/>
      <c r="CJ356" s="87"/>
      <c r="CK356" s="87"/>
      <c r="CL356" s="87"/>
      <c r="CM356" s="87"/>
      <c r="CN356" s="87"/>
      <c r="CO356" s="87"/>
      <c r="CP356" s="87"/>
      <c r="CQ356" s="87"/>
      <c r="CR356" s="87"/>
      <c r="CS356" s="87"/>
      <c r="CT356" s="87"/>
      <c r="CU356" s="87"/>
      <c r="CV356" s="87"/>
      <c r="CW356" s="87"/>
      <c r="CX356" s="87"/>
      <c r="CY356" s="87"/>
      <c r="CZ356" s="87"/>
      <c r="DA356" s="87"/>
      <c r="DB356" s="87"/>
      <c r="DC356" s="87"/>
      <c r="DD356" s="87"/>
      <c r="DE356" s="87"/>
      <c r="DF356" s="87"/>
      <c r="DG356" s="87"/>
      <c r="DH356" s="87"/>
      <c r="DI356" s="87"/>
      <c r="DJ356" s="87"/>
      <c r="DK356" s="87"/>
      <c r="DL356" s="87"/>
      <c r="DM356" s="87"/>
      <c r="DN356" s="87"/>
      <c r="DO356" s="87"/>
      <c r="DP356" s="87"/>
      <c r="DQ356" s="87"/>
      <c r="DR356" s="87"/>
      <c r="DS356" s="87"/>
      <c r="DT356" s="87"/>
      <c r="DU356" s="87"/>
      <c r="DV356" s="87"/>
      <c r="DW356" s="87"/>
      <c r="DX356" s="87"/>
      <c r="DY356" s="87"/>
      <c r="DZ356" s="87"/>
      <c r="EA356" s="87"/>
      <c r="EB356" s="87"/>
      <c r="EC356" s="87"/>
      <c r="ED356" s="87"/>
      <c r="EE356" s="87"/>
      <c r="EF356" s="87"/>
      <c r="EG356" s="87"/>
      <c r="EH356" s="87"/>
      <c r="EI356" s="87"/>
    </row>
    <row r="357" spans="1:139" ht="16.5" hidden="1" thickBot="1" x14ac:dyDescent="0.35">
      <c r="A357" s="113" t="s">
        <v>317</v>
      </c>
      <c r="B357" s="199">
        <v>1</v>
      </c>
      <c r="C357" s="195">
        <f>0.65*25</f>
        <v>16.25</v>
      </c>
      <c r="D357" s="217">
        <f>C357/VLOOKUP(B357,'[2]Gas Prod per PADD'!$A$1:$C$6,2,FALSE)</f>
        <v>3.3854166666666664E-2</v>
      </c>
      <c r="E357" s="288">
        <v>45587</v>
      </c>
      <c r="F357" s="281">
        <v>45599</v>
      </c>
      <c r="G357" s="194" t="s">
        <v>680</v>
      </c>
      <c r="H357" s="198"/>
      <c r="I357" s="84"/>
      <c r="J357" s="85"/>
      <c r="K357" s="85"/>
      <c r="L357" s="85"/>
      <c r="M357" s="85"/>
      <c r="N357" s="85"/>
      <c r="O357" s="85"/>
      <c r="P357" s="85"/>
      <c r="Q357" s="85"/>
      <c r="R357" s="85"/>
      <c r="S357" s="85"/>
      <c r="T357" s="85"/>
      <c r="U357" s="85"/>
      <c r="V357" s="84"/>
      <c r="W357" s="84"/>
      <c r="X357" s="84" t="str">
        <f t="shared" si="15"/>
        <v>OK</v>
      </c>
      <c r="Y357" s="87"/>
      <c r="Z357" s="87"/>
      <c r="AA357" s="87"/>
      <c r="AB357" s="87"/>
      <c r="AC357" s="87"/>
      <c r="AD357" s="87"/>
      <c r="AE357" s="87"/>
      <c r="AF357" s="87"/>
      <c r="AG357" s="87"/>
      <c r="AH357" s="87"/>
      <c r="AI357" s="87"/>
      <c r="AJ357" s="87"/>
      <c r="AK357" s="87"/>
      <c r="AL357" s="87"/>
      <c r="AM357" s="87"/>
      <c r="AN357" s="87"/>
      <c r="AO357" s="87"/>
      <c r="AP357" s="87"/>
      <c r="AQ357" s="87"/>
      <c r="AR357" s="87"/>
      <c r="AS357" s="87"/>
      <c r="AT357" s="87"/>
      <c r="AU357" s="87"/>
      <c r="AV357" s="87"/>
      <c r="AW357" s="87"/>
      <c r="AX357" s="87"/>
      <c r="AY357" s="87"/>
      <c r="AZ357" s="87"/>
      <c r="BA357" s="87"/>
      <c r="BB357" s="87"/>
      <c r="BC357" s="87"/>
      <c r="BD357" s="87"/>
      <c r="BE357" s="87"/>
      <c r="BF357" s="87"/>
      <c r="BG357" s="87"/>
      <c r="BH357" s="87"/>
      <c r="BI357" s="87"/>
      <c r="BJ357" s="87"/>
      <c r="BK357" s="87"/>
      <c r="BL357" s="87"/>
      <c r="BM357" s="87"/>
      <c r="BN357" s="87"/>
      <c r="BO357" s="87"/>
      <c r="BP357" s="87"/>
      <c r="BQ357" s="87"/>
      <c r="BR357" s="87"/>
      <c r="BS357" s="87"/>
      <c r="BT357" s="87"/>
      <c r="BU357" s="87"/>
      <c r="BV357" s="87"/>
      <c r="BW357" s="87"/>
      <c r="BX357" s="87">
        <f>-3/7*C357</f>
        <v>-6.9642857142857135</v>
      </c>
      <c r="BY357" s="87"/>
      <c r="BZ357" s="87">
        <f>-BX357</f>
        <v>6.9642857142857135</v>
      </c>
      <c r="CA357" s="87"/>
      <c r="CB357" s="87"/>
      <c r="CC357" s="87"/>
      <c r="CD357" s="87"/>
      <c r="CE357" s="87"/>
      <c r="CF357" s="87"/>
      <c r="CG357" s="87"/>
      <c r="CH357" s="87"/>
      <c r="CI357" s="87"/>
      <c r="CJ357" s="87"/>
      <c r="CK357" s="87"/>
      <c r="CL357" s="87"/>
      <c r="CM357" s="87"/>
      <c r="CN357" s="87"/>
      <c r="CO357" s="87"/>
      <c r="CP357" s="87"/>
      <c r="CQ357" s="87"/>
      <c r="CR357" s="87"/>
      <c r="CS357" s="87"/>
      <c r="CT357" s="87"/>
      <c r="CU357" s="87"/>
      <c r="CV357" s="87"/>
      <c r="CW357" s="87"/>
      <c r="CX357" s="87"/>
      <c r="CY357" s="87"/>
      <c r="CZ357" s="87"/>
      <c r="DA357" s="87"/>
      <c r="DB357" s="87"/>
      <c r="DC357" s="87"/>
      <c r="DD357" s="87"/>
      <c r="DE357" s="87"/>
      <c r="DF357" s="87"/>
      <c r="DG357" s="87"/>
      <c r="DH357" s="87"/>
      <c r="DI357" s="87"/>
      <c r="DJ357" s="87"/>
      <c r="DK357" s="87"/>
      <c r="DL357" s="87"/>
      <c r="DM357" s="87"/>
      <c r="DN357" s="87"/>
      <c r="DO357" s="87"/>
      <c r="DP357" s="87"/>
      <c r="DQ357" s="87"/>
      <c r="DR357" s="87"/>
      <c r="DS357" s="87"/>
      <c r="DT357" s="87"/>
      <c r="DU357" s="87"/>
      <c r="DV357" s="87"/>
      <c r="DW357" s="87"/>
      <c r="DX357" s="87"/>
      <c r="DY357" s="87"/>
      <c r="DZ357" s="87"/>
      <c r="EA357" s="87"/>
      <c r="EB357" s="87"/>
      <c r="EC357" s="87"/>
      <c r="ED357" s="87"/>
      <c r="EE357" s="87"/>
      <c r="EF357" s="87"/>
      <c r="EG357" s="87"/>
      <c r="EH357" s="87"/>
      <c r="EI357" s="87"/>
    </row>
    <row r="358" spans="1:139" ht="43.5" hidden="1" thickBot="1" x14ac:dyDescent="0.35">
      <c r="A358" s="190" t="s">
        <v>158</v>
      </c>
      <c r="B358" s="282">
        <v>3</v>
      </c>
      <c r="C358" s="177">
        <v>0</v>
      </c>
      <c r="D358" s="217">
        <f>C358/VLOOKUP(B358,'[2]Gas Prod per PADD'!$A$1:$C$6,2,FALSE)</f>
        <v>0</v>
      </c>
      <c r="E358" s="196">
        <v>45544</v>
      </c>
      <c r="F358" s="197">
        <v>45600</v>
      </c>
      <c r="G358" s="180" t="s">
        <v>681</v>
      </c>
      <c r="H358" s="277" t="s">
        <v>682</v>
      </c>
      <c r="I358" s="84"/>
      <c r="J358" s="85"/>
      <c r="K358" s="85"/>
      <c r="L358" s="85"/>
      <c r="M358" s="85"/>
      <c r="N358" s="85"/>
      <c r="O358" s="85"/>
      <c r="P358" s="85"/>
      <c r="Q358" s="85"/>
      <c r="R358" s="85"/>
      <c r="S358" s="85"/>
      <c r="T358" s="85"/>
      <c r="U358" s="85"/>
      <c r="V358" s="84"/>
      <c r="W358" s="84"/>
      <c r="X358" s="84" t="str">
        <f t="shared" si="15"/>
        <v>OK</v>
      </c>
      <c r="Y358" s="105"/>
      <c r="Z358" s="105"/>
      <c r="AA358" s="87"/>
      <c r="AB358" s="87"/>
      <c r="AC358" s="87"/>
      <c r="AD358" s="87"/>
      <c r="AE358" s="105"/>
      <c r="AF358" s="105"/>
      <c r="AG358" s="105"/>
      <c r="AH358" s="105"/>
      <c r="AI358" s="87"/>
      <c r="AJ358" s="87"/>
      <c r="AK358" s="105"/>
      <c r="AL358" s="87"/>
      <c r="AM358" s="105"/>
      <c r="AN358" s="105"/>
      <c r="AO358" s="87"/>
      <c r="AP358" s="87"/>
      <c r="AQ358" s="105"/>
      <c r="AR358" s="105"/>
      <c r="AS358" s="87"/>
      <c r="AT358" s="105"/>
      <c r="AU358" s="87"/>
      <c r="AV358" s="87"/>
      <c r="AW358" s="105"/>
      <c r="AX358" s="105"/>
      <c r="AY358" s="105"/>
      <c r="AZ358" s="105"/>
      <c r="BA358" s="105"/>
      <c r="BB358" s="105"/>
      <c r="BC358" s="105"/>
      <c r="BD358" s="87"/>
      <c r="BE358" s="87"/>
      <c r="BF358" s="87"/>
      <c r="BG358" s="87"/>
      <c r="BH358" s="87"/>
      <c r="BI358" s="87"/>
      <c r="BJ358" s="87"/>
      <c r="BK358" s="87"/>
      <c r="BL358" s="87"/>
      <c r="BM358" s="87"/>
      <c r="BN358" s="87"/>
      <c r="BO358" s="87"/>
      <c r="BP358" s="87"/>
      <c r="BQ358" s="87"/>
      <c r="BR358" s="87"/>
      <c r="BS358" s="105"/>
      <c r="BT358" s="87"/>
      <c r="BU358" s="87"/>
      <c r="BV358" s="87"/>
      <c r="BW358" s="87"/>
      <c r="BX358" s="87"/>
      <c r="BY358" s="87">
        <f>BR358*-1</f>
        <v>0</v>
      </c>
      <c r="BZ358" s="105">
        <f>-BS358</f>
        <v>0</v>
      </c>
      <c r="CA358" s="105"/>
      <c r="CB358" s="87"/>
      <c r="CC358" s="87"/>
      <c r="CD358" s="87"/>
      <c r="CE358" s="87"/>
      <c r="CF358" s="87"/>
      <c r="CG358" s="87"/>
      <c r="CH358" s="87"/>
      <c r="CI358" s="87"/>
      <c r="CJ358" s="87"/>
      <c r="CK358" s="87"/>
      <c r="CL358" s="87"/>
      <c r="CM358" s="87"/>
      <c r="CN358" s="87"/>
      <c r="CO358" s="87"/>
      <c r="CP358" s="87"/>
      <c r="CQ358" s="87"/>
      <c r="CR358" s="87"/>
      <c r="CS358" s="87"/>
      <c r="CT358" s="87"/>
      <c r="CU358" s="87"/>
      <c r="CV358" s="87"/>
      <c r="CW358" s="87"/>
      <c r="CX358" s="87"/>
      <c r="CY358" s="87"/>
      <c r="CZ358" s="87"/>
      <c r="DA358" s="87"/>
      <c r="DB358" s="87"/>
      <c r="DC358" s="87"/>
      <c r="DD358" s="87"/>
      <c r="DE358" s="87"/>
      <c r="DF358" s="87"/>
      <c r="DG358" s="87"/>
      <c r="DH358" s="87"/>
      <c r="DI358" s="87"/>
      <c r="DJ358" s="87"/>
      <c r="DK358" s="87"/>
      <c r="DL358" s="87"/>
      <c r="DM358" s="87"/>
      <c r="DN358" s="87"/>
      <c r="DO358" s="87"/>
      <c r="DP358" s="87"/>
      <c r="DQ358" s="87"/>
      <c r="DR358" s="87"/>
      <c r="DS358" s="87"/>
      <c r="DT358" s="87"/>
      <c r="DU358" s="87"/>
      <c r="DV358" s="87"/>
      <c r="DW358" s="87"/>
      <c r="DX358" s="87"/>
      <c r="DY358" s="87"/>
      <c r="DZ358" s="87"/>
      <c r="EA358" s="87"/>
      <c r="EB358" s="87"/>
      <c r="EC358" s="87"/>
      <c r="ED358" s="87"/>
      <c r="EE358" s="87"/>
      <c r="EF358" s="87"/>
      <c r="EG358" s="87"/>
      <c r="EH358" s="87"/>
      <c r="EI358" s="87"/>
    </row>
    <row r="359" spans="1:139" ht="16.5" hidden="1" thickBot="1" x14ac:dyDescent="0.35">
      <c r="A359" s="113" t="s">
        <v>186</v>
      </c>
      <c r="B359" s="199">
        <v>4</v>
      </c>
      <c r="C359" s="195">
        <f>9.3*0.65</f>
        <v>6.0450000000000008</v>
      </c>
      <c r="D359" s="217">
        <f>C359/VLOOKUP(B359,'[2]Gas Prod per PADD'!$A$1:$C$6,2,FALSE)</f>
        <v>1.7779411764705884E-2</v>
      </c>
      <c r="E359" s="196">
        <v>45585</v>
      </c>
      <c r="F359" s="281">
        <v>45600</v>
      </c>
      <c r="G359" s="194" t="s">
        <v>683</v>
      </c>
      <c r="H359" s="198"/>
      <c r="I359" s="84"/>
      <c r="J359" s="85"/>
      <c r="K359" s="85"/>
      <c r="L359" s="85"/>
      <c r="M359" s="85"/>
      <c r="N359" s="85"/>
      <c r="O359" s="85"/>
      <c r="P359" s="85"/>
      <c r="Q359" s="85"/>
      <c r="R359" s="85"/>
      <c r="S359" s="85"/>
      <c r="T359" s="85"/>
      <c r="U359" s="85"/>
      <c r="V359" s="84"/>
      <c r="W359" s="84"/>
      <c r="X359" s="84" t="str">
        <f t="shared" si="15"/>
        <v>OK</v>
      </c>
      <c r="Y359" s="87"/>
      <c r="Z359" s="87"/>
      <c r="AA359" s="87"/>
      <c r="AB359" s="87"/>
      <c r="AC359" s="87"/>
      <c r="AD359" s="87"/>
      <c r="AE359" s="87"/>
      <c r="AF359" s="87"/>
      <c r="AG359" s="87"/>
      <c r="AH359" s="87"/>
      <c r="AI359" s="87"/>
      <c r="AJ359" s="87"/>
      <c r="AK359" s="87"/>
      <c r="AL359" s="87"/>
      <c r="AM359" s="87"/>
      <c r="AN359" s="87"/>
      <c r="AO359" s="87"/>
      <c r="AP359" s="87"/>
      <c r="AQ359" s="87"/>
      <c r="AR359" s="87"/>
      <c r="AS359" s="87"/>
      <c r="AT359" s="87"/>
      <c r="AU359" s="87"/>
      <c r="AV359" s="87"/>
      <c r="AW359" s="87"/>
      <c r="AX359" s="87"/>
      <c r="AY359" s="87"/>
      <c r="AZ359" s="87"/>
      <c r="BA359" s="87"/>
      <c r="BB359" s="87"/>
      <c r="BC359" s="87"/>
      <c r="BD359" s="87"/>
      <c r="BE359" s="87"/>
      <c r="BF359" s="87"/>
      <c r="BG359" s="87"/>
      <c r="BH359" s="87"/>
      <c r="BI359" s="87"/>
      <c r="BJ359" s="87"/>
      <c r="BK359" s="87"/>
      <c r="BL359" s="87"/>
      <c r="BM359" s="87"/>
      <c r="BN359" s="87"/>
      <c r="BO359" s="87"/>
      <c r="BP359" s="87"/>
      <c r="BQ359" s="87"/>
      <c r="BR359" s="87"/>
      <c r="BS359" s="87"/>
      <c r="BT359" s="87"/>
      <c r="BU359" s="87"/>
      <c r="BV359" s="87"/>
      <c r="BW359" s="87"/>
      <c r="BX359" s="87">
        <f>-5/7*C359</f>
        <v>-4.3178571428571439</v>
      </c>
      <c r="BY359" s="87">
        <f>-BX359</f>
        <v>4.3178571428571439</v>
      </c>
      <c r="BZ359" s="87"/>
      <c r="CA359" s="87"/>
      <c r="CB359" s="87"/>
      <c r="CC359" s="87"/>
      <c r="CD359" s="87"/>
      <c r="CE359" s="87"/>
      <c r="CF359" s="87"/>
      <c r="CG359" s="87"/>
      <c r="CH359" s="87"/>
      <c r="CI359" s="87"/>
      <c r="CJ359" s="87"/>
      <c r="CK359" s="87"/>
      <c r="CL359" s="87"/>
      <c r="CM359" s="87"/>
      <c r="CN359" s="87"/>
      <c r="CO359" s="87"/>
      <c r="CP359" s="87"/>
      <c r="CQ359" s="87"/>
      <c r="CR359" s="87"/>
      <c r="CS359" s="87"/>
      <c r="CT359" s="87"/>
      <c r="CU359" s="87"/>
      <c r="CV359" s="87"/>
      <c r="CW359" s="87"/>
      <c r="CX359" s="87"/>
      <c r="CY359" s="87"/>
      <c r="CZ359" s="87"/>
      <c r="DA359" s="87"/>
      <c r="DB359" s="87"/>
      <c r="DC359" s="87"/>
      <c r="DD359" s="87"/>
      <c r="DE359" s="87"/>
      <c r="DF359" s="87"/>
      <c r="DG359" s="87"/>
      <c r="DH359" s="87"/>
      <c r="DI359" s="87"/>
      <c r="DJ359" s="87"/>
      <c r="DK359" s="87"/>
      <c r="DL359" s="87"/>
      <c r="DM359" s="87"/>
      <c r="DN359" s="87"/>
      <c r="DO359" s="87"/>
      <c r="DP359" s="87"/>
      <c r="DQ359" s="87"/>
      <c r="DR359" s="87"/>
      <c r="DS359" s="87"/>
      <c r="DT359" s="87"/>
      <c r="DU359" s="87"/>
      <c r="DV359" s="87"/>
      <c r="DW359" s="87"/>
      <c r="DX359" s="87"/>
      <c r="DY359" s="87"/>
      <c r="DZ359" s="87"/>
      <c r="EA359" s="87"/>
      <c r="EB359" s="87"/>
      <c r="EC359" s="87"/>
      <c r="ED359" s="87"/>
      <c r="EE359" s="87"/>
      <c r="EF359" s="87"/>
      <c r="EG359" s="87"/>
      <c r="EH359" s="87"/>
      <c r="EI359" s="87"/>
    </row>
    <row r="360" spans="1:139" ht="16.5" hidden="1" thickBot="1" x14ac:dyDescent="0.35">
      <c r="A360" s="161" t="s">
        <v>168</v>
      </c>
      <c r="B360" s="282">
        <v>2</v>
      </c>
      <c r="C360" s="177">
        <f>(0.65*40)</f>
        <v>26</v>
      </c>
      <c r="D360" s="217">
        <f>C360/VLOOKUP(B360,'[2]Gas Prod per PADD'!$A$1:$C$6,2,FALSE)</f>
        <v>1.0833333333333334E-2</v>
      </c>
      <c r="E360" s="178">
        <v>45538</v>
      </c>
      <c r="F360" s="252">
        <v>45601</v>
      </c>
      <c r="G360" s="180" t="s">
        <v>684</v>
      </c>
      <c r="H360" s="181" t="s">
        <v>685</v>
      </c>
      <c r="I360" s="84"/>
      <c r="J360" s="85"/>
      <c r="K360" s="85"/>
      <c r="L360" s="85"/>
      <c r="M360" s="85"/>
      <c r="N360" s="85"/>
      <c r="O360" s="85"/>
      <c r="P360" s="85"/>
      <c r="Q360" s="85"/>
      <c r="R360" s="85"/>
      <c r="S360" s="85"/>
      <c r="T360" s="85"/>
      <c r="U360" s="85"/>
      <c r="V360" s="84"/>
      <c r="W360" s="84"/>
      <c r="X360" s="84" t="str">
        <f t="shared" si="15"/>
        <v>OK</v>
      </c>
      <c r="Y360" s="87"/>
      <c r="Z360" s="87"/>
      <c r="AA360" s="87"/>
      <c r="AB360" s="87"/>
      <c r="AC360" s="87"/>
      <c r="AD360" s="87"/>
      <c r="AE360" s="87"/>
      <c r="AF360" s="87"/>
      <c r="AG360" s="87"/>
      <c r="AH360" s="87"/>
      <c r="AI360" s="87"/>
      <c r="AJ360" s="87"/>
      <c r="AK360" s="87"/>
      <c r="AL360" s="87"/>
      <c r="AM360" s="87"/>
      <c r="AN360" s="87"/>
      <c r="AO360" s="87"/>
      <c r="AP360" s="87"/>
      <c r="AQ360" s="87"/>
      <c r="AR360" s="87"/>
      <c r="AS360" s="87"/>
      <c r="AT360" s="87"/>
      <c r="AU360" s="87"/>
      <c r="AV360" s="87"/>
      <c r="AW360" s="87"/>
      <c r="AX360" s="87"/>
      <c r="AY360" s="87"/>
      <c r="AZ360" s="87"/>
      <c r="BA360" s="87"/>
      <c r="BB360" s="87"/>
      <c r="BC360" s="87"/>
      <c r="BD360" s="87"/>
      <c r="BE360" s="87"/>
      <c r="BF360" s="87"/>
      <c r="BG360" s="87"/>
      <c r="BH360" s="87"/>
      <c r="BI360" s="87"/>
      <c r="BJ360" s="87"/>
      <c r="BK360" s="87"/>
      <c r="BL360" s="87"/>
      <c r="BM360" s="87"/>
      <c r="BN360" s="87"/>
      <c r="BO360" s="87"/>
      <c r="BP360" s="87"/>
      <c r="BQ360" s="87">
        <f>2/7*-C360</f>
        <v>-7.4285714285714279</v>
      </c>
      <c r="BR360" s="87">
        <f>-5/7*C360</f>
        <v>-18.571428571428573</v>
      </c>
      <c r="BS360" s="87"/>
      <c r="BT360" s="87"/>
      <c r="BU360" s="87"/>
      <c r="BV360" s="87"/>
      <c r="BW360" s="87"/>
      <c r="BX360" s="87"/>
      <c r="BY360" s="87"/>
      <c r="BZ360" s="87">
        <f>-BQ360</f>
        <v>7.4285714285714279</v>
      </c>
      <c r="CA360" s="87">
        <f>-BR360</f>
        <v>18.571428571428573</v>
      </c>
      <c r="CB360" s="87"/>
      <c r="CC360" s="87"/>
      <c r="CD360" s="87"/>
      <c r="CE360" s="87"/>
      <c r="CF360" s="87"/>
      <c r="CG360" s="87"/>
      <c r="CH360" s="87"/>
      <c r="CI360" s="87"/>
      <c r="CJ360" s="87"/>
      <c r="CK360" s="87"/>
      <c r="CL360" s="87"/>
      <c r="CM360" s="87"/>
      <c r="CN360" s="87"/>
      <c r="CO360" s="87"/>
      <c r="CP360" s="87"/>
      <c r="CQ360" s="87"/>
      <c r="CR360" s="87"/>
      <c r="CS360" s="87"/>
      <c r="CT360" s="87"/>
      <c r="CU360" s="87"/>
      <c r="CV360" s="87"/>
      <c r="CW360" s="87"/>
      <c r="CX360" s="87"/>
      <c r="CY360" s="87"/>
      <c r="CZ360" s="87"/>
      <c r="DA360" s="87"/>
      <c r="DB360" s="87"/>
      <c r="DC360" s="87"/>
      <c r="DD360" s="87"/>
      <c r="DE360" s="87"/>
      <c r="DF360" s="87"/>
      <c r="DG360" s="87"/>
      <c r="DH360" s="87"/>
      <c r="DI360" s="87"/>
      <c r="DJ360" s="87"/>
      <c r="DK360" s="87"/>
      <c r="DL360" s="87"/>
      <c r="DM360" s="87"/>
      <c r="DN360" s="87"/>
      <c r="DO360" s="87"/>
      <c r="DP360" s="87"/>
      <c r="DQ360" s="87"/>
      <c r="DR360" s="87"/>
      <c r="DS360" s="87"/>
      <c r="DT360" s="87"/>
      <c r="DU360" s="87"/>
      <c r="DV360" s="87"/>
      <c r="DW360" s="87"/>
      <c r="DX360" s="87"/>
      <c r="DY360" s="87"/>
      <c r="DZ360" s="87"/>
      <c r="EA360" s="87"/>
      <c r="EB360" s="87"/>
      <c r="EC360" s="87"/>
      <c r="ED360" s="87"/>
      <c r="EE360" s="87"/>
      <c r="EF360" s="87"/>
      <c r="EG360" s="87"/>
      <c r="EH360" s="87"/>
      <c r="EI360" s="87"/>
    </row>
    <row r="361" spans="1:139" ht="16.5" hidden="1" thickBot="1" x14ac:dyDescent="0.35">
      <c r="A361" s="200" t="s">
        <v>285</v>
      </c>
      <c r="B361" s="199">
        <v>5</v>
      </c>
      <c r="C361" s="195">
        <f>80*0.65*0.2</f>
        <v>10.4</v>
      </c>
      <c r="D361" s="217">
        <f>C361/VLOOKUP(B361,'[2]Gas Prod per PADD'!$A$1:$C$6,2,FALSE)</f>
        <v>7.7037037037037039E-3</v>
      </c>
      <c r="E361" s="225">
        <v>45594</v>
      </c>
      <c r="F361" s="276">
        <v>45601</v>
      </c>
      <c r="G361" s="180" t="s">
        <v>587</v>
      </c>
      <c r="H361" s="221" t="s">
        <v>646</v>
      </c>
      <c r="I361" s="84"/>
      <c r="J361" s="85"/>
      <c r="K361" s="85"/>
      <c r="L361" s="85"/>
      <c r="M361" s="85"/>
      <c r="N361" s="85"/>
      <c r="O361" s="85"/>
      <c r="P361" s="85"/>
      <c r="Q361" s="85"/>
      <c r="R361" s="85"/>
      <c r="S361" s="85"/>
      <c r="T361" s="85"/>
      <c r="U361" s="85"/>
      <c r="V361" s="84"/>
      <c r="W361" s="84"/>
      <c r="X361" s="84" t="str">
        <f t="shared" si="15"/>
        <v>OK</v>
      </c>
      <c r="Y361" s="86"/>
      <c r="Z361" s="87"/>
      <c r="AA361" s="87"/>
      <c r="AB361" s="87"/>
      <c r="AC361" s="87"/>
      <c r="AD361" s="87"/>
      <c r="AE361" s="87"/>
      <c r="AF361" s="87"/>
      <c r="AG361" s="87"/>
      <c r="AH361" s="87"/>
      <c r="AI361" s="87"/>
      <c r="AJ361" s="87"/>
      <c r="AK361" s="87"/>
      <c r="AL361" s="87"/>
      <c r="AM361" s="87"/>
      <c r="AN361" s="87"/>
      <c r="AO361" s="87"/>
      <c r="AP361" s="87"/>
      <c r="AQ361" s="87"/>
      <c r="AR361" s="87"/>
      <c r="AS361" s="87"/>
      <c r="AT361" s="87"/>
      <c r="AU361" s="87"/>
      <c r="AV361" s="87"/>
      <c r="AW361" s="87"/>
      <c r="AX361" s="87"/>
      <c r="AY361" s="87"/>
      <c r="AZ361" s="87"/>
      <c r="BA361" s="87"/>
      <c r="BB361" s="87"/>
      <c r="BC361" s="87"/>
      <c r="BD361" s="87"/>
      <c r="BE361" s="87"/>
      <c r="BF361" s="87"/>
      <c r="BG361" s="87"/>
      <c r="BH361" s="87"/>
      <c r="BI361" s="87"/>
      <c r="BJ361" s="87"/>
      <c r="BK361" s="87"/>
      <c r="BL361" s="87"/>
      <c r="BM361" s="87"/>
      <c r="BN361" s="87"/>
      <c r="BO361" s="87"/>
      <c r="BP361" s="87"/>
      <c r="BQ361" s="87"/>
      <c r="BR361" s="87"/>
      <c r="BS361" s="87"/>
      <c r="BT361" s="87"/>
      <c r="BU361" s="87"/>
      <c r="BV361" s="87"/>
      <c r="BW361" s="87"/>
      <c r="BX361" s="87"/>
      <c r="BY361" s="105">
        <f>-C361</f>
        <v>-10.4</v>
      </c>
      <c r="BZ361" s="105">
        <f>-BY361</f>
        <v>10.4</v>
      </c>
      <c r="CA361" s="87"/>
      <c r="CB361" s="87"/>
      <c r="CC361" s="87"/>
      <c r="CD361" s="87"/>
      <c r="CE361" s="87"/>
      <c r="CF361" s="87"/>
      <c r="CG361" s="87"/>
      <c r="CH361" s="87"/>
      <c r="CI361" s="87"/>
      <c r="CJ361" s="87"/>
      <c r="CK361" s="87"/>
      <c r="CL361" s="87"/>
      <c r="CM361" s="87"/>
      <c r="CN361" s="87"/>
      <c r="CO361" s="87"/>
      <c r="CP361" s="87"/>
      <c r="CQ361" s="87"/>
      <c r="CR361" s="87"/>
      <c r="CS361" s="87"/>
      <c r="CT361" s="87"/>
      <c r="CU361" s="87"/>
      <c r="CV361" s="87"/>
      <c r="CW361" s="87"/>
      <c r="CX361" s="87"/>
      <c r="CY361" s="87"/>
      <c r="CZ361" s="87"/>
      <c r="DA361" s="87"/>
      <c r="DB361" s="87"/>
      <c r="DC361" s="87"/>
      <c r="DD361" s="87"/>
      <c r="DE361" s="87"/>
      <c r="DF361" s="87"/>
      <c r="DG361" s="87"/>
      <c r="DH361" s="87"/>
      <c r="DI361" s="87"/>
      <c r="DJ361" s="87"/>
      <c r="DK361" s="87"/>
      <c r="DL361" s="87"/>
      <c r="DM361" s="87"/>
      <c r="DN361" s="87"/>
      <c r="DO361" s="87"/>
      <c r="DP361" s="87"/>
      <c r="DQ361" s="87"/>
      <c r="DR361" s="87"/>
      <c r="DS361" s="87"/>
      <c r="DT361" s="87"/>
      <c r="DU361" s="87"/>
      <c r="DV361" s="87"/>
      <c r="DW361" s="87"/>
      <c r="DX361" s="87"/>
      <c r="DY361" s="87"/>
      <c r="DZ361" s="87"/>
      <c r="EA361" s="87"/>
      <c r="EB361" s="87"/>
      <c r="EC361" s="87"/>
      <c r="ED361" s="87"/>
      <c r="EE361" s="87"/>
      <c r="EF361" s="87"/>
      <c r="EG361" s="75">
        <v>46017</v>
      </c>
      <c r="EH361" s="75">
        <v>46024</v>
      </c>
      <c r="EI361" s="75">
        <v>46031</v>
      </c>
    </row>
    <row r="362" spans="1:139" ht="29.25" hidden="1" thickBot="1" x14ac:dyDescent="0.35">
      <c r="A362" s="193" t="s">
        <v>237</v>
      </c>
      <c r="B362" s="282">
        <v>2</v>
      </c>
      <c r="C362" s="177">
        <f>250*0.1+100*0.1</f>
        <v>35</v>
      </c>
      <c r="D362" s="217">
        <f>C362/VLOOKUP(B362,'[2]Gas Prod per PADD'!$A$1:$C$6,2,FALSE)</f>
        <v>1.4583333333333334E-2</v>
      </c>
      <c r="E362" s="178">
        <v>45555</v>
      </c>
      <c r="F362" s="252">
        <v>45602</v>
      </c>
      <c r="G362" s="236" t="s">
        <v>686</v>
      </c>
      <c r="H362" s="233" t="s">
        <v>687</v>
      </c>
      <c r="I362" s="84"/>
      <c r="J362" s="85"/>
      <c r="K362" s="85"/>
      <c r="L362" s="85"/>
      <c r="M362" s="85"/>
      <c r="N362" s="85"/>
      <c r="O362" s="85"/>
      <c r="P362" s="85"/>
      <c r="Q362" s="85"/>
      <c r="R362" s="85"/>
      <c r="S362" s="85"/>
      <c r="T362" s="85"/>
      <c r="U362" s="85"/>
      <c r="V362" s="84"/>
      <c r="W362" s="84"/>
      <c r="X362" s="84" t="str">
        <f t="shared" si="15"/>
        <v>OK</v>
      </c>
      <c r="Y362" s="105"/>
      <c r="Z362" s="105"/>
      <c r="AA362" s="87"/>
      <c r="AB362" s="87"/>
      <c r="AC362" s="87"/>
      <c r="AD362" s="87"/>
      <c r="AE362" s="105"/>
      <c r="AF362" s="105"/>
      <c r="AG362" s="105"/>
      <c r="AH362" s="105"/>
      <c r="AI362" s="87"/>
      <c r="AJ362" s="87"/>
      <c r="AK362" s="105"/>
      <c r="AL362" s="87"/>
      <c r="AM362" s="105"/>
      <c r="AN362" s="105"/>
      <c r="AO362" s="87"/>
      <c r="AP362" s="87"/>
      <c r="AQ362" s="105"/>
      <c r="AR362" s="105"/>
      <c r="AS362" s="87"/>
      <c r="AT362" s="105"/>
      <c r="AU362" s="105"/>
      <c r="AV362" s="87"/>
      <c r="AW362" s="105"/>
      <c r="AX362" s="105"/>
      <c r="AY362" s="87"/>
      <c r="AZ362" s="105"/>
      <c r="BA362" s="105"/>
      <c r="BB362" s="105"/>
      <c r="BC362" s="87"/>
      <c r="BD362" s="87"/>
      <c r="BE362" s="87"/>
      <c r="BF362" s="105"/>
      <c r="BG362" s="105"/>
      <c r="BH362" s="105"/>
      <c r="BI362" s="105"/>
      <c r="BJ362" s="105"/>
      <c r="BK362" s="87"/>
      <c r="BL362" s="87"/>
      <c r="BM362" s="105"/>
      <c r="BN362" s="105"/>
      <c r="BO362" s="87"/>
      <c r="BP362" s="87"/>
      <c r="BQ362" s="87"/>
      <c r="BR362" s="87"/>
      <c r="BS362" s="87"/>
      <c r="BT362" s="87">
        <f>-C362*5/7</f>
        <v>-25</v>
      </c>
      <c r="BU362" s="105">
        <f>-C362-BT362</f>
        <v>-10</v>
      </c>
      <c r="BV362" s="87"/>
      <c r="BW362" s="87"/>
      <c r="BX362" s="87"/>
      <c r="BY362" s="87"/>
      <c r="BZ362" s="87">
        <f>BU362*-1</f>
        <v>10</v>
      </c>
      <c r="CA362" s="87">
        <f>BT362*-1</f>
        <v>25</v>
      </c>
      <c r="CB362" s="87"/>
      <c r="CC362" s="87"/>
      <c r="CD362" s="87"/>
      <c r="CE362" s="87"/>
      <c r="CF362" s="87"/>
      <c r="CG362" s="87"/>
      <c r="CH362" s="87"/>
      <c r="CI362" s="87"/>
      <c r="CJ362" s="87"/>
      <c r="CK362" s="87"/>
      <c r="CL362" s="87"/>
      <c r="CM362" s="87"/>
      <c r="CN362" s="87"/>
      <c r="CO362" s="87"/>
      <c r="CP362" s="87"/>
      <c r="CQ362" s="87"/>
      <c r="CR362" s="87"/>
      <c r="CS362" s="87"/>
      <c r="CT362" s="87"/>
      <c r="CU362" s="87"/>
      <c r="CV362" s="87"/>
      <c r="CW362" s="87"/>
      <c r="CX362" s="87"/>
      <c r="CY362" s="87"/>
      <c r="CZ362" s="87"/>
      <c r="DA362" s="87"/>
      <c r="DB362" s="87"/>
      <c r="DC362" s="87"/>
      <c r="DD362" s="87"/>
      <c r="DE362" s="87"/>
      <c r="DF362" s="87"/>
      <c r="DG362" s="87"/>
      <c r="DH362" s="87"/>
      <c r="DI362" s="87"/>
      <c r="DJ362" s="87"/>
      <c r="DK362" s="87"/>
      <c r="DL362" s="87"/>
      <c r="DM362" s="87"/>
      <c r="DN362" s="87"/>
      <c r="DO362" s="87"/>
      <c r="DP362" s="87"/>
      <c r="DQ362" s="87"/>
      <c r="DR362" s="87"/>
      <c r="DS362" s="87"/>
      <c r="DT362" s="87"/>
      <c r="DU362" s="87"/>
      <c r="DV362" s="87"/>
      <c r="DW362" s="87"/>
      <c r="DX362" s="87"/>
      <c r="DY362" s="87"/>
      <c r="DZ362" s="87"/>
      <c r="EA362" s="87"/>
      <c r="EB362" s="87"/>
      <c r="EC362" s="87"/>
      <c r="ED362" s="87"/>
      <c r="EE362" s="87"/>
      <c r="EF362" s="87"/>
      <c r="EG362" s="87"/>
      <c r="EH362" s="87"/>
      <c r="EI362" s="87"/>
    </row>
    <row r="363" spans="1:139" ht="16.5" hidden="1" thickBot="1" x14ac:dyDescent="0.35">
      <c r="A363" s="193" t="s">
        <v>237</v>
      </c>
      <c r="B363" s="282">
        <v>2</v>
      </c>
      <c r="C363" s="177">
        <f>(60*0.85)</f>
        <v>51</v>
      </c>
      <c r="D363" s="217">
        <f>C363/VLOOKUP(B363,'[2]Gas Prod per PADD'!$A$1:$C$6,2,FALSE)</f>
        <v>2.1250000000000002E-2</v>
      </c>
      <c r="E363" s="178">
        <v>45559</v>
      </c>
      <c r="F363" s="252">
        <v>45602</v>
      </c>
      <c r="G363" s="180" t="s">
        <v>688</v>
      </c>
      <c r="H363" s="221" t="s">
        <v>689</v>
      </c>
      <c r="I363" s="84"/>
      <c r="J363" s="85"/>
      <c r="K363" s="85"/>
      <c r="L363" s="85"/>
      <c r="M363" s="85"/>
      <c r="N363" s="85"/>
      <c r="O363" s="85"/>
      <c r="P363" s="85"/>
      <c r="Q363" s="85"/>
      <c r="R363" s="85"/>
      <c r="S363" s="85"/>
      <c r="T363" s="85"/>
      <c r="U363" s="85"/>
      <c r="V363" s="84"/>
      <c r="W363" s="84"/>
      <c r="X363" s="84" t="str">
        <f t="shared" si="15"/>
        <v>OK</v>
      </c>
      <c r="Y363" s="105"/>
      <c r="Z363" s="105"/>
      <c r="AA363" s="87"/>
      <c r="AB363" s="87"/>
      <c r="AC363" s="87"/>
      <c r="AD363" s="87"/>
      <c r="AE363" s="105"/>
      <c r="AF363" s="105"/>
      <c r="AG363" s="105"/>
      <c r="AH363" s="105"/>
      <c r="AI363" s="87"/>
      <c r="AJ363" s="87"/>
      <c r="AK363" s="105"/>
      <c r="AL363" s="87"/>
      <c r="AM363" s="105"/>
      <c r="AN363" s="105"/>
      <c r="AO363" s="87"/>
      <c r="AP363" s="87"/>
      <c r="AQ363" s="105"/>
      <c r="AR363" s="105"/>
      <c r="AS363" s="87"/>
      <c r="AT363" s="105"/>
      <c r="AU363" s="105"/>
      <c r="AV363" s="87"/>
      <c r="AW363" s="105"/>
      <c r="AX363" s="105"/>
      <c r="AY363" s="87"/>
      <c r="AZ363" s="105"/>
      <c r="BA363" s="105"/>
      <c r="BB363" s="105"/>
      <c r="BC363" s="87"/>
      <c r="BD363" s="87"/>
      <c r="BE363" s="87"/>
      <c r="BF363" s="105"/>
      <c r="BG363" s="105"/>
      <c r="BH363" s="105"/>
      <c r="BI363" s="105"/>
      <c r="BJ363" s="105"/>
      <c r="BK363" s="87"/>
      <c r="BL363" s="87"/>
      <c r="BM363" s="87"/>
      <c r="BN363" s="87"/>
      <c r="BO363" s="87"/>
      <c r="BP363" s="87"/>
      <c r="BQ363" s="87"/>
      <c r="BR363" s="87"/>
      <c r="BS363" s="87"/>
      <c r="BT363" s="87">
        <f>-5/7*C363</f>
        <v>-36.428571428571431</v>
      </c>
      <c r="BU363" s="105">
        <f>-C363-BT363</f>
        <v>-14.571428571428569</v>
      </c>
      <c r="BV363" s="87"/>
      <c r="BW363" s="87"/>
      <c r="BX363" s="87"/>
      <c r="BY363" s="87"/>
      <c r="BZ363" s="105">
        <f>-BU363</f>
        <v>14.571428571428569</v>
      </c>
      <c r="CA363" s="87">
        <f>-BT363</f>
        <v>36.428571428571431</v>
      </c>
      <c r="CB363" s="105"/>
      <c r="CC363" s="87"/>
      <c r="CD363" s="87"/>
      <c r="CE363" s="87"/>
      <c r="CF363" s="87"/>
      <c r="CG363" s="87"/>
      <c r="CH363" s="87"/>
      <c r="CI363" s="87"/>
      <c r="CJ363" s="87"/>
      <c r="CK363" s="87"/>
      <c r="CL363" s="87"/>
      <c r="CM363" s="87"/>
      <c r="CN363" s="87"/>
      <c r="CO363" s="87"/>
      <c r="CP363" s="87"/>
      <c r="CQ363" s="87"/>
      <c r="CR363" s="87"/>
      <c r="CS363" s="87"/>
      <c r="CT363" s="87"/>
      <c r="CU363" s="87"/>
      <c r="CV363" s="87"/>
      <c r="CW363" s="87"/>
      <c r="CX363" s="87"/>
      <c r="CY363" s="87"/>
      <c r="CZ363" s="87"/>
      <c r="DA363" s="87"/>
      <c r="DB363" s="87"/>
      <c r="DC363" s="87"/>
      <c r="DD363" s="87"/>
      <c r="DE363" s="87"/>
      <c r="DF363" s="87"/>
      <c r="DG363" s="87"/>
      <c r="DH363" s="87"/>
      <c r="DI363" s="87"/>
      <c r="DJ363" s="87"/>
      <c r="DK363" s="87"/>
      <c r="DL363" s="87"/>
      <c r="DM363" s="87"/>
      <c r="DN363" s="87"/>
      <c r="DO363" s="87"/>
      <c r="DP363" s="87"/>
      <c r="DQ363" s="87"/>
      <c r="DR363" s="87"/>
      <c r="DS363" s="87"/>
      <c r="DT363" s="87"/>
      <c r="DU363" s="87"/>
      <c r="DV363" s="87"/>
      <c r="DW363" s="87"/>
      <c r="DX363" s="87"/>
      <c r="DY363" s="87"/>
      <c r="DZ363" s="87"/>
      <c r="EA363" s="87"/>
      <c r="EB363" s="87"/>
      <c r="EC363" s="87"/>
      <c r="ED363" s="87"/>
      <c r="EE363" s="87"/>
      <c r="EF363" s="87"/>
      <c r="EG363" s="87"/>
      <c r="EH363" s="87"/>
      <c r="EI363" s="87"/>
    </row>
    <row r="364" spans="1:139" ht="43.5" hidden="1" thickBot="1" x14ac:dyDescent="0.35">
      <c r="A364" s="190" t="s">
        <v>43</v>
      </c>
      <c r="B364" s="199">
        <v>3</v>
      </c>
      <c r="C364" s="195">
        <f>0.1*40+0.85*13.5</f>
        <v>15.475</v>
      </c>
      <c r="D364" s="217">
        <f>C364/VLOOKUP(B364,'[2]Gas Prod per PADD'!$A$1:$C$6,2,FALSE)</f>
        <v>3.3641304347826087E-3</v>
      </c>
      <c r="E364" s="178">
        <v>45569</v>
      </c>
      <c r="F364" s="252">
        <v>45603</v>
      </c>
      <c r="G364" s="180" t="s">
        <v>690</v>
      </c>
      <c r="H364" s="181" t="s">
        <v>691</v>
      </c>
      <c r="I364" s="84"/>
      <c r="J364" s="85"/>
      <c r="K364" s="85"/>
      <c r="L364" s="85"/>
      <c r="M364" s="85"/>
      <c r="N364" s="85"/>
      <c r="O364" s="85"/>
      <c r="P364" s="85"/>
      <c r="Q364" s="85"/>
      <c r="R364" s="85"/>
      <c r="S364" s="85"/>
      <c r="T364" s="85"/>
      <c r="U364" s="85"/>
      <c r="V364" s="84"/>
      <c r="W364" s="84"/>
      <c r="X364" s="84" t="str">
        <f t="shared" si="15"/>
        <v>OK</v>
      </c>
      <c r="Y364" s="86"/>
      <c r="Z364" s="87"/>
      <c r="AA364" s="87"/>
      <c r="AB364" s="87"/>
      <c r="AC364" s="87"/>
      <c r="AD364" s="87"/>
      <c r="AE364" s="87"/>
      <c r="AF364" s="87"/>
      <c r="AG364" s="87"/>
      <c r="AH364" s="87"/>
      <c r="AI364" s="87"/>
      <c r="AJ364" s="87"/>
      <c r="AK364" s="87"/>
      <c r="AL364" s="87"/>
      <c r="AM364" s="87"/>
      <c r="AN364" s="87"/>
      <c r="AO364" s="87"/>
      <c r="AP364" s="87"/>
      <c r="AQ364" s="87"/>
      <c r="AR364" s="87"/>
      <c r="AS364" s="87"/>
      <c r="AT364" s="87"/>
      <c r="AU364" s="87"/>
      <c r="AV364" s="87"/>
      <c r="AW364" s="87"/>
      <c r="AX364" s="87"/>
      <c r="AY364" s="87"/>
      <c r="AZ364" s="87"/>
      <c r="BA364" s="87"/>
      <c r="BB364" s="87"/>
      <c r="BC364" s="87"/>
      <c r="BD364" s="87"/>
      <c r="BE364" s="87"/>
      <c r="BF364" s="87"/>
      <c r="BG364" s="87"/>
      <c r="BH364" s="87"/>
      <c r="BI364" s="87"/>
      <c r="BJ364" s="105"/>
      <c r="BK364" s="87"/>
      <c r="BL364" s="105"/>
      <c r="BM364" s="87"/>
      <c r="BN364" s="87"/>
      <c r="BO364" s="87"/>
      <c r="BP364" s="87"/>
      <c r="BQ364" s="87"/>
      <c r="BR364" s="87"/>
      <c r="BS364" s="87"/>
      <c r="BT364" s="87"/>
      <c r="BU364" s="87"/>
      <c r="BV364" s="87">
        <f>-0.8*C364</f>
        <v>-12.38</v>
      </c>
      <c r="BW364" s="87">
        <f>C364*-1-BV364</f>
        <v>-3.0949999999999989</v>
      </c>
      <c r="BX364" s="87"/>
      <c r="BY364" s="87"/>
      <c r="BZ364" s="87"/>
      <c r="CA364" s="87">
        <f>0.5*$C364</f>
        <v>7.7374999999999998</v>
      </c>
      <c r="CB364" s="87">
        <f>C364-CA364</f>
        <v>7.7374999999999998</v>
      </c>
      <c r="CC364" s="87"/>
      <c r="CD364" s="87"/>
      <c r="CE364" s="87"/>
      <c r="CF364" s="87"/>
      <c r="CG364" s="87"/>
      <c r="CH364" s="87"/>
      <c r="CI364" s="87"/>
      <c r="CJ364" s="87"/>
      <c r="CK364" s="87"/>
      <c r="CL364" s="87"/>
      <c r="CM364" s="87"/>
      <c r="CN364" s="87"/>
      <c r="CO364" s="87"/>
      <c r="CP364" s="87"/>
      <c r="CQ364" s="87"/>
      <c r="CR364" s="87"/>
      <c r="CS364" s="87"/>
      <c r="CT364" s="87"/>
      <c r="CU364" s="87"/>
      <c r="CV364" s="87"/>
      <c r="CW364" s="87"/>
      <c r="CX364" s="87"/>
      <c r="CY364" s="87"/>
      <c r="CZ364" s="87"/>
      <c r="DA364" s="87"/>
      <c r="DB364" s="87"/>
      <c r="DC364" s="87"/>
      <c r="DD364" s="87"/>
      <c r="DE364" s="87"/>
      <c r="DF364" s="87"/>
      <c r="DG364" s="87"/>
      <c r="DH364" s="87"/>
      <c r="DI364" s="87"/>
      <c r="DJ364" s="87"/>
      <c r="DK364" s="87"/>
      <c r="DL364" s="87"/>
      <c r="DM364" s="87"/>
      <c r="DN364" s="87"/>
      <c r="DO364" s="87"/>
      <c r="DP364" s="87"/>
      <c r="DQ364" s="87"/>
      <c r="DR364" s="87"/>
      <c r="DS364" s="87"/>
      <c r="DT364" s="87"/>
      <c r="DU364" s="87"/>
      <c r="DV364" s="87"/>
      <c r="DW364" s="87"/>
      <c r="DX364" s="87"/>
      <c r="DY364" s="87"/>
      <c r="DZ364" s="87"/>
      <c r="EA364" s="87"/>
      <c r="EB364" s="87"/>
      <c r="EC364" s="87"/>
      <c r="ED364" s="87"/>
      <c r="EE364" s="87"/>
      <c r="EF364" s="87"/>
      <c r="EG364" s="87"/>
      <c r="EH364" s="87"/>
      <c r="EI364" s="87"/>
    </row>
    <row r="365" spans="1:139" ht="16.5" hidden="1" thickBot="1" x14ac:dyDescent="0.35">
      <c r="A365" s="88" t="s">
        <v>117</v>
      </c>
      <c r="B365" s="199">
        <v>3</v>
      </c>
      <c r="C365" s="195">
        <f>30*0.85</f>
        <v>25.5</v>
      </c>
      <c r="D365" s="217">
        <f>C365/VLOOKUP(B365,'[2]Gas Prod per PADD'!$A$1:$C$6,2,FALSE)</f>
        <v>5.5434782608695648E-3</v>
      </c>
      <c r="E365" s="196">
        <v>45571</v>
      </c>
      <c r="F365" s="281">
        <f>E365+33</f>
        <v>45604</v>
      </c>
      <c r="G365" s="194" t="s">
        <v>692</v>
      </c>
      <c r="H365" s="230" t="s">
        <v>666</v>
      </c>
      <c r="I365" s="84"/>
      <c r="J365" s="85"/>
      <c r="K365" s="85"/>
      <c r="L365" s="85"/>
      <c r="M365" s="85"/>
      <c r="N365" s="85"/>
      <c r="O365" s="85"/>
      <c r="P365" s="85"/>
      <c r="Q365" s="85"/>
      <c r="R365" s="85"/>
      <c r="S365" s="85"/>
      <c r="T365" s="85"/>
      <c r="U365" s="85"/>
      <c r="V365" s="84"/>
      <c r="W365" s="84"/>
      <c r="X365" s="84" t="str">
        <f t="shared" si="15"/>
        <v>OK</v>
      </c>
      <c r="Y365" s="105"/>
      <c r="Z365" s="105"/>
      <c r="AA365" s="87"/>
      <c r="AB365" s="87"/>
      <c r="AC365" s="87"/>
      <c r="AD365" s="87"/>
      <c r="AE365" s="105"/>
      <c r="AF365" s="105"/>
      <c r="AG365" s="105"/>
      <c r="AH365" s="105"/>
      <c r="AI365" s="87"/>
      <c r="AJ365" s="87"/>
      <c r="AK365" s="105"/>
      <c r="AL365" s="87"/>
      <c r="AM365" s="105"/>
      <c r="AN365" s="105"/>
      <c r="AO365" s="87"/>
      <c r="AP365" s="87"/>
      <c r="AQ365" s="105"/>
      <c r="AR365" s="105"/>
      <c r="AS365" s="87"/>
      <c r="AT365" s="105"/>
      <c r="AU365" s="105"/>
      <c r="AV365" s="87"/>
      <c r="AW365" s="105"/>
      <c r="AX365" s="105"/>
      <c r="AY365" s="87"/>
      <c r="AZ365" s="105"/>
      <c r="BA365" s="105"/>
      <c r="BB365" s="105"/>
      <c r="BC365" s="87"/>
      <c r="BD365" s="87"/>
      <c r="BE365" s="105"/>
      <c r="BF365" s="105"/>
      <c r="BG365" s="105"/>
      <c r="BH365" s="105"/>
      <c r="BI365" s="105"/>
      <c r="BJ365" s="87"/>
      <c r="BK365" s="87"/>
      <c r="BL365" s="87"/>
      <c r="BM365" s="87"/>
      <c r="BN365" s="87"/>
      <c r="BO365" s="87"/>
      <c r="BP365" s="87"/>
      <c r="BQ365" s="87"/>
      <c r="BR365" s="87"/>
      <c r="BS365" s="87"/>
      <c r="BT365" s="87"/>
      <c r="BU365" s="87"/>
      <c r="BV365" s="105">
        <f>-C365</f>
        <v>-25.5</v>
      </c>
      <c r="BW365" s="87"/>
      <c r="BX365" s="87"/>
      <c r="BY365" s="87"/>
      <c r="BZ365" s="87"/>
      <c r="CA365" s="105">
        <f>C365/2</f>
        <v>12.75</v>
      </c>
      <c r="CB365" s="87">
        <f>C365/2</f>
        <v>12.75</v>
      </c>
      <c r="CC365" s="87"/>
      <c r="CD365" s="87"/>
      <c r="CE365" s="87"/>
      <c r="CF365" s="87"/>
      <c r="CG365" s="87"/>
      <c r="CH365" s="87"/>
      <c r="CI365" s="87"/>
      <c r="CJ365" s="87"/>
      <c r="CK365" s="87"/>
      <c r="CL365" s="87"/>
      <c r="CM365" s="87"/>
      <c r="CN365" s="87"/>
      <c r="CO365" s="87"/>
      <c r="CP365" s="87"/>
      <c r="CQ365" s="87"/>
      <c r="CR365" s="87"/>
      <c r="CS365" s="87"/>
      <c r="CT365" s="87"/>
      <c r="CU365" s="87"/>
      <c r="CV365" s="87"/>
      <c r="CW365" s="87"/>
      <c r="CX365" s="87"/>
      <c r="CY365" s="87"/>
      <c r="CZ365" s="87"/>
      <c r="DA365" s="87"/>
      <c r="DB365" s="87"/>
      <c r="DC365" s="87"/>
      <c r="DD365" s="87"/>
      <c r="DE365" s="87"/>
      <c r="DF365" s="87"/>
      <c r="DG365" s="87"/>
      <c r="DH365" s="87"/>
      <c r="DI365" s="87"/>
      <c r="DJ365" s="87"/>
      <c r="DK365" s="87"/>
      <c r="DL365" s="87"/>
      <c r="DM365" s="87"/>
      <c r="DN365" s="87"/>
      <c r="DO365" s="87"/>
      <c r="DP365" s="87"/>
      <c r="DQ365" s="87"/>
      <c r="DR365" s="87"/>
      <c r="DS365" s="87"/>
      <c r="DT365" s="87"/>
      <c r="DU365" s="87"/>
      <c r="DV365" s="87"/>
      <c r="DW365" s="87"/>
      <c r="DX365" s="87"/>
      <c r="DY365" s="87"/>
      <c r="DZ365" s="87"/>
      <c r="EA365" s="87"/>
      <c r="EB365" s="87"/>
      <c r="EC365" s="87"/>
      <c r="ED365" s="87"/>
      <c r="EE365" s="87"/>
      <c r="EF365" s="87"/>
      <c r="EG365" s="87"/>
      <c r="EH365" s="87"/>
      <c r="EI365" s="87"/>
    </row>
    <row r="366" spans="1:139" ht="16.5" hidden="1" thickBot="1" x14ac:dyDescent="0.35">
      <c r="A366" s="88" t="s">
        <v>117</v>
      </c>
      <c r="B366" s="199">
        <v>3</v>
      </c>
      <c r="C366" s="195">
        <f>45*0.85</f>
        <v>38.25</v>
      </c>
      <c r="D366" s="217">
        <f>C366/VLOOKUP(B366,'[2]Gas Prod per PADD'!$A$1:$C$6,2,FALSE)</f>
        <v>8.315217391304348E-3</v>
      </c>
      <c r="E366" s="196">
        <v>45602</v>
      </c>
      <c r="F366" s="281">
        <v>45604</v>
      </c>
      <c r="G366" s="194" t="s">
        <v>693</v>
      </c>
      <c r="H366" s="230" t="s">
        <v>694</v>
      </c>
      <c r="I366" s="84"/>
      <c r="J366" s="85"/>
      <c r="K366" s="85"/>
      <c r="L366" s="85"/>
      <c r="M366" s="85"/>
      <c r="N366" s="85"/>
      <c r="O366" s="85"/>
      <c r="P366" s="85"/>
      <c r="Q366" s="85"/>
      <c r="R366" s="85"/>
      <c r="S366" s="85"/>
      <c r="T366" s="85"/>
      <c r="U366" s="85"/>
      <c r="V366" s="84"/>
      <c r="W366" s="84"/>
      <c r="X366" s="84" t="str">
        <f t="shared" si="15"/>
        <v>OK</v>
      </c>
      <c r="Y366" s="105"/>
      <c r="Z366" s="105"/>
      <c r="AA366" s="87"/>
      <c r="AB366" s="87"/>
      <c r="AC366" s="87"/>
      <c r="AD366" s="87"/>
      <c r="AE366" s="105"/>
      <c r="AF366" s="105"/>
      <c r="AG366" s="105"/>
      <c r="AH366" s="105"/>
      <c r="AI366" s="87"/>
      <c r="AJ366" s="87"/>
      <c r="AK366" s="105"/>
      <c r="AL366" s="87"/>
      <c r="AM366" s="105"/>
      <c r="AN366" s="105"/>
      <c r="AO366" s="87"/>
      <c r="AP366" s="87"/>
      <c r="AQ366" s="105"/>
      <c r="AR366" s="105"/>
      <c r="AS366" s="87"/>
      <c r="AT366" s="105"/>
      <c r="AU366" s="105"/>
      <c r="AV366" s="87"/>
      <c r="AW366" s="105"/>
      <c r="AX366" s="105"/>
      <c r="AY366" s="87"/>
      <c r="AZ366" s="105"/>
      <c r="BA366" s="105"/>
      <c r="BB366" s="105"/>
      <c r="BC366" s="87"/>
      <c r="BD366" s="87"/>
      <c r="BE366" s="105"/>
      <c r="BF366" s="105"/>
      <c r="BG366" s="105"/>
      <c r="BH366" s="105"/>
      <c r="BI366" s="105"/>
      <c r="BJ366" s="87"/>
      <c r="BK366" s="87"/>
      <c r="BL366" s="87"/>
      <c r="BM366" s="87"/>
      <c r="BN366" s="87"/>
      <c r="BO366" s="87"/>
      <c r="BP366" s="87"/>
      <c r="BQ366" s="87"/>
      <c r="BR366" s="87"/>
      <c r="BS366" s="87"/>
      <c r="BT366" s="87"/>
      <c r="BU366" s="87"/>
      <c r="BV366" s="87"/>
      <c r="BW366" s="87"/>
      <c r="BX366" s="87"/>
      <c r="BY366" s="105"/>
      <c r="BZ366" s="87">
        <f>-2/7*C366</f>
        <v>-10.928571428571429</v>
      </c>
      <c r="CA366" s="87">
        <f>-BZ366</f>
        <v>10.928571428571429</v>
      </c>
      <c r="CB366" s="87"/>
      <c r="CC366" s="87"/>
      <c r="CD366" s="87"/>
      <c r="CE366" s="87"/>
      <c r="CF366" s="87"/>
      <c r="CG366" s="87"/>
      <c r="CH366" s="87"/>
      <c r="CI366" s="87"/>
      <c r="CJ366" s="87"/>
      <c r="CK366" s="87"/>
      <c r="CL366" s="87"/>
      <c r="CM366" s="87"/>
      <c r="CN366" s="87"/>
      <c r="CO366" s="87"/>
      <c r="CP366" s="87"/>
      <c r="CQ366" s="87"/>
      <c r="CR366" s="87"/>
      <c r="CS366" s="87"/>
      <c r="CT366" s="87"/>
      <c r="CU366" s="87"/>
      <c r="CV366" s="87"/>
      <c r="CW366" s="87"/>
      <c r="CX366" s="87"/>
      <c r="CY366" s="87"/>
      <c r="CZ366" s="87"/>
      <c r="DA366" s="87"/>
      <c r="DB366" s="87"/>
      <c r="DC366" s="87"/>
      <c r="DD366" s="87"/>
      <c r="DE366" s="87"/>
      <c r="DF366" s="87"/>
      <c r="DG366" s="87"/>
      <c r="DH366" s="87"/>
      <c r="DI366" s="87"/>
      <c r="DJ366" s="87"/>
      <c r="DK366" s="87"/>
      <c r="DL366" s="87"/>
      <c r="DM366" s="87"/>
      <c r="DN366" s="87"/>
      <c r="DO366" s="87"/>
      <c r="DP366" s="87"/>
      <c r="DQ366" s="87"/>
      <c r="DR366" s="87"/>
      <c r="DS366" s="87"/>
      <c r="DT366" s="87"/>
      <c r="DU366" s="87"/>
      <c r="DV366" s="87"/>
      <c r="DW366" s="87"/>
      <c r="DX366" s="87"/>
      <c r="DY366" s="87"/>
      <c r="DZ366" s="87"/>
      <c r="EA366" s="87"/>
      <c r="EB366" s="87"/>
      <c r="EC366" s="87"/>
      <c r="ED366" s="87"/>
      <c r="EE366" s="87"/>
      <c r="EF366" s="87"/>
      <c r="EG366" s="87"/>
      <c r="EH366" s="87"/>
      <c r="EI366" s="87"/>
    </row>
    <row r="367" spans="1:139" ht="16.5" hidden="1" thickBot="1" x14ac:dyDescent="0.35">
      <c r="A367" s="161" t="s">
        <v>168</v>
      </c>
      <c r="B367" s="282">
        <v>2</v>
      </c>
      <c r="C367" s="177">
        <f>(0.25*31)</f>
        <v>7.75</v>
      </c>
      <c r="D367" s="217">
        <f>C367/VLOOKUP(B367,'[2]Gas Prod per PADD'!$A$1:$C$6,2,FALSE)</f>
        <v>3.2291666666666666E-3</v>
      </c>
      <c r="E367" s="178">
        <v>45538</v>
      </c>
      <c r="F367" s="252">
        <v>45605</v>
      </c>
      <c r="G367" s="180" t="s">
        <v>695</v>
      </c>
      <c r="H367" s="181" t="s">
        <v>685</v>
      </c>
      <c r="I367" s="84"/>
      <c r="J367" s="85"/>
      <c r="K367" s="85"/>
      <c r="L367" s="85"/>
      <c r="M367" s="85"/>
      <c r="N367" s="85"/>
      <c r="O367" s="85"/>
      <c r="P367" s="85"/>
      <c r="Q367" s="85"/>
      <c r="R367" s="85"/>
      <c r="S367" s="85"/>
      <c r="T367" s="85"/>
      <c r="U367" s="85"/>
      <c r="V367" s="84"/>
      <c r="W367" s="84"/>
      <c r="X367" s="84" t="str">
        <f t="shared" si="15"/>
        <v>OK</v>
      </c>
      <c r="Y367" s="87"/>
      <c r="Z367" s="87"/>
      <c r="AA367" s="87"/>
      <c r="AB367" s="87"/>
      <c r="AC367" s="87"/>
      <c r="AD367" s="87"/>
      <c r="AE367" s="87"/>
      <c r="AF367" s="87"/>
      <c r="AG367" s="87"/>
      <c r="AH367" s="87"/>
      <c r="AI367" s="87"/>
      <c r="AJ367" s="87"/>
      <c r="AK367" s="87"/>
      <c r="AL367" s="87"/>
      <c r="AM367" s="87"/>
      <c r="AN367" s="87"/>
      <c r="AO367" s="87"/>
      <c r="AP367" s="87"/>
      <c r="AQ367" s="87"/>
      <c r="AR367" s="87"/>
      <c r="AS367" s="87"/>
      <c r="AT367" s="87"/>
      <c r="AU367" s="87"/>
      <c r="AV367" s="87"/>
      <c r="AW367" s="87"/>
      <c r="AX367" s="87"/>
      <c r="AY367" s="87"/>
      <c r="AZ367" s="87"/>
      <c r="BA367" s="87"/>
      <c r="BB367" s="87"/>
      <c r="BC367" s="87"/>
      <c r="BD367" s="87"/>
      <c r="BE367" s="87"/>
      <c r="BF367" s="87"/>
      <c r="BG367" s="87"/>
      <c r="BH367" s="87"/>
      <c r="BI367" s="87"/>
      <c r="BJ367" s="87"/>
      <c r="BK367" s="87"/>
      <c r="BL367" s="87"/>
      <c r="BM367" s="87"/>
      <c r="BN367" s="87"/>
      <c r="BO367" s="87"/>
      <c r="BP367" s="87"/>
      <c r="BQ367" s="87">
        <f>2/7*-C367</f>
        <v>-2.214285714285714</v>
      </c>
      <c r="BR367" s="87">
        <f>-5/7*C367</f>
        <v>-5.5357142857142856</v>
      </c>
      <c r="BS367" s="87"/>
      <c r="BT367" s="87"/>
      <c r="BU367" s="87"/>
      <c r="BV367" s="87"/>
      <c r="BW367" s="87"/>
      <c r="BX367" s="87"/>
      <c r="BY367" s="87"/>
      <c r="BZ367" s="87"/>
      <c r="CA367" s="87">
        <f>-BR367</f>
        <v>5.5357142857142856</v>
      </c>
      <c r="CB367" s="87">
        <f>-BQ367</f>
        <v>2.214285714285714</v>
      </c>
      <c r="CC367" s="87"/>
      <c r="CD367" s="87"/>
      <c r="CE367" s="87"/>
      <c r="CF367" s="87"/>
      <c r="CG367" s="87"/>
      <c r="CH367" s="87"/>
      <c r="CI367" s="87"/>
      <c r="CJ367" s="87"/>
      <c r="CK367" s="87"/>
      <c r="CL367" s="87"/>
      <c r="CM367" s="87"/>
      <c r="CN367" s="87"/>
      <c r="CO367" s="87"/>
      <c r="CP367" s="87"/>
      <c r="CQ367" s="87"/>
      <c r="CR367" s="87"/>
      <c r="CS367" s="87"/>
      <c r="CT367" s="87"/>
      <c r="CU367" s="87"/>
      <c r="CV367" s="87"/>
      <c r="CW367" s="87"/>
      <c r="CX367" s="87"/>
      <c r="CY367" s="87"/>
      <c r="CZ367" s="87"/>
      <c r="DA367" s="87"/>
      <c r="DB367" s="87"/>
      <c r="DC367" s="87"/>
      <c r="DD367" s="87"/>
      <c r="DE367" s="87"/>
      <c r="DF367" s="87"/>
      <c r="DG367" s="87"/>
      <c r="DH367" s="87"/>
      <c r="DI367" s="87"/>
      <c r="DJ367" s="87"/>
      <c r="DK367" s="87"/>
      <c r="DL367" s="87"/>
      <c r="DM367" s="87"/>
      <c r="DN367" s="87"/>
      <c r="DO367" s="87"/>
      <c r="DP367" s="87"/>
      <c r="DQ367" s="87"/>
      <c r="DR367" s="87"/>
      <c r="DS367" s="87"/>
      <c r="DT367" s="87"/>
      <c r="DU367" s="87"/>
      <c r="DV367" s="87"/>
      <c r="DW367" s="87"/>
      <c r="DX367" s="87"/>
      <c r="DY367" s="87"/>
      <c r="DZ367" s="87"/>
      <c r="EA367" s="87"/>
      <c r="EB367" s="87"/>
      <c r="EC367" s="87"/>
      <c r="ED367" s="87"/>
      <c r="EE367" s="87"/>
      <c r="EF367" s="87"/>
      <c r="EG367" s="87"/>
      <c r="EH367" s="87"/>
      <c r="EI367" s="87"/>
    </row>
    <row r="368" spans="1:139" ht="16.5" hidden="1" thickBot="1" x14ac:dyDescent="0.35">
      <c r="A368" s="175" t="s">
        <v>324</v>
      </c>
      <c r="B368" s="191">
        <v>5</v>
      </c>
      <c r="C368" s="177">
        <f>50*0.65</f>
        <v>32.5</v>
      </c>
      <c r="D368" s="217">
        <f>C368/VLOOKUP(B368,'[2]Gas Prod per PADD'!$A$1:$C$6,2,FALSE)</f>
        <v>2.4074074074074074E-2</v>
      </c>
      <c r="E368" s="178">
        <v>45602</v>
      </c>
      <c r="F368" s="252">
        <f>E368+3</f>
        <v>45605</v>
      </c>
      <c r="G368" s="236" t="s">
        <v>696</v>
      </c>
      <c r="H368" s="233" t="s">
        <v>364</v>
      </c>
      <c r="I368" s="84"/>
      <c r="J368" s="85"/>
      <c r="K368" s="85"/>
      <c r="L368" s="85"/>
      <c r="M368" s="85"/>
      <c r="N368" s="85"/>
      <c r="O368" s="85"/>
      <c r="P368" s="85"/>
      <c r="Q368" s="85"/>
      <c r="R368" s="85"/>
      <c r="S368" s="85"/>
      <c r="T368" s="85"/>
      <c r="U368" s="85"/>
      <c r="V368" s="84"/>
      <c r="W368" s="84"/>
      <c r="X368" s="84" t="str">
        <f t="shared" si="15"/>
        <v>OK</v>
      </c>
      <c r="Y368" s="87"/>
      <c r="Z368" s="87"/>
      <c r="AA368" s="87"/>
      <c r="AB368" s="87"/>
      <c r="AC368" s="87"/>
      <c r="AD368" s="87"/>
      <c r="AE368" s="87"/>
      <c r="AF368" s="87"/>
      <c r="AG368" s="87"/>
      <c r="AH368" s="87"/>
      <c r="AI368" s="87"/>
      <c r="AJ368" s="87"/>
      <c r="AK368" s="87"/>
      <c r="AL368" s="87"/>
      <c r="AM368" s="87"/>
      <c r="AN368" s="87"/>
      <c r="AO368" s="87"/>
      <c r="AP368" s="87"/>
      <c r="AQ368" s="87"/>
      <c r="AR368" s="87"/>
      <c r="AS368" s="87"/>
      <c r="AT368" s="87"/>
      <c r="AU368" s="87"/>
      <c r="AV368" s="87"/>
      <c r="AW368" s="87"/>
      <c r="AX368" s="87"/>
      <c r="AY368" s="87"/>
      <c r="AZ368" s="87"/>
      <c r="BA368" s="87"/>
      <c r="BB368" s="87"/>
      <c r="BC368" s="87"/>
      <c r="BD368" s="87"/>
      <c r="BE368" s="87"/>
      <c r="BF368" s="87"/>
      <c r="BG368" s="87"/>
      <c r="BH368" s="87"/>
      <c r="BI368" s="87"/>
      <c r="BJ368" s="87"/>
      <c r="BK368" s="87"/>
      <c r="BL368" s="87"/>
      <c r="BM368" s="87"/>
      <c r="BN368" s="87"/>
      <c r="BO368" s="87"/>
      <c r="BP368" s="87"/>
      <c r="BQ368" s="87"/>
      <c r="BR368" s="87"/>
      <c r="BS368" s="87"/>
      <c r="BT368" s="87"/>
      <c r="BU368" s="87"/>
      <c r="BV368" s="87"/>
      <c r="BW368" s="87"/>
      <c r="BX368" s="87"/>
      <c r="BY368" s="87"/>
      <c r="BZ368" s="87">
        <f>-C368*(3/7)</f>
        <v>-13.928571428571427</v>
      </c>
      <c r="CA368" s="87">
        <f>-BZ368</f>
        <v>13.928571428571427</v>
      </c>
      <c r="CB368" s="87"/>
      <c r="CC368" s="87"/>
      <c r="CD368" s="87"/>
      <c r="CE368" s="87"/>
      <c r="CF368" s="87"/>
      <c r="CG368" s="87"/>
      <c r="CH368" s="87"/>
      <c r="CI368" s="87"/>
      <c r="CJ368" s="87"/>
      <c r="CK368" s="87"/>
      <c r="CL368" s="87"/>
      <c r="CM368" s="87"/>
      <c r="CN368" s="87"/>
      <c r="CO368" s="87"/>
      <c r="CP368" s="87"/>
      <c r="CQ368" s="87"/>
      <c r="CR368" s="87"/>
      <c r="CS368" s="87"/>
      <c r="CT368" s="87"/>
      <c r="CU368" s="87"/>
      <c r="CV368" s="87"/>
      <c r="CW368" s="87"/>
      <c r="CX368" s="87"/>
      <c r="CY368" s="87"/>
      <c r="CZ368" s="87"/>
      <c r="DA368" s="87"/>
      <c r="DB368" s="87"/>
      <c r="DC368" s="87"/>
      <c r="DD368" s="87"/>
      <c r="DE368" s="87"/>
      <c r="DF368" s="87"/>
      <c r="DG368" s="87"/>
      <c r="DH368" s="87"/>
      <c r="DI368" s="87"/>
      <c r="DJ368" s="87"/>
      <c r="DK368" s="87"/>
      <c r="DL368" s="87"/>
      <c r="DM368" s="87"/>
      <c r="DN368" s="87"/>
      <c r="DO368" s="87"/>
      <c r="DP368" s="87"/>
      <c r="DQ368" s="87"/>
      <c r="DR368" s="87"/>
      <c r="DS368" s="87"/>
      <c r="DT368" s="87"/>
      <c r="DU368" s="87"/>
      <c r="DV368" s="87"/>
      <c r="DW368" s="87"/>
      <c r="DX368" s="87"/>
      <c r="DY368" s="87"/>
      <c r="DZ368" s="87"/>
      <c r="EA368" s="87"/>
      <c r="EB368" s="87"/>
      <c r="EC368" s="87"/>
      <c r="ED368" s="87"/>
      <c r="EE368" s="87"/>
      <c r="EF368" s="87"/>
      <c r="EG368" s="75">
        <v>46017</v>
      </c>
      <c r="EH368" s="75">
        <v>46024</v>
      </c>
      <c r="EI368" s="75">
        <v>46031</v>
      </c>
    </row>
    <row r="369" spans="1:139" ht="57.75" hidden="1" thickBot="1" x14ac:dyDescent="0.35">
      <c r="A369" s="218" t="s">
        <v>168</v>
      </c>
      <c r="B369" s="194">
        <v>2</v>
      </c>
      <c r="C369" s="195">
        <f>(0.25*55)</f>
        <v>13.75</v>
      </c>
      <c r="D369" s="217">
        <f>C369/VLOOKUP(B369,'[2]Gas Prod per PADD'!$A$1:$C$6,2,FALSE)</f>
        <v>5.7291666666666663E-3</v>
      </c>
      <c r="E369" s="178">
        <v>45538</v>
      </c>
      <c r="F369" s="252">
        <v>45606</v>
      </c>
      <c r="G369" s="180" t="s">
        <v>697</v>
      </c>
      <c r="H369" s="181" t="s">
        <v>698</v>
      </c>
      <c r="I369" s="84"/>
      <c r="J369" s="85"/>
      <c r="K369" s="85"/>
      <c r="L369" s="85"/>
      <c r="M369" s="85"/>
      <c r="N369" s="85"/>
      <c r="O369" s="85"/>
      <c r="P369" s="85"/>
      <c r="Q369" s="85"/>
      <c r="R369" s="85"/>
      <c r="S369" s="85"/>
      <c r="T369" s="85"/>
      <c r="U369" s="85"/>
      <c r="V369" s="84"/>
      <c r="W369" s="84"/>
      <c r="X369" s="84" t="str">
        <f t="shared" si="15"/>
        <v>OK</v>
      </c>
      <c r="Y369" s="86"/>
      <c r="Z369" s="87"/>
      <c r="AA369" s="87"/>
      <c r="AB369" s="87"/>
      <c r="AC369" s="87"/>
      <c r="AD369" s="87"/>
      <c r="AE369" s="87"/>
      <c r="AF369" s="87"/>
      <c r="AG369" s="87"/>
      <c r="AH369" s="87"/>
      <c r="AI369" s="87"/>
      <c r="AJ369" s="87"/>
      <c r="AK369" s="87"/>
      <c r="AL369" s="87"/>
      <c r="AM369" s="87"/>
      <c r="AN369" s="87"/>
      <c r="AO369" s="87"/>
      <c r="AP369" s="87"/>
      <c r="AQ369" s="87"/>
      <c r="AR369" s="87"/>
      <c r="AS369" s="87"/>
      <c r="AT369" s="87"/>
      <c r="AU369" s="87"/>
      <c r="AV369" s="87"/>
      <c r="AW369" s="87"/>
      <c r="AX369" s="87"/>
      <c r="AY369" s="87"/>
      <c r="AZ369" s="87"/>
      <c r="BA369" s="87"/>
      <c r="BB369" s="87"/>
      <c r="BC369" s="87"/>
      <c r="BD369" s="87"/>
      <c r="BE369" s="87"/>
      <c r="BF369" s="87"/>
      <c r="BG369" s="87"/>
      <c r="BH369" s="87"/>
      <c r="BI369" s="87"/>
      <c r="BJ369" s="105"/>
      <c r="BK369" s="87"/>
      <c r="BL369" s="105"/>
      <c r="BM369" s="87"/>
      <c r="BN369" s="105"/>
      <c r="BO369" s="105"/>
      <c r="BP369" s="87"/>
      <c r="BQ369" s="87">
        <f>-3/7*C369</f>
        <v>-5.8928571428571423</v>
      </c>
      <c r="BR369" s="87">
        <f>-4/7*C369</f>
        <v>-7.8571428571428568</v>
      </c>
      <c r="BS369" s="87"/>
      <c r="BT369" s="87"/>
      <c r="BU369" s="87"/>
      <c r="BV369" s="87"/>
      <c r="BW369" s="87"/>
      <c r="BX369" s="87"/>
      <c r="BY369" s="87"/>
      <c r="BZ369" s="87"/>
      <c r="CA369" s="87">
        <f>-BR369</f>
        <v>7.8571428571428568</v>
      </c>
      <c r="CB369" s="87">
        <f>-BQ369</f>
        <v>5.8928571428571423</v>
      </c>
      <c r="CC369" s="87"/>
      <c r="CD369" s="87"/>
      <c r="CE369" s="87"/>
      <c r="CF369" s="87"/>
      <c r="CG369" s="87"/>
      <c r="CH369" s="87"/>
      <c r="CI369" s="87"/>
      <c r="CJ369" s="87"/>
      <c r="CK369" s="87"/>
      <c r="CL369" s="87"/>
      <c r="CM369" s="87"/>
      <c r="CN369" s="87"/>
      <c r="CO369" s="87"/>
      <c r="CP369" s="87"/>
      <c r="CQ369" s="87"/>
      <c r="CR369" s="87"/>
      <c r="CS369" s="87"/>
      <c r="CT369" s="87"/>
      <c r="CU369" s="87"/>
      <c r="CV369" s="87"/>
      <c r="CW369" s="87"/>
      <c r="CX369" s="87"/>
      <c r="CY369" s="87"/>
      <c r="CZ369" s="87"/>
      <c r="DA369" s="87"/>
      <c r="DB369" s="87"/>
      <c r="DC369" s="87"/>
      <c r="DD369" s="87"/>
      <c r="DE369" s="87"/>
      <c r="DF369" s="87"/>
      <c r="DG369" s="87"/>
      <c r="DH369" s="87"/>
      <c r="DI369" s="87"/>
      <c r="DJ369" s="87"/>
      <c r="DK369" s="87"/>
      <c r="DL369" s="87"/>
      <c r="DM369" s="87"/>
      <c r="DN369" s="87"/>
      <c r="DO369" s="87"/>
      <c r="DP369" s="87"/>
      <c r="DQ369" s="87"/>
      <c r="DR369" s="87"/>
      <c r="DS369" s="87"/>
      <c r="DT369" s="87"/>
      <c r="DU369" s="87"/>
      <c r="DV369" s="87"/>
      <c r="DW369" s="87"/>
      <c r="DX369" s="87"/>
      <c r="DY369" s="87"/>
      <c r="DZ369" s="87"/>
      <c r="EA369" s="87"/>
      <c r="EB369" s="87"/>
      <c r="EC369" s="87"/>
      <c r="ED369" s="87"/>
      <c r="EE369" s="87"/>
      <c r="EF369" s="87"/>
      <c r="EG369" s="87"/>
      <c r="EH369" s="87"/>
      <c r="EI369" s="87"/>
    </row>
    <row r="370" spans="1:139" ht="29.25" hidden="1" thickBot="1" x14ac:dyDescent="0.35">
      <c r="A370" s="161" t="s">
        <v>119</v>
      </c>
      <c r="B370" s="279">
        <v>5</v>
      </c>
      <c r="C370" s="224">
        <f>60*0.85</f>
        <v>51</v>
      </c>
      <c r="D370" s="217">
        <f>C370/VLOOKUP(B370,'[2]Gas Prod per PADD'!$A$1:$C$6,2,FALSE)</f>
        <v>3.7777777777777778E-2</v>
      </c>
      <c r="E370" s="225">
        <v>45544</v>
      </c>
      <c r="F370" s="226">
        <f>E370+62</f>
        <v>45606</v>
      </c>
      <c r="G370" s="180" t="s">
        <v>699</v>
      </c>
      <c r="H370" s="181" t="s">
        <v>700</v>
      </c>
      <c r="I370" s="84"/>
      <c r="J370" s="85"/>
      <c r="K370" s="85"/>
      <c r="L370" s="85"/>
      <c r="M370" s="85"/>
      <c r="N370" s="85"/>
      <c r="O370" s="85"/>
      <c r="P370" s="85"/>
      <c r="Q370" s="85"/>
      <c r="R370" s="85"/>
      <c r="S370" s="85"/>
      <c r="T370" s="85"/>
      <c r="U370" s="85"/>
      <c r="V370" s="84"/>
      <c r="W370" s="84"/>
      <c r="X370" s="84" t="str">
        <f t="shared" si="15"/>
        <v>OK</v>
      </c>
      <c r="Y370" s="87"/>
      <c r="Z370" s="87"/>
      <c r="AA370" s="87"/>
      <c r="AB370" s="87"/>
      <c r="AC370" s="105"/>
      <c r="AD370" s="87"/>
      <c r="AE370" s="105"/>
      <c r="AF370" s="87"/>
      <c r="AG370" s="87"/>
      <c r="AH370" s="87"/>
      <c r="AI370" s="87"/>
      <c r="AJ370" s="87"/>
      <c r="AK370" s="87"/>
      <c r="AL370" s="87"/>
      <c r="AM370" s="87"/>
      <c r="AN370" s="87"/>
      <c r="AO370" s="87"/>
      <c r="AP370" s="87"/>
      <c r="AQ370" s="87"/>
      <c r="AR370" s="87"/>
      <c r="AS370" s="87"/>
      <c r="AT370" s="87"/>
      <c r="AU370" s="87"/>
      <c r="AV370" s="87"/>
      <c r="AW370" s="87"/>
      <c r="AX370" s="87"/>
      <c r="AY370" s="87"/>
      <c r="AZ370" s="87"/>
      <c r="BA370" s="87"/>
      <c r="BB370" s="87"/>
      <c r="BC370" s="87"/>
      <c r="BD370" s="87"/>
      <c r="BE370" s="87"/>
      <c r="BF370" s="87"/>
      <c r="BG370" s="87"/>
      <c r="BH370" s="87"/>
      <c r="BI370" s="87"/>
      <c r="BJ370" s="87"/>
      <c r="BK370" s="87"/>
      <c r="BL370" s="87"/>
      <c r="BM370" s="87"/>
      <c r="BN370" s="87"/>
      <c r="BO370" s="87"/>
      <c r="BP370" s="87"/>
      <c r="BQ370" s="87"/>
      <c r="BR370" s="87">
        <f>-0.8*C370</f>
        <v>-40.800000000000004</v>
      </c>
      <c r="BS370" s="87">
        <f>(BR370*-1)-C370</f>
        <v>-10.199999999999996</v>
      </c>
      <c r="BT370" s="87"/>
      <c r="BU370" s="87"/>
      <c r="BV370" s="87"/>
      <c r="BW370" s="87"/>
      <c r="BX370" s="87"/>
      <c r="BY370" s="105"/>
      <c r="BZ370" s="105"/>
      <c r="CA370" s="87">
        <f>C370/2</f>
        <v>25.5</v>
      </c>
      <c r="CB370" s="87">
        <f>C370/2</f>
        <v>25.5</v>
      </c>
      <c r="CC370" s="87"/>
      <c r="CD370" s="87"/>
      <c r="CE370" s="87"/>
      <c r="CF370" s="87"/>
      <c r="CG370" s="87"/>
      <c r="CH370" s="87"/>
      <c r="CI370" s="87"/>
      <c r="CJ370" s="87"/>
      <c r="CK370" s="87"/>
      <c r="CL370" s="87"/>
      <c r="CM370" s="87"/>
      <c r="CN370" s="87"/>
      <c r="CO370" s="87"/>
      <c r="CP370" s="87"/>
      <c r="CQ370" s="87"/>
      <c r="CR370" s="87"/>
      <c r="CS370" s="87"/>
      <c r="CT370" s="87"/>
      <c r="CU370" s="87"/>
      <c r="CV370" s="87"/>
      <c r="CW370" s="87"/>
      <c r="CX370" s="87"/>
      <c r="CY370" s="87"/>
      <c r="CZ370" s="87"/>
      <c r="DA370" s="87"/>
      <c r="DB370" s="87"/>
      <c r="DC370" s="87"/>
      <c r="DD370" s="87"/>
      <c r="DE370" s="87"/>
      <c r="DF370" s="87"/>
      <c r="DG370" s="87"/>
      <c r="DH370" s="87"/>
      <c r="DI370" s="87"/>
      <c r="DJ370" s="87"/>
      <c r="DK370" s="87"/>
      <c r="DL370" s="87"/>
      <c r="DM370" s="87"/>
      <c r="DN370" s="87"/>
      <c r="DO370" s="87"/>
      <c r="DP370" s="87"/>
      <c r="DQ370" s="87"/>
      <c r="DR370" s="87"/>
      <c r="DS370" s="87"/>
      <c r="DT370" s="87"/>
      <c r="DU370" s="87"/>
      <c r="DV370" s="87"/>
      <c r="DW370" s="87"/>
      <c r="DX370" s="87"/>
      <c r="DY370" s="87"/>
      <c r="DZ370" s="87"/>
      <c r="EA370" s="87"/>
      <c r="EB370" s="87"/>
      <c r="EC370" s="87"/>
      <c r="ED370" s="87"/>
      <c r="EE370" s="87"/>
      <c r="EF370" s="87"/>
      <c r="EG370" s="75">
        <v>46017</v>
      </c>
      <c r="EH370" s="75">
        <v>46024</v>
      </c>
      <c r="EI370" s="75">
        <v>46031</v>
      </c>
    </row>
    <row r="371" spans="1:139" ht="29.25" hidden="1" thickBot="1" x14ac:dyDescent="0.35">
      <c r="A371" s="218" t="s">
        <v>158</v>
      </c>
      <c r="B371" s="194">
        <v>3</v>
      </c>
      <c r="C371" s="195">
        <f>0.2*60</f>
        <v>12</v>
      </c>
      <c r="D371" s="217">
        <f>C371/VLOOKUP(B371,'[2]Gas Prod per PADD'!$A$1:$C$6,2,FALSE)</f>
        <v>2.6086956521739132E-3</v>
      </c>
      <c r="E371" s="196">
        <v>45545</v>
      </c>
      <c r="F371" s="281">
        <v>45606</v>
      </c>
      <c r="G371" s="180" t="s">
        <v>701</v>
      </c>
      <c r="H371" s="181" t="s">
        <v>702</v>
      </c>
      <c r="I371" s="84"/>
      <c r="J371" s="85"/>
      <c r="K371" s="85"/>
      <c r="L371" s="85"/>
      <c r="M371" s="85"/>
      <c r="N371" s="85"/>
      <c r="O371" s="85"/>
      <c r="P371" s="85"/>
      <c r="Q371" s="85"/>
      <c r="R371" s="85"/>
      <c r="S371" s="85"/>
      <c r="T371" s="85"/>
      <c r="U371" s="85"/>
      <c r="V371" s="84"/>
      <c r="W371" s="84"/>
      <c r="X371" s="84" t="str">
        <f t="shared" si="15"/>
        <v>OK</v>
      </c>
      <c r="Y371" s="105"/>
      <c r="Z371" s="105"/>
      <c r="AA371" s="87"/>
      <c r="AB371" s="87"/>
      <c r="AC371" s="87"/>
      <c r="AD371" s="87"/>
      <c r="AE371" s="105"/>
      <c r="AF371" s="105"/>
      <c r="AG371" s="105"/>
      <c r="AH371" s="105"/>
      <c r="AI371" s="87"/>
      <c r="AJ371" s="87"/>
      <c r="AK371" s="105"/>
      <c r="AL371" s="87"/>
      <c r="AM371" s="105"/>
      <c r="AN371" s="105"/>
      <c r="AO371" s="87"/>
      <c r="AP371" s="87"/>
      <c r="AQ371" s="105"/>
      <c r="AR371" s="105"/>
      <c r="AS371" s="87"/>
      <c r="AT371" s="105"/>
      <c r="AU371" s="87"/>
      <c r="AV371" s="87"/>
      <c r="AW371" s="105"/>
      <c r="AX371" s="105"/>
      <c r="AY371" s="105"/>
      <c r="AZ371" s="105"/>
      <c r="BA371" s="105"/>
      <c r="BB371" s="105"/>
      <c r="BC371" s="105"/>
      <c r="BD371" s="87"/>
      <c r="BE371" s="87"/>
      <c r="BF371" s="87"/>
      <c r="BG371" s="87"/>
      <c r="BH371" s="87"/>
      <c r="BI371" s="87"/>
      <c r="BJ371" s="87"/>
      <c r="BK371" s="87"/>
      <c r="BL371" s="87"/>
      <c r="BM371" s="87"/>
      <c r="BN371" s="87"/>
      <c r="BO371" s="87"/>
      <c r="BP371" s="87"/>
      <c r="BQ371" s="87"/>
      <c r="BR371" s="87">
        <f>-2/7*C371</f>
        <v>-3.4285714285714284</v>
      </c>
      <c r="BS371" s="87">
        <f>(-1*C371)-BR371</f>
        <v>-8.5714285714285712</v>
      </c>
      <c r="BT371" s="87"/>
      <c r="BU371" s="87"/>
      <c r="BV371" s="87"/>
      <c r="BW371" s="87"/>
      <c r="BX371" s="87"/>
      <c r="BY371" s="87"/>
      <c r="BZ371" s="87"/>
      <c r="CA371" s="87">
        <f>-BR371</f>
        <v>3.4285714285714284</v>
      </c>
      <c r="CB371" s="87">
        <f>-BS371</f>
        <v>8.5714285714285712</v>
      </c>
      <c r="CC371" s="87"/>
      <c r="CD371" s="87"/>
      <c r="CE371" s="87"/>
      <c r="CF371" s="87"/>
      <c r="CG371" s="87"/>
      <c r="CH371" s="87"/>
      <c r="CI371" s="87"/>
      <c r="CJ371" s="87"/>
      <c r="CK371" s="87"/>
      <c r="CL371" s="87"/>
      <c r="CM371" s="87"/>
      <c r="CN371" s="87"/>
      <c r="CO371" s="87"/>
      <c r="CP371" s="87"/>
      <c r="CQ371" s="87"/>
      <c r="CR371" s="87"/>
      <c r="CS371" s="87"/>
      <c r="CT371" s="87"/>
      <c r="CU371" s="87"/>
      <c r="CV371" s="87"/>
      <c r="CW371" s="87"/>
      <c r="CX371" s="87"/>
      <c r="CY371" s="87"/>
      <c r="CZ371" s="87"/>
      <c r="DA371" s="87"/>
      <c r="DB371" s="87"/>
      <c r="DC371" s="87"/>
      <c r="DD371" s="87"/>
      <c r="DE371" s="87"/>
      <c r="DF371" s="87"/>
      <c r="DG371" s="87"/>
      <c r="DH371" s="87"/>
      <c r="DI371" s="87"/>
      <c r="DJ371" s="87"/>
      <c r="DK371" s="87"/>
      <c r="DL371" s="87"/>
      <c r="DM371" s="87"/>
      <c r="DN371" s="87"/>
      <c r="DO371" s="87"/>
      <c r="DP371" s="87"/>
      <c r="DQ371" s="87"/>
      <c r="DR371" s="87"/>
      <c r="DS371" s="87"/>
      <c r="DT371" s="87"/>
      <c r="DU371" s="87"/>
      <c r="DV371" s="87"/>
      <c r="DW371" s="87"/>
      <c r="DX371" s="87"/>
      <c r="DY371" s="87"/>
      <c r="DZ371" s="87"/>
      <c r="EA371" s="87"/>
      <c r="EB371" s="87"/>
      <c r="EC371" s="87"/>
      <c r="ED371" s="87"/>
      <c r="EE371" s="87"/>
      <c r="EF371" s="87"/>
      <c r="EG371" s="87"/>
      <c r="EH371" s="87"/>
      <c r="EI371" s="87"/>
    </row>
    <row r="372" spans="1:139" ht="16.5" hidden="1" thickBot="1" x14ac:dyDescent="0.35">
      <c r="A372" s="161" t="s">
        <v>289</v>
      </c>
      <c r="B372" s="176">
        <v>3</v>
      </c>
      <c r="C372" s="177">
        <f>60*0.65</f>
        <v>39</v>
      </c>
      <c r="D372" s="217">
        <f>C372/VLOOKUP(B372,'[2]Gas Prod per PADD'!$A$1:$C$6,2,FALSE)</f>
        <v>8.4782608695652181E-3</v>
      </c>
      <c r="E372" s="251">
        <v>45604</v>
      </c>
      <c r="F372" s="252">
        <v>45607</v>
      </c>
      <c r="G372" s="180" t="s">
        <v>703</v>
      </c>
      <c r="H372" s="198" t="s">
        <v>704</v>
      </c>
      <c r="I372" s="84"/>
      <c r="J372" s="85"/>
      <c r="K372" s="85"/>
      <c r="L372" s="85"/>
      <c r="M372" s="85"/>
      <c r="N372" s="85"/>
      <c r="O372" s="85"/>
      <c r="P372" s="85"/>
      <c r="Q372" s="85"/>
      <c r="R372" s="85"/>
      <c r="S372" s="85"/>
      <c r="T372" s="85"/>
      <c r="U372" s="85"/>
      <c r="V372" s="84"/>
      <c r="W372" s="84"/>
      <c r="X372" s="84" t="str">
        <f t="shared" si="15"/>
        <v>OK</v>
      </c>
      <c r="Y372" s="87"/>
      <c r="Z372" s="87"/>
      <c r="AA372" s="87"/>
      <c r="AB372" s="87"/>
      <c r="AC372" s="87"/>
      <c r="AD372" s="87"/>
      <c r="AE372" s="87"/>
      <c r="AF372" s="87"/>
      <c r="AG372" s="87"/>
      <c r="AH372" s="87"/>
      <c r="AI372" s="87"/>
      <c r="AJ372" s="87"/>
      <c r="AK372" s="87"/>
      <c r="AL372" s="87"/>
      <c r="AM372" s="87"/>
      <c r="AN372" s="87"/>
      <c r="AO372" s="87"/>
      <c r="AP372" s="87"/>
      <c r="AQ372" s="87"/>
      <c r="AR372" s="87"/>
      <c r="AS372" s="87"/>
      <c r="AT372" s="87"/>
      <c r="AU372" s="87"/>
      <c r="AV372" s="87"/>
      <c r="AW372" s="87"/>
      <c r="AX372" s="87"/>
      <c r="AY372" s="87"/>
      <c r="AZ372" s="87"/>
      <c r="BA372" s="87"/>
      <c r="BB372" s="87"/>
      <c r="BC372" s="87"/>
      <c r="BD372" s="87"/>
      <c r="BE372" s="87"/>
      <c r="BF372" s="87"/>
      <c r="BG372" s="87"/>
      <c r="BH372" s="87"/>
      <c r="BI372" s="87"/>
      <c r="BJ372" s="87"/>
      <c r="BK372" s="87"/>
      <c r="BL372" s="87"/>
      <c r="BM372" s="87"/>
      <c r="BN372" s="87"/>
      <c r="BO372" s="87"/>
      <c r="BP372" s="87"/>
      <c r="BQ372" s="87"/>
      <c r="BR372" s="87"/>
      <c r="BS372" s="87"/>
      <c r="BT372" s="87"/>
      <c r="BU372" s="87"/>
      <c r="BV372" s="87"/>
      <c r="BW372" s="87"/>
      <c r="BX372" s="87"/>
      <c r="BY372" s="87"/>
      <c r="BZ372" s="87"/>
      <c r="CA372" s="87">
        <f>-3/7*C372</f>
        <v>-16.714285714285712</v>
      </c>
      <c r="CB372" s="87">
        <f>-CA372</f>
        <v>16.714285714285712</v>
      </c>
      <c r="CC372" s="87"/>
      <c r="CD372" s="87"/>
      <c r="CE372" s="87"/>
      <c r="CF372" s="87"/>
      <c r="CG372" s="87"/>
      <c r="CH372" s="87"/>
      <c r="CI372" s="87"/>
      <c r="CJ372" s="87"/>
      <c r="CK372" s="87"/>
      <c r="CL372" s="87"/>
      <c r="CM372" s="87"/>
      <c r="CN372" s="87"/>
      <c r="CO372" s="87"/>
      <c r="CP372" s="87"/>
      <c r="CQ372" s="87"/>
      <c r="CR372" s="87"/>
      <c r="CS372" s="87"/>
      <c r="CT372" s="87"/>
      <c r="CU372" s="87"/>
      <c r="CV372" s="87"/>
      <c r="CW372" s="87"/>
      <c r="CX372" s="87"/>
      <c r="CY372" s="87"/>
      <c r="CZ372" s="87"/>
      <c r="DA372" s="87"/>
      <c r="DB372" s="87"/>
      <c r="DC372" s="87"/>
      <c r="DD372" s="87"/>
      <c r="DE372" s="87"/>
      <c r="DF372" s="87"/>
      <c r="DG372" s="87"/>
      <c r="DH372" s="87"/>
      <c r="DI372" s="87"/>
      <c r="DJ372" s="87"/>
      <c r="DK372" s="87"/>
      <c r="DL372" s="87"/>
      <c r="DM372" s="87"/>
      <c r="DN372" s="87"/>
      <c r="DO372" s="87"/>
      <c r="DP372" s="87"/>
      <c r="DQ372" s="87"/>
      <c r="DR372" s="87"/>
      <c r="DS372" s="87"/>
      <c r="DT372" s="87"/>
      <c r="DU372" s="87"/>
      <c r="DV372" s="87"/>
      <c r="DW372" s="87"/>
      <c r="DX372" s="87"/>
      <c r="DY372" s="87"/>
      <c r="DZ372" s="87"/>
      <c r="EA372" s="87"/>
      <c r="EB372" s="87"/>
      <c r="EC372" s="87"/>
      <c r="ED372" s="87"/>
      <c r="EE372" s="87"/>
      <c r="EF372" s="87"/>
      <c r="EG372" s="87"/>
      <c r="EH372" s="87"/>
      <c r="EI372" s="87"/>
    </row>
    <row r="373" spans="1:139" ht="16.5" hidden="1" thickBot="1" x14ac:dyDescent="0.35">
      <c r="A373" s="190" t="s">
        <v>334</v>
      </c>
      <c r="B373" s="282">
        <v>3</v>
      </c>
      <c r="C373" s="177">
        <f>73*0.3</f>
        <v>21.9</v>
      </c>
      <c r="D373" s="217">
        <f>C373/VLOOKUP(B373,'[2]Gas Prod per PADD'!$A$1:$C$6,2,FALSE)</f>
        <v>4.7608695652173912E-3</v>
      </c>
      <c r="E373" s="178">
        <v>45594</v>
      </c>
      <c r="F373" s="252">
        <f>E373+14</f>
        <v>45608</v>
      </c>
      <c r="G373" s="180" t="s">
        <v>705</v>
      </c>
      <c r="H373" s="221" t="s">
        <v>640</v>
      </c>
      <c r="I373" s="84"/>
      <c r="J373" s="85"/>
      <c r="K373" s="85"/>
      <c r="L373" s="85"/>
      <c r="M373" s="85"/>
      <c r="N373" s="85"/>
      <c r="O373" s="85"/>
      <c r="P373" s="85"/>
      <c r="Q373" s="85"/>
      <c r="R373" s="85"/>
      <c r="S373" s="85"/>
      <c r="T373" s="85"/>
      <c r="U373" s="85"/>
      <c r="V373" s="84"/>
      <c r="W373" s="84"/>
      <c r="X373" s="84" t="str">
        <f t="shared" si="15"/>
        <v>OK</v>
      </c>
      <c r="Y373" s="105"/>
      <c r="Z373" s="105"/>
      <c r="AA373" s="87"/>
      <c r="AB373" s="87"/>
      <c r="AC373" s="87"/>
      <c r="AD373" s="87"/>
      <c r="AE373" s="105"/>
      <c r="AF373" s="105"/>
      <c r="AG373" s="105"/>
      <c r="AH373" s="105"/>
      <c r="AI373" s="87"/>
      <c r="AJ373" s="87"/>
      <c r="AK373" s="87"/>
      <c r="AL373" s="87"/>
      <c r="AM373" s="87"/>
      <c r="AN373" s="87"/>
      <c r="AO373" s="87"/>
      <c r="AP373" s="87"/>
      <c r="AQ373" s="87"/>
      <c r="AR373" s="87"/>
      <c r="AS373" s="87"/>
      <c r="AT373" s="87"/>
      <c r="AU373" s="87"/>
      <c r="AV373" s="87"/>
      <c r="AW373" s="87"/>
      <c r="AX373" s="87"/>
      <c r="AY373" s="87"/>
      <c r="AZ373" s="87"/>
      <c r="BA373" s="87"/>
      <c r="BB373" s="87"/>
      <c r="BC373" s="87"/>
      <c r="BD373" s="87"/>
      <c r="BE373" s="87"/>
      <c r="BF373" s="87"/>
      <c r="BG373" s="87"/>
      <c r="BH373" s="87"/>
      <c r="BI373" s="87"/>
      <c r="BJ373" s="87"/>
      <c r="BK373" s="87"/>
      <c r="BL373" s="87"/>
      <c r="BM373" s="87"/>
      <c r="BN373" s="87"/>
      <c r="BO373" s="87"/>
      <c r="BP373" s="87"/>
      <c r="BQ373" s="87"/>
      <c r="BR373" s="87"/>
      <c r="BS373" s="87"/>
      <c r="BT373" s="87"/>
      <c r="BU373" s="278"/>
      <c r="BV373" s="278"/>
      <c r="BW373" s="278"/>
      <c r="BX373" s="87"/>
      <c r="BY373" s="87">
        <f>-2/7*C373</f>
        <v>-6.2571428571428562</v>
      </c>
      <c r="BZ373" s="87"/>
      <c r="CA373" s="87">
        <f>-BY373*(2/7)</f>
        <v>1.787755102040816</v>
      </c>
      <c r="CB373" s="87">
        <f>-BY373*(5/7)</f>
        <v>4.4693877551020407</v>
      </c>
      <c r="CC373" s="87"/>
      <c r="CD373" s="87"/>
      <c r="CE373" s="87"/>
      <c r="CF373" s="87"/>
      <c r="CG373" s="87"/>
      <c r="CH373" s="87"/>
      <c r="CI373" s="87"/>
      <c r="CJ373" s="87"/>
      <c r="CK373" s="87"/>
      <c r="CL373" s="87"/>
      <c r="CM373" s="87"/>
      <c r="CN373" s="87"/>
      <c r="CO373" s="87"/>
      <c r="CP373" s="87"/>
      <c r="CQ373" s="87"/>
      <c r="CR373" s="87"/>
      <c r="CS373" s="87"/>
      <c r="CT373" s="87"/>
      <c r="CU373" s="87"/>
      <c r="CV373" s="87"/>
      <c r="CW373" s="87"/>
      <c r="CX373" s="87"/>
      <c r="CY373" s="87"/>
      <c r="CZ373" s="87"/>
      <c r="DA373" s="87"/>
      <c r="DB373" s="87"/>
      <c r="DC373" s="87"/>
      <c r="DD373" s="87"/>
      <c r="DE373" s="87"/>
      <c r="DF373" s="87"/>
      <c r="DG373" s="87"/>
      <c r="DH373" s="87"/>
      <c r="DI373" s="87"/>
      <c r="DJ373" s="87"/>
      <c r="DK373" s="87"/>
      <c r="DL373" s="87"/>
      <c r="DM373" s="87"/>
      <c r="DN373" s="87"/>
      <c r="DO373" s="87"/>
      <c r="DP373" s="87"/>
      <c r="DQ373" s="87"/>
      <c r="DR373" s="87"/>
      <c r="DS373" s="87"/>
      <c r="DT373" s="87"/>
      <c r="DU373" s="87"/>
      <c r="DV373" s="87"/>
      <c r="DW373" s="87"/>
      <c r="DX373" s="87"/>
      <c r="DY373" s="87"/>
      <c r="DZ373" s="87"/>
      <c r="EA373" s="87"/>
      <c r="EB373" s="87"/>
      <c r="EC373" s="87"/>
      <c r="ED373" s="87"/>
      <c r="EE373" s="87"/>
      <c r="EF373" s="87"/>
      <c r="EG373" s="87"/>
      <c r="EH373" s="87"/>
      <c r="EI373" s="87"/>
    </row>
    <row r="374" spans="1:139" ht="16.5" hidden="1" thickBot="1" x14ac:dyDescent="0.35">
      <c r="A374" s="193" t="s">
        <v>409</v>
      </c>
      <c r="B374" s="282" t="s">
        <v>410</v>
      </c>
      <c r="C374" s="177">
        <f>0.05*34</f>
        <v>1.7000000000000002</v>
      </c>
      <c r="D374" s="217" t="e">
        <f>C374/VLOOKUP(B374,'[2]Gas Prod per PADD'!$A$1:$C$6,2,FALSE)</f>
        <v>#N/A</v>
      </c>
      <c r="E374" s="196">
        <v>45600</v>
      </c>
      <c r="F374" s="281">
        <v>45609</v>
      </c>
      <c r="G374" s="194" t="s">
        <v>706</v>
      </c>
      <c r="H374" s="181" t="s">
        <v>640</v>
      </c>
      <c r="I374" s="84"/>
      <c r="J374" s="85"/>
      <c r="K374" s="85"/>
      <c r="L374" s="85"/>
      <c r="M374" s="85"/>
      <c r="N374" s="85"/>
      <c r="O374" s="85"/>
      <c r="P374" s="85"/>
      <c r="Q374" s="85"/>
      <c r="R374" s="85"/>
      <c r="S374" s="85"/>
      <c r="T374" s="85"/>
      <c r="U374" s="85"/>
      <c r="V374" s="84"/>
      <c r="W374" s="84"/>
      <c r="X374" s="84" t="str">
        <f t="shared" si="15"/>
        <v>OK</v>
      </c>
      <c r="Y374" s="105"/>
      <c r="Z374" s="105"/>
      <c r="AA374" s="87"/>
      <c r="AB374" s="87"/>
      <c r="AC374" s="87"/>
      <c r="AD374" s="87"/>
      <c r="AE374" s="105"/>
      <c r="AF374" s="105"/>
      <c r="AG374" s="105"/>
      <c r="AH374" s="105"/>
      <c r="AI374" s="87"/>
      <c r="AJ374" s="87"/>
      <c r="AK374" s="105"/>
      <c r="AL374" s="87"/>
      <c r="AM374" s="105"/>
      <c r="AN374" s="105"/>
      <c r="AO374" s="87"/>
      <c r="AP374" s="87"/>
      <c r="AQ374" s="105"/>
      <c r="AR374" s="105"/>
      <c r="AS374" s="87"/>
      <c r="AT374" s="105"/>
      <c r="AU374" s="105"/>
      <c r="AV374" s="87"/>
      <c r="AW374" s="105"/>
      <c r="AX374" s="105"/>
      <c r="AY374" s="87"/>
      <c r="AZ374" s="105"/>
      <c r="BA374" s="105"/>
      <c r="BB374" s="105"/>
      <c r="BC374" s="87"/>
      <c r="BD374" s="87"/>
      <c r="BE374" s="105"/>
      <c r="BF374" s="105"/>
      <c r="BG374" s="105"/>
      <c r="BH374" s="105"/>
      <c r="BI374" s="105"/>
      <c r="BJ374" s="87"/>
      <c r="BK374" s="87"/>
      <c r="BL374" s="87"/>
      <c r="BM374" s="87"/>
      <c r="BN374" s="87"/>
      <c r="BO374" s="105"/>
      <c r="BP374" s="105"/>
      <c r="BQ374" s="105"/>
      <c r="BR374" s="105"/>
      <c r="BS374" s="105"/>
      <c r="BT374" s="105"/>
      <c r="BU374" s="105"/>
      <c r="BV374" s="105"/>
      <c r="BW374" s="105"/>
      <c r="BX374" s="105"/>
      <c r="BY374" s="105"/>
      <c r="BZ374" s="105">
        <f>-C374</f>
        <v>-1.7000000000000002</v>
      </c>
      <c r="CA374" s="105">
        <f>-BZ374</f>
        <v>1.7000000000000002</v>
      </c>
      <c r="CB374" s="87"/>
      <c r="CC374" s="87"/>
      <c r="CD374" s="87"/>
      <c r="CE374" s="87"/>
      <c r="CF374" s="87"/>
      <c r="CG374" s="87"/>
      <c r="CH374" s="87"/>
      <c r="CI374" s="87"/>
      <c r="CJ374" s="87"/>
      <c r="CK374" s="87"/>
      <c r="CL374" s="87"/>
      <c r="CM374" s="87"/>
      <c r="CN374" s="87"/>
      <c r="CO374" s="87"/>
      <c r="CP374" s="87"/>
      <c r="CQ374" s="87"/>
      <c r="CR374" s="87"/>
      <c r="CS374" s="87"/>
      <c r="CT374" s="87"/>
      <c r="CU374" s="87"/>
      <c r="CV374" s="87"/>
      <c r="CW374" s="87"/>
      <c r="CX374" s="87"/>
      <c r="CY374" s="87"/>
      <c r="CZ374" s="87"/>
      <c r="DA374" s="87"/>
      <c r="DB374" s="87"/>
      <c r="DC374" s="87"/>
      <c r="DD374" s="87"/>
      <c r="DE374" s="87"/>
      <c r="DF374" s="87"/>
      <c r="DG374" s="87"/>
      <c r="DH374" s="87"/>
      <c r="DI374" s="87"/>
      <c r="DJ374" s="87"/>
      <c r="DK374" s="87"/>
      <c r="DL374" s="87"/>
      <c r="DM374" s="87"/>
      <c r="DN374" s="87"/>
      <c r="DO374" s="87"/>
      <c r="DP374" s="87"/>
      <c r="DQ374" s="87"/>
      <c r="DR374" s="87"/>
      <c r="DS374" s="87"/>
      <c r="DT374" s="87"/>
      <c r="DU374" s="87"/>
      <c r="DV374" s="87"/>
      <c r="DW374" s="87"/>
      <c r="DX374" s="87"/>
      <c r="DY374" s="87"/>
      <c r="DZ374" s="87"/>
      <c r="EA374" s="87"/>
      <c r="EB374" s="87"/>
      <c r="EC374" s="87"/>
      <c r="ED374" s="87"/>
      <c r="EE374" s="87"/>
      <c r="EF374" s="87"/>
      <c r="EG374" s="87"/>
      <c r="EH374" s="87"/>
      <c r="EI374" s="87"/>
    </row>
    <row r="375" spans="1:139" ht="29.25" hidden="1" thickBot="1" x14ac:dyDescent="0.35">
      <c r="A375" s="161" t="s">
        <v>467</v>
      </c>
      <c r="B375" s="279">
        <v>2</v>
      </c>
      <c r="C375" s="224">
        <f>(0.65*40)</f>
        <v>26</v>
      </c>
      <c r="D375" s="217">
        <f>C375/VLOOKUP(B375,'[2]Gas Prod per PADD'!$A$1:$C$6,2,FALSE)</f>
        <v>1.0833333333333334E-2</v>
      </c>
      <c r="E375" s="287">
        <v>45558</v>
      </c>
      <c r="F375" s="281">
        <v>45610</v>
      </c>
      <c r="G375" s="180" t="s">
        <v>707</v>
      </c>
      <c r="H375" s="221" t="s">
        <v>708</v>
      </c>
      <c r="I375" s="84" t="s">
        <v>709</v>
      </c>
      <c r="J375" s="85"/>
      <c r="K375" s="85"/>
      <c r="L375" s="85"/>
      <c r="M375" s="85"/>
      <c r="N375" s="85"/>
      <c r="O375" s="85"/>
      <c r="P375" s="85"/>
      <c r="Q375" s="85"/>
      <c r="R375" s="85"/>
      <c r="S375" s="85"/>
      <c r="T375" s="85"/>
      <c r="U375" s="85"/>
      <c r="V375" s="84"/>
      <c r="W375" s="84"/>
      <c r="X375" s="84" t="str">
        <f t="shared" si="15"/>
        <v>OK</v>
      </c>
      <c r="Y375" s="87"/>
      <c r="Z375" s="87"/>
      <c r="AA375" s="87"/>
      <c r="AB375" s="87"/>
      <c r="AC375" s="87"/>
      <c r="AD375" s="87"/>
      <c r="AE375" s="87"/>
      <c r="AF375" s="87"/>
      <c r="AG375" s="87"/>
      <c r="AH375" s="87"/>
      <c r="AI375" s="87"/>
      <c r="AJ375" s="87"/>
      <c r="AK375" s="87"/>
      <c r="AL375" s="87"/>
      <c r="AM375" s="87"/>
      <c r="AN375" s="87"/>
      <c r="AO375" s="87"/>
      <c r="AP375" s="87"/>
      <c r="AQ375" s="87"/>
      <c r="AR375" s="87"/>
      <c r="AS375" s="87"/>
      <c r="AT375" s="87"/>
      <c r="AU375" s="87"/>
      <c r="AV375" s="87"/>
      <c r="AW375" s="87"/>
      <c r="AX375" s="87"/>
      <c r="AY375" s="87"/>
      <c r="AZ375" s="87"/>
      <c r="BA375" s="87"/>
      <c r="BB375" s="87"/>
      <c r="BC375" s="87"/>
      <c r="BD375" s="87"/>
      <c r="BE375" s="87"/>
      <c r="BF375" s="87"/>
      <c r="BG375" s="87"/>
      <c r="BH375" s="87"/>
      <c r="BI375" s="87"/>
      <c r="BJ375" s="87"/>
      <c r="BK375" s="87"/>
      <c r="BL375" s="87"/>
      <c r="BM375" s="87"/>
      <c r="BN375" s="87"/>
      <c r="BO375" s="87"/>
      <c r="BP375" s="87"/>
      <c r="BQ375" s="87"/>
      <c r="BR375" s="87"/>
      <c r="BS375" s="87"/>
      <c r="BT375" s="87">
        <f>C375*-5/7</f>
        <v>-18.571428571428573</v>
      </c>
      <c r="BU375" s="87">
        <f>-C375-BT375</f>
        <v>-7.428571428571427</v>
      </c>
      <c r="BV375" s="87"/>
      <c r="BW375" s="87"/>
      <c r="BX375" s="87"/>
      <c r="BY375" s="87"/>
      <c r="BZ375" s="87"/>
      <c r="CA375" s="87"/>
      <c r="CB375" s="87">
        <f>-BT375</f>
        <v>18.571428571428573</v>
      </c>
      <c r="CC375" s="87">
        <f>-BU375</f>
        <v>7.428571428571427</v>
      </c>
      <c r="CD375" s="87"/>
      <c r="CE375" s="87"/>
      <c r="CF375" s="87"/>
      <c r="CG375" s="87"/>
      <c r="CH375" s="87"/>
      <c r="CI375" s="87"/>
      <c r="CJ375" s="87"/>
      <c r="CK375" s="87"/>
      <c r="CL375" s="87"/>
      <c r="CM375" s="87"/>
      <c r="CN375" s="87"/>
      <c r="CO375" s="87"/>
      <c r="CP375" s="87"/>
      <c r="CQ375" s="87"/>
      <c r="CR375" s="87"/>
      <c r="CS375" s="87"/>
      <c r="CT375" s="87"/>
      <c r="CU375" s="87"/>
      <c r="CV375" s="87"/>
      <c r="CW375" s="87"/>
      <c r="CX375" s="87"/>
      <c r="CY375" s="87"/>
      <c r="CZ375" s="87"/>
      <c r="DA375" s="87"/>
      <c r="DB375" s="87"/>
      <c r="DC375" s="87"/>
      <c r="DD375" s="87"/>
      <c r="DE375" s="87"/>
      <c r="DF375" s="87"/>
      <c r="DG375" s="87"/>
      <c r="DH375" s="87"/>
      <c r="DI375" s="87"/>
      <c r="DJ375" s="87"/>
      <c r="DK375" s="87"/>
      <c r="DL375" s="87"/>
      <c r="DM375" s="87"/>
      <c r="DN375" s="87"/>
      <c r="DO375" s="87"/>
      <c r="DP375" s="87"/>
      <c r="DQ375" s="87"/>
      <c r="DR375" s="87"/>
      <c r="DS375" s="87"/>
      <c r="DT375" s="87"/>
      <c r="DU375" s="87"/>
      <c r="DV375" s="87"/>
      <c r="DW375" s="87"/>
      <c r="DX375" s="87"/>
      <c r="DY375" s="87"/>
      <c r="DZ375" s="87"/>
      <c r="EA375" s="87"/>
      <c r="EB375" s="87"/>
      <c r="EC375" s="87"/>
      <c r="ED375" s="87"/>
      <c r="EE375" s="87"/>
      <c r="EF375" s="87"/>
      <c r="EG375" s="87"/>
      <c r="EH375" s="87"/>
      <c r="EI375" s="87"/>
    </row>
    <row r="376" spans="1:139" ht="29.25" hidden="1" thickBot="1" x14ac:dyDescent="0.35">
      <c r="A376" s="161" t="s">
        <v>467</v>
      </c>
      <c r="B376" s="199">
        <v>2</v>
      </c>
      <c r="C376" s="195">
        <f>(0.3*87.5)</f>
        <v>26.25</v>
      </c>
      <c r="D376" s="217">
        <f>C376/VLOOKUP(B376,'[2]Gas Prod per PADD'!$A$1:$C$6,2,FALSE)</f>
        <v>1.0937499999999999E-2</v>
      </c>
      <c r="E376" s="287">
        <v>45559</v>
      </c>
      <c r="F376" s="281">
        <v>45610</v>
      </c>
      <c r="G376" s="180" t="s">
        <v>710</v>
      </c>
      <c r="H376" s="221" t="s">
        <v>708</v>
      </c>
      <c r="I376" s="84"/>
      <c r="J376" s="85"/>
      <c r="K376" s="85"/>
      <c r="L376" s="85"/>
      <c r="M376" s="85"/>
      <c r="N376" s="85"/>
      <c r="O376" s="85"/>
      <c r="P376" s="85"/>
      <c r="Q376" s="85"/>
      <c r="R376" s="85"/>
      <c r="S376" s="85"/>
      <c r="T376" s="85"/>
      <c r="U376" s="85"/>
      <c r="V376" s="84"/>
      <c r="W376" s="84"/>
      <c r="X376" s="84" t="str">
        <f t="shared" si="15"/>
        <v>OK</v>
      </c>
      <c r="Y376" s="87"/>
      <c r="Z376" s="87"/>
      <c r="AA376" s="87"/>
      <c r="AB376" s="87"/>
      <c r="AC376" s="87"/>
      <c r="AD376" s="87"/>
      <c r="AE376" s="87"/>
      <c r="AF376" s="87"/>
      <c r="AG376" s="87"/>
      <c r="AH376" s="87"/>
      <c r="AI376" s="87"/>
      <c r="AJ376" s="87"/>
      <c r="AK376" s="87"/>
      <c r="AL376" s="87"/>
      <c r="AM376" s="87"/>
      <c r="AN376" s="87"/>
      <c r="AO376" s="87"/>
      <c r="AP376" s="87"/>
      <c r="AQ376" s="87"/>
      <c r="AR376" s="87"/>
      <c r="AS376" s="87"/>
      <c r="AT376" s="87"/>
      <c r="AU376" s="87"/>
      <c r="AV376" s="87"/>
      <c r="AW376" s="87"/>
      <c r="AX376" s="87"/>
      <c r="AY376" s="87"/>
      <c r="AZ376" s="87"/>
      <c r="BA376" s="87"/>
      <c r="BB376" s="87"/>
      <c r="BC376" s="87"/>
      <c r="BD376" s="87"/>
      <c r="BE376" s="87"/>
      <c r="BF376" s="87"/>
      <c r="BG376" s="87"/>
      <c r="BH376" s="87"/>
      <c r="BI376" s="87"/>
      <c r="BJ376" s="87"/>
      <c r="BK376" s="87"/>
      <c r="BL376" s="87"/>
      <c r="BM376" s="87"/>
      <c r="BN376" s="87"/>
      <c r="BO376" s="87"/>
      <c r="BP376" s="87"/>
      <c r="BQ376" s="87"/>
      <c r="BR376" s="87"/>
      <c r="BS376" s="87"/>
      <c r="BT376" s="87">
        <f>-3/7*C376</f>
        <v>-11.25</v>
      </c>
      <c r="BU376" s="278">
        <f>-4/7*C376</f>
        <v>-15</v>
      </c>
      <c r="BV376" s="87"/>
      <c r="BW376" s="87"/>
      <c r="BX376" s="87"/>
      <c r="BY376" s="87"/>
      <c r="BZ376" s="87"/>
      <c r="CA376" s="87"/>
      <c r="CB376" s="278">
        <f>-BU376</f>
        <v>15</v>
      </c>
      <c r="CC376" s="278">
        <f>-BT376</f>
        <v>11.25</v>
      </c>
      <c r="CD376" s="278"/>
      <c r="CE376" s="87"/>
      <c r="CF376" s="87"/>
      <c r="CG376" s="87"/>
      <c r="CH376" s="87"/>
      <c r="CI376" s="87"/>
      <c r="CJ376" s="87"/>
      <c r="CK376" s="87"/>
      <c r="CL376" s="87"/>
      <c r="CM376" s="87"/>
      <c r="CN376" s="87"/>
      <c r="CO376" s="87"/>
      <c r="CP376" s="87"/>
      <c r="CQ376" s="87"/>
      <c r="CR376" s="87"/>
      <c r="CS376" s="87"/>
      <c r="CT376" s="87"/>
      <c r="CU376" s="87"/>
      <c r="CV376" s="87"/>
      <c r="CW376" s="87"/>
      <c r="CX376" s="87"/>
      <c r="CY376" s="87"/>
      <c r="CZ376" s="87"/>
      <c r="DA376" s="87"/>
      <c r="DB376" s="87"/>
      <c r="DC376" s="87"/>
      <c r="DD376" s="87"/>
      <c r="DE376" s="87"/>
      <c r="DF376" s="87"/>
      <c r="DG376" s="87"/>
      <c r="DH376" s="87"/>
      <c r="DI376" s="87"/>
      <c r="DJ376" s="87"/>
      <c r="DK376" s="87"/>
      <c r="DL376" s="87"/>
      <c r="DM376" s="87"/>
      <c r="DN376" s="87"/>
      <c r="DO376" s="87"/>
      <c r="DP376" s="87"/>
      <c r="DQ376" s="87"/>
      <c r="DR376" s="87"/>
      <c r="DS376" s="87"/>
      <c r="DT376" s="87"/>
      <c r="DU376" s="87"/>
      <c r="DV376" s="87"/>
      <c r="DW376" s="87"/>
      <c r="DX376" s="87"/>
      <c r="DY376" s="87"/>
      <c r="DZ376" s="87"/>
      <c r="EA376" s="87"/>
      <c r="EB376" s="87"/>
      <c r="EC376" s="87"/>
      <c r="ED376" s="87"/>
      <c r="EE376" s="87"/>
      <c r="EF376" s="87"/>
      <c r="EG376" s="87"/>
      <c r="EH376" s="87"/>
      <c r="EI376" s="87"/>
    </row>
    <row r="377" spans="1:139" ht="29.25" hidden="1" thickBot="1" x14ac:dyDescent="0.35">
      <c r="A377" s="161" t="s">
        <v>123</v>
      </c>
      <c r="B377" s="279">
        <v>1</v>
      </c>
      <c r="C377" s="224">
        <f>0.25*25</f>
        <v>6.25</v>
      </c>
      <c r="D377" s="217">
        <f>C377/VLOOKUP(B377,'[2]Gas Prod per PADD'!$A$1:$C$6,2,FALSE)</f>
        <v>1.3020833333333334E-2</v>
      </c>
      <c r="E377" s="225">
        <v>45588</v>
      </c>
      <c r="F377" s="276">
        <v>45610</v>
      </c>
      <c r="G377" s="180" t="s">
        <v>711</v>
      </c>
      <c r="H377" s="221" t="s">
        <v>712</v>
      </c>
      <c r="I377" s="84"/>
      <c r="J377" s="85"/>
      <c r="K377" s="85"/>
      <c r="L377" s="85"/>
      <c r="M377" s="85"/>
      <c r="N377" s="85"/>
      <c r="O377" s="85"/>
      <c r="P377" s="85"/>
      <c r="Q377" s="85"/>
      <c r="R377" s="85"/>
      <c r="S377" s="85"/>
      <c r="T377" s="85"/>
      <c r="U377" s="85"/>
      <c r="V377" s="84"/>
      <c r="W377" s="84"/>
      <c r="X377" s="84" t="str">
        <f t="shared" si="15"/>
        <v>OK</v>
      </c>
      <c r="Y377" s="87"/>
      <c r="Z377" s="87"/>
      <c r="AA377" s="87"/>
      <c r="AB377" s="87"/>
      <c r="AC377" s="87"/>
      <c r="AD377" s="87"/>
      <c r="AE377" s="87"/>
      <c r="AF377" s="87"/>
      <c r="AG377" s="87"/>
      <c r="AH377" s="87"/>
      <c r="AI377" s="87"/>
      <c r="AJ377" s="87"/>
      <c r="AK377" s="87"/>
      <c r="AL377" s="87"/>
      <c r="AM377" s="87"/>
      <c r="AN377" s="87"/>
      <c r="AO377" s="87"/>
      <c r="AP377" s="87"/>
      <c r="AQ377" s="87"/>
      <c r="AR377" s="87"/>
      <c r="AS377" s="87"/>
      <c r="AT377" s="87"/>
      <c r="AU377" s="87"/>
      <c r="AV377" s="87"/>
      <c r="AW377" s="87"/>
      <c r="AX377" s="87"/>
      <c r="AY377" s="87"/>
      <c r="AZ377" s="87"/>
      <c r="BA377" s="87"/>
      <c r="BB377" s="87"/>
      <c r="BC377" s="87"/>
      <c r="BD377" s="87"/>
      <c r="BE377" s="87"/>
      <c r="BF377" s="87"/>
      <c r="BG377" s="87"/>
      <c r="BH377" s="87"/>
      <c r="BI377" s="87"/>
      <c r="BJ377" s="87"/>
      <c r="BK377" s="87"/>
      <c r="BL377" s="87"/>
      <c r="BM377" s="87"/>
      <c r="BN377" s="87"/>
      <c r="BO377" s="87"/>
      <c r="BP377" s="87"/>
      <c r="BQ377" s="87"/>
      <c r="BR377" s="87"/>
      <c r="BS377" s="87"/>
      <c r="BT377" s="87"/>
      <c r="BU377" s="87"/>
      <c r="BV377" s="87"/>
      <c r="BW377" s="87"/>
      <c r="BX377" s="87">
        <f>-2/7*C377</f>
        <v>-1.7857142857142856</v>
      </c>
      <c r="BY377" s="87">
        <f>-5/7*C377</f>
        <v>-4.4642857142857144</v>
      </c>
      <c r="BZ377" s="105"/>
      <c r="CA377" s="87">
        <f>-BX377</f>
        <v>1.7857142857142856</v>
      </c>
      <c r="CB377" s="87">
        <f>-BY377</f>
        <v>4.4642857142857144</v>
      </c>
      <c r="CC377" s="87"/>
      <c r="CD377" s="87"/>
      <c r="CE377" s="87"/>
      <c r="CF377" s="87"/>
      <c r="CG377" s="87"/>
      <c r="CH377" s="87"/>
      <c r="CI377" s="87"/>
      <c r="CJ377" s="87"/>
      <c r="CK377" s="87"/>
      <c r="CL377" s="87"/>
      <c r="CM377" s="87"/>
      <c r="CN377" s="87"/>
      <c r="CO377" s="87"/>
      <c r="CP377" s="87"/>
      <c r="CQ377" s="87"/>
      <c r="CR377" s="87"/>
      <c r="CS377" s="87"/>
      <c r="CT377" s="87"/>
      <c r="CU377" s="87"/>
      <c r="CV377" s="87"/>
      <c r="CW377" s="87"/>
      <c r="CX377" s="87"/>
      <c r="CY377" s="87"/>
      <c r="CZ377" s="87"/>
      <c r="DA377" s="87"/>
      <c r="DB377" s="87"/>
      <c r="DC377" s="87"/>
      <c r="DD377" s="87"/>
      <c r="DE377" s="87"/>
      <c r="DF377" s="87"/>
      <c r="DG377" s="87"/>
      <c r="DH377" s="87"/>
      <c r="DI377" s="87"/>
      <c r="DJ377" s="87"/>
      <c r="DK377" s="87"/>
      <c r="DL377" s="87"/>
      <c r="DM377" s="87"/>
      <c r="DN377" s="87"/>
      <c r="DO377" s="87"/>
      <c r="DP377" s="87"/>
      <c r="DQ377" s="87"/>
      <c r="DR377" s="87"/>
      <c r="DS377" s="87"/>
      <c r="DT377" s="87"/>
      <c r="DU377" s="87"/>
      <c r="DV377" s="87"/>
      <c r="DW377" s="87"/>
      <c r="DX377" s="87"/>
      <c r="DY377" s="87"/>
      <c r="DZ377" s="87"/>
      <c r="EA377" s="87"/>
      <c r="EB377" s="87"/>
      <c r="EC377" s="87"/>
      <c r="ED377" s="87"/>
      <c r="EE377" s="87"/>
      <c r="EF377" s="87"/>
      <c r="EG377" s="87"/>
      <c r="EH377" s="87"/>
      <c r="EI377" s="87"/>
    </row>
    <row r="378" spans="1:139" ht="29.25" hidden="1" thickBot="1" x14ac:dyDescent="0.35">
      <c r="A378" s="161" t="s">
        <v>123</v>
      </c>
      <c r="B378" s="279">
        <v>1</v>
      </c>
      <c r="C378" s="224">
        <f>0.65*53</f>
        <v>34.450000000000003</v>
      </c>
      <c r="D378" s="217">
        <f>C378/VLOOKUP(B378,'[2]Gas Prod per PADD'!$A$1:$C$6,2,FALSE)</f>
        <v>7.1770833333333339E-2</v>
      </c>
      <c r="E378" s="225">
        <v>45568</v>
      </c>
      <c r="F378" s="226">
        <f>E378+43</f>
        <v>45611</v>
      </c>
      <c r="G378" s="180" t="s">
        <v>500</v>
      </c>
      <c r="H378" s="221" t="s">
        <v>713</v>
      </c>
      <c r="I378" s="84"/>
      <c r="J378" s="85"/>
      <c r="K378" s="85"/>
      <c r="L378" s="85"/>
      <c r="M378" s="85"/>
      <c r="N378" s="85"/>
      <c r="O378" s="85"/>
      <c r="P378" s="85"/>
      <c r="Q378" s="85"/>
      <c r="R378" s="85"/>
      <c r="S378" s="85"/>
      <c r="T378" s="85"/>
      <c r="U378" s="85"/>
      <c r="V378" s="84"/>
      <c r="W378" s="84"/>
      <c r="X378" s="84" t="str">
        <f t="shared" si="15"/>
        <v>OK</v>
      </c>
      <c r="Y378" s="105"/>
      <c r="Z378" s="105"/>
      <c r="AA378" s="87"/>
      <c r="AB378" s="87"/>
      <c r="AC378" s="87"/>
      <c r="AD378" s="87"/>
      <c r="AE378" s="105"/>
      <c r="AF378" s="105"/>
      <c r="AG378" s="105"/>
      <c r="AH378" s="105"/>
      <c r="AI378" s="87"/>
      <c r="AJ378" s="87"/>
      <c r="AK378" s="105"/>
      <c r="AL378" s="87"/>
      <c r="AM378" s="105"/>
      <c r="AN378" s="105"/>
      <c r="AO378" s="87"/>
      <c r="AP378" s="87"/>
      <c r="AQ378" s="105"/>
      <c r="AR378" s="105"/>
      <c r="AS378" s="87"/>
      <c r="AT378" s="105"/>
      <c r="AU378" s="87"/>
      <c r="AV378" s="87"/>
      <c r="AW378" s="105"/>
      <c r="AX378" s="105"/>
      <c r="AY378" s="105"/>
      <c r="AZ378" s="105"/>
      <c r="BA378" s="105"/>
      <c r="BB378" s="105"/>
      <c r="BC378" s="105"/>
      <c r="BD378" s="87"/>
      <c r="BE378" s="87"/>
      <c r="BF378" s="87"/>
      <c r="BG378" s="87"/>
      <c r="BH378" s="87"/>
      <c r="BI378" s="87"/>
      <c r="BJ378" s="87"/>
      <c r="BK378" s="87"/>
      <c r="BL378" s="87"/>
      <c r="BM378" s="87"/>
      <c r="BN378" s="87"/>
      <c r="BO378" s="87"/>
      <c r="BP378" s="87"/>
      <c r="BQ378" s="87"/>
      <c r="BR378" s="87"/>
      <c r="BS378" s="87"/>
      <c r="BT378" s="87"/>
      <c r="BU378" s="87">
        <v>0</v>
      </c>
      <c r="BV378" s="87">
        <v>0</v>
      </c>
      <c r="BW378" s="87"/>
      <c r="BX378" s="87"/>
      <c r="BY378" s="87"/>
      <c r="BZ378" s="87"/>
      <c r="CA378" s="87"/>
      <c r="CB378" s="87">
        <v>0</v>
      </c>
      <c r="CC378" s="87">
        <v>0</v>
      </c>
      <c r="CD378" s="87"/>
      <c r="CE378" s="87"/>
      <c r="CF378" s="87"/>
      <c r="CG378" s="87"/>
      <c r="CH378" s="87"/>
      <c r="CI378" s="87"/>
      <c r="CJ378" s="87"/>
      <c r="CK378" s="87"/>
      <c r="CL378" s="87"/>
      <c r="CM378" s="87"/>
      <c r="CN378" s="87"/>
      <c r="CO378" s="87"/>
      <c r="CP378" s="87"/>
      <c r="CQ378" s="87"/>
      <c r="CR378" s="87"/>
      <c r="CS378" s="87"/>
      <c r="CT378" s="87"/>
      <c r="CU378" s="87"/>
      <c r="CV378" s="87"/>
      <c r="CW378" s="87"/>
      <c r="CX378" s="87"/>
      <c r="CY378" s="87"/>
      <c r="CZ378" s="87"/>
      <c r="DA378" s="87"/>
      <c r="DB378" s="87"/>
      <c r="DC378" s="87"/>
      <c r="DD378" s="87"/>
      <c r="DE378" s="87"/>
      <c r="DF378" s="87"/>
      <c r="DG378" s="87"/>
      <c r="DH378" s="87"/>
      <c r="DI378" s="87"/>
      <c r="DJ378" s="87"/>
      <c r="DK378" s="87"/>
      <c r="DL378" s="87"/>
      <c r="DM378" s="87"/>
      <c r="DN378" s="87"/>
      <c r="DO378" s="87"/>
      <c r="DP378" s="87"/>
      <c r="DQ378" s="87"/>
      <c r="DR378" s="87"/>
      <c r="DS378" s="87"/>
      <c r="DT378" s="87"/>
      <c r="DU378" s="87"/>
      <c r="DV378" s="87"/>
      <c r="DW378" s="87"/>
      <c r="DX378" s="87"/>
      <c r="DY378" s="87"/>
      <c r="DZ378" s="87"/>
      <c r="EA378" s="87"/>
      <c r="EB378" s="87"/>
      <c r="EC378" s="87"/>
      <c r="ED378" s="87"/>
      <c r="EE378" s="87"/>
      <c r="EF378" s="87"/>
      <c r="EG378" s="87"/>
      <c r="EH378" s="87"/>
      <c r="EI378" s="87"/>
    </row>
    <row r="379" spans="1:139" ht="16.5" hidden="1" thickBot="1" x14ac:dyDescent="0.35">
      <c r="A379" s="175" t="s">
        <v>324</v>
      </c>
      <c r="B379" s="191">
        <v>5</v>
      </c>
      <c r="C379" s="177">
        <f>51.6*0.85</f>
        <v>43.86</v>
      </c>
      <c r="D379" s="217">
        <f>C379/VLOOKUP(B379,'[2]Gas Prod per PADD'!$A$1:$C$6,2,FALSE)</f>
        <v>3.2488888888888887E-2</v>
      </c>
      <c r="E379" s="178">
        <v>45587</v>
      </c>
      <c r="F379" s="252">
        <v>45611</v>
      </c>
      <c r="G379" s="236" t="s">
        <v>714</v>
      </c>
      <c r="H379" s="233" t="s">
        <v>715</v>
      </c>
      <c r="I379" s="84"/>
      <c r="J379" s="85"/>
      <c r="K379" s="85"/>
      <c r="L379" s="85"/>
      <c r="M379" s="85"/>
      <c r="N379" s="85"/>
      <c r="O379" s="85"/>
      <c r="P379" s="85"/>
      <c r="Q379" s="85"/>
      <c r="R379" s="85"/>
      <c r="S379" s="85"/>
      <c r="T379" s="85"/>
      <c r="U379" s="85"/>
      <c r="V379" s="84"/>
      <c r="W379" s="84"/>
      <c r="X379" s="84" t="str">
        <f t="shared" si="15"/>
        <v>OK</v>
      </c>
      <c r="Y379" s="87"/>
      <c r="Z379" s="87"/>
      <c r="AA379" s="87"/>
      <c r="AB379" s="87"/>
      <c r="AC379" s="87"/>
      <c r="AD379" s="87"/>
      <c r="AE379" s="87"/>
      <c r="AF379" s="87"/>
      <c r="AG379" s="87"/>
      <c r="AH379" s="87"/>
      <c r="AI379" s="87"/>
      <c r="AJ379" s="87"/>
      <c r="AK379" s="87"/>
      <c r="AL379" s="87"/>
      <c r="AM379" s="87"/>
      <c r="AN379" s="87"/>
      <c r="AO379" s="87"/>
      <c r="AP379" s="87"/>
      <c r="AQ379" s="87"/>
      <c r="AR379" s="87"/>
      <c r="AS379" s="87"/>
      <c r="AT379" s="87"/>
      <c r="AU379" s="87"/>
      <c r="AV379" s="87"/>
      <c r="AW379" s="87"/>
      <c r="AX379" s="87"/>
      <c r="AY379" s="87"/>
      <c r="AZ379" s="87"/>
      <c r="BA379" s="87"/>
      <c r="BB379" s="87"/>
      <c r="BC379" s="87"/>
      <c r="BD379" s="87"/>
      <c r="BE379" s="87"/>
      <c r="BF379" s="87"/>
      <c r="BG379" s="87"/>
      <c r="BH379" s="87"/>
      <c r="BI379" s="87"/>
      <c r="BJ379" s="87"/>
      <c r="BK379" s="87"/>
      <c r="BL379" s="87"/>
      <c r="BM379" s="87"/>
      <c r="BN379" s="87"/>
      <c r="BO379" s="87"/>
      <c r="BP379" s="87"/>
      <c r="BQ379" s="87"/>
      <c r="BR379" s="87"/>
      <c r="BS379" s="87"/>
      <c r="BT379" s="87"/>
      <c r="BU379" s="87"/>
      <c r="BV379" s="87"/>
      <c r="BW379" s="87"/>
      <c r="BX379" s="87">
        <f>-3/7*C379</f>
        <v>-18.797142857142855</v>
      </c>
      <c r="BY379" s="87">
        <f>-4/7*C379</f>
        <v>-25.062857142857141</v>
      </c>
      <c r="BZ379" s="87"/>
      <c r="CA379" s="87"/>
      <c r="CB379" s="87">
        <f>-BX379</f>
        <v>18.797142857142855</v>
      </c>
      <c r="CC379" s="87">
        <f>-BY379</f>
        <v>25.062857142857141</v>
      </c>
      <c r="CD379" s="87"/>
      <c r="CE379" s="87"/>
      <c r="CF379" s="87"/>
      <c r="CG379" s="87"/>
      <c r="CH379" s="87"/>
      <c r="CI379" s="87"/>
      <c r="CJ379" s="87"/>
      <c r="CK379" s="87"/>
      <c r="CL379" s="87"/>
      <c r="CM379" s="87"/>
      <c r="CN379" s="87"/>
      <c r="CO379" s="87"/>
      <c r="CP379" s="87"/>
      <c r="CQ379" s="87"/>
      <c r="CR379" s="87"/>
      <c r="CS379" s="87"/>
      <c r="CT379" s="87"/>
      <c r="CU379" s="87"/>
      <c r="CV379" s="87"/>
      <c r="CW379" s="87"/>
      <c r="CX379" s="87"/>
      <c r="CY379" s="87"/>
      <c r="CZ379" s="87"/>
      <c r="DA379" s="87"/>
      <c r="DB379" s="87"/>
      <c r="DC379" s="87"/>
      <c r="DD379" s="87"/>
      <c r="DE379" s="87"/>
      <c r="DF379" s="87"/>
      <c r="DG379" s="87"/>
      <c r="DH379" s="87"/>
      <c r="DI379" s="87"/>
      <c r="DJ379" s="87"/>
      <c r="DK379" s="87"/>
      <c r="DL379" s="87"/>
      <c r="DM379" s="87"/>
      <c r="DN379" s="87"/>
      <c r="DO379" s="87"/>
      <c r="DP379" s="87"/>
      <c r="DQ379" s="87"/>
      <c r="DR379" s="87"/>
      <c r="DS379" s="87"/>
      <c r="DT379" s="87"/>
      <c r="DU379" s="87"/>
      <c r="DV379" s="87"/>
      <c r="DW379" s="87"/>
      <c r="DX379" s="87"/>
      <c r="DY379" s="87"/>
      <c r="DZ379" s="87"/>
      <c r="EA379" s="87"/>
      <c r="EB379" s="87"/>
      <c r="EC379" s="87"/>
      <c r="ED379" s="87"/>
      <c r="EE379" s="87"/>
      <c r="EF379" s="87"/>
      <c r="EG379" s="75">
        <v>46017</v>
      </c>
      <c r="EH379" s="75">
        <v>46024</v>
      </c>
      <c r="EI379" s="75">
        <v>46031</v>
      </c>
    </row>
    <row r="380" spans="1:139" ht="29.25" hidden="1" thickBot="1" x14ac:dyDescent="0.35">
      <c r="A380" s="200" t="s">
        <v>135</v>
      </c>
      <c r="B380" s="180">
        <v>3</v>
      </c>
      <c r="C380" s="224">
        <f>0.05*50</f>
        <v>2.5</v>
      </c>
      <c r="D380" s="217">
        <f>C380/VLOOKUP(B380,'[2]Gas Prod per PADD'!$A$1:$C$6,2,FALSE)</f>
        <v>5.4347826086956522E-4</v>
      </c>
      <c r="E380" s="225">
        <v>45601</v>
      </c>
      <c r="F380" s="276">
        <v>45611</v>
      </c>
      <c r="G380" s="180" t="s">
        <v>716</v>
      </c>
      <c r="H380" s="221" t="s">
        <v>717</v>
      </c>
      <c r="I380" s="84"/>
      <c r="J380" s="85"/>
      <c r="K380" s="85"/>
      <c r="L380" s="85"/>
      <c r="M380" s="85"/>
      <c r="N380" s="85"/>
      <c r="O380" s="85"/>
      <c r="P380" s="85"/>
      <c r="Q380" s="85"/>
      <c r="R380" s="85"/>
      <c r="S380" s="85"/>
      <c r="T380" s="85"/>
      <c r="U380" s="85"/>
      <c r="V380" s="84"/>
      <c r="W380" s="84"/>
      <c r="X380" s="84" t="str">
        <f t="shared" si="15"/>
        <v>OK</v>
      </c>
      <c r="Y380" s="105"/>
      <c r="Z380" s="105"/>
      <c r="AA380" s="87"/>
      <c r="AB380" s="87"/>
      <c r="AC380" s="87"/>
      <c r="AD380" s="87"/>
      <c r="AE380" s="105"/>
      <c r="AF380" s="105"/>
      <c r="AG380" s="105"/>
      <c r="AH380" s="105"/>
      <c r="AI380" s="87"/>
      <c r="AJ380" s="87"/>
      <c r="AK380" s="105"/>
      <c r="AL380" s="87"/>
      <c r="AM380" s="105"/>
      <c r="AN380" s="105"/>
      <c r="AO380" s="87"/>
      <c r="AP380" s="87"/>
      <c r="AQ380" s="105"/>
      <c r="AR380" s="105"/>
      <c r="AS380" s="87"/>
      <c r="AT380" s="105"/>
      <c r="AU380" s="87"/>
      <c r="AV380" s="87"/>
      <c r="AW380" s="87"/>
      <c r="AX380" s="105"/>
      <c r="AY380" s="87"/>
      <c r="AZ380" s="105"/>
      <c r="BA380" s="105"/>
      <c r="BB380" s="105"/>
      <c r="BC380" s="105"/>
      <c r="BD380" s="105"/>
      <c r="BE380" s="87"/>
      <c r="BF380" s="87"/>
      <c r="BG380" s="105"/>
      <c r="BH380" s="87"/>
      <c r="BI380" s="105"/>
      <c r="BJ380" s="105"/>
      <c r="BK380" s="105"/>
      <c r="BL380" s="105"/>
      <c r="BM380" s="105"/>
      <c r="BN380" s="105"/>
      <c r="BO380" s="105"/>
      <c r="BP380" s="87"/>
      <c r="BQ380" s="87"/>
      <c r="BR380" s="87"/>
      <c r="BS380" s="87"/>
      <c r="BT380" s="87"/>
      <c r="BU380" s="87"/>
      <c r="BV380" s="87"/>
      <c r="BW380" s="87"/>
      <c r="BX380" s="87"/>
      <c r="BY380" s="87">
        <f>-C380*4/7</f>
        <v>-1.4285714285714286</v>
      </c>
      <c r="BZ380" s="87">
        <f>C380*-3/7</f>
        <v>-1.0714285714285714</v>
      </c>
      <c r="CA380" s="87">
        <f>-BY380</f>
        <v>1.4285714285714286</v>
      </c>
      <c r="CB380" s="87">
        <f>-BZ380</f>
        <v>1.0714285714285714</v>
      </c>
      <c r="CC380" s="87"/>
      <c r="CD380" s="87"/>
      <c r="CE380" s="87"/>
      <c r="CF380" s="87"/>
      <c r="CG380" s="87"/>
      <c r="CH380" s="87"/>
      <c r="CI380" s="87"/>
      <c r="CJ380" s="87"/>
      <c r="CK380" s="87"/>
      <c r="CL380" s="87"/>
      <c r="CM380" s="87"/>
      <c r="CN380" s="87"/>
      <c r="CO380" s="87"/>
      <c r="CP380" s="87"/>
      <c r="CQ380" s="87"/>
      <c r="CR380" s="87"/>
      <c r="CS380" s="87"/>
      <c r="CT380" s="87"/>
      <c r="CU380" s="87"/>
      <c r="CV380" s="87"/>
      <c r="CW380" s="87"/>
      <c r="CX380" s="87"/>
      <c r="CY380" s="87"/>
      <c r="CZ380" s="87"/>
      <c r="DA380" s="87"/>
      <c r="DB380" s="87"/>
      <c r="DC380" s="87"/>
      <c r="DD380" s="87"/>
      <c r="DE380" s="87"/>
      <c r="DF380" s="87"/>
      <c r="DG380" s="87"/>
      <c r="DH380" s="87"/>
      <c r="DI380" s="87"/>
      <c r="DJ380" s="87"/>
      <c r="DK380" s="87"/>
      <c r="DL380" s="87"/>
      <c r="DM380" s="87"/>
      <c r="DN380" s="87"/>
      <c r="DO380" s="87"/>
      <c r="DP380" s="87"/>
      <c r="DQ380" s="87"/>
      <c r="DR380" s="87"/>
      <c r="DS380" s="87"/>
      <c r="DT380" s="87"/>
      <c r="DU380" s="87"/>
      <c r="DV380" s="87"/>
      <c r="DW380" s="87"/>
      <c r="DX380" s="87"/>
      <c r="DY380" s="87"/>
      <c r="DZ380" s="87"/>
      <c r="EA380" s="87"/>
      <c r="EB380" s="87"/>
      <c r="EC380" s="87"/>
      <c r="ED380" s="87"/>
      <c r="EE380" s="87"/>
      <c r="EF380" s="87"/>
      <c r="EG380" s="87"/>
      <c r="EH380" s="87"/>
      <c r="EI380" s="87"/>
    </row>
    <row r="381" spans="1:139" ht="16.5" hidden="1" thickBot="1" x14ac:dyDescent="0.35">
      <c r="A381" s="193" t="s">
        <v>239</v>
      </c>
      <c r="B381" s="282">
        <v>2</v>
      </c>
      <c r="C381" s="177">
        <f>(0.1*23)</f>
        <v>2.3000000000000003</v>
      </c>
      <c r="D381" s="217">
        <f>C381/VLOOKUP(B381,'[2]Gas Prod per PADD'!$A$1:$C$6,2,FALSE)</f>
        <v>9.583333333333335E-4</v>
      </c>
      <c r="E381" s="178">
        <v>45606</v>
      </c>
      <c r="F381" s="252">
        <v>45613</v>
      </c>
      <c r="G381" s="180" t="s">
        <v>631</v>
      </c>
      <c r="H381" s="181" t="s">
        <v>632</v>
      </c>
      <c r="I381" s="84"/>
      <c r="J381" s="85"/>
      <c r="K381" s="85"/>
      <c r="L381" s="85"/>
      <c r="M381" s="85"/>
      <c r="N381" s="85"/>
      <c r="O381" s="85"/>
      <c r="P381" s="85"/>
      <c r="Q381" s="85"/>
      <c r="R381" s="85"/>
      <c r="S381" s="85"/>
      <c r="T381" s="85"/>
      <c r="U381" s="85"/>
      <c r="V381" s="84"/>
      <c r="W381" s="84"/>
      <c r="X381" s="84" t="str">
        <f t="shared" si="15"/>
        <v>OK</v>
      </c>
      <c r="Y381" s="87"/>
      <c r="Z381" s="87"/>
      <c r="AA381" s="87"/>
      <c r="AB381" s="87"/>
      <c r="AC381" s="87"/>
      <c r="AD381" s="87"/>
      <c r="AE381" s="87"/>
      <c r="AF381" s="87"/>
      <c r="AG381" s="87"/>
      <c r="AH381" s="87"/>
      <c r="AI381" s="87"/>
      <c r="AJ381" s="87"/>
      <c r="AK381" s="87"/>
      <c r="AL381" s="87"/>
      <c r="AM381" s="87"/>
      <c r="AN381" s="87"/>
      <c r="AO381" s="87"/>
      <c r="AP381" s="87"/>
      <c r="AQ381" s="87"/>
      <c r="AR381" s="87"/>
      <c r="AS381" s="87"/>
      <c r="AT381" s="87"/>
      <c r="AU381" s="87"/>
      <c r="AV381" s="87"/>
      <c r="AW381" s="87"/>
      <c r="AX381" s="87"/>
      <c r="AY381" s="87"/>
      <c r="AZ381" s="87"/>
      <c r="BA381" s="87"/>
      <c r="BB381" s="87"/>
      <c r="BC381" s="87"/>
      <c r="BD381" s="87"/>
      <c r="BE381" s="87"/>
      <c r="BF381" s="87"/>
      <c r="BG381" s="87"/>
      <c r="BH381" s="87"/>
      <c r="BI381" s="87"/>
      <c r="BJ381" s="87"/>
      <c r="BK381" s="87"/>
      <c r="BL381" s="87"/>
      <c r="BM381" s="87"/>
      <c r="BN381" s="87"/>
      <c r="BO381" s="87"/>
      <c r="BP381" s="87"/>
      <c r="BQ381" s="87"/>
      <c r="BR381" s="87"/>
      <c r="BS381" s="87"/>
      <c r="BT381" s="87"/>
      <c r="BU381" s="87"/>
      <c r="BV381" s="87"/>
      <c r="BW381" s="87"/>
      <c r="BX381" s="87"/>
      <c r="BY381" s="87"/>
      <c r="BZ381" s="87"/>
      <c r="CA381" s="87">
        <f>-0.75*C381</f>
        <v>-1.7250000000000001</v>
      </c>
      <c r="CB381" s="87">
        <f>CA381*-1</f>
        <v>1.7250000000000001</v>
      </c>
      <c r="CC381" s="87"/>
      <c r="CD381" s="87"/>
      <c r="CE381" s="87"/>
      <c r="CF381" s="87"/>
      <c r="CG381" s="87"/>
      <c r="CH381" s="87"/>
      <c r="CI381" s="87"/>
      <c r="CJ381" s="87"/>
      <c r="CK381" s="87"/>
      <c r="CL381" s="87"/>
      <c r="CM381" s="87"/>
      <c r="CN381" s="87"/>
      <c r="CO381" s="87"/>
      <c r="CP381" s="87"/>
      <c r="CQ381" s="87"/>
      <c r="CR381" s="87"/>
      <c r="CS381" s="87"/>
      <c r="CT381" s="87"/>
      <c r="CU381" s="87"/>
      <c r="CV381" s="87"/>
      <c r="CW381" s="87"/>
      <c r="CX381" s="87"/>
      <c r="CY381" s="87"/>
      <c r="CZ381" s="87"/>
      <c r="DA381" s="87"/>
      <c r="DB381" s="87"/>
      <c r="DC381" s="87"/>
      <c r="DD381" s="87"/>
      <c r="DE381" s="87"/>
      <c r="DF381" s="87"/>
      <c r="DG381" s="87"/>
      <c r="DH381" s="87"/>
      <c r="DI381" s="87"/>
      <c r="DJ381" s="87"/>
      <c r="DK381" s="87"/>
      <c r="DL381" s="87"/>
      <c r="DM381" s="87"/>
      <c r="DN381" s="87"/>
      <c r="DO381" s="87"/>
      <c r="DP381" s="87"/>
      <c r="DQ381" s="87"/>
      <c r="DR381" s="87"/>
      <c r="DS381" s="87"/>
      <c r="DT381" s="87"/>
      <c r="DU381" s="87"/>
      <c r="DV381" s="87"/>
      <c r="DW381" s="87"/>
      <c r="DX381" s="87"/>
      <c r="DY381" s="87"/>
      <c r="DZ381" s="87"/>
      <c r="EA381" s="87"/>
      <c r="EB381" s="87"/>
      <c r="EC381" s="87"/>
      <c r="ED381" s="87"/>
      <c r="EE381" s="87"/>
      <c r="EF381" s="87"/>
      <c r="EG381" s="87"/>
      <c r="EH381" s="87"/>
      <c r="EI381" s="87"/>
    </row>
    <row r="382" spans="1:139" ht="16.5" hidden="1" thickBot="1" x14ac:dyDescent="0.35">
      <c r="A382" s="190" t="s">
        <v>294</v>
      </c>
      <c r="B382" s="191">
        <v>3</v>
      </c>
      <c r="C382" s="177">
        <f>20*0.25</f>
        <v>5</v>
      </c>
      <c r="D382" s="217">
        <f>C382/VLOOKUP(B382,'[2]Gas Prod per PADD'!$A$1:$C$6,2,FALSE)</f>
        <v>1.0869565217391304E-3</v>
      </c>
      <c r="E382" s="178">
        <v>45609</v>
      </c>
      <c r="F382" s="252">
        <v>45613</v>
      </c>
      <c r="G382" s="180" t="s">
        <v>718</v>
      </c>
      <c r="H382" s="181"/>
      <c r="I382" s="84"/>
      <c r="J382" s="85"/>
      <c r="K382" s="85"/>
      <c r="L382" s="85"/>
      <c r="M382" s="85"/>
      <c r="N382" s="85"/>
      <c r="O382" s="85"/>
      <c r="P382" s="85"/>
      <c r="Q382" s="85"/>
      <c r="R382" s="85"/>
      <c r="S382" s="85"/>
      <c r="T382" s="85"/>
      <c r="U382" s="85"/>
      <c r="V382" s="84"/>
      <c r="W382" s="84"/>
      <c r="X382" s="84" t="str">
        <f t="shared" si="15"/>
        <v>OK</v>
      </c>
      <c r="Y382" s="87"/>
      <c r="Z382" s="87"/>
      <c r="AA382" s="87"/>
      <c r="AB382" s="87"/>
      <c r="AC382" s="87"/>
      <c r="AD382" s="87"/>
      <c r="AE382" s="87"/>
      <c r="AF382" s="87"/>
      <c r="AG382" s="87"/>
      <c r="AH382" s="87"/>
      <c r="AI382" s="87"/>
      <c r="AJ382" s="87"/>
      <c r="AK382" s="87"/>
      <c r="AL382" s="87"/>
      <c r="AM382" s="87"/>
      <c r="AN382" s="87"/>
      <c r="AO382" s="87"/>
      <c r="AP382" s="87"/>
      <c r="AQ382" s="87"/>
      <c r="AR382" s="87"/>
      <c r="AS382" s="87"/>
      <c r="AT382" s="87"/>
      <c r="AU382" s="87"/>
      <c r="AV382" s="87"/>
      <c r="AW382" s="87"/>
      <c r="AX382" s="87"/>
      <c r="AY382" s="87"/>
      <c r="AZ382" s="87"/>
      <c r="BA382" s="87"/>
      <c r="BB382" s="87"/>
      <c r="BC382" s="87"/>
      <c r="BD382" s="87"/>
      <c r="BE382" s="87"/>
      <c r="BF382" s="87"/>
      <c r="BG382" s="87"/>
      <c r="BH382" s="87"/>
      <c r="BI382" s="87"/>
      <c r="BJ382" s="87"/>
      <c r="BK382" s="87"/>
      <c r="BL382" s="87"/>
      <c r="BM382" s="87"/>
      <c r="BN382" s="87"/>
      <c r="BO382" s="87"/>
      <c r="BP382" s="87"/>
      <c r="BQ382" s="87"/>
      <c r="BR382" s="87"/>
      <c r="BS382" s="87"/>
      <c r="BT382" s="87"/>
      <c r="BU382" s="87"/>
      <c r="BV382" s="87"/>
      <c r="BW382" s="87"/>
      <c r="BX382" s="87"/>
      <c r="BY382" s="87"/>
      <c r="BZ382" s="87"/>
      <c r="CA382" s="87">
        <f>-3/7*C382</f>
        <v>-2.1428571428571428</v>
      </c>
      <c r="CB382" s="87">
        <f>-CA382</f>
        <v>2.1428571428571428</v>
      </c>
      <c r="CC382" s="87"/>
      <c r="CD382" s="87"/>
      <c r="CE382" s="87"/>
      <c r="CF382" s="87"/>
      <c r="CG382" s="87"/>
      <c r="CH382" s="87"/>
      <c r="CI382" s="87"/>
      <c r="CJ382" s="87"/>
      <c r="CK382" s="87"/>
      <c r="CL382" s="87"/>
      <c r="CM382" s="87"/>
      <c r="CN382" s="87"/>
      <c r="CO382" s="87"/>
      <c r="CP382" s="87"/>
      <c r="CQ382" s="87"/>
      <c r="CR382" s="87"/>
      <c r="CS382" s="87"/>
      <c r="CT382" s="87"/>
      <c r="CU382" s="87"/>
      <c r="CV382" s="87"/>
      <c r="CW382" s="87"/>
      <c r="CX382" s="87"/>
      <c r="CY382" s="87"/>
      <c r="CZ382" s="87"/>
      <c r="DA382" s="87"/>
      <c r="DB382" s="87"/>
      <c r="DC382" s="87"/>
      <c r="DD382" s="87"/>
      <c r="DE382" s="87"/>
      <c r="DF382" s="87"/>
      <c r="DG382" s="87"/>
      <c r="DH382" s="87"/>
      <c r="DI382" s="87"/>
      <c r="DJ382" s="87"/>
      <c r="DK382" s="87"/>
      <c r="DL382" s="87"/>
      <c r="DM382" s="87"/>
      <c r="DN382" s="87"/>
      <c r="DO382" s="87"/>
      <c r="DP382" s="87"/>
      <c r="DQ382" s="87"/>
      <c r="DR382" s="87"/>
      <c r="DS382" s="87"/>
      <c r="DT382" s="87"/>
      <c r="DU382" s="87"/>
      <c r="DV382" s="87"/>
      <c r="DW382" s="87"/>
      <c r="DX382" s="87"/>
      <c r="DY382" s="87"/>
      <c r="DZ382" s="87"/>
      <c r="EA382" s="87"/>
      <c r="EB382" s="87"/>
      <c r="EC382" s="87"/>
      <c r="ED382" s="87"/>
      <c r="EE382" s="87"/>
      <c r="EF382" s="87"/>
      <c r="EG382" s="87"/>
      <c r="EH382" s="87"/>
      <c r="EI382" s="87"/>
    </row>
    <row r="383" spans="1:139" ht="16.5" hidden="1" thickBot="1" x14ac:dyDescent="0.35">
      <c r="A383" s="161" t="s">
        <v>119</v>
      </c>
      <c r="B383" s="279">
        <v>5</v>
      </c>
      <c r="C383" s="224">
        <f>55*0.05</f>
        <v>2.75</v>
      </c>
      <c r="D383" s="217">
        <f>C383/VLOOKUP(B383,'[2]Gas Prod per PADD'!$A$1:$C$6,2,FALSE)</f>
        <v>2.0370370370370369E-3</v>
      </c>
      <c r="E383" s="225">
        <v>45543</v>
      </c>
      <c r="F383" s="226">
        <f>E383+71</f>
        <v>45614</v>
      </c>
      <c r="G383" s="180" t="s">
        <v>719</v>
      </c>
      <c r="H383" s="181" t="s">
        <v>720</v>
      </c>
      <c r="I383" s="84" t="s">
        <v>721</v>
      </c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4"/>
      <c r="W383" s="84"/>
      <c r="X383" s="84" t="str">
        <f t="shared" si="15"/>
        <v>OK</v>
      </c>
      <c r="Y383" s="87"/>
      <c r="Z383" s="87"/>
      <c r="AA383" s="87"/>
      <c r="AB383" s="87">
        <v>-37.700000000000003</v>
      </c>
      <c r="AC383" s="105">
        <v>-9.4249999999999972</v>
      </c>
      <c r="AD383" s="87">
        <v>32.987499999999997</v>
      </c>
      <c r="AE383" s="105">
        <v>14.137500000000003</v>
      </c>
      <c r="AF383" s="87"/>
      <c r="AG383" s="87"/>
      <c r="AH383" s="87"/>
      <c r="AI383" s="87"/>
      <c r="AJ383" s="87"/>
      <c r="AK383" s="87"/>
      <c r="AL383" s="87"/>
      <c r="AM383" s="87"/>
      <c r="AN383" s="87"/>
      <c r="AO383" s="87"/>
      <c r="AP383" s="87"/>
      <c r="AQ383" s="87"/>
      <c r="AR383" s="87"/>
      <c r="AS383" s="87"/>
      <c r="AT383" s="87"/>
      <c r="AU383" s="87"/>
      <c r="AV383" s="87"/>
      <c r="AW383" s="87"/>
      <c r="AX383" s="87"/>
      <c r="AY383" s="87"/>
      <c r="AZ383" s="87"/>
      <c r="BA383" s="87"/>
      <c r="BB383" s="87"/>
      <c r="BC383" s="87"/>
      <c r="BD383" s="87"/>
      <c r="BE383" s="87"/>
      <c r="BF383" s="87"/>
      <c r="BG383" s="87"/>
      <c r="BH383" s="87"/>
      <c r="BI383" s="87"/>
      <c r="BJ383" s="87"/>
      <c r="BK383" s="87"/>
      <c r="BL383" s="87"/>
      <c r="BM383" s="87"/>
      <c r="BN383" s="87"/>
      <c r="BO383" s="87"/>
      <c r="BP383" s="87"/>
      <c r="BQ383" s="87"/>
      <c r="BR383" s="87">
        <f>C383*-1</f>
        <v>-2.75</v>
      </c>
      <c r="BS383" s="87"/>
      <c r="BT383" s="87"/>
      <c r="BU383" s="87"/>
      <c r="BV383" s="87"/>
      <c r="BW383" s="87"/>
      <c r="BX383" s="87"/>
      <c r="BY383" s="105"/>
      <c r="BZ383" s="87"/>
      <c r="CA383" s="105"/>
      <c r="CB383" s="105">
        <f>$C383</f>
        <v>2.75</v>
      </c>
      <c r="CC383" s="87"/>
      <c r="CD383" s="87"/>
      <c r="CE383" s="87"/>
      <c r="CF383" s="87"/>
      <c r="CG383" s="87"/>
      <c r="CH383" s="87"/>
      <c r="CI383" s="87"/>
      <c r="CJ383" s="87"/>
      <c r="CK383" s="87"/>
      <c r="CL383" s="87"/>
      <c r="CM383" s="87"/>
      <c r="CN383" s="87"/>
      <c r="CO383" s="87"/>
      <c r="CP383" s="87"/>
      <c r="CQ383" s="87"/>
      <c r="CR383" s="87"/>
      <c r="CS383" s="87"/>
      <c r="CT383" s="87"/>
      <c r="CU383" s="87"/>
      <c r="CV383" s="87"/>
      <c r="CW383" s="87"/>
      <c r="CX383" s="87"/>
      <c r="CY383" s="87"/>
      <c r="CZ383" s="87"/>
      <c r="DA383" s="87"/>
      <c r="DB383" s="87"/>
      <c r="DC383" s="87"/>
      <c r="DD383" s="87"/>
      <c r="DE383" s="87"/>
      <c r="DF383" s="87"/>
      <c r="DG383" s="87"/>
      <c r="DH383" s="87"/>
      <c r="DI383" s="87"/>
      <c r="DJ383" s="87"/>
      <c r="DK383" s="87"/>
      <c r="DL383" s="87"/>
      <c r="DM383" s="87"/>
      <c r="DN383" s="87"/>
      <c r="DO383" s="87"/>
      <c r="DP383" s="87"/>
      <c r="DQ383" s="87"/>
      <c r="DR383" s="87"/>
      <c r="DS383" s="87"/>
      <c r="DT383" s="87"/>
      <c r="DU383" s="87"/>
      <c r="DV383" s="87"/>
      <c r="DW383" s="87"/>
      <c r="DX383" s="87"/>
      <c r="DY383" s="87"/>
      <c r="DZ383" s="87"/>
      <c r="EA383" s="87"/>
      <c r="EB383" s="87"/>
      <c r="EC383" s="87"/>
      <c r="ED383" s="87"/>
      <c r="EE383" s="87"/>
      <c r="EF383" s="87"/>
      <c r="EG383" s="75">
        <v>46017</v>
      </c>
      <c r="EH383" s="75">
        <v>46024</v>
      </c>
      <c r="EI383" s="75">
        <v>46031</v>
      </c>
    </row>
    <row r="384" spans="1:139" ht="29.25" hidden="1" thickBot="1" x14ac:dyDescent="0.35">
      <c r="A384" s="193" t="s">
        <v>237</v>
      </c>
      <c r="B384" s="282">
        <v>2</v>
      </c>
      <c r="C384" s="177">
        <f>250*0.25+100*0.25</f>
        <v>87.5</v>
      </c>
      <c r="D384" s="217">
        <f>C384/VLOOKUP(B384,'[2]Gas Prod per PADD'!$A$1:$C$6,2,FALSE)</f>
        <v>3.6458333333333336E-2</v>
      </c>
      <c r="E384" s="178">
        <v>45603</v>
      </c>
      <c r="F384" s="252">
        <v>45614</v>
      </c>
      <c r="G384" s="236" t="s">
        <v>686</v>
      </c>
      <c r="H384" s="233" t="s">
        <v>722</v>
      </c>
      <c r="I384" s="84"/>
      <c r="J384" s="85"/>
      <c r="K384" s="85"/>
      <c r="L384" s="85"/>
      <c r="M384" s="85"/>
      <c r="N384" s="85"/>
      <c r="O384" s="85"/>
      <c r="P384" s="85"/>
      <c r="Q384" s="85"/>
      <c r="R384" s="85"/>
      <c r="S384" s="85"/>
      <c r="T384" s="85"/>
      <c r="U384" s="85"/>
      <c r="V384" s="84"/>
      <c r="W384" s="84"/>
      <c r="X384" s="84" t="str">
        <f t="shared" si="15"/>
        <v>OK</v>
      </c>
      <c r="Y384" s="87"/>
      <c r="Z384" s="87"/>
      <c r="AA384" s="87"/>
      <c r="AB384" s="87"/>
      <c r="AC384" s="87"/>
      <c r="AD384" s="87"/>
      <c r="AE384" s="87"/>
      <c r="AF384" s="87"/>
      <c r="AG384" s="87"/>
      <c r="AH384" s="87"/>
      <c r="AI384" s="87"/>
      <c r="AJ384" s="87"/>
      <c r="AK384" s="87"/>
      <c r="AL384" s="87"/>
      <c r="AM384" s="87"/>
      <c r="AN384" s="87"/>
      <c r="AO384" s="87"/>
      <c r="AP384" s="87"/>
      <c r="AQ384" s="87"/>
      <c r="AR384" s="87"/>
      <c r="AS384" s="87"/>
      <c r="AT384" s="87"/>
      <c r="AU384" s="87"/>
      <c r="AV384" s="87"/>
      <c r="AW384" s="87"/>
      <c r="AX384" s="87"/>
      <c r="AY384" s="87"/>
      <c r="AZ384" s="87"/>
      <c r="BA384" s="87"/>
      <c r="BB384" s="87"/>
      <c r="BC384" s="87"/>
      <c r="BD384" s="87"/>
      <c r="BE384" s="87"/>
      <c r="BF384" s="87"/>
      <c r="BG384" s="87"/>
      <c r="BH384" s="87"/>
      <c r="BI384" s="87"/>
      <c r="BJ384" s="87"/>
      <c r="BK384" s="87"/>
      <c r="BL384" s="87"/>
      <c r="BM384" s="87"/>
      <c r="BN384" s="87"/>
      <c r="BO384" s="87"/>
      <c r="BP384" s="87"/>
      <c r="BQ384" s="87"/>
      <c r="BR384" s="87"/>
      <c r="BS384" s="87"/>
      <c r="BT384" s="87"/>
      <c r="BU384" s="87"/>
      <c r="BV384" s="87"/>
      <c r="BW384" s="87"/>
      <c r="BX384" s="87"/>
      <c r="BY384" s="87"/>
      <c r="BZ384" s="87"/>
      <c r="CA384" s="87">
        <f>-0.7*C384</f>
        <v>-61.249999999999993</v>
      </c>
      <c r="CB384" s="87">
        <f>CA384*-0.5</f>
        <v>30.624999999999996</v>
      </c>
      <c r="CC384" s="87">
        <f>CA384*-1-CB384</f>
        <v>30.624999999999996</v>
      </c>
      <c r="CD384" s="87"/>
      <c r="CE384" s="87"/>
      <c r="CF384" s="87"/>
      <c r="CG384" s="87"/>
      <c r="CH384" s="87"/>
      <c r="CI384" s="87"/>
      <c r="CJ384" s="87"/>
      <c r="CK384" s="87"/>
      <c r="CL384" s="87"/>
      <c r="CM384" s="87"/>
      <c r="CN384" s="87"/>
      <c r="CO384" s="87"/>
      <c r="CP384" s="87"/>
      <c r="CQ384" s="87"/>
      <c r="CR384" s="87"/>
      <c r="CS384" s="87"/>
      <c r="CT384" s="87"/>
      <c r="CU384" s="87"/>
      <c r="CV384" s="87"/>
      <c r="CW384" s="87"/>
      <c r="CX384" s="87"/>
      <c r="CY384" s="87"/>
      <c r="CZ384" s="87"/>
      <c r="DA384" s="87"/>
      <c r="DB384" s="87"/>
      <c r="DC384" s="87"/>
      <c r="DD384" s="87"/>
      <c r="DE384" s="87"/>
      <c r="DF384" s="87"/>
      <c r="DG384" s="87"/>
      <c r="DH384" s="87"/>
      <c r="DI384" s="87"/>
      <c r="DJ384" s="87"/>
      <c r="DK384" s="87"/>
      <c r="DL384" s="87"/>
      <c r="DM384" s="87"/>
      <c r="DN384" s="87"/>
      <c r="DO384" s="87"/>
      <c r="DP384" s="87"/>
      <c r="DQ384" s="87"/>
      <c r="DR384" s="87"/>
      <c r="DS384" s="87"/>
      <c r="DT384" s="87"/>
      <c r="DU384" s="87"/>
      <c r="DV384" s="87"/>
      <c r="DW384" s="87"/>
      <c r="DX384" s="87"/>
      <c r="DY384" s="87"/>
      <c r="DZ384" s="87"/>
      <c r="EA384" s="87"/>
      <c r="EB384" s="87"/>
      <c r="EC384" s="87"/>
      <c r="ED384" s="87"/>
      <c r="EE384" s="87"/>
      <c r="EF384" s="87"/>
      <c r="EG384" s="87"/>
      <c r="EH384" s="87"/>
      <c r="EI384" s="87"/>
    </row>
    <row r="385" spans="1:139" ht="43.5" hidden="1" thickBot="1" x14ac:dyDescent="0.35">
      <c r="A385" s="190" t="s">
        <v>280</v>
      </c>
      <c r="B385" s="191">
        <v>3</v>
      </c>
      <c r="C385" s="177">
        <f>265*0.25</f>
        <v>66.25</v>
      </c>
      <c r="D385" s="217">
        <f>C385/VLOOKUP(B385,'[2]Gas Prod per PADD'!$A$1:$C$6,2,FALSE)</f>
        <v>1.4402173913043478E-2</v>
      </c>
      <c r="E385" s="178">
        <v>45604</v>
      </c>
      <c r="F385" s="252">
        <v>45615</v>
      </c>
      <c r="G385" s="180" t="s">
        <v>351</v>
      </c>
      <c r="H385" s="181" t="s">
        <v>723</v>
      </c>
      <c r="I385" s="84"/>
      <c r="J385" s="85"/>
      <c r="K385" s="85"/>
      <c r="L385" s="85"/>
      <c r="M385" s="85"/>
      <c r="N385" s="85"/>
      <c r="O385" s="85"/>
      <c r="P385" s="85"/>
      <c r="Q385" s="85"/>
      <c r="R385" s="85"/>
      <c r="S385" s="85"/>
      <c r="T385" s="85"/>
      <c r="U385" s="85"/>
      <c r="V385" s="84"/>
      <c r="W385" s="84"/>
      <c r="X385" s="84" t="str">
        <f t="shared" si="15"/>
        <v>OK</v>
      </c>
      <c r="Y385" s="87"/>
      <c r="Z385" s="87"/>
      <c r="AA385" s="87"/>
      <c r="AB385" s="87"/>
      <c r="AC385" s="87"/>
      <c r="AD385" s="87"/>
      <c r="AE385" s="87"/>
      <c r="AF385" s="87"/>
      <c r="AG385" s="87"/>
      <c r="AH385" s="87"/>
      <c r="AI385" s="87"/>
      <c r="AJ385" s="87"/>
      <c r="AK385" s="87"/>
      <c r="AL385" s="87"/>
      <c r="AM385" s="87"/>
      <c r="AN385" s="87"/>
      <c r="AO385" s="87"/>
      <c r="AP385" s="87"/>
      <c r="AQ385" s="87"/>
      <c r="AR385" s="87"/>
      <c r="AS385" s="87"/>
      <c r="AT385" s="87"/>
      <c r="AU385" s="87"/>
      <c r="AV385" s="87"/>
      <c r="AW385" s="87"/>
      <c r="AX385" s="87"/>
      <c r="AY385" s="87"/>
      <c r="AZ385" s="87"/>
      <c r="BA385" s="87"/>
      <c r="BB385" s="87"/>
      <c r="BC385" s="87"/>
      <c r="BD385" s="87"/>
      <c r="BE385" s="87"/>
      <c r="BF385" s="87"/>
      <c r="BG385" s="87"/>
      <c r="BH385" s="87"/>
      <c r="BI385" s="87"/>
      <c r="BJ385" s="87"/>
      <c r="BK385" s="87"/>
      <c r="BL385" s="87"/>
      <c r="BM385" s="87"/>
      <c r="BN385" s="105"/>
      <c r="BO385" s="87"/>
      <c r="BP385" s="105"/>
      <c r="BQ385" s="105"/>
      <c r="BR385" s="87"/>
      <c r="BS385" s="87"/>
      <c r="BT385" s="87"/>
      <c r="BU385" s="87"/>
      <c r="BV385" s="87"/>
      <c r="BW385" s="87"/>
      <c r="BX385" s="87"/>
      <c r="BY385" s="87"/>
      <c r="BZ385" s="87"/>
      <c r="CA385" s="87">
        <f>C385*-0.8</f>
        <v>-53</v>
      </c>
      <c r="CB385" s="87">
        <f>-CA385</f>
        <v>53</v>
      </c>
      <c r="CC385" s="87"/>
      <c r="CD385" s="87"/>
      <c r="CE385" s="87"/>
      <c r="CF385" s="87"/>
      <c r="CG385" s="87"/>
      <c r="CH385" s="87"/>
      <c r="CI385" s="87"/>
      <c r="CJ385" s="87"/>
      <c r="CK385" s="87"/>
      <c r="CL385" s="87"/>
      <c r="CM385" s="87"/>
      <c r="CN385" s="87"/>
      <c r="CO385" s="87"/>
      <c r="CP385" s="87"/>
      <c r="CQ385" s="87"/>
      <c r="CR385" s="87"/>
      <c r="CS385" s="87"/>
      <c r="CT385" s="87"/>
      <c r="CU385" s="87"/>
      <c r="CV385" s="87"/>
      <c r="CW385" s="87"/>
      <c r="CX385" s="87"/>
      <c r="CY385" s="87"/>
      <c r="CZ385" s="87"/>
      <c r="DA385" s="87"/>
      <c r="DB385" s="87"/>
      <c r="DC385" s="87"/>
      <c r="DD385" s="87"/>
      <c r="DE385" s="87"/>
      <c r="DF385" s="87"/>
      <c r="DG385" s="87"/>
      <c r="DH385" s="87"/>
      <c r="DI385" s="87"/>
      <c r="DJ385" s="87"/>
      <c r="DK385" s="87"/>
      <c r="DL385" s="87"/>
      <c r="DM385" s="87"/>
      <c r="DN385" s="87"/>
      <c r="DO385" s="87"/>
      <c r="DP385" s="87"/>
      <c r="DQ385" s="87"/>
      <c r="DR385" s="87"/>
      <c r="DS385" s="87"/>
      <c r="DT385" s="87"/>
      <c r="DU385" s="87"/>
      <c r="DV385" s="87"/>
      <c r="DW385" s="87"/>
      <c r="DX385" s="87"/>
      <c r="DY385" s="87"/>
      <c r="DZ385" s="87"/>
      <c r="EA385" s="87"/>
      <c r="EB385" s="87"/>
      <c r="EC385" s="87"/>
      <c r="ED385" s="87"/>
      <c r="EE385" s="87"/>
      <c r="EF385" s="87"/>
      <c r="EG385" s="87"/>
      <c r="EH385" s="87"/>
      <c r="EI385" s="87"/>
    </row>
    <row r="386" spans="1:139" ht="16.5" hidden="1" thickBot="1" x14ac:dyDescent="0.35">
      <c r="A386" s="218" t="s">
        <v>534</v>
      </c>
      <c r="B386" s="194">
        <v>2</v>
      </c>
      <c r="C386" s="195">
        <f>7.5*0.25</f>
        <v>1.875</v>
      </c>
      <c r="D386" s="217">
        <f>C386/VLOOKUP(B386,'[2]Gas Prod per PADD'!$A$1:$C$6,2,FALSE)</f>
        <v>7.8125000000000004E-4</v>
      </c>
      <c r="E386" s="178">
        <v>45607</v>
      </c>
      <c r="F386" s="281">
        <v>45615</v>
      </c>
      <c r="G386" s="194" t="s">
        <v>724</v>
      </c>
      <c r="H386" s="230" t="s">
        <v>640</v>
      </c>
      <c r="I386" s="84"/>
      <c r="J386" s="85"/>
      <c r="K386" s="85"/>
      <c r="L386" s="85"/>
      <c r="M386" s="85"/>
      <c r="N386" s="85"/>
      <c r="O386" s="85"/>
      <c r="P386" s="85"/>
      <c r="Q386" s="85"/>
      <c r="R386" s="85"/>
      <c r="S386" s="85"/>
      <c r="T386" s="85"/>
      <c r="U386" s="85"/>
      <c r="V386" s="84"/>
      <c r="W386" s="84"/>
      <c r="X386" s="84" t="str">
        <f t="shared" ref="X386:X449" si="16">IF(COUNTA(Y386:EI386)=0,"Missing","OK")</f>
        <v>OK</v>
      </c>
      <c r="Y386" s="86"/>
      <c r="Z386" s="87"/>
      <c r="AA386" s="87"/>
      <c r="AB386" s="87"/>
      <c r="AC386" s="87"/>
      <c r="AD386" s="87"/>
      <c r="AE386" s="87"/>
      <c r="AF386" s="87"/>
      <c r="AG386" s="87"/>
      <c r="AH386" s="87"/>
      <c r="AI386" s="87"/>
      <c r="AJ386" s="87"/>
      <c r="AK386" s="87"/>
      <c r="AL386" s="87"/>
      <c r="AM386" s="87"/>
      <c r="AN386" s="87"/>
      <c r="AO386" s="87"/>
      <c r="AP386" s="87"/>
      <c r="AQ386" s="87"/>
      <c r="AR386" s="87"/>
      <c r="AS386" s="87"/>
      <c r="AT386" s="87"/>
      <c r="AU386" s="87"/>
      <c r="AV386" s="87"/>
      <c r="AW386" s="87"/>
      <c r="AX386" s="87"/>
      <c r="AY386" s="87"/>
      <c r="AZ386" s="87"/>
      <c r="BA386" s="87"/>
      <c r="BB386" s="87"/>
      <c r="BC386" s="87"/>
      <c r="BD386" s="87"/>
      <c r="BE386" s="87"/>
      <c r="BF386" s="87"/>
      <c r="BG386" s="87"/>
      <c r="BH386" s="87"/>
      <c r="BI386" s="87"/>
      <c r="BJ386" s="105"/>
      <c r="BK386" s="87"/>
      <c r="BL386" s="105"/>
      <c r="BM386" s="105"/>
      <c r="BN386" s="105"/>
      <c r="BO386" s="105"/>
      <c r="BP386" s="105"/>
      <c r="BQ386" s="87"/>
      <c r="BR386" s="87"/>
      <c r="BS386" s="87"/>
      <c r="BT386" s="87"/>
      <c r="BU386" s="87"/>
      <c r="BV386" s="87"/>
      <c r="BW386" s="87"/>
      <c r="BX386" s="87"/>
      <c r="BY386" s="87"/>
      <c r="BZ386" s="87"/>
      <c r="CA386" s="87">
        <f>-4/7*C386</f>
        <v>-1.0714285714285714</v>
      </c>
      <c r="CB386" s="87"/>
      <c r="CC386" s="87">
        <f>-CA386</f>
        <v>1.0714285714285714</v>
      </c>
      <c r="CD386" s="87"/>
      <c r="CE386" s="87"/>
      <c r="CF386" s="87"/>
      <c r="CG386" s="87"/>
      <c r="CH386" s="87"/>
      <c r="CI386" s="87"/>
      <c r="CJ386" s="87"/>
      <c r="CK386" s="87"/>
      <c r="CL386" s="87"/>
      <c r="CM386" s="87"/>
      <c r="CN386" s="87"/>
      <c r="CO386" s="87"/>
      <c r="CP386" s="87"/>
      <c r="CQ386" s="87"/>
      <c r="CR386" s="87"/>
      <c r="CS386" s="87"/>
      <c r="CT386" s="87"/>
      <c r="CU386" s="87"/>
      <c r="CV386" s="87"/>
      <c r="CW386" s="87"/>
      <c r="CX386" s="87"/>
      <c r="CY386" s="87"/>
      <c r="CZ386" s="87"/>
      <c r="DA386" s="87"/>
      <c r="DB386" s="87"/>
      <c r="DC386" s="87"/>
      <c r="DD386" s="87"/>
      <c r="DE386" s="87"/>
      <c r="DF386" s="87"/>
      <c r="DG386" s="87"/>
      <c r="DH386" s="87"/>
      <c r="DI386" s="87"/>
      <c r="DJ386" s="87"/>
      <c r="DK386" s="87"/>
      <c r="DL386" s="87"/>
      <c r="DM386" s="87"/>
      <c r="DN386" s="87"/>
      <c r="DO386" s="87"/>
      <c r="DP386" s="87"/>
      <c r="DQ386" s="87"/>
      <c r="DR386" s="87"/>
      <c r="DS386" s="87"/>
      <c r="DT386" s="87"/>
      <c r="DU386" s="87"/>
      <c r="DV386" s="87"/>
      <c r="DW386" s="87"/>
      <c r="DX386" s="87"/>
      <c r="DY386" s="87"/>
      <c r="DZ386" s="87"/>
      <c r="EA386" s="87"/>
      <c r="EB386" s="87"/>
      <c r="EC386" s="87"/>
      <c r="ED386" s="87"/>
      <c r="EE386" s="87"/>
      <c r="EF386" s="87"/>
      <c r="EG386" s="87"/>
      <c r="EH386" s="87"/>
      <c r="EI386" s="87"/>
    </row>
    <row r="387" spans="1:139" ht="29.25" hidden="1" thickBot="1" x14ac:dyDescent="0.35">
      <c r="A387" s="222" t="s">
        <v>149</v>
      </c>
      <c r="B387" s="180">
        <v>3</v>
      </c>
      <c r="C387" s="224">
        <f>123*0.65</f>
        <v>79.95</v>
      </c>
      <c r="D387" s="217">
        <f>C387/VLOOKUP(B387,'[2]Gas Prod per PADD'!$A$1:$C$6,2,FALSE)</f>
        <v>1.7380434782608697E-2</v>
      </c>
      <c r="E387" s="289">
        <v>45609</v>
      </c>
      <c r="F387" s="226">
        <f>E387+7</f>
        <v>45616</v>
      </c>
      <c r="G387" s="180" t="s">
        <v>725</v>
      </c>
      <c r="H387" s="221" t="s">
        <v>726</v>
      </c>
      <c r="I387" s="84"/>
      <c r="J387" s="85"/>
      <c r="K387" s="85"/>
      <c r="L387" s="85"/>
      <c r="M387" s="85"/>
      <c r="N387" s="85"/>
      <c r="O387" s="85"/>
      <c r="P387" s="85"/>
      <c r="Q387" s="85"/>
      <c r="R387" s="85"/>
      <c r="S387" s="85"/>
      <c r="T387" s="85"/>
      <c r="U387" s="85"/>
      <c r="V387" s="84"/>
      <c r="W387" s="84"/>
      <c r="X387" s="84" t="str">
        <f t="shared" si="16"/>
        <v>OK</v>
      </c>
      <c r="Y387" s="105"/>
      <c r="Z387" s="105"/>
      <c r="AA387" s="87"/>
      <c r="AB387" s="87"/>
      <c r="AC387" s="87"/>
      <c r="AD387" s="87"/>
      <c r="AE387" s="105"/>
      <c r="AF387" s="105"/>
      <c r="AG387" s="105"/>
      <c r="AH387" s="105"/>
      <c r="AI387" s="87"/>
      <c r="AJ387" s="87"/>
      <c r="AK387" s="105"/>
      <c r="AL387" s="87"/>
      <c r="AM387" s="105"/>
      <c r="AN387" s="105"/>
      <c r="AO387" s="87"/>
      <c r="AP387" s="87"/>
      <c r="AQ387" s="105"/>
      <c r="AR387" s="105"/>
      <c r="AS387" s="87"/>
      <c r="AT387" s="105"/>
      <c r="AU387" s="87"/>
      <c r="AV387" s="87"/>
      <c r="AW387" s="87"/>
      <c r="AX387" s="105"/>
      <c r="AY387" s="87"/>
      <c r="AZ387" s="105"/>
      <c r="BA387" s="105"/>
      <c r="BB387" s="105"/>
      <c r="BC387" s="105"/>
      <c r="BD387" s="105"/>
      <c r="BE387" s="87"/>
      <c r="BF387" s="87"/>
      <c r="BG387" s="105"/>
      <c r="BH387" s="87"/>
      <c r="BI387" s="105"/>
      <c r="BJ387" s="105"/>
      <c r="BK387" s="105"/>
      <c r="BL387" s="105"/>
      <c r="BM387" s="105"/>
      <c r="BN387" s="105"/>
      <c r="BO387" s="105"/>
      <c r="BP387" s="87"/>
      <c r="BQ387" s="87"/>
      <c r="BR387" s="87"/>
      <c r="BS387" s="87"/>
      <c r="BT387" s="87"/>
      <c r="BU387" s="87"/>
      <c r="BV387" s="87"/>
      <c r="BW387" s="87"/>
      <c r="BX387" s="87"/>
      <c r="BY387" s="87"/>
      <c r="BZ387" s="87"/>
      <c r="CA387" s="87">
        <f>-C387*(3/5)</f>
        <v>-47.97</v>
      </c>
      <c r="CB387" s="87">
        <f>-4/7*C387</f>
        <v>-45.685714285714283</v>
      </c>
      <c r="CC387" s="87">
        <f>C387</f>
        <v>79.95</v>
      </c>
      <c r="CD387" s="87"/>
      <c r="CE387" s="87"/>
      <c r="CF387" s="87"/>
      <c r="CG387" s="87"/>
      <c r="CH387" s="87"/>
      <c r="CI387" s="87"/>
      <c r="CJ387" s="87"/>
      <c r="CK387" s="87"/>
      <c r="CL387" s="87"/>
      <c r="CM387" s="87"/>
      <c r="CN387" s="87"/>
      <c r="CO387" s="87"/>
      <c r="CP387" s="87"/>
      <c r="CQ387" s="87"/>
      <c r="CR387" s="87"/>
      <c r="CS387" s="87"/>
      <c r="CT387" s="87"/>
      <c r="CU387" s="87"/>
      <c r="CV387" s="87"/>
      <c r="CW387" s="87"/>
      <c r="CX387" s="87"/>
      <c r="CY387" s="87"/>
      <c r="CZ387" s="87"/>
      <c r="DA387" s="87"/>
      <c r="DB387" s="87"/>
      <c r="DC387" s="87"/>
      <c r="DD387" s="87"/>
      <c r="DE387" s="87"/>
      <c r="DF387" s="87"/>
      <c r="DG387" s="87"/>
      <c r="DH387" s="87"/>
      <c r="DI387" s="87"/>
      <c r="DJ387" s="87"/>
      <c r="DK387" s="87"/>
      <c r="DL387" s="87"/>
      <c r="DM387" s="87"/>
      <c r="DN387" s="87"/>
      <c r="DO387" s="87"/>
      <c r="DP387" s="87"/>
      <c r="DQ387" s="87"/>
      <c r="DR387" s="87"/>
      <c r="DS387" s="87"/>
      <c r="DT387" s="87"/>
      <c r="DU387" s="87"/>
      <c r="DV387" s="87"/>
      <c r="DW387" s="87"/>
      <c r="DX387" s="87"/>
      <c r="DY387" s="87"/>
      <c r="DZ387" s="87"/>
      <c r="EA387" s="87"/>
      <c r="EB387" s="87"/>
      <c r="EC387" s="87"/>
      <c r="ED387" s="87"/>
      <c r="EE387" s="87"/>
      <c r="EF387" s="87"/>
      <c r="EG387" s="87"/>
      <c r="EH387" s="87"/>
      <c r="EI387" s="87"/>
    </row>
    <row r="388" spans="1:139" ht="16.5" hidden="1" thickBot="1" x14ac:dyDescent="0.35">
      <c r="A388" s="218" t="s">
        <v>207</v>
      </c>
      <c r="B388" s="227">
        <v>5</v>
      </c>
      <c r="C388" s="195">
        <f>0.85*20</f>
        <v>17</v>
      </c>
      <c r="D388" s="217">
        <f>C388/VLOOKUP(B388,'[2]Gas Prod per PADD'!$A$1:$C$6,2,FALSE)</f>
        <v>1.2592592592592593E-2</v>
      </c>
      <c r="E388" s="178">
        <v>45612</v>
      </c>
      <c r="F388" s="252">
        <v>45616</v>
      </c>
      <c r="G388" s="180" t="s">
        <v>727</v>
      </c>
      <c r="H388" s="181" t="s">
        <v>728</v>
      </c>
      <c r="I388" s="84"/>
      <c r="J388" s="85"/>
      <c r="K388" s="85"/>
      <c r="L388" s="85"/>
      <c r="M388" s="85"/>
      <c r="N388" s="85"/>
      <c r="O388" s="85"/>
      <c r="P388" s="85"/>
      <c r="Q388" s="85"/>
      <c r="R388" s="85"/>
      <c r="S388" s="85"/>
      <c r="T388" s="85"/>
      <c r="U388" s="85"/>
      <c r="V388" s="84"/>
      <c r="W388" s="84"/>
      <c r="X388" s="84" t="str">
        <f t="shared" si="16"/>
        <v>OK</v>
      </c>
      <c r="Y388" s="87"/>
      <c r="Z388" s="87"/>
      <c r="AA388" s="87"/>
      <c r="AB388" s="87"/>
      <c r="AC388" s="87"/>
      <c r="AD388" s="87"/>
      <c r="AE388" s="87"/>
      <c r="AF388" s="87"/>
      <c r="AG388" s="87"/>
      <c r="AH388" s="87"/>
      <c r="AI388" s="87"/>
      <c r="AJ388" s="87"/>
      <c r="AK388" s="87"/>
      <c r="AL388" s="87"/>
      <c r="AM388" s="87"/>
      <c r="AN388" s="87"/>
      <c r="AO388" s="87"/>
      <c r="AP388" s="87"/>
      <c r="AQ388" s="87"/>
      <c r="AR388" s="87"/>
      <c r="AS388" s="87"/>
      <c r="AT388" s="87"/>
      <c r="AU388" s="87"/>
      <c r="AV388" s="87"/>
      <c r="AW388" s="87"/>
      <c r="AX388" s="87"/>
      <c r="AY388" s="87"/>
      <c r="AZ388" s="87"/>
      <c r="BA388" s="87"/>
      <c r="BB388" s="87"/>
      <c r="BC388" s="87"/>
      <c r="BD388" s="87"/>
      <c r="BE388" s="87"/>
      <c r="BF388" s="87"/>
      <c r="BG388" s="87"/>
      <c r="BH388" s="87"/>
      <c r="BI388" s="87"/>
      <c r="BJ388" s="87"/>
      <c r="BK388" s="87"/>
      <c r="BL388" s="87"/>
      <c r="BM388" s="87"/>
      <c r="BN388" s="87"/>
      <c r="BO388" s="87"/>
      <c r="BP388" s="87"/>
      <c r="BQ388" s="87"/>
      <c r="BR388" s="87"/>
      <c r="BS388" s="87"/>
      <c r="BT388" s="87"/>
      <c r="BU388" s="87"/>
      <c r="BV388" s="87"/>
      <c r="BW388" s="87"/>
      <c r="BX388" s="87"/>
      <c r="BY388" s="87"/>
      <c r="BZ388" s="87"/>
      <c r="CA388" s="87"/>
      <c r="CB388" s="87">
        <f>-5/7*C388</f>
        <v>-12.142857142857142</v>
      </c>
      <c r="CC388" s="87">
        <f>-CB388</f>
        <v>12.142857142857142</v>
      </c>
      <c r="CD388" s="87"/>
      <c r="CE388" s="87"/>
      <c r="CF388" s="87"/>
      <c r="CG388" s="87"/>
      <c r="CH388" s="87"/>
      <c r="CI388" s="87"/>
      <c r="CJ388" s="87"/>
      <c r="CK388" s="87"/>
      <c r="CL388" s="87"/>
      <c r="CM388" s="87"/>
      <c r="CN388" s="87"/>
      <c r="CO388" s="87"/>
      <c r="CP388" s="87"/>
      <c r="CQ388" s="87"/>
      <c r="CR388" s="87"/>
      <c r="CS388" s="87"/>
      <c r="CT388" s="87"/>
      <c r="CU388" s="87"/>
      <c r="CV388" s="87"/>
      <c r="CW388" s="87"/>
      <c r="CX388" s="87"/>
      <c r="CY388" s="87"/>
      <c r="CZ388" s="87"/>
      <c r="DA388" s="87"/>
      <c r="DB388" s="87"/>
      <c r="DC388" s="87"/>
      <c r="DD388" s="87"/>
      <c r="DE388" s="87"/>
      <c r="DF388" s="87"/>
      <c r="DG388" s="87"/>
      <c r="DH388" s="87"/>
      <c r="DI388" s="87"/>
      <c r="DJ388" s="87"/>
      <c r="DK388" s="87"/>
      <c r="DL388" s="87"/>
      <c r="DM388" s="87"/>
      <c r="DN388" s="87"/>
      <c r="DO388" s="87"/>
      <c r="DP388" s="87"/>
      <c r="DQ388" s="87"/>
      <c r="DR388" s="87"/>
      <c r="DS388" s="87"/>
      <c r="DT388" s="87"/>
      <c r="DU388" s="87"/>
      <c r="DV388" s="87"/>
      <c r="DW388" s="87"/>
      <c r="DX388" s="87"/>
      <c r="DY388" s="87"/>
      <c r="DZ388" s="87"/>
      <c r="EA388" s="87"/>
      <c r="EB388" s="87"/>
      <c r="EC388" s="87"/>
      <c r="ED388" s="87"/>
      <c r="EE388" s="87"/>
      <c r="EF388" s="87"/>
      <c r="EG388" s="75">
        <v>46017</v>
      </c>
      <c r="EH388" s="75">
        <v>46024</v>
      </c>
      <c r="EI388" s="75">
        <v>46031</v>
      </c>
    </row>
    <row r="389" spans="1:139" ht="16.5" hidden="1" thickBot="1" x14ac:dyDescent="0.35">
      <c r="A389" s="218" t="s">
        <v>188</v>
      </c>
      <c r="B389" s="194">
        <v>1</v>
      </c>
      <c r="C389" s="195">
        <f>27*0.1</f>
        <v>2.7</v>
      </c>
      <c r="D389" s="217">
        <f>C389/VLOOKUP(B389,'[2]Gas Prod per PADD'!$A$1:$C$6,2,FALSE)</f>
        <v>5.6250000000000007E-3</v>
      </c>
      <c r="E389" s="178" t="s">
        <v>729</v>
      </c>
      <c r="F389" s="290">
        <v>45616</v>
      </c>
      <c r="G389" s="194" t="s">
        <v>730</v>
      </c>
      <c r="H389" s="246" t="s">
        <v>731</v>
      </c>
      <c r="I389" s="84"/>
      <c r="J389" s="85"/>
      <c r="K389" s="85"/>
      <c r="L389" s="85"/>
      <c r="M389" s="85"/>
      <c r="N389" s="85"/>
      <c r="O389" s="85"/>
      <c r="P389" s="85"/>
      <c r="Q389" s="85"/>
      <c r="R389" s="85"/>
      <c r="S389" s="85"/>
      <c r="T389" s="85"/>
      <c r="U389" s="85"/>
      <c r="V389" s="84"/>
      <c r="W389" s="84"/>
      <c r="X389" s="84" t="str">
        <f t="shared" si="16"/>
        <v>OK</v>
      </c>
      <c r="Y389" s="86"/>
      <c r="Z389" s="87"/>
      <c r="AA389" s="87"/>
      <c r="AB389" s="87"/>
      <c r="AC389" s="87"/>
      <c r="AD389" s="87"/>
      <c r="AE389" s="87"/>
      <c r="AF389" s="87"/>
      <c r="AG389" s="87"/>
      <c r="AH389" s="87"/>
      <c r="AI389" s="87"/>
      <c r="AJ389" s="87"/>
      <c r="AK389" s="87"/>
      <c r="AL389" s="87"/>
      <c r="AM389" s="87"/>
      <c r="AN389" s="87"/>
      <c r="AO389" s="87"/>
      <c r="AP389" s="87"/>
      <c r="AQ389" s="87"/>
      <c r="AR389" s="87"/>
      <c r="AS389" s="87"/>
      <c r="AT389" s="87"/>
      <c r="AU389" s="87"/>
      <c r="AV389" s="87"/>
      <c r="AW389" s="87"/>
      <c r="AX389" s="87"/>
      <c r="AY389" s="87"/>
      <c r="AZ389" s="87"/>
      <c r="BA389" s="87"/>
      <c r="BB389" s="87"/>
      <c r="BC389" s="87"/>
      <c r="BD389" s="87"/>
      <c r="BE389" s="87"/>
      <c r="BF389" s="87"/>
      <c r="BG389" s="87"/>
      <c r="BH389" s="87"/>
      <c r="BI389" s="87"/>
      <c r="BJ389" s="105"/>
      <c r="BK389" s="87"/>
      <c r="BL389" s="105"/>
      <c r="BM389" s="87"/>
      <c r="BN389" s="87"/>
      <c r="BO389" s="87"/>
      <c r="BP389" s="87"/>
      <c r="BQ389" s="87"/>
      <c r="BR389" s="87"/>
      <c r="BS389" s="87"/>
      <c r="BT389" s="87"/>
      <c r="BU389" s="87"/>
      <c r="BV389" s="87"/>
      <c r="BW389" s="87"/>
      <c r="BX389" s="105"/>
      <c r="BY389" s="105"/>
      <c r="BZ389" s="87"/>
      <c r="CA389" s="87"/>
      <c r="CB389" s="105">
        <f>C389</f>
        <v>2.7</v>
      </c>
      <c r="CC389" s="87"/>
      <c r="CD389" s="87"/>
      <c r="CE389" s="87"/>
      <c r="CF389" s="87"/>
      <c r="CG389" s="87"/>
      <c r="CH389" s="87"/>
      <c r="CI389" s="87"/>
      <c r="CJ389" s="87"/>
      <c r="CK389" s="87"/>
      <c r="CL389" s="87"/>
      <c r="CM389" s="87"/>
      <c r="CN389" s="87"/>
      <c r="CO389" s="87"/>
      <c r="CP389" s="87"/>
      <c r="CQ389" s="87"/>
      <c r="CR389" s="87"/>
      <c r="CS389" s="87"/>
      <c r="CT389" s="87"/>
      <c r="CU389" s="87"/>
      <c r="CV389" s="87"/>
      <c r="CW389" s="87"/>
      <c r="CX389" s="87"/>
      <c r="CY389" s="87"/>
      <c r="CZ389" s="87"/>
      <c r="DA389" s="87"/>
      <c r="DB389" s="87"/>
      <c r="DC389" s="87"/>
      <c r="DD389" s="87"/>
      <c r="DE389" s="87"/>
      <c r="DF389" s="87"/>
      <c r="DG389" s="87"/>
      <c r="DH389" s="87"/>
      <c r="DI389" s="87"/>
      <c r="DJ389" s="87"/>
      <c r="DK389" s="87"/>
      <c r="DL389" s="87"/>
      <c r="DM389" s="87"/>
      <c r="DN389" s="87"/>
      <c r="DO389" s="87"/>
      <c r="DP389" s="87"/>
      <c r="DQ389" s="87"/>
      <c r="DR389" s="87"/>
      <c r="DS389" s="87"/>
      <c r="DT389" s="87"/>
      <c r="DU389" s="87"/>
      <c r="DV389" s="87"/>
      <c r="DW389" s="87"/>
      <c r="DX389" s="87"/>
      <c r="DY389" s="87"/>
      <c r="DZ389" s="87"/>
      <c r="EA389" s="87"/>
      <c r="EB389" s="87"/>
      <c r="EC389" s="87"/>
      <c r="ED389" s="87"/>
      <c r="EE389" s="87"/>
      <c r="EF389" s="87"/>
      <c r="EG389" s="87"/>
      <c r="EH389" s="87"/>
      <c r="EI389" s="87"/>
    </row>
    <row r="390" spans="1:139" ht="29.25" hidden="1" thickBot="1" x14ac:dyDescent="0.35">
      <c r="A390" s="193" t="s">
        <v>237</v>
      </c>
      <c r="B390" s="282">
        <v>2</v>
      </c>
      <c r="C390" s="177">
        <f>250*0.25+100*0.25</f>
        <v>87.5</v>
      </c>
      <c r="D390" s="217">
        <f>C390/VLOOKUP(B390,'[2]Gas Prod per PADD'!$A$1:$C$6,2,FALSE)</f>
        <v>3.6458333333333336E-2</v>
      </c>
      <c r="E390" s="178">
        <v>45602</v>
      </c>
      <c r="F390" s="252">
        <v>45617</v>
      </c>
      <c r="G390" s="236" t="s">
        <v>686</v>
      </c>
      <c r="H390" s="233" t="s">
        <v>687</v>
      </c>
      <c r="I390" s="84"/>
      <c r="J390" s="85"/>
      <c r="K390" s="85"/>
      <c r="L390" s="85"/>
      <c r="M390" s="85"/>
      <c r="N390" s="85"/>
      <c r="O390" s="85"/>
      <c r="P390" s="85"/>
      <c r="Q390" s="85"/>
      <c r="R390" s="85"/>
      <c r="S390" s="85"/>
      <c r="T390" s="85"/>
      <c r="U390" s="85"/>
      <c r="V390" s="84"/>
      <c r="W390" s="84"/>
      <c r="X390" s="84" t="str">
        <f t="shared" si="16"/>
        <v>OK</v>
      </c>
      <c r="Y390" s="105"/>
      <c r="Z390" s="105"/>
      <c r="AA390" s="87"/>
      <c r="AB390" s="87"/>
      <c r="AC390" s="87"/>
      <c r="AD390" s="87"/>
      <c r="AE390" s="105"/>
      <c r="AF390" s="105"/>
      <c r="AG390" s="105"/>
      <c r="AH390" s="105"/>
      <c r="AI390" s="87"/>
      <c r="AJ390" s="87"/>
      <c r="AK390" s="105"/>
      <c r="AL390" s="87"/>
      <c r="AM390" s="105"/>
      <c r="AN390" s="105"/>
      <c r="AO390" s="87"/>
      <c r="AP390" s="87"/>
      <c r="AQ390" s="105"/>
      <c r="AR390" s="105"/>
      <c r="AS390" s="87"/>
      <c r="AT390" s="105"/>
      <c r="AU390" s="105"/>
      <c r="AV390" s="87"/>
      <c r="AW390" s="105"/>
      <c r="AX390" s="105"/>
      <c r="AY390" s="87"/>
      <c r="AZ390" s="105"/>
      <c r="BA390" s="105"/>
      <c r="BB390" s="105"/>
      <c r="BC390" s="87"/>
      <c r="BD390" s="87"/>
      <c r="BE390" s="87"/>
      <c r="BF390" s="105"/>
      <c r="BG390" s="105"/>
      <c r="BH390" s="105"/>
      <c r="BI390" s="105"/>
      <c r="BJ390" s="105"/>
      <c r="BK390" s="87"/>
      <c r="BL390" s="87"/>
      <c r="BM390" s="105"/>
      <c r="BN390" s="105"/>
      <c r="BO390" s="87"/>
      <c r="BP390" s="87"/>
      <c r="BQ390" s="87"/>
      <c r="BR390" s="87"/>
      <c r="BS390" s="87"/>
      <c r="BT390" s="87"/>
      <c r="BU390" s="105"/>
      <c r="BV390" s="87"/>
      <c r="BW390" s="87"/>
      <c r="BX390" s="87"/>
      <c r="BY390" s="87"/>
      <c r="BZ390" s="87">
        <f>-C390*(3/7)</f>
        <v>-37.5</v>
      </c>
      <c r="CA390" s="105">
        <f>-BZ390-C390</f>
        <v>-50</v>
      </c>
      <c r="CB390" s="87">
        <f>-BZ390</f>
        <v>37.5</v>
      </c>
      <c r="CC390" s="87">
        <f>-CA390</f>
        <v>50</v>
      </c>
      <c r="CD390" s="87"/>
      <c r="CE390" s="87"/>
      <c r="CF390" s="87"/>
      <c r="CG390" s="87"/>
      <c r="CH390" s="87"/>
      <c r="CI390" s="87"/>
      <c r="CJ390" s="87"/>
      <c r="CK390" s="87"/>
      <c r="CL390" s="87"/>
      <c r="CM390" s="87"/>
      <c r="CN390" s="87"/>
      <c r="CO390" s="87"/>
      <c r="CP390" s="87"/>
      <c r="CQ390" s="87"/>
      <c r="CR390" s="87"/>
      <c r="CS390" s="87"/>
      <c r="CT390" s="87"/>
      <c r="CU390" s="87"/>
      <c r="CV390" s="87"/>
      <c r="CW390" s="87"/>
      <c r="CX390" s="87"/>
      <c r="CY390" s="87"/>
      <c r="CZ390" s="87"/>
      <c r="DA390" s="87"/>
      <c r="DB390" s="87"/>
      <c r="DC390" s="87"/>
      <c r="DD390" s="87"/>
      <c r="DE390" s="87"/>
      <c r="DF390" s="87"/>
      <c r="DG390" s="87"/>
      <c r="DH390" s="87"/>
      <c r="DI390" s="87"/>
      <c r="DJ390" s="87"/>
      <c r="DK390" s="87"/>
      <c r="DL390" s="87"/>
      <c r="DM390" s="87"/>
      <c r="DN390" s="87"/>
      <c r="DO390" s="87"/>
      <c r="DP390" s="87"/>
      <c r="DQ390" s="87"/>
      <c r="DR390" s="87"/>
      <c r="DS390" s="87"/>
      <c r="DT390" s="87"/>
      <c r="DU390" s="87"/>
      <c r="DV390" s="87"/>
      <c r="DW390" s="87"/>
      <c r="DX390" s="87"/>
      <c r="DY390" s="87"/>
      <c r="DZ390" s="87"/>
      <c r="EA390" s="87"/>
      <c r="EB390" s="87"/>
      <c r="EC390" s="87"/>
      <c r="ED390" s="87"/>
      <c r="EE390" s="87"/>
      <c r="EF390" s="87"/>
      <c r="EG390" s="87"/>
      <c r="EH390" s="87"/>
      <c r="EI390" s="87"/>
    </row>
    <row r="391" spans="1:139" ht="16.5" hidden="1" thickBot="1" x14ac:dyDescent="0.35">
      <c r="A391" s="200" t="s">
        <v>371</v>
      </c>
      <c r="B391" s="199">
        <v>2</v>
      </c>
      <c r="C391" s="195">
        <f>(98*0.65)</f>
        <v>63.7</v>
      </c>
      <c r="D391" s="217">
        <f>C391/VLOOKUP(B391,'[2]Gas Prod per PADD'!$A$1:$C$6,2,FALSE)</f>
        <v>2.6541666666666668E-2</v>
      </c>
      <c r="E391" s="225">
        <v>45608</v>
      </c>
      <c r="F391" s="276">
        <v>45618</v>
      </c>
      <c r="G391" s="180" t="s">
        <v>732</v>
      </c>
      <c r="H391" s="181" t="s">
        <v>733</v>
      </c>
      <c r="I391" s="170"/>
      <c r="J391" s="291"/>
      <c r="K391" s="291"/>
      <c r="L391" s="291"/>
      <c r="M391" s="291"/>
      <c r="N391" s="291"/>
      <c r="O391" s="291"/>
      <c r="P391" s="291"/>
      <c r="Q391" s="291"/>
      <c r="R391" s="291"/>
      <c r="S391" s="291"/>
      <c r="T391" s="85"/>
      <c r="U391" s="85"/>
      <c r="V391" s="84"/>
      <c r="W391" s="84"/>
      <c r="X391" s="84" t="str">
        <f t="shared" si="16"/>
        <v>OK</v>
      </c>
      <c r="Y391" s="87"/>
      <c r="Z391" s="87"/>
      <c r="AA391" s="87"/>
      <c r="AB391" s="87"/>
      <c r="AC391" s="87"/>
      <c r="AD391" s="87"/>
      <c r="AE391" s="87"/>
      <c r="AF391" s="87"/>
      <c r="AG391" s="87"/>
      <c r="AH391" s="87"/>
      <c r="AI391" s="87"/>
      <c r="AJ391" s="87"/>
      <c r="AK391" s="87"/>
      <c r="AL391" s="87"/>
      <c r="AM391" s="87"/>
      <c r="AN391" s="87"/>
      <c r="AO391" s="87"/>
      <c r="AP391" s="87"/>
      <c r="AQ391" s="87"/>
      <c r="AR391" s="87"/>
      <c r="AS391" s="87"/>
      <c r="AT391" s="87"/>
      <c r="AU391" s="87"/>
      <c r="AV391" s="87"/>
      <c r="AW391" s="87"/>
      <c r="AX391" s="87"/>
      <c r="AY391" s="87"/>
      <c r="AZ391" s="87"/>
      <c r="BA391" s="87"/>
      <c r="BB391" s="87"/>
      <c r="BC391" s="87"/>
      <c r="BD391" s="87"/>
      <c r="BE391" s="87"/>
      <c r="BF391" s="87"/>
      <c r="BG391" s="87"/>
      <c r="BH391" s="87"/>
      <c r="BI391" s="87"/>
      <c r="BJ391" s="87"/>
      <c r="BK391" s="87"/>
      <c r="BL391" s="87"/>
      <c r="BM391" s="87"/>
      <c r="BN391" s="87"/>
      <c r="BO391" s="87"/>
      <c r="BP391" s="87"/>
      <c r="BQ391" s="87"/>
      <c r="BR391" s="87"/>
      <c r="BS391" s="87"/>
      <c r="BT391" s="87"/>
      <c r="BU391" s="87"/>
      <c r="BV391" s="87"/>
      <c r="BW391" s="87"/>
      <c r="BX391" s="87"/>
      <c r="BY391" s="87"/>
      <c r="BZ391" s="87"/>
      <c r="CA391" s="87">
        <f>-3/7*C391</f>
        <v>-27.3</v>
      </c>
      <c r="CB391" s="87">
        <f>(-4/7)*$C391</f>
        <v>-36.4</v>
      </c>
      <c r="CC391" s="87">
        <f>CB391*-1</f>
        <v>36.4</v>
      </c>
      <c r="CD391" s="87">
        <f>CA391*-1</f>
        <v>27.3</v>
      </c>
      <c r="CE391" s="87"/>
      <c r="CF391" s="87"/>
      <c r="CG391" s="87"/>
      <c r="CH391" s="87"/>
      <c r="CI391" s="87"/>
      <c r="CJ391" s="87"/>
      <c r="CK391" s="87"/>
      <c r="CL391" s="87"/>
      <c r="CM391" s="87"/>
      <c r="CN391" s="87"/>
      <c r="CO391" s="87"/>
      <c r="CP391" s="87"/>
      <c r="CQ391" s="87"/>
      <c r="CR391" s="87"/>
      <c r="CS391" s="87"/>
      <c r="CT391" s="87"/>
      <c r="CU391" s="87"/>
      <c r="CV391" s="87"/>
      <c r="CW391" s="87"/>
      <c r="CX391" s="87"/>
      <c r="CY391" s="87"/>
      <c r="CZ391" s="87"/>
      <c r="DA391" s="87"/>
      <c r="DB391" s="87"/>
      <c r="DC391" s="87"/>
      <c r="DD391" s="87"/>
      <c r="DE391" s="87"/>
      <c r="DF391" s="87"/>
      <c r="DG391" s="87"/>
      <c r="DH391" s="87"/>
      <c r="DI391" s="87"/>
      <c r="DJ391" s="87"/>
      <c r="DK391" s="87"/>
      <c r="DL391" s="87"/>
      <c r="DM391" s="87"/>
      <c r="DN391" s="87"/>
      <c r="DO391" s="87"/>
      <c r="DP391" s="87"/>
      <c r="DQ391" s="87"/>
      <c r="DR391" s="87"/>
      <c r="DS391" s="87"/>
      <c r="DT391" s="87"/>
      <c r="DU391" s="87"/>
      <c r="DV391" s="87"/>
      <c r="DW391" s="87"/>
      <c r="DX391" s="87"/>
      <c r="DY391" s="87"/>
      <c r="DZ391" s="87"/>
      <c r="EA391" s="87"/>
      <c r="EB391" s="87"/>
      <c r="EC391" s="87"/>
      <c r="ED391" s="87"/>
      <c r="EE391" s="87"/>
      <c r="EF391" s="87"/>
      <c r="EG391" s="87"/>
      <c r="EH391" s="87"/>
      <c r="EI391" s="87"/>
    </row>
    <row r="392" spans="1:139" ht="57.75" hidden="1" thickBot="1" x14ac:dyDescent="0.35">
      <c r="A392" s="200" t="s">
        <v>371</v>
      </c>
      <c r="B392" s="199">
        <v>2</v>
      </c>
      <c r="C392" s="195">
        <f>0.26*50</f>
        <v>13</v>
      </c>
      <c r="D392" s="217">
        <f>C392/VLOOKUP(B392,'[2]Gas Prod per PADD'!$A$1:$C$6,2,FALSE)</f>
        <v>5.4166666666666669E-3</v>
      </c>
      <c r="E392" s="225">
        <v>45611</v>
      </c>
      <c r="F392" s="276">
        <v>45618</v>
      </c>
      <c r="G392" s="180" t="s">
        <v>734</v>
      </c>
      <c r="H392" s="181"/>
      <c r="I392" s="84"/>
      <c r="J392" s="85"/>
      <c r="K392" s="85"/>
      <c r="L392" s="85"/>
      <c r="M392" s="85"/>
      <c r="N392" s="85"/>
      <c r="O392" s="85"/>
      <c r="P392" s="85"/>
      <c r="Q392" s="85"/>
      <c r="R392" s="85"/>
      <c r="S392" s="85"/>
      <c r="T392" s="85"/>
      <c r="U392" s="85"/>
      <c r="V392" s="84"/>
      <c r="W392" s="84"/>
      <c r="X392" s="84" t="str">
        <f t="shared" si="16"/>
        <v>OK</v>
      </c>
      <c r="Y392" s="87"/>
      <c r="Z392" s="87"/>
      <c r="AA392" s="87"/>
      <c r="AB392" s="87"/>
      <c r="AC392" s="87"/>
      <c r="AD392" s="87"/>
      <c r="AE392" s="87"/>
      <c r="AF392" s="87"/>
      <c r="AG392" s="87"/>
      <c r="AH392" s="87"/>
      <c r="AI392" s="87"/>
      <c r="AJ392" s="87"/>
      <c r="AK392" s="87"/>
      <c r="AL392" s="87"/>
      <c r="AM392" s="87"/>
      <c r="AN392" s="87"/>
      <c r="AO392" s="87"/>
      <c r="AP392" s="87"/>
      <c r="AQ392" s="87"/>
      <c r="AR392" s="87"/>
      <c r="AS392" s="87"/>
      <c r="AT392" s="87"/>
      <c r="AU392" s="87"/>
      <c r="AV392" s="87"/>
      <c r="AW392" s="87"/>
      <c r="AX392" s="87"/>
      <c r="AY392" s="87"/>
      <c r="AZ392" s="87"/>
      <c r="BA392" s="87"/>
      <c r="BB392" s="87"/>
      <c r="BC392" s="87"/>
      <c r="BD392" s="87"/>
      <c r="BE392" s="87"/>
      <c r="BF392" s="87"/>
      <c r="BG392" s="87"/>
      <c r="BH392" s="87"/>
      <c r="BI392" s="87"/>
      <c r="BJ392" s="87"/>
      <c r="BK392" s="87"/>
      <c r="BL392" s="87"/>
      <c r="BM392" s="87"/>
      <c r="BN392" s="87"/>
      <c r="BO392" s="87"/>
      <c r="BP392" s="87"/>
      <c r="BQ392" s="87"/>
      <c r="BR392" s="87"/>
      <c r="BS392" s="87"/>
      <c r="BT392" s="87"/>
      <c r="BU392" s="87"/>
      <c r="BV392" s="87"/>
      <c r="BW392" s="87"/>
      <c r="BX392" s="87"/>
      <c r="BY392" s="87"/>
      <c r="BZ392" s="87"/>
      <c r="CA392" s="87"/>
      <c r="CB392" s="87">
        <f>-0.8*C392</f>
        <v>-10.4</v>
      </c>
      <c r="CC392" s="87">
        <f>CB392*-1</f>
        <v>10.4</v>
      </c>
      <c r="CD392" s="87"/>
      <c r="CE392" s="87"/>
      <c r="CF392" s="87"/>
      <c r="CG392" s="87"/>
      <c r="CH392" s="87"/>
      <c r="CI392" s="87"/>
      <c r="CJ392" s="87"/>
      <c r="CK392" s="87"/>
      <c r="CL392" s="87"/>
      <c r="CM392" s="87"/>
      <c r="CN392" s="87"/>
      <c r="CO392" s="87"/>
      <c r="CP392" s="87"/>
      <c r="CQ392" s="87"/>
      <c r="CR392" s="87"/>
      <c r="CS392" s="87"/>
      <c r="CT392" s="87"/>
      <c r="CU392" s="87"/>
      <c r="CV392" s="87"/>
      <c r="CW392" s="87"/>
      <c r="CX392" s="87"/>
      <c r="CY392" s="87"/>
      <c r="CZ392" s="87"/>
      <c r="DA392" s="87"/>
      <c r="DB392" s="87"/>
      <c r="DC392" s="87"/>
      <c r="DD392" s="87"/>
      <c r="DE392" s="87"/>
      <c r="DF392" s="87"/>
      <c r="DG392" s="87"/>
      <c r="DH392" s="87"/>
      <c r="DI392" s="87"/>
      <c r="DJ392" s="87"/>
      <c r="DK392" s="87"/>
      <c r="DL392" s="87"/>
      <c r="DM392" s="87"/>
      <c r="DN392" s="87"/>
      <c r="DO392" s="87"/>
      <c r="DP392" s="87"/>
      <c r="DQ392" s="87"/>
      <c r="DR392" s="87"/>
      <c r="DS392" s="87"/>
      <c r="DT392" s="87"/>
      <c r="DU392" s="87"/>
      <c r="DV392" s="87"/>
      <c r="DW392" s="87"/>
      <c r="DX392" s="87"/>
      <c r="DY392" s="87"/>
      <c r="DZ392" s="87"/>
      <c r="EA392" s="87"/>
      <c r="EB392" s="87"/>
      <c r="EC392" s="87"/>
      <c r="ED392" s="87"/>
      <c r="EE392" s="87"/>
      <c r="EF392" s="87"/>
      <c r="EG392" s="87"/>
      <c r="EH392" s="87"/>
      <c r="EI392" s="87"/>
    </row>
    <row r="393" spans="1:139" ht="16.5" hidden="1" thickBot="1" x14ac:dyDescent="0.35">
      <c r="A393" s="222" t="s">
        <v>322</v>
      </c>
      <c r="B393" s="191">
        <v>3</v>
      </c>
      <c r="C393" s="177">
        <f>0.65*70</f>
        <v>45.5</v>
      </c>
      <c r="D393" s="217">
        <f>C393/VLOOKUP(B393,'[2]Gas Prod per PADD'!$A$1:$C$6,2,FALSE)</f>
        <v>9.8913043478260874E-3</v>
      </c>
      <c r="E393" s="178">
        <v>45614</v>
      </c>
      <c r="F393" s="252">
        <v>45618</v>
      </c>
      <c r="G393" s="180" t="s">
        <v>735</v>
      </c>
      <c r="H393" s="181" t="s">
        <v>543</v>
      </c>
      <c r="I393" s="84"/>
      <c r="J393" s="85"/>
      <c r="K393" s="85"/>
      <c r="L393" s="85"/>
      <c r="M393" s="85"/>
      <c r="N393" s="85"/>
      <c r="O393" s="85"/>
      <c r="P393" s="85"/>
      <c r="Q393" s="85"/>
      <c r="R393" s="85"/>
      <c r="S393" s="85"/>
      <c r="T393" s="85"/>
      <c r="U393" s="85"/>
      <c r="V393" s="84"/>
      <c r="W393" s="84"/>
      <c r="X393" s="84" t="str">
        <f t="shared" si="16"/>
        <v>OK</v>
      </c>
      <c r="Y393" s="105"/>
      <c r="Z393" s="105"/>
      <c r="AA393" s="87"/>
      <c r="AB393" s="87"/>
      <c r="AC393" s="87"/>
      <c r="AD393" s="87"/>
      <c r="AE393" s="105"/>
      <c r="AF393" s="105"/>
      <c r="AG393" s="105"/>
      <c r="AH393" s="105"/>
      <c r="AI393" s="87"/>
      <c r="AJ393" s="87"/>
      <c r="AK393" s="105"/>
      <c r="AL393" s="87"/>
      <c r="AM393" s="105"/>
      <c r="AN393" s="105"/>
      <c r="AO393" s="87"/>
      <c r="AP393" s="87"/>
      <c r="AQ393" s="105"/>
      <c r="AR393" s="105"/>
      <c r="AS393" s="87"/>
      <c r="AT393" s="105"/>
      <c r="AU393" s="105"/>
      <c r="AV393" s="87"/>
      <c r="AW393" s="105"/>
      <c r="AX393" s="105"/>
      <c r="AY393" s="87"/>
      <c r="AZ393" s="105"/>
      <c r="BA393" s="105"/>
      <c r="BB393" s="105"/>
      <c r="BC393" s="87"/>
      <c r="BD393" s="87"/>
      <c r="BE393" s="105"/>
      <c r="BF393" s="105"/>
      <c r="BG393" s="105"/>
      <c r="BH393" s="105"/>
      <c r="BI393" s="105"/>
      <c r="BJ393" s="87"/>
      <c r="BK393" s="87"/>
      <c r="BL393" s="87"/>
      <c r="BM393" s="87"/>
      <c r="BN393" s="87"/>
      <c r="BO393" s="105"/>
      <c r="BP393" s="105"/>
      <c r="BQ393" s="105"/>
      <c r="BR393" s="87"/>
      <c r="BS393" s="87"/>
      <c r="BT393" s="87"/>
      <c r="BU393" s="87"/>
      <c r="BV393" s="87"/>
      <c r="BW393" s="87"/>
      <c r="BX393" s="87"/>
      <c r="BY393" s="87"/>
      <c r="BZ393" s="87"/>
      <c r="CA393" s="87"/>
      <c r="CB393" s="87">
        <f>-4/7*C393</f>
        <v>-26</v>
      </c>
      <c r="CC393" s="87">
        <f>-CB393</f>
        <v>26</v>
      </c>
      <c r="CD393" s="87"/>
      <c r="CE393" s="87"/>
      <c r="CF393" s="87"/>
      <c r="CG393" s="87"/>
      <c r="CH393" s="87"/>
      <c r="CI393" s="87"/>
      <c r="CJ393" s="87"/>
      <c r="CK393" s="87"/>
      <c r="CL393" s="87"/>
      <c r="CM393" s="87"/>
      <c r="CN393" s="87"/>
      <c r="CO393" s="87"/>
      <c r="CP393" s="87"/>
      <c r="CQ393" s="87"/>
      <c r="CR393" s="87"/>
      <c r="CS393" s="87"/>
      <c r="CT393" s="87"/>
      <c r="CU393" s="87"/>
      <c r="CV393" s="87"/>
      <c r="CW393" s="87"/>
      <c r="CX393" s="87"/>
      <c r="CY393" s="87"/>
      <c r="CZ393" s="87"/>
      <c r="DA393" s="87"/>
      <c r="DB393" s="87"/>
      <c r="DC393" s="87"/>
      <c r="DD393" s="87"/>
      <c r="DE393" s="87"/>
      <c r="DF393" s="87"/>
      <c r="DG393" s="87"/>
      <c r="DH393" s="87"/>
      <c r="DI393" s="87"/>
      <c r="DJ393" s="87"/>
      <c r="DK393" s="87"/>
      <c r="DL393" s="87"/>
      <c r="DM393" s="87"/>
      <c r="DN393" s="87"/>
      <c r="DO393" s="87"/>
      <c r="DP393" s="87"/>
      <c r="DQ393" s="87"/>
      <c r="DR393" s="87"/>
      <c r="DS393" s="87"/>
      <c r="DT393" s="87"/>
      <c r="DU393" s="87"/>
      <c r="DV393" s="87"/>
      <c r="DW393" s="87"/>
      <c r="DX393" s="87"/>
      <c r="DY393" s="87"/>
      <c r="DZ393" s="87"/>
      <c r="EA393" s="87"/>
      <c r="EB393" s="87"/>
      <c r="EC393" s="87"/>
      <c r="ED393" s="87"/>
      <c r="EE393" s="87"/>
      <c r="EF393" s="87"/>
      <c r="EG393" s="87"/>
      <c r="EH393" s="87"/>
      <c r="EI393" s="87"/>
    </row>
    <row r="394" spans="1:139" ht="16.5" hidden="1" thickBot="1" x14ac:dyDescent="0.35">
      <c r="A394" s="190" t="s">
        <v>304</v>
      </c>
      <c r="B394" s="282">
        <v>3</v>
      </c>
      <c r="C394" s="177">
        <f>12*0.85</f>
        <v>10.199999999999999</v>
      </c>
      <c r="D394" s="217">
        <f>C394/VLOOKUP(B394,'[2]Gas Prod per PADD'!$A$1:$C$6,2,FALSE)</f>
        <v>2.217391304347826E-3</v>
      </c>
      <c r="E394" s="251">
        <v>45580</v>
      </c>
      <c r="F394" s="292">
        <v>45619</v>
      </c>
      <c r="G394" s="180" t="s">
        <v>736</v>
      </c>
      <c r="H394" s="181" t="s">
        <v>737</v>
      </c>
      <c r="I394" s="84"/>
      <c r="J394" s="85"/>
      <c r="K394" s="85"/>
      <c r="L394" s="85"/>
      <c r="M394" s="85"/>
      <c r="N394" s="85"/>
      <c r="O394" s="85"/>
      <c r="P394" s="85"/>
      <c r="Q394" s="85"/>
      <c r="R394" s="85"/>
      <c r="S394" s="85"/>
      <c r="T394" s="85"/>
      <c r="U394" s="85"/>
      <c r="V394" s="84"/>
      <c r="W394" s="84"/>
      <c r="X394" s="84" t="str">
        <f t="shared" si="16"/>
        <v>OK</v>
      </c>
      <c r="Y394" s="105"/>
      <c r="Z394" s="105"/>
      <c r="AA394" s="87"/>
      <c r="AB394" s="87"/>
      <c r="AC394" s="87"/>
      <c r="AD394" s="87"/>
      <c r="AE394" s="105"/>
      <c r="AF394" s="105"/>
      <c r="AG394" s="105"/>
      <c r="AH394" s="105"/>
      <c r="AI394" s="87"/>
      <c r="AJ394" s="87"/>
      <c r="AK394" s="105"/>
      <c r="AL394" s="87"/>
      <c r="AM394" s="105"/>
      <c r="AN394" s="105"/>
      <c r="AO394" s="87"/>
      <c r="AP394" s="87"/>
      <c r="AQ394" s="105"/>
      <c r="AR394" s="105"/>
      <c r="AS394" s="87"/>
      <c r="AT394" s="105"/>
      <c r="AU394" s="105"/>
      <c r="AV394" s="87"/>
      <c r="AW394" s="105"/>
      <c r="AX394" s="105"/>
      <c r="AY394" s="87"/>
      <c r="AZ394" s="105"/>
      <c r="BA394" s="105"/>
      <c r="BB394" s="105"/>
      <c r="BC394" s="87"/>
      <c r="BD394" s="87"/>
      <c r="BE394" s="105"/>
      <c r="BF394" s="105"/>
      <c r="BG394" s="105"/>
      <c r="BH394" s="105"/>
      <c r="BI394" s="105"/>
      <c r="BJ394" s="87"/>
      <c r="BK394" s="87"/>
      <c r="BL394" s="87"/>
      <c r="BM394" s="87"/>
      <c r="BN394" s="87"/>
      <c r="BO394" s="105"/>
      <c r="BP394" s="87"/>
      <c r="BQ394" s="87"/>
      <c r="BR394" s="87"/>
      <c r="BS394" s="87"/>
      <c r="BT394" s="87"/>
      <c r="BU394" s="87"/>
      <c r="BV394" s="87"/>
      <c r="BW394" s="87">
        <f>(C394*(3/7)*-1)</f>
        <v>-4.371428571428571</v>
      </c>
      <c r="BX394" s="87">
        <f>(C394*(4/7)*-1)</f>
        <v>-5.8285714285714274</v>
      </c>
      <c r="BY394" s="87"/>
      <c r="BZ394" s="87"/>
      <c r="CA394" s="87"/>
      <c r="CB394" s="87"/>
      <c r="CC394" s="105"/>
      <c r="CD394" s="87">
        <f>(5/7)*C394</f>
        <v>7.2857142857142856</v>
      </c>
      <c r="CE394" s="105">
        <f>C394-CD394</f>
        <v>2.9142857142857137</v>
      </c>
      <c r="CF394" s="87"/>
      <c r="CG394" s="87"/>
      <c r="CH394" s="87"/>
      <c r="CI394" s="87"/>
      <c r="CJ394" s="87"/>
      <c r="CK394" s="87"/>
      <c r="CL394" s="87"/>
      <c r="CM394" s="87"/>
      <c r="CN394" s="87"/>
      <c r="CO394" s="87"/>
      <c r="CP394" s="87"/>
      <c r="CQ394" s="87"/>
      <c r="CR394" s="87"/>
      <c r="CS394" s="87"/>
      <c r="CT394" s="87"/>
      <c r="CU394" s="87"/>
      <c r="CV394" s="87"/>
      <c r="CW394" s="87"/>
      <c r="CX394" s="87"/>
      <c r="CY394" s="87"/>
      <c r="CZ394" s="87"/>
      <c r="DA394" s="87"/>
      <c r="DB394" s="87"/>
      <c r="DC394" s="87"/>
      <c r="DD394" s="87"/>
      <c r="DE394" s="87"/>
      <c r="DF394" s="87"/>
      <c r="DG394" s="87"/>
      <c r="DH394" s="87"/>
      <c r="DI394" s="87"/>
      <c r="DJ394" s="87"/>
      <c r="DK394" s="87"/>
      <c r="DL394" s="87"/>
      <c r="DM394" s="87"/>
      <c r="DN394" s="87"/>
      <c r="DO394" s="87"/>
      <c r="DP394" s="87"/>
      <c r="DQ394" s="87"/>
      <c r="DR394" s="87"/>
      <c r="DS394" s="87"/>
      <c r="DT394" s="87"/>
      <c r="DU394" s="87"/>
      <c r="DV394" s="87"/>
      <c r="DW394" s="87"/>
      <c r="DX394" s="87"/>
      <c r="DY394" s="87"/>
      <c r="DZ394" s="87"/>
      <c r="EA394" s="87"/>
      <c r="EB394" s="87"/>
      <c r="EC394" s="87"/>
      <c r="ED394" s="87"/>
      <c r="EE394" s="87"/>
      <c r="EF394" s="87"/>
      <c r="EG394" s="87"/>
      <c r="EH394" s="87"/>
      <c r="EI394" s="87"/>
    </row>
    <row r="395" spans="1:139" ht="16.5" hidden="1" thickBot="1" x14ac:dyDescent="0.35">
      <c r="A395" s="200" t="s">
        <v>365</v>
      </c>
      <c r="B395" s="223">
        <v>2</v>
      </c>
      <c r="C395" s="224">
        <f>0.85*30</f>
        <v>25.5</v>
      </c>
      <c r="D395" s="217">
        <f>C395/VLOOKUP(B395,'[2]Gas Prod per PADD'!$A$1:$C$6,2,FALSE)</f>
        <v>1.0625000000000001E-2</v>
      </c>
      <c r="E395" s="178">
        <v>45607</v>
      </c>
      <c r="F395" s="281">
        <v>45619</v>
      </c>
      <c r="G395" s="180" t="s">
        <v>692</v>
      </c>
      <c r="H395" s="221" t="s">
        <v>640</v>
      </c>
      <c r="I395" s="84"/>
      <c r="J395" s="85"/>
      <c r="K395" s="85"/>
      <c r="L395" s="85"/>
      <c r="M395" s="85"/>
      <c r="N395" s="85"/>
      <c r="O395" s="85"/>
      <c r="P395" s="85"/>
      <c r="Q395" s="85"/>
      <c r="R395" s="85"/>
      <c r="S395" s="85"/>
      <c r="T395" s="85"/>
      <c r="U395" s="85"/>
      <c r="V395" s="84"/>
      <c r="W395" s="84"/>
      <c r="X395" s="84" t="str">
        <f t="shared" si="16"/>
        <v>OK</v>
      </c>
      <c r="Y395" s="105"/>
      <c r="Z395" s="105"/>
      <c r="AA395" s="87"/>
      <c r="AB395" s="87"/>
      <c r="AC395" s="87"/>
      <c r="AD395" s="87"/>
      <c r="AE395" s="105"/>
      <c r="AF395" s="105"/>
      <c r="AG395" s="105"/>
      <c r="AH395" s="105"/>
      <c r="AI395" s="87"/>
      <c r="AJ395" s="87"/>
      <c r="AK395" s="105"/>
      <c r="AL395" s="87"/>
      <c r="AM395" s="105"/>
      <c r="AN395" s="105"/>
      <c r="AO395" s="87"/>
      <c r="AP395" s="87"/>
      <c r="AQ395" s="105"/>
      <c r="AR395" s="105"/>
      <c r="AS395" s="87"/>
      <c r="AT395" s="105"/>
      <c r="AU395" s="87"/>
      <c r="AV395" s="87"/>
      <c r="AW395" s="105"/>
      <c r="AX395" s="105"/>
      <c r="AY395" s="87"/>
      <c r="AZ395" s="105"/>
      <c r="BA395" s="105"/>
      <c r="BB395" s="105"/>
      <c r="BC395" s="105"/>
      <c r="BD395" s="105"/>
      <c r="BE395" s="87"/>
      <c r="BF395" s="105"/>
      <c r="BG395" s="105"/>
      <c r="BH395" s="105"/>
      <c r="BI395" s="105"/>
      <c r="BJ395" s="87"/>
      <c r="BK395" s="87"/>
      <c r="BL395" s="87"/>
      <c r="BM395" s="87"/>
      <c r="BN395" s="87"/>
      <c r="BO395" s="87"/>
      <c r="BP395" s="87"/>
      <c r="BQ395" s="87"/>
      <c r="BR395" s="87"/>
      <c r="BS395" s="87"/>
      <c r="BT395" s="87"/>
      <c r="BU395" s="87"/>
      <c r="BV395" s="87"/>
      <c r="BW395" s="87"/>
      <c r="BX395" s="87"/>
      <c r="BY395" s="87"/>
      <c r="BZ395" s="87"/>
      <c r="CA395" s="87">
        <f>-4/7*C395</f>
        <v>-14.571428571428571</v>
      </c>
      <c r="CB395" s="87"/>
      <c r="CC395" s="87">
        <f>-CA395</f>
        <v>14.571428571428571</v>
      </c>
      <c r="CD395" s="87"/>
      <c r="CE395" s="87"/>
      <c r="CF395" s="87"/>
      <c r="CG395" s="87"/>
      <c r="CH395" s="87"/>
      <c r="CI395" s="87"/>
      <c r="CJ395" s="87"/>
      <c r="CK395" s="87"/>
      <c r="CL395" s="87"/>
      <c r="CM395" s="87"/>
      <c r="CN395" s="87"/>
      <c r="CO395" s="87"/>
      <c r="CP395" s="87"/>
      <c r="CQ395" s="87"/>
      <c r="CR395" s="87"/>
      <c r="CS395" s="87"/>
      <c r="CT395" s="87"/>
      <c r="CU395" s="87"/>
      <c r="CV395" s="87"/>
      <c r="CW395" s="87"/>
      <c r="CX395" s="87"/>
      <c r="CY395" s="87"/>
      <c r="CZ395" s="87"/>
      <c r="DA395" s="87"/>
      <c r="DB395" s="87"/>
      <c r="DC395" s="87"/>
      <c r="DD395" s="87"/>
      <c r="DE395" s="87"/>
      <c r="DF395" s="87"/>
      <c r="DG395" s="87"/>
      <c r="DH395" s="87"/>
      <c r="DI395" s="87"/>
      <c r="DJ395" s="87"/>
      <c r="DK395" s="87"/>
      <c r="DL395" s="87"/>
      <c r="DM395" s="87"/>
      <c r="DN395" s="87"/>
      <c r="DO395" s="87"/>
      <c r="DP395" s="87"/>
      <c r="DQ395" s="87"/>
      <c r="DR395" s="87"/>
      <c r="DS395" s="87"/>
      <c r="DT395" s="87"/>
      <c r="DU395" s="87"/>
      <c r="DV395" s="87"/>
      <c r="DW395" s="87"/>
      <c r="DX395" s="87"/>
      <c r="DY395" s="87"/>
      <c r="DZ395" s="87"/>
      <c r="EA395" s="87"/>
      <c r="EB395" s="87"/>
      <c r="EC395" s="87"/>
      <c r="ED395" s="87"/>
      <c r="EE395" s="87"/>
      <c r="EF395" s="87"/>
      <c r="EG395" s="87"/>
      <c r="EH395" s="87"/>
      <c r="EI395" s="87"/>
    </row>
    <row r="396" spans="1:139" ht="16.5" hidden="1" thickBot="1" x14ac:dyDescent="0.35">
      <c r="A396" s="175" t="s">
        <v>405</v>
      </c>
      <c r="B396" s="191">
        <v>1</v>
      </c>
      <c r="C396" s="177">
        <f>43*0.85</f>
        <v>36.549999999999997</v>
      </c>
      <c r="D396" s="217">
        <f>C396/VLOOKUP(B396,'[2]Gas Prod per PADD'!$A$1:$C$6,2,FALSE)</f>
        <v>7.6145833333333329E-2</v>
      </c>
      <c r="E396" s="178">
        <v>45617</v>
      </c>
      <c r="F396" s="292">
        <v>45619</v>
      </c>
      <c r="G396" s="180" t="s">
        <v>738</v>
      </c>
      <c r="H396" s="181" t="s">
        <v>739</v>
      </c>
      <c r="I396" s="84"/>
      <c r="J396" s="85"/>
      <c r="K396" s="85"/>
      <c r="L396" s="85"/>
      <c r="M396" s="85"/>
      <c r="N396" s="85"/>
      <c r="O396" s="85"/>
      <c r="P396" s="85"/>
      <c r="Q396" s="85"/>
      <c r="R396" s="85"/>
      <c r="S396" s="85"/>
      <c r="T396" s="85"/>
      <c r="U396" s="85"/>
      <c r="V396" s="84"/>
      <c r="W396" s="84"/>
      <c r="X396" s="84" t="str">
        <f t="shared" si="16"/>
        <v>OK</v>
      </c>
      <c r="Y396" s="105"/>
      <c r="Z396" s="105"/>
      <c r="AA396" s="87"/>
      <c r="AB396" s="87"/>
      <c r="AC396" s="87"/>
      <c r="AD396" s="87"/>
      <c r="AE396" s="105"/>
      <c r="AF396" s="105"/>
      <c r="AG396" s="105"/>
      <c r="AH396" s="105"/>
      <c r="AI396" s="87"/>
      <c r="AJ396" s="87"/>
      <c r="AK396" s="105"/>
      <c r="AL396" s="87"/>
      <c r="AM396" s="105"/>
      <c r="AN396" s="105"/>
      <c r="AO396" s="87"/>
      <c r="AP396" s="87"/>
      <c r="AQ396" s="105"/>
      <c r="AR396" s="105"/>
      <c r="AS396" s="87"/>
      <c r="AT396" s="105"/>
      <c r="AU396" s="105"/>
      <c r="AV396" s="87"/>
      <c r="AW396" s="105"/>
      <c r="AX396" s="105"/>
      <c r="AY396" s="87"/>
      <c r="AZ396" s="105"/>
      <c r="BA396" s="105"/>
      <c r="BB396" s="105"/>
      <c r="BC396" s="87"/>
      <c r="BD396" s="87"/>
      <c r="BE396" s="105"/>
      <c r="BF396" s="105"/>
      <c r="BG396" s="105"/>
      <c r="BH396" s="105"/>
      <c r="BI396" s="105"/>
      <c r="BJ396" s="87"/>
      <c r="BK396" s="87"/>
      <c r="BL396" s="87"/>
      <c r="BM396" s="87"/>
      <c r="BN396" s="87"/>
      <c r="BO396" s="105"/>
      <c r="BP396" s="105"/>
      <c r="BQ396" s="105"/>
      <c r="BR396" s="105"/>
      <c r="BS396" s="105"/>
      <c r="BT396" s="105"/>
      <c r="BU396" s="105"/>
      <c r="BV396" s="105"/>
      <c r="BW396" s="87"/>
      <c r="BX396" s="87"/>
      <c r="BY396" s="87"/>
      <c r="BZ396" s="87"/>
      <c r="CA396" s="87"/>
      <c r="CB396" s="105">
        <f>-C396*2/7</f>
        <v>-10.442857142857141</v>
      </c>
      <c r="CC396" s="105">
        <f>-CB396</f>
        <v>10.442857142857141</v>
      </c>
      <c r="CD396" s="87"/>
      <c r="CE396" s="87"/>
      <c r="CF396" s="87"/>
      <c r="CG396" s="87"/>
      <c r="CH396" s="87"/>
      <c r="CI396" s="87"/>
      <c r="CJ396" s="87"/>
      <c r="CK396" s="87"/>
      <c r="CL396" s="87"/>
      <c r="CM396" s="87"/>
      <c r="CN396" s="87"/>
      <c r="CO396" s="87"/>
      <c r="CP396" s="87"/>
      <c r="CQ396" s="87"/>
      <c r="CR396" s="87"/>
      <c r="CS396" s="87"/>
      <c r="CT396" s="87"/>
      <c r="CU396" s="87"/>
      <c r="CV396" s="87"/>
      <c r="CW396" s="87"/>
      <c r="CX396" s="87"/>
      <c r="CY396" s="87"/>
      <c r="CZ396" s="87"/>
      <c r="DA396" s="87"/>
      <c r="DB396" s="87"/>
      <c r="DC396" s="87"/>
      <c r="DD396" s="87"/>
      <c r="DE396" s="87"/>
      <c r="DF396" s="87"/>
      <c r="DG396" s="87"/>
      <c r="DH396" s="87"/>
      <c r="DI396" s="87"/>
      <c r="DJ396" s="87"/>
      <c r="DK396" s="87"/>
      <c r="DL396" s="87"/>
      <c r="DM396" s="87"/>
      <c r="DN396" s="87"/>
      <c r="DO396" s="87"/>
      <c r="DP396" s="87"/>
      <c r="DQ396" s="87"/>
      <c r="DR396" s="87"/>
      <c r="DS396" s="87"/>
      <c r="DT396" s="87"/>
      <c r="DU396" s="87"/>
      <c r="DV396" s="87"/>
      <c r="DW396" s="87"/>
      <c r="DX396" s="87"/>
      <c r="DY396" s="87"/>
      <c r="DZ396" s="87"/>
      <c r="EA396" s="87"/>
      <c r="EB396" s="87"/>
      <c r="EC396" s="87"/>
      <c r="ED396" s="87"/>
      <c r="EE396" s="87"/>
      <c r="EF396" s="87"/>
      <c r="EG396" s="87"/>
      <c r="EH396" s="87"/>
      <c r="EI396" s="87"/>
    </row>
    <row r="397" spans="1:139" ht="100.5" hidden="1" thickBot="1" x14ac:dyDescent="0.35">
      <c r="A397" s="190" t="s">
        <v>194</v>
      </c>
      <c r="B397" s="279">
        <v>3</v>
      </c>
      <c r="C397" s="224">
        <f>(0.1*190*0.5)+(0.85*17.5*0.5)+(0.65*68)+(0.1*42*0.5)</f>
        <v>63.237500000000004</v>
      </c>
      <c r="D397" s="217">
        <f>C397/VLOOKUP(B397,'[2]Gas Prod per PADD'!$A$1:$C$6,2,FALSE)</f>
        <v>1.3747282608695652E-2</v>
      </c>
      <c r="E397" s="225">
        <v>45562</v>
      </c>
      <c r="F397" s="276">
        <v>45623</v>
      </c>
      <c r="G397" s="180" t="s">
        <v>740</v>
      </c>
      <c r="H397" s="293" t="s">
        <v>741</v>
      </c>
      <c r="I397" s="84" t="s">
        <v>742</v>
      </c>
      <c r="J397" s="85"/>
      <c r="K397" s="85"/>
      <c r="L397" s="85"/>
      <c r="M397" s="85"/>
      <c r="N397" s="85"/>
      <c r="O397" s="85"/>
      <c r="P397" s="85"/>
      <c r="Q397" s="85"/>
      <c r="R397" s="85"/>
      <c r="S397" s="85"/>
      <c r="T397" s="85"/>
      <c r="U397" s="85"/>
      <c r="V397" s="84"/>
      <c r="W397" s="84"/>
      <c r="X397" s="84" t="str">
        <f t="shared" si="16"/>
        <v>OK</v>
      </c>
      <c r="Y397" s="105"/>
      <c r="Z397" s="105"/>
      <c r="AA397" s="87"/>
      <c r="AB397" s="87"/>
      <c r="AC397" s="87"/>
      <c r="AD397" s="87"/>
      <c r="AE397" s="105"/>
      <c r="AF397" s="105"/>
      <c r="AG397" s="105"/>
      <c r="AH397" s="105"/>
      <c r="AI397" s="87"/>
      <c r="AJ397" s="87"/>
      <c r="AK397" s="105"/>
      <c r="AL397" s="87"/>
      <c r="AM397" s="105"/>
      <c r="AN397" s="105"/>
      <c r="AO397" s="87"/>
      <c r="AP397" s="87"/>
      <c r="AQ397" s="105"/>
      <c r="AR397" s="105"/>
      <c r="AS397" s="87"/>
      <c r="AT397" s="105"/>
      <c r="AU397" s="87"/>
      <c r="AV397" s="87"/>
      <c r="AW397" s="87"/>
      <c r="AX397" s="105"/>
      <c r="AY397" s="105"/>
      <c r="AZ397" s="105"/>
      <c r="BA397" s="105"/>
      <c r="BB397" s="105"/>
      <c r="BC397" s="105"/>
      <c r="BD397" s="87"/>
      <c r="BE397" s="87"/>
      <c r="BF397" s="87"/>
      <c r="BG397" s="87"/>
      <c r="BH397" s="87"/>
      <c r="BI397" s="87"/>
      <c r="BJ397" s="87"/>
      <c r="BK397" s="87"/>
      <c r="BL397" s="87"/>
      <c r="BM397" s="87"/>
      <c r="BN397" s="87"/>
      <c r="BO397" s="87"/>
      <c r="BP397" s="87"/>
      <c r="BQ397" s="87"/>
      <c r="BR397" s="87"/>
      <c r="BS397" s="87"/>
      <c r="BT397" s="87"/>
      <c r="BU397" s="87">
        <f>-4/7*C397</f>
        <v>-36.135714285714286</v>
      </c>
      <c r="BV397" s="105">
        <f>-C397-BU397</f>
        <v>-27.101785714285718</v>
      </c>
      <c r="BW397" s="87"/>
      <c r="BX397" s="87"/>
      <c r="BY397" s="87"/>
      <c r="BZ397" s="87"/>
      <c r="CA397" s="87"/>
      <c r="CB397" s="105"/>
      <c r="CC397" s="105">
        <f>BV397*-1</f>
        <v>27.101785714285718</v>
      </c>
      <c r="CD397" s="105">
        <f>BU397*-1</f>
        <v>36.135714285714286</v>
      </c>
      <c r="CE397" s="87"/>
      <c r="CF397" s="87"/>
      <c r="CG397" s="87"/>
      <c r="CH397" s="87"/>
      <c r="CI397" s="87"/>
      <c r="CJ397" s="87"/>
      <c r="CK397" s="87"/>
      <c r="CL397" s="87"/>
      <c r="CM397" s="87"/>
      <c r="CN397" s="87"/>
      <c r="CO397" s="87"/>
      <c r="CP397" s="87"/>
      <c r="CQ397" s="87"/>
      <c r="CR397" s="87"/>
      <c r="CS397" s="87"/>
      <c r="CT397" s="87"/>
      <c r="CU397" s="87"/>
      <c r="CV397" s="87"/>
      <c r="CW397" s="87"/>
      <c r="CX397" s="87"/>
      <c r="CY397" s="87"/>
      <c r="CZ397" s="87"/>
      <c r="DA397" s="87"/>
      <c r="DB397" s="87"/>
      <c r="DC397" s="87"/>
      <c r="DD397" s="87"/>
      <c r="DE397" s="87"/>
      <c r="DF397" s="87"/>
      <c r="DG397" s="87"/>
      <c r="DH397" s="87"/>
      <c r="DI397" s="87"/>
      <c r="DJ397" s="87"/>
      <c r="DK397" s="87"/>
      <c r="DL397" s="87"/>
      <c r="DM397" s="87"/>
      <c r="DN397" s="87"/>
      <c r="DO397" s="87"/>
      <c r="DP397" s="87"/>
      <c r="DQ397" s="87"/>
      <c r="DR397" s="87"/>
      <c r="DS397" s="87"/>
      <c r="DT397" s="87"/>
      <c r="DU397" s="87"/>
      <c r="DV397" s="87"/>
      <c r="DW397" s="87"/>
      <c r="DX397" s="87"/>
      <c r="DY397" s="87"/>
      <c r="DZ397" s="87"/>
      <c r="EA397" s="87"/>
      <c r="EB397" s="87"/>
      <c r="EC397" s="87"/>
      <c r="ED397" s="87"/>
      <c r="EE397" s="87"/>
      <c r="EF397" s="87"/>
      <c r="EG397" s="87"/>
      <c r="EH397" s="87"/>
      <c r="EI397" s="87"/>
    </row>
    <row r="398" spans="1:139" ht="16.5" hidden="1" thickBot="1" x14ac:dyDescent="0.35">
      <c r="A398" s="218" t="s">
        <v>207</v>
      </c>
      <c r="B398" s="227">
        <v>5</v>
      </c>
      <c r="C398" s="195">
        <f>0.85*26</f>
        <v>22.099999999999998</v>
      </c>
      <c r="D398" s="217">
        <f>C398/VLOOKUP(B398,'[2]Gas Prod per PADD'!$A$1:$C$6,2,FALSE)</f>
        <v>1.6370370370370368E-2</v>
      </c>
      <c r="E398" s="178">
        <v>45597</v>
      </c>
      <c r="F398" s="252">
        <v>45623</v>
      </c>
      <c r="G398" s="180" t="s">
        <v>743</v>
      </c>
      <c r="H398" s="181" t="s">
        <v>728</v>
      </c>
      <c r="I398" s="84"/>
      <c r="J398" s="85"/>
      <c r="K398" s="85"/>
      <c r="L398" s="85"/>
      <c r="M398" s="85"/>
      <c r="N398" s="85"/>
      <c r="O398" s="85"/>
      <c r="P398" s="85"/>
      <c r="Q398" s="85"/>
      <c r="R398" s="85"/>
      <c r="S398" s="85"/>
      <c r="T398" s="85"/>
      <c r="U398" s="85"/>
      <c r="V398" s="84"/>
      <c r="W398" s="84"/>
      <c r="X398" s="84" t="str">
        <f t="shared" si="16"/>
        <v>OK</v>
      </c>
      <c r="Y398" s="105"/>
      <c r="Z398" s="105"/>
      <c r="AA398" s="87"/>
      <c r="AB398" s="87"/>
      <c r="AC398" s="87"/>
      <c r="AD398" s="87"/>
      <c r="AE398" s="105"/>
      <c r="AF398" s="105"/>
      <c r="AG398" s="105"/>
      <c r="AH398" s="105"/>
      <c r="AI398" s="87"/>
      <c r="AJ398" s="87"/>
      <c r="AK398" s="105"/>
      <c r="AL398" s="87"/>
      <c r="AM398" s="105"/>
      <c r="AN398" s="105"/>
      <c r="AO398" s="87"/>
      <c r="AP398" s="87"/>
      <c r="AQ398" s="105"/>
      <c r="AR398" s="105"/>
      <c r="AS398" s="87"/>
      <c r="AT398" s="105"/>
      <c r="AU398" s="87"/>
      <c r="AV398" s="87"/>
      <c r="AW398" s="105"/>
      <c r="AX398" s="105"/>
      <c r="AY398" s="105"/>
      <c r="AZ398" s="105"/>
      <c r="BA398" s="87"/>
      <c r="BB398" s="87"/>
      <c r="BC398" s="87"/>
      <c r="BD398" s="87"/>
      <c r="BE398" s="87"/>
      <c r="BF398" s="87"/>
      <c r="BG398" s="105"/>
      <c r="BH398" s="105"/>
      <c r="BI398" s="105"/>
      <c r="BJ398" s="87"/>
      <c r="BK398" s="87"/>
      <c r="BL398" s="87"/>
      <c r="BM398" s="87"/>
      <c r="BN398" s="87"/>
      <c r="BO398" s="87"/>
      <c r="BP398" s="87"/>
      <c r="BQ398" s="87"/>
      <c r="BR398" s="87"/>
      <c r="BS398" s="87"/>
      <c r="BT398" s="87"/>
      <c r="BU398" s="87"/>
      <c r="BV398" s="87"/>
      <c r="BW398" s="87"/>
      <c r="BX398" s="87"/>
      <c r="BY398" s="87">
        <f>-1/7*C398</f>
        <v>-3.1571428571428566</v>
      </c>
      <c r="BZ398" s="87">
        <f>-6/7*C398</f>
        <v>-18.94285714285714</v>
      </c>
      <c r="CA398" s="87"/>
      <c r="CB398" s="87"/>
      <c r="CC398" s="87">
        <f>3/7*C398</f>
        <v>9.4714285714285698</v>
      </c>
      <c r="CD398" s="87">
        <f>4/7*C398</f>
        <v>12.628571428571426</v>
      </c>
      <c r="CE398" s="87"/>
      <c r="CF398" s="87"/>
      <c r="CG398" s="87"/>
      <c r="CH398" s="87"/>
      <c r="CI398" s="87"/>
      <c r="CJ398" s="87"/>
      <c r="CK398" s="87"/>
      <c r="CL398" s="87"/>
      <c r="CM398" s="87"/>
      <c r="CN398" s="87"/>
      <c r="CO398" s="87"/>
      <c r="CP398" s="87"/>
      <c r="CQ398" s="87"/>
      <c r="CR398" s="87"/>
      <c r="CS398" s="87"/>
      <c r="CT398" s="87"/>
      <c r="CU398" s="87"/>
      <c r="CV398" s="87"/>
      <c r="CW398" s="87"/>
      <c r="CX398" s="87"/>
      <c r="CY398" s="87"/>
      <c r="CZ398" s="87"/>
      <c r="DA398" s="87"/>
      <c r="DB398" s="87"/>
      <c r="DC398" s="87"/>
      <c r="DD398" s="87"/>
      <c r="DE398" s="87"/>
      <c r="DF398" s="87"/>
      <c r="DG398" s="87"/>
      <c r="DH398" s="87"/>
      <c r="DI398" s="87"/>
      <c r="DJ398" s="87"/>
      <c r="DK398" s="87"/>
      <c r="DL398" s="87"/>
      <c r="DM398" s="87"/>
      <c r="DN398" s="87"/>
      <c r="DO398" s="87"/>
      <c r="DP398" s="87"/>
      <c r="DQ398" s="87"/>
      <c r="DR398" s="87"/>
      <c r="DS398" s="87"/>
      <c r="DT398" s="87"/>
      <c r="DU398" s="87"/>
      <c r="DV398" s="87"/>
      <c r="DW398" s="87"/>
      <c r="DX398" s="87"/>
      <c r="DY398" s="87"/>
      <c r="DZ398" s="87"/>
      <c r="EA398" s="87"/>
      <c r="EB398" s="87"/>
      <c r="EC398" s="87"/>
      <c r="ED398" s="87"/>
      <c r="EE398" s="87"/>
      <c r="EF398" s="87"/>
      <c r="EG398" s="75">
        <v>46017</v>
      </c>
      <c r="EH398" s="75">
        <v>46024</v>
      </c>
      <c r="EI398" s="75">
        <v>46031</v>
      </c>
    </row>
    <row r="399" spans="1:139" ht="16.5" hidden="1" thickBot="1" x14ac:dyDescent="0.35">
      <c r="A399" s="200" t="s">
        <v>135</v>
      </c>
      <c r="B399" s="180">
        <v>3</v>
      </c>
      <c r="C399" s="224">
        <f>95*0.26</f>
        <v>24.7</v>
      </c>
      <c r="D399" s="217">
        <f>C399/VLOOKUP(B399,'[2]Gas Prod per PADD'!$A$1:$C$6,2,FALSE)</f>
        <v>5.3695652173913044E-3</v>
      </c>
      <c r="E399" s="225">
        <v>45622</v>
      </c>
      <c r="F399" s="294">
        <v>45623</v>
      </c>
      <c r="G399" s="180" t="s">
        <v>744</v>
      </c>
      <c r="H399" s="181"/>
      <c r="I399" s="84"/>
      <c r="J399" s="85"/>
      <c r="K399" s="85"/>
      <c r="L399" s="85"/>
      <c r="M399" s="85"/>
      <c r="N399" s="85"/>
      <c r="O399" s="85"/>
      <c r="P399" s="85"/>
      <c r="Q399" s="85"/>
      <c r="R399" s="85"/>
      <c r="S399" s="85"/>
      <c r="T399" s="85"/>
      <c r="U399" s="85"/>
      <c r="V399" s="84"/>
      <c r="W399" s="84"/>
      <c r="X399" s="84" t="str">
        <f t="shared" si="16"/>
        <v>OK</v>
      </c>
      <c r="Y399" s="105"/>
      <c r="Z399" s="105"/>
      <c r="AA399" s="87"/>
      <c r="AB399" s="87"/>
      <c r="AC399" s="87"/>
      <c r="AD399" s="87"/>
      <c r="AE399" s="105"/>
      <c r="AF399" s="105"/>
      <c r="AG399" s="105"/>
      <c r="AH399" s="105"/>
      <c r="AI399" s="87"/>
      <c r="AJ399" s="87"/>
      <c r="AK399" s="105"/>
      <c r="AL399" s="87"/>
      <c r="AM399" s="105"/>
      <c r="AN399" s="105"/>
      <c r="AO399" s="87"/>
      <c r="AP399" s="87"/>
      <c r="AQ399" s="105"/>
      <c r="AR399" s="105"/>
      <c r="AS399" s="87"/>
      <c r="AT399" s="105"/>
      <c r="AU399" s="105"/>
      <c r="AV399" s="87"/>
      <c r="AW399" s="105"/>
      <c r="AX399" s="105"/>
      <c r="AY399" s="87"/>
      <c r="AZ399" s="105"/>
      <c r="BA399" s="105"/>
      <c r="BB399" s="105"/>
      <c r="BC399" s="87"/>
      <c r="BD399" s="87"/>
      <c r="BE399" s="105"/>
      <c r="BF399" s="105"/>
      <c r="BG399" s="105"/>
      <c r="BH399" s="105"/>
      <c r="BI399" s="105"/>
      <c r="BJ399" s="87"/>
      <c r="BK399" s="87"/>
      <c r="BL399" s="87"/>
      <c r="BM399" s="87"/>
      <c r="BN399" s="87"/>
      <c r="BO399" s="105"/>
      <c r="BP399" s="105"/>
      <c r="BQ399" s="105"/>
      <c r="BR399" s="105"/>
      <c r="BS399" s="105"/>
      <c r="BT399" s="105"/>
      <c r="BU399" s="105"/>
      <c r="BV399" s="105"/>
      <c r="BW399" s="105"/>
      <c r="BX399" s="105"/>
      <c r="BY399" s="105"/>
      <c r="BZ399" s="105"/>
      <c r="CA399" s="105"/>
      <c r="CB399" s="87"/>
      <c r="CC399" s="87">
        <f>(-2/7)*C399</f>
        <v>-7.0571428571428569</v>
      </c>
      <c r="CD399" s="87">
        <f>CC399*-1</f>
        <v>7.0571428571428569</v>
      </c>
      <c r="CE399" s="87"/>
      <c r="CF399" s="87"/>
      <c r="CG399" s="87"/>
      <c r="CH399" s="87"/>
      <c r="CI399" s="87"/>
      <c r="CJ399" s="87"/>
      <c r="CK399" s="87"/>
      <c r="CL399" s="87"/>
      <c r="CM399" s="87"/>
      <c r="CN399" s="87"/>
      <c r="CO399" s="87"/>
      <c r="CP399" s="87"/>
      <c r="CQ399" s="87"/>
      <c r="CR399" s="87"/>
      <c r="CS399" s="87"/>
      <c r="CT399" s="87"/>
      <c r="CU399" s="87"/>
      <c r="CV399" s="87"/>
      <c r="CW399" s="87"/>
      <c r="CX399" s="87"/>
      <c r="CY399" s="87"/>
      <c r="CZ399" s="87"/>
      <c r="DA399" s="87"/>
      <c r="DB399" s="87"/>
      <c r="DC399" s="87"/>
      <c r="DD399" s="87"/>
      <c r="DE399" s="87"/>
      <c r="DF399" s="87"/>
      <c r="DG399" s="87"/>
      <c r="DH399" s="87"/>
      <c r="DI399" s="87"/>
      <c r="DJ399" s="87"/>
      <c r="DK399" s="87"/>
      <c r="DL399" s="87"/>
      <c r="DM399" s="87"/>
      <c r="DN399" s="87"/>
      <c r="DO399" s="87"/>
      <c r="DP399" s="87"/>
      <c r="DQ399" s="87"/>
      <c r="DR399" s="87"/>
      <c r="DS399" s="87"/>
      <c r="DT399" s="87"/>
      <c r="DU399" s="87"/>
      <c r="DV399" s="87"/>
      <c r="DW399" s="87"/>
      <c r="DX399" s="87"/>
      <c r="DY399" s="87"/>
      <c r="DZ399" s="87"/>
      <c r="EA399" s="87"/>
      <c r="EB399" s="87"/>
      <c r="EC399" s="87"/>
      <c r="ED399" s="87"/>
      <c r="EE399" s="87"/>
      <c r="EF399" s="87"/>
      <c r="EG399" s="87"/>
      <c r="EH399" s="87"/>
      <c r="EI399" s="87"/>
    </row>
    <row r="400" spans="1:139" ht="16.5" hidden="1" thickBot="1" x14ac:dyDescent="0.35">
      <c r="A400" s="190" t="s">
        <v>745</v>
      </c>
      <c r="B400" s="282">
        <v>3</v>
      </c>
      <c r="C400" s="195">
        <f>(0.1*74)+(0.85*13)</f>
        <v>18.45</v>
      </c>
      <c r="D400" s="217">
        <f>C400/VLOOKUP(B400,'[2]Gas Prod per PADD'!$A$1:$C$6,2,FALSE)</f>
        <v>4.0108695652173914E-3</v>
      </c>
      <c r="E400" s="178">
        <v>45577</v>
      </c>
      <c r="F400" s="252">
        <v>45627</v>
      </c>
      <c r="G400" s="194" t="s">
        <v>746</v>
      </c>
      <c r="H400" s="181" t="s">
        <v>747</v>
      </c>
      <c r="I400" s="84"/>
      <c r="J400" s="85"/>
      <c r="K400" s="85"/>
      <c r="L400" s="85"/>
      <c r="M400" s="85"/>
      <c r="N400" s="85"/>
      <c r="O400" s="85"/>
      <c r="P400" s="85"/>
      <c r="Q400" s="85"/>
      <c r="R400" s="85"/>
      <c r="S400" s="85"/>
      <c r="T400" s="85"/>
      <c r="U400" s="85"/>
      <c r="V400" s="84"/>
      <c r="W400" s="84"/>
      <c r="X400" s="84" t="str">
        <f t="shared" si="16"/>
        <v>OK</v>
      </c>
      <c r="Y400" s="105"/>
      <c r="Z400" s="105"/>
      <c r="AA400" s="87"/>
      <c r="AB400" s="87"/>
      <c r="AC400" s="87"/>
      <c r="AD400" s="87"/>
      <c r="AE400" s="105"/>
      <c r="AF400" s="105"/>
      <c r="AG400" s="105"/>
      <c r="AH400" s="105"/>
      <c r="AI400" s="87"/>
      <c r="AJ400" s="87"/>
      <c r="AK400" s="105"/>
      <c r="AL400" s="87"/>
      <c r="AM400" s="105"/>
      <c r="AN400" s="105"/>
      <c r="AO400" s="87"/>
      <c r="AP400" s="87"/>
      <c r="AQ400" s="105"/>
      <c r="AR400" s="105"/>
      <c r="AS400" s="87"/>
      <c r="AT400" s="105"/>
      <c r="AU400" s="105"/>
      <c r="AV400" s="87"/>
      <c r="AW400" s="105"/>
      <c r="AX400" s="105"/>
      <c r="AY400" s="87"/>
      <c r="AZ400" s="105"/>
      <c r="BA400" s="105"/>
      <c r="BB400" s="105"/>
      <c r="BC400" s="87"/>
      <c r="BD400" s="87"/>
      <c r="BE400" s="105"/>
      <c r="BF400" s="105"/>
      <c r="BG400" s="105"/>
      <c r="BH400" s="105"/>
      <c r="BI400" s="105"/>
      <c r="BJ400" s="87"/>
      <c r="BK400" s="87"/>
      <c r="BL400" s="87"/>
      <c r="BM400" s="87"/>
      <c r="BN400" s="87"/>
      <c r="BO400" s="87"/>
      <c r="BP400" s="87"/>
      <c r="BQ400" s="87"/>
      <c r="BR400" s="87"/>
      <c r="BS400" s="87"/>
      <c r="BT400" s="87"/>
      <c r="BU400" s="87"/>
      <c r="BV400" s="87"/>
      <c r="BW400" s="87">
        <f>-0.85*C400</f>
        <v>-15.682499999999999</v>
      </c>
      <c r="BX400" s="87">
        <f>-1*C400-BW400</f>
        <v>-2.7675000000000001</v>
      </c>
      <c r="BY400" s="105"/>
      <c r="BZ400" s="87"/>
      <c r="CA400" s="87"/>
      <c r="CB400" s="87"/>
      <c r="CC400" s="87"/>
      <c r="CD400" s="87">
        <f>4/7*C400</f>
        <v>10.542857142857143</v>
      </c>
      <c r="CE400" s="105">
        <f>C400-CD400</f>
        <v>7.9071428571428566</v>
      </c>
      <c r="CF400" s="87"/>
      <c r="CG400" s="87"/>
      <c r="CH400" s="87"/>
      <c r="CI400" s="87"/>
      <c r="CJ400" s="87"/>
      <c r="CK400" s="87"/>
      <c r="CL400" s="87"/>
      <c r="CM400" s="87"/>
      <c r="CN400" s="87"/>
      <c r="CO400" s="87"/>
      <c r="CP400" s="87"/>
      <c r="CQ400" s="87"/>
      <c r="CR400" s="87"/>
      <c r="CS400" s="87"/>
      <c r="CT400" s="87"/>
      <c r="CU400" s="87"/>
      <c r="CV400" s="87"/>
      <c r="CW400" s="87"/>
      <c r="CX400" s="87"/>
      <c r="CY400" s="87"/>
      <c r="CZ400" s="87"/>
      <c r="DA400" s="87"/>
      <c r="DB400" s="87"/>
      <c r="DC400" s="87"/>
      <c r="DD400" s="87"/>
      <c r="DE400" s="87"/>
      <c r="DF400" s="87"/>
      <c r="DG400" s="87"/>
      <c r="DH400" s="87"/>
      <c r="DI400" s="87"/>
      <c r="DJ400" s="87"/>
      <c r="DK400" s="87"/>
      <c r="DL400" s="87"/>
      <c r="DM400" s="87"/>
      <c r="DN400" s="87"/>
      <c r="DO400" s="87"/>
      <c r="DP400" s="87"/>
      <c r="DQ400" s="87"/>
      <c r="DR400" s="87"/>
      <c r="DS400" s="87"/>
      <c r="DT400" s="87"/>
      <c r="DU400" s="87"/>
      <c r="DV400" s="87"/>
      <c r="DW400" s="87"/>
      <c r="DX400" s="87"/>
      <c r="DY400" s="87"/>
      <c r="DZ400" s="87"/>
      <c r="EA400" s="87"/>
      <c r="EB400" s="87"/>
      <c r="EC400" s="87"/>
      <c r="ED400" s="87"/>
      <c r="EE400" s="87"/>
      <c r="EF400" s="87"/>
      <c r="EG400" s="87"/>
      <c r="EH400" s="87"/>
      <c r="EI400" s="87"/>
    </row>
    <row r="401" spans="1:139" ht="16.5" hidden="1" thickBot="1" x14ac:dyDescent="0.35">
      <c r="A401" s="200" t="s">
        <v>314</v>
      </c>
      <c r="B401" s="223">
        <v>2</v>
      </c>
      <c r="C401" s="224">
        <f>78*0.25</f>
        <v>19.5</v>
      </c>
      <c r="D401" s="217">
        <f>C401/VLOOKUP(B401,'[2]Gas Prod per PADD'!$A$1:$C$6,2,FALSE)</f>
        <v>8.1250000000000003E-3</v>
      </c>
      <c r="E401" s="225">
        <v>45626</v>
      </c>
      <c r="F401" s="276">
        <v>45627</v>
      </c>
      <c r="G401" s="194" t="s">
        <v>748</v>
      </c>
      <c r="H401" s="221" t="s">
        <v>543</v>
      </c>
      <c r="I401" s="84"/>
      <c r="J401" s="85"/>
      <c r="K401" s="85"/>
      <c r="L401" s="85"/>
      <c r="M401" s="85"/>
      <c r="N401" s="85"/>
      <c r="O401" s="85"/>
      <c r="P401" s="85"/>
      <c r="Q401" s="85"/>
      <c r="R401" s="85"/>
      <c r="S401" s="85"/>
      <c r="T401" s="85"/>
      <c r="U401" s="85"/>
      <c r="V401" s="84"/>
      <c r="W401" s="84"/>
      <c r="X401" s="84" t="str">
        <f t="shared" si="16"/>
        <v>OK</v>
      </c>
      <c r="Y401" s="105"/>
      <c r="Z401" s="105"/>
      <c r="AA401" s="87"/>
      <c r="AB401" s="87"/>
      <c r="AC401" s="87"/>
      <c r="AD401" s="87"/>
      <c r="AE401" s="105"/>
      <c r="AF401" s="105"/>
      <c r="AG401" s="105"/>
      <c r="AH401" s="105"/>
      <c r="AI401" s="87"/>
      <c r="AJ401" s="87"/>
      <c r="AK401" s="105"/>
      <c r="AL401" s="87"/>
      <c r="AM401" s="105"/>
      <c r="AN401" s="105"/>
      <c r="AO401" s="87"/>
      <c r="AP401" s="87"/>
      <c r="AQ401" s="105"/>
      <c r="AR401" s="105"/>
      <c r="AS401" s="87"/>
      <c r="AT401" s="105"/>
      <c r="AU401" s="87"/>
      <c r="AV401" s="87"/>
      <c r="AW401" s="105"/>
      <c r="AX401" s="105"/>
      <c r="AY401" s="105"/>
      <c r="AZ401" s="105"/>
      <c r="BA401" s="87"/>
      <c r="BB401" s="87"/>
      <c r="BC401" s="87"/>
      <c r="BD401" s="87"/>
      <c r="BE401" s="87"/>
      <c r="BF401" s="87"/>
      <c r="BG401" s="105"/>
      <c r="BH401" s="105"/>
      <c r="BI401" s="105"/>
      <c r="BJ401" s="87"/>
      <c r="BK401" s="87"/>
      <c r="BL401" s="87"/>
      <c r="BM401" s="87"/>
      <c r="BN401" s="87"/>
      <c r="BO401" s="87"/>
      <c r="BP401" s="87"/>
      <c r="BQ401" s="87"/>
      <c r="BR401" s="87"/>
      <c r="BS401" s="87"/>
      <c r="BT401" s="87"/>
      <c r="BU401" s="87"/>
      <c r="BV401" s="87"/>
      <c r="BW401" s="87"/>
      <c r="BX401" s="87"/>
      <c r="BY401" s="87"/>
      <c r="BZ401" s="87"/>
      <c r="CA401" s="87"/>
      <c r="CB401" s="87"/>
      <c r="CC401" s="87"/>
      <c r="CD401" s="87">
        <f>-2/7*C401</f>
        <v>-5.5714285714285712</v>
      </c>
      <c r="CE401" s="87">
        <f>-CD401</f>
        <v>5.5714285714285712</v>
      </c>
      <c r="CF401" s="87"/>
      <c r="CG401" s="87"/>
      <c r="CH401" s="87"/>
      <c r="CI401" s="87"/>
      <c r="CJ401" s="87"/>
      <c r="CK401" s="87"/>
      <c r="CL401" s="87"/>
      <c r="CM401" s="87"/>
      <c r="CN401" s="87"/>
      <c r="CO401" s="87"/>
      <c r="CP401" s="87"/>
      <c r="CQ401" s="87"/>
      <c r="CR401" s="87"/>
      <c r="CS401" s="87"/>
      <c r="CT401" s="87"/>
      <c r="CU401" s="87"/>
      <c r="CV401" s="87"/>
      <c r="CW401" s="87"/>
      <c r="CX401" s="87"/>
      <c r="CY401" s="87"/>
      <c r="CZ401" s="87"/>
      <c r="DA401" s="87"/>
      <c r="DB401" s="87"/>
      <c r="DC401" s="87"/>
      <c r="DD401" s="87"/>
      <c r="DE401" s="87"/>
      <c r="DF401" s="87"/>
      <c r="DG401" s="87"/>
      <c r="DH401" s="87"/>
      <c r="DI401" s="87"/>
      <c r="DJ401" s="87"/>
      <c r="DK401" s="87"/>
      <c r="DL401" s="87"/>
      <c r="DM401" s="87"/>
      <c r="DN401" s="87"/>
      <c r="DO401" s="87"/>
      <c r="DP401" s="87"/>
      <c r="DQ401" s="87"/>
      <c r="DR401" s="87"/>
      <c r="DS401" s="87"/>
      <c r="DT401" s="87"/>
      <c r="DU401" s="87"/>
      <c r="DV401" s="87"/>
      <c r="DW401" s="87"/>
      <c r="DX401" s="87"/>
      <c r="DY401" s="87"/>
      <c r="DZ401" s="87"/>
      <c r="EA401" s="87"/>
      <c r="EB401" s="87"/>
      <c r="EC401" s="87"/>
      <c r="ED401" s="87"/>
      <c r="EE401" s="87"/>
      <c r="EF401" s="87"/>
      <c r="EG401" s="87"/>
      <c r="EH401" s="87"/>
      <c r="EI401" s="87"/>
    </row>
    <row r="402" spans="1:139" ht="29.25" hidden="1" thickBot="1" x14ac:dyDescent="0.35">
      <c r="A402" s="190" t="s">
        <v>330</v>
      </c>
      <c r="B402" s="279">
        <v>3</v>
      </c>
      <c r="C402" s="224">
        <f>32*0.85</f>
        <v>27.2</v>
      </c>
      <c r="D402" s="217">
        <f>C402/VLOOKUP(B402,'[2]Gas Prod per PADD'!$A$1:$C$6,2,FALSE)</f>
        <v>5.913043478260869E-3</v>
      </c>
      <c r="E402" s="225">
        <v>45566</v>
      </c>
      <c r="F402" s="276">
        <v>45628</v>
      </c>
      <c r="G402" s="180" t="s">
        <v>465</v>
      </c>
      <c r="H402" s="221" t="s">
        <v>749</v>
      </c>
      <c r="I402" s="84"/>
      <c r="J402" s="85"/>
      <c r="K402" s="85"/>
      <c r="L402" s="85"/>
      <c r="M402" s="85"/>
      <c r="N402" s="85"/>
      <c r="O402" s="85"/>
      <c r="P402" s="85"/>
      <c r="Q402" s="85"/>
      <c r="R402" s="85"/>
      <c r="S402" s="85"/>
      <c r="T402" s="85"/>
      <c r="U402" s="85"/>
      <c r="V402" s="84"/>
      <c r="W402" s="84"/>
      <c r="X402" s="84" t="str">
        <f t="shared" si="16"/>
        <v>OK</v>
      </c>
      <c r="Y402" s="105"/>
      <c r="Z402" s="105"/>
      <c r="AA402" s="87"/>
      <c r="AB402" s="87"/>
      <c r="AC402" s="87"/>
      <c r="AD402" s="87"/>
      <c r="AE402" s="105"/>
      <c r="AF402" s="105"/>
      <c r="AG402" s="105"/>
      <c r="AH402" s="105"/>
      <c r="AI402" s="87"/>
      <c r="AJ402" s="87"/>
      <c r="AK402" s="87"/>
      <c r="AL402" s="87"/>
      <c r="AM402" s="87"/>
      <c r="AN402" s="87"/>
      <c r="AO402" s="87"/>
      <c r="AP402" s="87"/>
      <c r="AQ402" s="87"/>
      <c r="AR402" s="87"/>
      <c r="AS402" s="87"/>
      <c r="AT402" s="87"/>
      <c r="AU402" s="87"/>
      <c r="AV402" s="87"/>
      <c r="AW402" s="87"/>
      <c r="AX402" s="87"/>
      <c r="AY402" s="87"/>
      <c r="AZ402" s="87"/>
      <c r="BA402" s="87"/>
      <c r="BB402" s="87"/>
      <c r="BC402" s="87"/>
      <c r="BD402" s="87"/>
      <c r="BE402" s="87"/>
      <c r="BF402" s="87"/>
      <c r="BG402" s="87"/>
      <c r="BH402" s="87"/>
      <c r="BI402" s="87"/>
      <c r="BJ402" s="87"/>
      <c r="BK402" s="87"/>
      <c r="BL402" s="87"/>
      <c r="BM402" s="87"/>
      <c r="BN402" s="87"/>
      <c r="BO402" s="87"/>
      <c r="BP402" s="87"/>
      <c r="BQ402" s="87"/>
      <c r="BR402" s="87"/>
      <c r="BS402" s="87"/>
      <c r="BT402" s="87"/>
      <c r="BU402" s="87">
        <f>-0.5*C402</f>
        <v>-13.6</v>
      </c>
      <c r="BV402" s="87">
        <f>-0.5*C402</f>
        <v>-13.6</v>
      </c>
      <c r="BW402" s="87"/>
      <c r="BX402" s="87"/>
      <c r="BY402" s="87"/>
      <c r="BZ402" s="87"/>
      <c r="CA402" s="87"/>
      <c r="CB402" s="87"/>
      <c r="CC402" s="87"/>
      <c r="CD402" s="87">
        <f>-BV402</f>
        <v>13.6</v>
      </c>
      <c r="CE402" s="87">
        <f>-BV402</f>
        <v>13.6</v>
      </c>
      <c r="CF402" s="87"/>
      <c r="CG402" s="87"/>
      <c r="CH402" s="87"/>
      <c r="CI402" s="87"/>
      <c r="CJ402" s="87"/>
      <c r="CK402" s="87"/>
      <c r="CL402" s="87"/>
      <c r="CM402" s="87"/>
      <c r="CN402" s="87"/>
      <c r="CO402" s="87"/>
      <c r="CP402" s="87"/>
      <c r="CQ402" s="87"/>
      <c r="CR402" s="87"/>
      <c r="CS402" s="87"/>
      <c r="CT402" s="87"/>
      <c r="CU402" s="87"/>
      <c r="CV402" s="87"/>
      <c r="CW402" s="87"/>
      <c r="CX402" s="87"/>
      <c r="CY402" s="87"/>
      <c r="CZ402" s="87"/>
      <c r="DA402" s="87"/>
      <c r="DB402" s="87"/>
      <c r="DC402" s="87"/>
      <c r="DD402" s="87"/>
      <c r="DE402" s="87"/>
      <c r="DF402" s="87"/>
      <c r="DG402" s="87"/>
      <c r="DH402" s="87"/>
      <c r="DI402" s="87"/>
      <c r="DJ402" s="87"/>
      <c r="DK402" s="87"/>
      <c r="DL402" s="87"/>
      <c r="DM402" s="87"/>
      <c r="DN402" s="87"/>
      <c r="DO402" s="87"/>
      <c r="DP402" s="87"/>
      <c r="DQ402" s="87"/>
      <c r="DR402" s="87"/>
      <c r="DS402" s="87"/>
      <c r="DT402" s="87"/>
      <c r="DU402" s="87"/>
      <c r="DV402" s="87"/>
      <c r="DW402" s="87"/>
      <c r="DX402" s="87"/>
      <c r="DY402" s="87"/>
      <c r="DZ402" s="87"/>
      <c r="EA402" s="87"/>
      <c r="EB402" s="87"/>
      <c r="EC402" s="87"/>
      <c r="ED402" s="87"/>
      <c r="EE402" s="87"/>
      <c r="EF402" s="87"/>
      <c r="EG402" s="87"/>
      <c r="EH402" s="87"/>
      <c r="EI402" s="87"/>
    </row>
    <row r="403" spans="1:139" ht="43.5" hidden="1" thickBot="1" x14ac:dyDescent="0.35">
      <c r="A403" s="190" t="s">
        <v>345</v>
      </c>
      <c r="B403" s="282">
        <v>3</v>
      </c>
      <c r="C403" s="177">
        <f>0.1*116+0.85*24</f>
        <v>32</v>
      </c>
      <c r="D403" s="217">
        <f>C403/VLOOKUP(B403,'[2]Gas Prod per PADD'!$A$1:$C$6,2,FALSE)</f>
        <v>6.956521739130435E-3</v>
      </c>
      <c r="E403" s="251">
        <v>45569</v>
      </c>
      <c r="F403" s="252">
        <v>45630</v>
      </c>
      <c r="G403" s="180" t="s">
        <v>750</v>
      </c>
      <c r="H403" s="181" t="s">
        <v>751</v>
      </c>
      <c r="I403" s="84"/>
      <c r="J403" s="85"/>
      <c r="K403" s="85"/>
      <c r="L403" s="85"/>
      <c r="M403" s="85"/>
      <c r="N403" s="85"/>
      <c r="O403" s="85"/>
      <c r="P403" s="85"/>
      <c r="Q403" s="85"/>
      <c r="R403" s="85"/>
      <c r="S403" s="85"/>
      <c r="T403" s="85"/>
      <c r="U403" s="85"/>
      <c r="V403" s="84"/>
      <c r="W403" s="84"/>
      <c r="X403" s="84" t="str">
        <f t="shared" si="16"/>
        <v>OK</v>
      </c>
      <c r="Y403" s="86"/>
      <c r="Z403" s="87"/>
      <c r="AA403" s="87"/>
      <c r="AB403" s="87"/>
      <c r="AC403" s="87"/>
      <c r="AD403" s="87"/>
      <c r="AE403" s="87"/>
      <c r="AF403" s="87"/>
      <c r="AG403" s="87"/>
      <c r="AH403" s="87"/>
      <c r="AI403" s="87"/>
      <c r="AJ403" s="87"/>
      <c r="AK403" s="87"/>
      <c r="AL403" s="87"/>
      <c r="AM403" s="87"/>
      <c r="AN403" s="87"/>
      <c r="AO403" s="87"/>
      <c r="AP403" s="87"/>
      <c r="AQ403" s="87"/>
      <c r="AR403" s="87"/>
      <c r="AS403" s="87"/>
      <c r="AT403" s="87"/>
      <c r="AU403" s="87"/>
      <c r="AV403" s="87"/>
      <c r="AW403" s="87"/>
      <c r="AX403" s="87"/>
      <c r="AY403" s="87"/>
      <c r="AZ403" s="87"/>
      <c r="BA403" s="87"/>
      <c r="BB403" s="87"/>
      <c r="BC403" s="87"/>
      <c r="BD403" s="87"/>
      <c r="BE403" s="87"/>
      <c r="BF403" s="87"/>
      <c r="BG403" s="87"/>
      <c r="BH403" s="87"/>
      <c r="BI403" s="87"/>
      <c r="BJ403" s="105"/>
      <c r="BK403" s="87"/>
      <c r="BL403" s="105"/>
      <c r="BM403" s="87"/>
      <c r="BN403" s="87"/>
      <c r="BO403" s="87"/>
      <c r="BP403" s="87"/>
      <c r="BQ403" s="87"/>
      <c r="BR403" s="87"/>
      <c r="BS403" s="87"/>
      <c r="BT403" s="87"/>
      <c r="BU403" s="87"/>
      <c r="BV403" s="105">
        <f>-C403</f>
        <v>-32</v>
      </c>
      <c r="BW403" s="87"/>
      <c r="BX403" s="87"/>
      <c r="BY403" s="87"/>
      <c r="BZ403" s="105"/>
      <c r="CA403" s="105"/>
      <c r="CB403" s="87"/>
      <c r="CC403" s="87"/>
      <c r="CD403" s="87">
        <f>-BV403*1/7</f>
        <v>4.5714285714285712</v>
      </c>
      <c r="CE403" s="87">
        <f>-BV403*6/7</f>
        <v>27.428571428571427</v>
      </c>
      <c r="CF403" s="87"/>
      <c r="CG403" s="87"/>
      <c r="CH403" s="87"/>
      <c r="CI403" s="87"/>
      <c r="CJ403" s="87"/>
      <c r="CK403" s="87"/>
      <c r="CL403" s="87"/>
      <c r="CM403" s="87"/>
      <c r="CN403" s="87"/>
      <c r="CO403" s="87"/>
      <c r="CP403" s="87"/>
      <c r="CQ403" s="87"/>
      <c r="CR403" s="87"/>
      <c r="CS403" s="87"/>
      <c r="CT403" s="87"/>
      <c r="CU403" s="87"/>
      <c r="CV403" s="87"/>
      <c r="CW403" s="87"/>
      <c r="CX403" s="87"/>
      <c r="CY403" s="87"/>
      <c r="CZ403" s="87"/>
      <c r="DA403" s="87"/>
      <c r="DB403" s="87"/>
      <c r="DC403" s="87"/>
      <c r="DD403" s="87"/>
      <c r="DE403" s="87"/>
      <c r="DF403" s="87"/>
      <c r="DG403" s="87"/>
      <c r="DH403" s="87"/>
      <c r="DI403" s="87"/>
      <c r="DJ403" s="87"/>
      <c r="DK403" s="87"/>
      <c r="DL403" s="87"/>
      <c r="DM403" s="87"/>
      <c r="DN403" s="87"/>
      <c r="DO403" s="87"/>
      <c r="DP403" s="87"/>
      <c r="DQ403" s="87"/>
      <c r="DR403" s="87"/>
      <c r="DS403" s="87"/>
      <c r="DT403" s="87"/>
      <c r="DU403" s="87"/>
      <c r="DV403" s="87"/>
      <c r="DW403" s="87"/>
      <c r="DX403" s="87"/>
      <c r="DY403" s="87"/>
      <c r="DZ403" s="87"/>
      <c r="EA403" s="87"/>
      <c r="EB403" s="87"/>
      <c r="EC403" s="87"/>
      <c r="ED403" s="87"/>
      <c r="EE403" s="87"/>
      <c r="EF403" s="87"/>
      <c r="EG403" s="87"/>
      <c r="EH403" s="87"/>
      <c r="EI403" s="87"/>
    </row>
    <row r="404" spans="1:139" ht="16.5" hidden="1" thickBot="1" x14ac:dyDescent="0.35">
      <c r="A404" s="161" t="s">
        <v>212</v>
      </c>
      <c r="B404" s="199">
        <v>5</v>
      </c>
      <c r="C404" s="195">
        <f>25*0.1</f>
        <v>2.5</v>
      </c>
      <c r="D404" s="217">
        <f>C404/VLOOKUP(B404,'[2]Gas Prod per PADD'!$A$1:$C$6,2,FALSE)</f>
        <v>1.8518518518518519E-3</v>
      </c>
      <c r="E404" s="196">
        <v>45579</v>
      </c>
      <c r="F404" s="281">
        <v>45632</v>
      </c>
      <c r="G404" s="194" t="s">
        <v>752</v>
      </c>
      <c r="H404" s="230" t="s">
        <v>753</v>
      </c>
      <c r="I404" s="84"/>
      <c r="J404" s="85"/>
      <c r="K404" s="85"/>
      <c r="L404" s="85"/>
      <c r="M404" s="85"/>
      <c r="N404" s="85"/>
      <c r="O404" s="85"/>
      <c r="P404" s="85"/>
      <c r="Q404" s="85"/>
      <c r="R404" s="85"/>
      <c r="S404" s="85"/>
      <c r="T404" s="85"/>
      <c r="U404" s="85"/>
      <c r="V404" s="84"/>
      <c r="W404" s="84"/>
      <c r="X404" s="84" t="str">
        <f t="shared" si="16"/>
        <v>OK</v>
      </c>
      <c r="Y404" s="105"/>
      <c r="Z404" s="105"/>
      <c r="AA404" s="87"/>
      <c r="AB404" s="87"/>
      <c r="AC404" s="87"/>
      <c r="AD404" s="87"/>
      <c r="AE404" s="105"/>
      <c r="AF404" s="105"/>
      <c r="AG404" s="105"/>
      <c r="AH404" s="105"/>
      <c r="AI404" s="87"/>
      <c r="AJ404" s="87"/>
      <c r="AK404" s="105"/>
      <c r="AL404" s="87"/>
      <c r="AM404" s="105"/>
      <c r="AN404" s="105"/>
      <c r="AO404" s="87"/>
      <c r="AP404" s="87"/>
      <c r="AQ404" s="105"/>
      <c r="AR404" s="105"/>
      <c r="AS404" s="87"/>
      <c r="AT404" s="105"/>
      <c r="AU404" s="87"/>
      <c r="AV404" s="87"/>
      <c r="AW404" s="105"/>
      <c r="AX404" s="105"/>
      <c r="AY404" s="87"/>
      <c r="AZ404" s="105"/>
      <c r="BA404" s="105"/>
      <c r="BB404" s="105"/>
      <c r="BC404" s="105"/>
      <c r="BD404" s="105"/>
      <c r="BE404" s="105"/>
      <c r="BF404" s="105"/>
      <c r="BG404" s="105"/>
      <c r="BH404" s="105"/>
      <c r="BI404" s="105"/>
      <c r="BJ404" s="87"/>
      <c r="BK404" s="87"/>
      <c r="BL404" s="87"/>
      <c r="BM404" s="87"/>
      <c r="BN404" s="87"/>
      <c r="BO404" s="87"/>
      <c r="BP404" s="87"/>
      <c r="BQ404" s="87"/>
      <c r="BR404" s="87"/>
      <c r="BS404" s="87"/>
      <c r="BT404" s="87"/>
      <c r="BU404" s="87"/>
      <c r="BV404" s="87"/>
      <c r="BW404" s="87">
        <f>C404*-0.7</f>
        <v>-1.75</v>
      </c>
      <c r="BX404" s="87">
        <f>(-1*$C404)-BW404</f>
        <v>-0.75</v>
      </c>
      <c r="BY404" s="87"/>
      <c r="BZ404" s="87"/>
      <c r="CA404" s="87"/>
      <c r="CB404" s="87"/>
      <c r="CC404" s="87"/>
      <c r="CD404" s="87"/>
      <c r="CE404" s="87">
        <f>BW404*-1</f>
        <v>1.75</v>
      </c>
      <c r="CF404" s="87">
        <f>BX404*-1</f>
        <v>0.75</v>
      </c>
      <c r="CG404" s="87"/>
      <c r="CH404" s="87"/>
      <c r="CI404" s="87"/>
      <c r="CJ404" s="87"/>
      <c r="CK404" s="87"/>
      <c r="CL404" s="87"/>
      <c r="CM404" s="87"/>
      <c r="CN404" s="87"/>
      <c r="CO404" s="87"/>
      <c r="CP404" s="87"/>
      <c r="CQ404" s="87"/>
      <c r="CR404" s="87"/>
      <c r="CS404" s="87"/>
      <c r="CT404" s="87"/>
      <c r="CU404" s="87"/>
      <c r="CV404" s="87"/>
      <c r="CW404" s="87"/>
      <c r="CX404" s="87"/>
      <c r="CY404" s="87"/>
      <c r="CZ404" s="87"/>
      <c r="DA404" s="87"/>
      <c r="DB404" s="87"/>
      <c r="DC404" s="87"/>
      <c r="DD404" s="87"/>
      <c r="DE404" s="87"/>
      <c r="DF404" s="87"/>
      <c r="DG404" s="87"/>
      <c r="DH404" s="87"/>
      <c r="DI404" s="87"/>
      <c r="DJ404" s="87"/>
      <c r="DK404" s="87"/>
      <c r="DL404" s="87"/>
      <c r="DM404" s="87"/>
      <c r="DN404" s="87"/>
      <c r="DO404" s="87"/>
      <c r="DP404" s="87"/>
      <c r="DQ404" s="87"/>
      <c r="DR404" s="87"/>
      <c r="DS404" s="87"/>
      <c r="DT404" s="87"/>
      <c r="DU404" s="87"/>
      <c r="DV404" s="87"/>
      <c r="DW404" s="87"/>
      <c r="DX404" s="87"/>
      <c r="DY404" s="87"/>
      <c r="DZ404" s="87"/>
      <c r="EA404" s="87"/>
      <c r="EB404" s="87"/>
      <c r="EC404" s="87"/>
      <c r="ED404" s="87"/>
      <c r="EE404" s="87"/>
      <c r="EF404" s="87"/>
      <c r="EG404" s="75">
        <v>46017</v>
      </c>
      <c r="EH404" s="75">
        <v>46024</v>
      </c>
      <c r="EI404" s="75">
        <v>46031</v>
      </c>
    </row>
    <row r="405" spans="1:139" ht="29.25" hidden="1" thickBot="1" x14ac:dyDescent="0.35">
      <c r="A405" s="222" t="s">
        <v>243</v>
      </c>
      <c r="B405" s="191">
        <v>3</v>
      </c>
      <c r="C405" s="177">
        <f>7*0.85</f>
        <v>5.95</v>
      </c>
      <c r="D405" s="217">
        <f>C405/VLOOKUP(B405,'[2]Gas Prod per PADD'!$A$1:$C$6,2,FALSE)</f>
        <v>1.2934782608695653E-3</v>
      </c>
      <c r="E405" s="178">
        <v>45609</v>
      </c>
      <c r="F405" s="252">
        <v>45632</v>
      </c>
      <c r="G405" s="180" t="s">
        <v>163</v>
      </c>
      <c r="H405" s="181" t="s">
        <v>754</v>
      </c>
      <c r="I405" s="84"/>
      <c r="J405" s="85"/>
      <c r="K405" s="85"/>
      <c r="L405" s="85"/>
      <c r="M405" s="85"/>
      <c r="N405" s="85"/>
      <c r="O405" s="85"/>
      <c r="P405" s="85"/>
      <c r="Q405" s="85"/>
      <c r="R405" s="85"/>
      <c r="S405" s="85"/>
      <c r="T405" s="85"/>
      <c r="U405" s="85"/>
      <c r="V405" s="84"/>
      <c r="W405" s="84"/>
      <c r="X405" s="84" t="str">
        <f t="shared" si="16"/>
        <v>OK</v>
      </c>
      <c r="Y405" s="105"/>
      <c r="Z405" s="105"/>
      <c r="AA405" s="87"/>
      <c r="AB405" s="87"/>
      <c r="AC405" s="87"/>
      <c r="AD405" s="87"/>
      <c r="AE405" s="105"/>
      <c r="AF405" s="105"/>
      <c r="AG405" s="105"/>
      <c r="AH405" s="105"/>
      <c r="AI405" s="87"/>
      <c r="AJ405" s="87"/>
      <c r="AK405" s="105"/>
      <c r="AL405" s="87"/>
      <c r="AM405" s="105"/>
      <c r="AN405" s="105"/>
      <c r="AO405" s="87"/>
      <c r="AP405" s="87"/>
      <c r="AQ405" s="105"/>
      <c r="AR405" s="105"/>
      <c r="AS405" s="87"/>
      <c r="AT405" s="105"/>
      <c r="AU405" s="105"/>
      <c r="AV405" s="87"/>
      <c r="AW405" s="105"/>
      <c r="AX405" s="105"/>
      <c r="AY405" s="87"/>
      <c r="AZ405" s="105"/>
      <c r="BA405" s="105"/>
      <c r="BB405" s="105"/>
      <c r="BC405" s="87"/>
      <c r="BD405" s="87"/>
      <c r="BE405" s="105"/>
      <c r="BF405" s="105"/>
      <c r="BG405" s="105"/>
      <c r="BH405" s="105"/>
      <c r="BI405" s="105"/>
      <c r="BJ405" s="87"/>
      <c r="BK405" s="87"/>
      <c r="BL405" s="87"/>
      <c r="BM405" s="87"/>
      <c r="BN405" s="87"/>
      <c r="BO405" s="87"/>
      <c r="BP405" s="87"/>
      <c r="BQ405" s="87"/>
      <c r="BR405" s="87"/>
      <c r="BS405" s="87"/>
      <c r="BT405" s="87"/>
      <c r="BU405" s="87"/>
      <c r="BV405" s="87"/>
      <c r="BW405" s="87"/>
      <c r="BX405" s="87"/>
      <c r="BY405" s="87"/>
      <c r="BZ405" s="87"/>
      <c r="CA405" s="87">
        <f>-3/7*C405</f>
        <v>-2.5499999999999998</v>
      </c>
      <c r="CB405" s="87">
        <f>-4/7*C405</f>
        <v>-3.4</v>
      </c>
      <c r="CC405" s="87"/>
      <c r="CD405" s="87">
        <f>-CB405</f>
        <v>3.4</v>
      </c>
      <c r="CE405" s="87">
        <f>-CA405</f>
        <v>2.5499999999999998</v>
      </c>
      <c r="CF405" s="87"/>
      <c r="CG405" s="87"/>
      <c r="CH405" s="87"/>
      <c r="CI405" s="87"/>
      <c r="CJ405" s="87"/>
      <c r="CK405" s="87"/>
      <c r="CL405" s="87"/>
      <c r="CM405" s="87"/>
      <c r="CN405" s="87"/>
      <c r="CO405" s="87"/>
      <c r="CP405" s="87"/>
      <c r="CQ405" s="87"/>
      <c r="CR405" s="87"/>
      <c r="CS405" s="87"/>
      <c r="CT405" s="87"/>
      <c r="CU405" s="87"/>
      <c r="CV405" s="87"/>
      <c r="CW405" s="87"/>
      <c r="CX405" s="87"/>
      <c r="CY405" s="87"/>
      <c r="CZ405" s="87"/>
      <c r="DA405" s="87"/>
      <c r="DB405" s="87"/>
      <c r="DC405" s="87"/>
      <c r="DD405" s="87"/>
      <c r="DE405" s="87"/>
      <c r="DF405" s="87"/>
      <c r="DG405" s="87"/>
      <c r="DH405" s="87"/>
      <c r="DI405" s="87"/>
      <c r="DJ405" s="87"/>
      <c r="DK405" s="87"/>
      <c r="DL405" s="87"/>
      <c r="DM405" s="87"/>
      <c r="DN405" s="87"/>
      <c r="DO405" s="87"/>
      <c r="DP405" s="87"/>
      <c r="DQ405" s="87"/>
      <c r="DR405" s="87"/>
      <c r="DS405" s="87"/>
      <c r="DT405" s="87"/>
      <c r="DU405" s="87"/>
      <c r="DV405" s="87"/>
      <c r="DW405" s="87"/>
      <c r="DX405" s="87"/>
      <c r="DY405" s="87"/>
      <c r="DZ405" s="87"/>
      <c r="EA405" s="87"/>
      <c r="EB405" s="87"/>
      <c r="EC405" s="87"/>
      <c r="ED405" s="87"/>
      <c r="EE405" s="87"/>
      <c r="EF405" s="87"/>
      <c r="EG405" s="87"/>
      <c r="EH405" s="87"/>
      <c r="EI405" s="87"/>
    </row>
    <row r="406" spans="1:139" ht="16.5" hidden="1" thickBot="1" x14ac:dyDescent="0.35">
      <c r="A406" s="113" t="s">
        <v>384</v>
      </c>
      <c r="B406" s="194">
        <v>2</v>
      </c>
      <c r="C406" s="195">
        <f>12*0.25</f>
        <v>3</v>
      </c>
      <c r="D406" s="217">
        <f>C406/VLOOKUP(B406,'[2]Gas Prod per PADD'!$A$1:$C$6,2,FALSE)</f>
        <v>1.25E-3</v>
      </c>
      <c r="E406" s="196">
        <v>45628</v>
      </c>
      <c r="F406" s="281">
        <v>45633</v>
      </c>
      <c r="G406" s="194" t="s">
        <v>218</v>
      </c>
      <c r="H406" s="198" t="s">
        <v>640</v>
      </c>
      <c r="I406" s="84"/>
      <c r="J406" s="85"/>
      <c r="K406" s="85"/>
      <c r="L406" s="85"/>
      <c r="M406" s="85"/>
      <c r="N406" s="85"/>
      <c r="O406" s="85"/>
      <c r="P406" s="85"/>
      <c r="Q406" s="85"/>
      <c r="R406" s="85"/>
      <c r="S406" s="85"/>
      <c r="T406" s="85"/>
      <c r="U406" s="85"/>
      <c r="V406" s="84"/>
      <c r="W406" s="84"/>
      <c r="X406" s="84" t="str">
        <f t="shared" si="16"/>
        <v>OK</v>
      </c>
      <c r="Y406" s="105"/>
      <c r="Z406" s="105"/>
      <c r="AA406" s="87"/>
      <c r="AB406" s="87"/>
      <c r="AC406" s="87"/>
      <c r="AD406" s="87"/>
      <c r="AE406" s="105"/>
      <c r="AF406" s="105"/>
      <c r="AG406" s="105"/>
      <c r="AH406" s="105"/>
      <c r="AI406" s="87"/>
      <c r="AJ406" s="87"/>
      <c r="AK406" s="105"/>
      <c r="AL406" s="87"/>
      <c r="AM406" s="105"/>
      <c r="AN406" s="105"/>
      <c r="AO406" s="87"/>
      <c r="AP406" s="87"/>
      <c r="AQ406" s="105"/>
      <c r="AR406" s="105"/>
      <c r="AS406" s="87"/>
      <c r="AT406" s="105"/>
      <c r="AU406" s="105"/>
      <c r="AV406" s="87"/>
      <c r="AW406" s="105"/>
      <c r="AX406" s="105"/>
      <c r="AY406" s="105"/>
      <c r="AZ406" s="105"/>
      <c r="BA406" s="105"/>
      <c r="BB406" s="105"/>
      <c r="BC406" s="87"/>
      <c r="BD406" s="87"/>
      <c r="BE406" s="87"/>
      <c r="BF406" s="105"/>
      <c r="BG406" s="105"/>
      <c r="BH406" s="105"/>
      <c r="BI406" s="105"/>
      <c r="BJ406" s="87"/>
      <c r="BK406" s="87"/>
      <c r="BL406" s="87"/>
      <c r="BM406" s="87"/>
      <c r="BN406" s="87"/>
      <c r="BO406" s="87"/>
      <c r="BP406" s="87"/>
      <c r="BQ406" s="87"/>
      <c r="BR406" s="87"/>
      <c r="BS406" s="87"/>
      <c r="BT406" s="87"/>
      <c r="BU406" s="87"/>
      <c r="BV406" s="87"/>
      <c r="BW406" s="87"/>
      <c r="BX406" s="87"/>
      <c r="BY406" s="87"/>
      <c r="BZ406" s="87"/>
      <c r="CA406" s="87"/>
      <c r="CB406" s="87"/>
      <c r="CC406" s="87"/>
      <c r="CD406" s="87">
        <f>-6/7*C406</f>
        <v>-2.5714285714285712</v>
      </c>
      <c r="CE406" s="87">
        <f>-CD406</f>
        <v>2.5714285714285712</v>
      </c>
      <c r="CF406" s="87"/>
      <c r="CG406" s="87"/>
      <c r="CH406" s="87"/>
      <c r="CI406" s="87"/>
      <c r="CJ406" s="87"/>
      <c r="CK406" s="87"/>
      <c r="CL406" s="87"/>
      <c r="CM406" s="87"/>
      <c r="CN406" s="87"/>
      <c r="CO406" s="87"/>
      <c r="CP406" s="87"/>
      <c r="CQ406" s="87"/>
      <c r="CR406" s="87"/>
      <c r="CS406" s="87"/>
      <c r="CT406" s="87"/>
      <c r="CU406" s="87"/>
      <c r="CV406" s="87"/>
      <c r="CW406" s="87"/>
      <c r="CX406" s="87"/>
      <c r="CY406" s="87"/>
      <c r="CZ406" s="87"/>
      <c r="DA406" s="87"/>
      <c r="DB406" s="87"/>
      <c r="DC406" s="87"/>
      <c r="DD406" s="87"/>
      <c r="DE406" s="87"/>
      <c r="DF406" s="87"/>
      <c r="DG406" s="87"/>
      <c r="DH406" s="87"/>
      <c r="DI406" s="87"/>
      <c r="DJ406" s="87"/>
      <c r="DK406" s="87"/>
      <c r="DL406" s="87"/>
      <c r="DM406" s="87"/>
      <c r="DN406" s="87"/>
      <c r="DO406" s="87"/>
      <c r="DP406" s="87"/>
      <c r="DQ406" s="87"/>
      <c r="DR406" s="87"/>
      <c r="DS406" s="87"/>
      <c r="DT406" s="87"/>
      <c r="DU406" s="87"/>
      <c r="DV406" s="87"/>
      <c r="DW406" s="87"/>
      <c r="DX406" s="87"/>
      <c r="DY406" s="87"/>
      <c r="DZ406" s="87"/>
      <c r="EA406" s="87"/>
      <c r="EB406" s="87"/>
      <c r="EC406" s="87"/>
      <c r="ED406" s="87"/>
      <c r="EE406" s="87"/>
      <c r="EF406" s="87"/>
      <c r="EG406" s="87"/>
      <c r="EH406" s="87"/>
      <c r="EI406" s="87"/>
    </row>
    <row r="407" spans="1:139" ht="16.5" hidden="1" thickBot="1" x14ac:dyDescent="0.35">
      <c r="A407" s="218" t="s">
        <v>534</v>
      </c>
      <c r="B407" s="194">
        <v>2</v>
      </c>
      <c r="C407" s="195">
        <f>7.5*0.25</f>
        <v>1.875</v>
      </c>
      <c r="D407" s="217">
        <f>C407/VLOOKUP(B407,'[2]Gas Prod per PADD'!$A$1:$C$6,2,FALSE)</f>
        <v>7.8125000000000004E-4</v>
      </c>
      <c r="E407" s="178">
        <v>45630</v>
      </c>
      <c r="F407" s="281">
        <f>E407+6</f>
        <v>45636</v>
      </c>
      <c r="G407" s="194" t="s">
        <v>724</v>
      </c>
      <c r="H407" s="230" t="s">
        <v>640</v>
      </c>
      <c r="I407" s="84"/>
      <c r="J407" s="85"/>
      <c r="K407" s="85"/>
      <c r="L407" s="85"/>
      <c r="M407" s="85"/>
      <c r="N407" s="85"/>
      <c r="O407" s="85"/>
      <c r="P407" s="85"/>
      <c r="Q407" s="85"/>
      <c r="R407" s="85"/>
      <c r="S407" s="85"/>
      <c r="T407" s="85"/>
      <c r="U407" s="85"/>
      <c r="V407" s="84"/>
      <c r="W407" s="84"/>
      <c r="X407" s="84" t="str">
        <f t="shared" si="16"/>
        <v>OK</v>
      </c>
      <c r="Y407" s="105"/>
      <c r="Z407" s="105"/>
      <c r="AA407" s="87"/>
      <c r="AB407" s="87"/>
      <c r="AC407" s="87"/>
      <c r="AD407" s="87"/>
      <c r="AE407" s="105"/>
      <c r="AF407" s="105"/>
      <c r="AG407" s="105"/>
      <c r="AH407" s="105"/>
      <c r="AI407" s="87"/>
      <c r="AJ407" s="87"/>
      <c r="AK407" s="105"/>
      <c r="AL407" s="87"/>
      <c r="AM407" s="105"/>
      <c r="AN407" s="105"/>
      <c r="AO407" s="87"/>
      <c r="AP407" s="87"/>
      <c r="AQ407" s="105"/>
      <c r="AR407" s="105"/>
      <c r="AS407" s="87"/>
      <c r="AT407" s="105"/>
      <c r="AU407" s="87"/>
      <c r="AV407" s="87"/>
      <c r="AW407" s="105"/>
      <c r="AX407" s="105"/>
      <c r="AY407" s="87"/>
      <c r="AZ407" s="105"/>
      <c r="BA407" s="105"/>
      <c r="BB407" s="105"/>
      <c r="BC407" s="105"/>
      <c r="BD407" s="105"/>
      <c r="BE407" s="87"/>
      <c r="BF407" s="105"/>
      <c r="BG407" s="105"/>
      <c r="BH407" s="105"/>
      <c r="BI407" s="105"/>
      <c r="BJ407" s="87"/>
      <c r="BK407" s="87"/>
      <c r="BL407" s="87"/>
      <c r="BM407" s="87"/>
      <c r="BN407" s="87"/>
      <c r="BO407" s="87"/>
      <c r="BP407" s="87"/>
      <c r="BQ407" s="87"/>
      <c r="BR407" s="87"/>
      <c r="BS407" s="87"/>
      <c r="BT407" s="87"/>
      <c r="BU407" s="87"/>
      <c r="BV407" s="87"/>
      <c r="BW407" s="87"/>
      <c r="BX407" s="87"/>
      <c r="BY407" s="87"/>
      <c r="BZ407" s="87"/>
      <c r="CA407" s="87"/>
      <c r="CB407" s="87"/>
      <c r="CC407" s="87"/>
      <c r="CD407" s="295">
        <f>-3/7*C407</f>
        <v>-0.80357142857142849</v>
      </c>
      <c r="CE407" s="87">
        <f>C407*(3/7)</f>
        <v>0.80357142857142849</v>
      </c>
      <c r="CF407" s="87"/>
      <c r="CG407" s="87"/>
      <c r="CH407" s="87"/>
      <c r="CI407" s="87"/>
      <c r="CJ407" s="87"/>
      <c r="CK407" s="87"/>
      <c r="CL407" s="87"/>
      <c r="CM407" s="87"/>
      <c r="CN407" s="87"/>
      <c r="CO407" s="87"/>
      <c r="CP407" s="87"/>
      <c r="CQ407" s="87"/>
      <c r="CR407" s="87"/>
      <c r="CS407" s="87"/>
      <c r="CT407" s="87"/>
      <c r="CU407" s="87"/>
      <c r="CV407" s="87"/>
      <c r="CW407" s="87"/>
      <c r="CX407" s="87"/>
      <c r="CY407" s="87"/>
      <c r="CZ407" s="87"/>
      <c r="DA407" s="87"/>
      <c r="DB407" s="87"/>
      <c r="DC407" s="87"/>
      <c r="DD407" s="87"/>
      <c r="DE407" s="87"/>
      <c r="DF407" s="87"/>
      <c r="DG407" s="87"/>
      <c r="DH407" s="87"/>
      <c r="DI407" s="87"/>
      <c r="DJ407" s="87"/>
      <c r="DK407" s="87"/>
      <c r="DL407" s="87"/>
      <c r="DM407" s="87"/>
      <c r="DN407" s="87"/>
      <c r="DO407" s="87"/>
      <c r="DP407" s="87"/>
      <c r="DQ407" s="87"/>
      <c r="DR407" s="87"/>
      <c r="DS407" s="87"/>
      <c r="DT407" s="87"/>
      <c r="DU407" s="87"/>
      <c r="DV407" s="87"/>
      <c r="DW407" s="87"/>
      <c r="DX407" s="87"/>
      <c r="DY407" s="87"/>
      <c r="DZ407" s="87"/>
      <c r="EA407" s="87"/>
      <c r="EB407" s="87"/>
      <c r="EC407" s="87"/>
      <c r="ED407" s="87"/>
      <c r="EE407" s="87"/>
      <c r="EF407" s="87"/>
      <c r="EG407" s="87"/>
      <c r="EH407" s="87"/>
      <c r="EI407" s="87"/>
    </row>
    <row r="408" spans="1:139" ht="16.5" hidden="1" thickBot="1" x14ac:dyDescent="0.35">
      <c r="A408" s="113" t="s">
        <v>357</v>
      </c>
      <c r="B408" s="194">
        <v>5</v>
      </c>
      <c r="C408" s="195">
        <f>25.3*0.25</f>
        <v>6.3250000000000002</v>
      </c>
      <c r="D408" s="217">
        <f>C408/VLOOKUP(B408,'[2]Gas Prod per PADD'!$A$1:$C$6,2,FALSE)</f>
        <v>4.6851851851851855E-3</v>
      </c>
      <c r="E408" s="196">
        <v>45635</v>
      </c>
      <c r="F408" s="281">
        <v>45636</v>
      </c>
      <c r="G408" s="194" t="s">
        <v>755</v>
      </c>
      <c r="H408" s="198" t="s">
        <v>640</v>
      </c>
      <c r="I408" s="84"/>
      <c r="J408" s="85"/>
      <c r="K408" s="85"/>
      <c r="L408" s="85"/>
      <c r="M408" s="85"/>
      <c r="N408" s="85"/>
      <c r="O408" s="85"/>
      <c r="P408" s="85"/>
      <c r="Q408" s="85"/>
      <c r="R408" s="85"/>
      <c r="S408" s="85"/>
      <c r="T408" s="85"/>
      <c r="U408" s="85"/>
      <c r="V408" s="84"/>
      <c r="W408" s="84"/>
      <c r="X408" s="84" t="str">
        <f t="shared" si="16"/>
        <v>OK</v>
      </c>
      <c r="Y408" s="87"/>
      <c r="Z408" s="87"/>
      <c r="AA408" s="87"/>
      <c r="AB408" s="87"/>
      <c r="AC408" s="87"/>
      <c r="AD408" s="87"/>
      <c r="AE408" s="87"/>
      <c r="AF408" s="87"/>
      <c r="AG408" s="87"/>
      <c r="AH408" s="87"/>
      <c r="AI408" s="87"/>
      <c r="AJ408" s="87"/>
      <c r="AK408" s="87"/>
      <c r="AL408" s="87"/>
      <c r="AM408" s="87"/>
      <c r="AN408" s="87"/>
      <c r="AO408" s="87"/>
      <c r="AP408" s="87"/>
      <c r="AQ408" s="87"/>
      <c r="AR408" s="87"/>
      <c r="AS408" s="87"/>
      <c r="AT408" s="87"/>
      <c r="AU408" s="87"/>
      <c r="AV408" s="87"/>
      <c r="AW408" s="87"/>
      <c r="AX408" s="87"/>
      <c r="AY408" s="87"/>
      <c r="AZ408" s="87"/>
      <c r="BA408" s="87"/>
      <c r="BB408" s="87"/>
      <c r="BC408" s="87"/>
      <c r="BD408" s="87"/>
      <c r="BE408" s="87"/>
      <c r="BF408" s="87"/>
      <c r="BG408" s="87"/>
      <c r="BH408" s="87"/>
      <c r="BI408" s="87"/>
      <c r="BJ408" s="87"/>
      <c r="BK408" s="87"/>
      <c r="BL408" s="87"/>
      <c r="BM408" s="87"/>
      <c r="BN408" s="87"/>
      <c r="BO408" s="87"/>
      <c r="BP408" s="87"/>
      <c r="BQ408" s="87"/>
      <c r="BR408" s="87"/>
      <c r="BS408" s="87"/>
      <c r="BT408" s="87"/>
      <c r="BU408" s="87"/>
      <c r="BV408" s="87"/>
      <c r="BW408" s="87"/>
      <c r="BX408" s="87"/>
      <c r="BY408" s="87"/>
      <c r="BZ408" s="87"/>
      <c r="CA408" s="87"/>
      <c r="CB408" s="87"/>
      <c r="CC408" s="87"/>
      <c r="CD408" s="87"/>
      <c r="CE408" s="87">
        <f>-1/7*C408</f>
        <v>-0.90357142857142858</v>
      </c>
      <c r="CF408" s="87">
        <f>-CE408</f>
        <v>0.90357142857142858</v>
      </c>
      <c r="CG408" s="87"/>
      <c r="CH408" s="87"/>
      <c r="CI408" s="87"/>
      <c r="CJ408" s="87"/>
      <c r="CK408" s="87"/>
      <c r="CL408" s="87"/>
      <c r="CM408" s="87"/>
      <c r="CN408" s="87"/>
      <c r="CO408" s="87"/>
      <c r="CP408" s="87"/>
      <c r="CQ408" s="87"/>
      <c r="CR408" s="87"/>
      <c r="CS408" s="87"/>
      <c r="CT408" s="87"/>
      <c r="CU408" s="87"/>
      <c r="CV408" s="87"/>
      <c r="CW408" s="87"/>
      <c r="CX408" s="87"/>
      <c r="CY408" s="87"/>
      <c r="CZ408" s="87"/>
      <c r="DA408" s="87"/>
      <c r="DB408" s="87"/>
      <c r="DC408" s="87"/>
      <c r="DD408" s="87"/>
      <c r="DE408" s="87"/>
      <c r="DF408" s="87"/>
      <c r="DG408" s="87"/>
      <c r="DH408" s="87"/>
      <c r="DI408" s="87"/>
      <c r="DJ408" s="87"/>
      <c r="DK408" s="87"/>
      <c r="DL408" s="87"/>
      <c r="DM408" s="87"/>
      <c r="DN408" s="87"/>
      <c r="DO408" s="87"/>
      <c r="DP408" s="87"/>
      <c r="DQ408" s="87"/>
      <c r="DR408" s="87"/>
      <c r="DS408" s="87"/>
      <c r="DT408" s="87"/>
      <c r="DU408" s="87"/>
      <c r="DV408" s="87"/>
      <c r="DW408" s="87"/>
      <c r="DX408" s="87"/>
      <c r="DY408" s="87"/>
      <c r="DZ408" s="87"/>
      <c r="EA408" s="87"/>
      <c r="EB408" s="87"/>
      <c r="EC408" s="87"/>
      <c r="ED408" s="87"/>
      <c r="EE408" s="87"/>
      <c r="EF408" s="87"/>
      <c r="EG408" s="75"/>
      <c r="EH408" s="75"/>
      <c r="EI408" s="75"/>
    </row>
    <row r="409" spans="1:139" ht="43.5" hidden="1" thickBot="1" x14ac:dyDescent="0.35">
      <c r="A409" s="190" t="s">
        <v>149</v>
      </c>
      <c r="B409" s="279">
        <v>3</v>
      </c>
      <c r="C409" s="224">
        <f>25*0.85</f>
        <v>21.25</v>
      </c>
      <c r="D409" s="217">
        <f>C409/VLOOKUP(B409,'[2]Gas Prod per PADD'!$A$1:$C$6,2,FALSE)</f>
        <v>4.6195652173913046E-3</v>
      </c>
      <c r="E409" s="225">
        <v>45596</v>
      </c>
      <c r="F409" s="276">
        <v>45638</v>
      </c>
      <c r="G409" s="180" t="s">
        <v>756</v>
      </c>
      <c r="H409" s="221" t="s">
        <v>611</v>
      </c>
      <c r="I409" s="84"/>
      <c r="J409" s="85"/>
      <c r="K409" s="85"/>
      <c r="L409" s="85"/>
      <c r="M409" s="85"/>
      <c r="N409" s="85"/>
      <c r="O409" s="85"/>
      <c r="P409" s="85"/>
      <c r="Q409" s="85"/>
      <c r="R409" s="85"/>
      <c r="S409" s="85"/>
      <c r="T409" s="85"/>
      <c r="U409" s="85"/>
      <c r="V409" s="84"/>
      <c r="W409" s="84"/>
      <c r="X409" s="84" t="str">
        <f t="shared" si="16"/>
        <v>OK</v>
      </c>
      <c r="Y409" s="105"/>
      <c r="Z409" s="105"/>
      <c r="AA409" s="87"/>
      <c r="AB409" s="87"/>
      <c r="AC409" s="87"/>
      <c r="AD409" s="87"/>
      <c r="AE409" s="105"/>
      <c r="AF409" s="105"/>
      <c r="AG409" s="105"/>
      <c r="AH409" s="105"/>
      <c r="AI409" s="87"/>
      <c r="AJ409" s="87"/>
      <c r="AK409" s="105"/>
      <c r="AL409" s="87"/>
      <c r="AM409" s="105"/>
      <c r="AN409" s="105"/>
      <c r="AO409" s="87"/>
      <c r="AP409" s="87"/>
      <c r="AQ409" s="105"/>
      <c r="AR409" s="105"/>
      <c r="AS409" s="87"/>
      <c r="AT409" s="105"/>
      <c r="AU409" s="105"/>
      <c r="AV409" s="87"/>
      <c r="AW409" s="105"/>
      <c r="AX409" s="105"/>
      <c r="AY409" s="87"/>
      <c r="AZ409" s="105"/>
      <c r="BA409" s="105"/>
      <c r="BB409" s="105"/>
      <c r="BC409" s="87"/>
      <c r="BD409" s="87"/>
      <c r="BE409" s="87"/>
      <c r="BF409" s="105"/>
      <c r="BG409" s="105"/>
      <c r="BH409" s="105"/>
      <c r="BI409" s="105"/>
      <c r="BJ409" s="105"/>
      <c r="BK409" s="87"/>
      <c r="BL409" s="87"/>
      <c r="BM409" s="87"/>
      <c r="BN409" s="87"/>
      <c r="BO409" s="87"/>
      <c r="BP409" s="87"/>
      <c r="BQ409" s="87"/>
      <c r="BR409" s="105"/>
      <c r="BS409" s="105"/>
      <c r="BT409" s="87"/>
      <c r="BU409" s="105"/>
      <c r="BV409" s="105"/>
      <c r="BW409" s="105"/>
      <c r="BX409" s="105"/>
      <c r="BY409" s="105">
        <f>-1/7*C409</f>
        <v>-3.0357142857142856</v>
      </c>
      <c r="BZ409" s="105">
        <f>-6/7*C409</f>
        <v>-18.214285714285712</v>
      </c>
      <c r="CA409" s="105"/>
      <c r="CB409" s="87"/>
      <c r="CC409" s="87"/>
      <c r="CD409" s="105"/>
      <c r="CE409" s="105">
        <f>-BY409</f>
        <v>3.0357142857142856</v>
      </c>
      <c r="CF409" s="105">
        <f>-BZ409</f>
        <v>18.214285714285712</v>
      </c>
      <c r="CG409" s="87"/>
      <c r="CH409" s="87"/>
      <c r="CI409" s="87"/>
      <c r="CJ409" s="87"/>
      <c r="CK409" s="87"/>
      <c r="CL409" s="87"/>
      <c r="CM409" s="87"/>
      <c r="CN409" s="87"/>
      <c r="CO409" s="87"/>
      <c r="CP409" s="87"/>
      <c r="CQ409" s="87"/>
      <c r="CR409" s="87"/>
      <c r="CS409" s="87"/>
      <c r="CT409" s="87"/>
      <c r="CU409" s="87"/>
      <c r="CV409" s="87"/>
      <c r="CW409" s="87"/>
      <c r="CX409" s="87"/>
      <c r="CY409" s="87"/>
      <c r="CZ409" s="87"/>
      <c r="DA409" s="87"/>
      <c r="DB409" s="87"/>
      <c r="DC409" s="87"/>
      <c r="DD409" s="87"/>
      <c r="DE409" s="87"/>
      <c r="DF409" s="87"/>
      <c r="DG409" s="87"/>
      <c r="DH409" s="87"/>
      <c r="DI409" s="87"/>
      <c r="DJ409" s="87"/>
      <c r="DK409" s="87"/>
      <c r="DL409" s="87"/>
      <c r="DM409" s="87"/>
      <c r="DN409" s="87"/>
      <c r="DO409" s="87"/>
      <c r="DP409" s="87"/>
      <c r="DQ409" s="87"/>
      <c r="DR409" s="87"/>
      <c r="DS409" s="87"/>
      <c r="DT409" s="87"/>
      <c r="DU409" s="87"/>
      <c r="DV409" s="87"/>
      <c r="DW409" s="87"/>
      <c r="DX409" s="87"/>
      <c r="DY409" s="87"/>
      <c r="DZ409" s="87"/>
      <c r="EA409" s="87"/>
      <c r="EB409" s="87"/>
      <c r="EC409" s="87"/>
      <c r="ED409" s="87"/>
      <c r="EE409" s="87"/>
      <c r="EF409" s="87"/>
      <c r="EG409" s="87"/>
      <c r="EH409" s="87"/>
      <c r="EI409" s="87"/>
    </row>
    <row r="410" spans="1:139" ht="16.5" hidden="1" thickBot="1" x14ac:dyDescent="0.35">
      <c r="A410" s="242" t="s">
        <v>352</v>
      </c>
      <c r="B410" s="194">
        <v>5</v>
      </c>
      <c r="C410" s="195">
        <f>42*0.25</f>
        <v>10.5</v>
      </c>
      <c r="D410" s="217">
        <f>C410/VLOOKUP(B410,'[2]Gas Prod per PADD'!$A$1:$C$6,2,FALSE)</f>
        <v>7.7777777777777776E-3</v>
      </c>
      <c r="E410" s="231">
        <v>45618</v>
      </c>
      <c r="F410" s="281">
        <v>45638</v>
      </c>
      <c r="G410" s="194" t="s">
        <v>757</v>
      </c>
      <c r="H410" s="198" t="s">
        <v>758</v>
      </c>
      <c r="I410" s="84"/>
      <c r="J410" s="85"/>
      <c r="K410" s="85"/>
      <c r="L410" s="85"/>
      <c r="M410" s="85"/>
      <c r="N410" s="85"/>
      <c r="O410" s="85"/>
      <c r="P410" s="85"/>
      <c r="Q410" s="85"/>
      <c r="R410" s="85"/>
      <c r="S410" s="85"/>
      <c r="T410" s="85"/>
      <c r="U410" s="85"/>
      <c r="V410" s="84"/>
      <c r="W410" s="84"/>
      <c r="X410" s="84" t="str">
        <f t="shared" si="16"/>
        <v>OK</v>
      </c>
      <c r="Y410" s="87"/>
      <c r="Z410" s="87"/>
      <c r="AA410" s="87"/>
      <c r="AB410" s="87"/>
      <c r="AC410" s="87"/>
      <c r="AD410" s="87"/>
      <c r="AE410" s="87"/>
      <c r="AF410" s="87"/>
      <c r="AG410" s="87"/>
      <c r="AH410" s="87"/>
      <c r="AI410" s="87"/>
      <c r="AJ410" s="87"/>
      <c r="AK410" s="87"/>
      <c r="AL410" s="87"/>
      <c r="AM410" s="87"/>
      <c r="AN410" s="87"/>
      <c r="AO410" s="87"/>
      <c r="AP410" s="87"/>
      <c r="AQ410" s="87"/>
      <c r="AR410" s="87"/>
      <c r="AS410" s="87"/>
      <c r="AT410" s="87"/>
      <c r="AU410" s="87"/>
      <c r="AV410" s="87"/>
      <c r="AW410" s="87"/>
      <c r="AX410" s="87"/>
      <c r="AY410" s="87"/>
      <c r="AZ410" s="87"/>
      <c r="BA410" s="87"/>
      <c r="BB410" s="87"/>
      <c r="BC410" s="87"/>
      <c r="BD410" s="87"/>
      <c r="BE410" s="87"/>
      <c r="BF410" s="87"/>
      <c r="BG410" s="87"/>
      <c r="BH410" s="87"/>
      <c r="BI410" s="87"/>
      <c r="BJ410" s="87"/>
      <c r="BK410" s="87"/>
      <c r="BL410" s="87"/>
      <c r="BM410" s="87"/>
      <c r="BN410" s="87"/>
      <c r="BO410" s="87"/>
      <c r="BP410" s="87"/>
      <c r="BQ410" s="87"/>
      <c r="BR410" s="87"/>
      <c r="BS410" s="87"/>
      <c r="BT410" s="87"/>
      <c r="BU410" s="87"/>
      <c r="BV410" s="87"/>
      <c r="BW410" s="87"/>
      <c r="BX410" s="87"/>
      <c r="BY410" s="87"/>
      <c r="BZ410" s="87"/>
      <c r="CA410" s="87"/>
      <c r="CB410" s="87"/>
      <c r="CC410" s="87">
        <f>-C410</f>
        <v>-10.5</v>
      </c>
      <c r="CD410" s="87"/>
      <c r="CE410" s="87"/>
      <c r="CF410" s="87">
        <f>-CC410</f>
        <v>10.5</v>
      </c>
      <c r="CG410" s="87"/>
      <c r="CH410" s="87"/>
      <c r="CI410" s="87"/>
      <c r="CJ410" s="87"/>
      <c r="CK410" s="87"/>
      <c r="CL410" s="87"/>
      <c r="CM410" s="87"/>
      <c r="CN410" s="87"/>
      <c r="CO410" s="87"/>
      <c r="CP410" s="87"/>
      <c r="CQ410" s="87"/>
      <c r="CR410" s="87"/>
      <c r="CS410" s="87"/>
      <c r="CT410" s="87"/>
      <c r="CU410" s="87"/>
      <c r="CV410" s="87"/>
      <c r="CW410" s="87"/>
      <c r="CX410" s="87"/>
      <c r="CY410" s="87"/>
      <c r="CZ410" s="87"/>
      <c r="DA410" s="87"/>
      <c r="DB410" s="87"/>
      <c r="DC410" s="87"/>
      <c r="DD410" s="87"/>
      <c r="DE410" s="87"/>
      <c r="DF410" s="87"/>
      <c r="DG410" s="87"/>
      <c r="DH410" s="87"/>
      <c r="DI410" s="87"/>
      <c r="DJ410" s="87"/>
      <c r="DK410" s="87"/>
      <c r="DL410" s="87"/>
      <c r="DM410" s="87"/>
      <c r="DN410" s="87"/>
      <c r="DO410" s="87"/>
      <c r="DP410" s="87"/>
      <c r="DQ410" s="87"/>
      <c r="DR410" s="87"/>
      <c r="DS410" s="87"/>
      <c r="DT410" s="87"/>
      <c r="DU410" s="87"/>
      <c r="DV410" s="87"/>
      <c r="DW410" s="87"/>
      <c r="DX410" s="87"/>
      <c r="DY410" s="87"/>
      <c r="DZ410" s="87"/>
      <c r="EA410" s="87"/>
      <c r="EB410" s="87"/>
      <c r="EC410" s="87"/>
      <c r="ED410" s="87"/>
      <c r="EE410" s="87"/>
      <c r="EF410" s="87"/>
      <c r="EG410" s="75">
        <v>46017</v>
      </c>
      <c r="EH410" s="75">
        <v>46024</v>
      </c>
      <c r="EI410" s="75">
        <v>46031</v>
      </c>
    </row>
    <row r="411" spans="1:139" ht="29.25" hidden="1" thickBot="1" x14ac:dyDescent="0.35">
      <c r="A411" s="175" t="s">
        <v>207</v>
      </c>
      <c r="B411" s="176">
        <v>5</v>
      </c>
      <c r="C411" s="177">
        <f>65*0.25+(55*0.05)</f>
        <v>19</v>
      </c>
      <c r="D411" s="217">
        <f>C411/VLOOKUP(B411,'[2]Gas Prod per PADD'!$A$1:$C$6,2,FALSE)</f>
        <v>1.4074074074074074E-2</v>
      </c>
      <c r="E411" s="220">
        <v>45628</v>
      </c>
      <c r="F411" s="252">
        <v>45638</v>
      </c>
      <c r="G411" s="180" t="s">
        <v>759</v>
      </c>
      <c r="H411" s="181" t="s">
        <v>760</v>
      </c>
      <c r="I411" s="84"/>
      <c r="J411" s="85"/>
      <c r="K411" s="85"/>
      <c r="L411" s="85"/>
      <c r="M411" s="85"/>
      <c r="N411" s="85"/>
      <c r="O411" s="85"/>
      <c r="P411" s="85"/>
      <c r="Q411" s="85"/>
      <c r="R411" s="85"/>
      <c r="S411" s="85"/>
      <c r="T411" s="85"/>
      <c r="U411" s="85"/>
      <c r="V411" s="84"/>
      <c r="W411" s="84"/>
      <c r="X411" s="84" t="str">
        <f t="shared" si="16"/>
        <v>OK</v>
      </c>
      <c r="Y411" s="87"/>
      <c r="Z411" s="87"/>
      <c r="AA411" s="87"/>
      <c r="AB411" s="87"/>
      <c r="AC411" s="87"/>
      <c r="AD411" s="87"/>
      <c r="AE411" s="87"/>
      <c r="AF411" s="87"/>
      <c r="AG411" s="87"/>
      <c r="AH411" s="87"/>
      <c r="AI411" s="87"/>
      <c r="AJ411" s="87"/>
      <c r="AK411" s="87"/>
      <c r="AL411" s="87"/>
      <c r="AM411" s="87"/>
      <c r="AN411" s="87"/>
      <c r="AO411" s="87"/>
      <c r="AP411" s="87"/>
      <c r="AQ411" s="87"/>
      <c r="AR411" s="87"/>
      <c r="AS411" s="87"/>
      <c r="AT411" s="87"/>
      <c r="AU411" s="87"/>
      <c r="AV411" s="87"/>
      <c r="AW411" s="87"/>
      <c r="AX411" s="87"/>
      <c r="AY411" s="87"/>
      <c r="AZ411" s="87"/>
      <c r="BA411" s="87"/>
      <c r="BB411" s="87"/>
      <c r="BC411" s="87"/>
      <c r="BD411" s="87"/>
      <c r="BE411" s="87"/>
      <c r="BF411" s="87"/>
      <c r="BG411" s="87"/>
      <c r="BH411" s="87"/>
      <c r="BI411" s="87"/>
      <c r="BJ411" s="87"/>
      <c r="BK411" s="87"/>
      <c r="BL411" s="87"/>
      <c r="BM411" s="87"/>
      <c r="BN411" s="87"/>
      <c r="BO411" s="87"/>
      <c r="BP411" s="87"/>
      <c r="BQ411" s="87"/>
      <c r="BR411" s="87"/>
      <c r="BS411" s="87"/>
      <c r="BT411" s="87"/>
      <c r="BU411" s="87"/>
      <c r="BV411" s="87"/>
      <c r="BW411" s="87"/>
      <c r="BX411" s="87"/>
      <c r="BY411" s="87"/>
      <c r="BZ411" s="87"/>
      <c r="CA411" s="87"/>
      <c r="CB411" s="87"/>
      <c r="CC411" s="87"/>
      <c r="CD411" s="87">
        <f>-4/7*C411</f>
        <v>-10.857142857142856</v>
      </c>
      <c r="CE411" s="87">
        <f>-3/7*C411</f>
        <v>-8.1428571428571423</v>
      </c>
      <c r="CF411" s="87">
        <f>CD411*-1</f>
        <v>10.857142857142856</v>
      </c>
      <c r="CG411" s="87">
        <f>CE411*-1</f>
        <v>8.1428571428571423</v>
      </c>
      <c r="CH411" s="87"/>
      <c r="CI411" s="87"/>
      <c r="CJ411" s="87"/>
      <c r="CK411" s="87"/>
      <c r="CL411" s="87"/>
      <c r="CM411" s="87"/>
      <c r="CN411" s="87"/>
      <c r="CO411" s="87"/>
      <c r="CP411" s="87"/>
      <c r="CQ411" s="87"/>
      <c r="CR411" s="87"/>
      <c r="CS411" s="87"/>
      <c r="CT411" s="87"/>
      <c r="CU411" s="87"/>
      <c r="CV411" s="87"/>
      <c r="CW411" s="87"/>
      <c r="CX411" s="87"/>
      <c r="CY411" s="87"/>
      <c r="CZ411" s="87"/>
      <c r="DA411" s="87"/>
      <c r="DB411" s="87"/>
      <c r="DC411" s="87"/>
      <c r="DD411" s="87"/>
      <c r="DE411" s="87"/>
      <c r="DF411" s="87"/>
      <c r="DG411" s="87"/>
      <c r="DH411" s="87"/>
      <c r="DI411" s="87"/>
      <c r="DJ411" s="87"/>
      <c r="DK411" s="87"/>
      <c r="DL411" s="87"/>
      <c r="DM411" s="87"/>
      <c r="DN411" s="87"/>
      <c r="DO411" s="87"/>
      <c r="DP411" s="87"/>
      <c r="DQ411" s="87"/>
      <c r="DR411" s="87"/>
      <c r="DS411" s="87"/>
      <c r="DT411" s="87"/>
      <c r="DU411" s="87"/>
      <c r="DV411" s="87"/>
      <c r="DW411" s="87"/>
      <c r="DX411" s="87"/>
      <c r="DY411" s="87"/>
      <c r="DZ411" s="87"/>
      <c r="EA411" s="87"/>
      <c r="EB411" s="87"/>
      <c r="EC411" s="87"/>
      <c r="ED411" s="87"/>
      <c r="EE411" s="87"/>
      <c r="EF411" s="87"/>
      <c r="EG411" s="75">
        <v>46017</v>
      </c>
      <c r="EH411" s="75">
        <v>46024</v>
      </c>
      <c r="EI411" s="75">
        <v>46031</v>
      </c>
    </row>
    <row r="412" spans="1:139" ht="29.25" hidden="1" thickBot="1" x14ac:dyDescent="0.35">
      <c r="A412" s="175" t="s">
        <v>405</v>
      </c>
      <c r="B412" s="191">
        <v>1</v>
      </c>
      <c r="C412" s="177">
        <f>18*0.05</f>
        <v>0.9</v>
      </c>
      <c r="D412" s="217">
        <f>C412/VLOOKUP(B412,'[2]Gas Prod per PADD'!$A$1:$C$6,2,FALSE)</f>
        <v>1.8750000000000001E-3</v>
      </c>
      <c r="E412" s="178">
        <v>45625</v>
      </c>
      <c r="F412" s="252">
        <f>E412+7+7</f>
        <v>45639</v>
      </c>
      <c r="G412" s="180" t="s">
        <v>761</v>
      </c>
      <c r="H412" s="181" t="s">
        <v>762</v>
      </c>
      <c r="I412" s="84"/>
      <c r="J412" s="85"/>
      <c r="K412" s="85"/>
      <c r="L412" s="85"/>
      <c r="M412" s="85"/>
      <c r="N412" s="85"/>
      <c r="O412" s="85"/>
      <c r="P412" s="85"/>
      <c r="Q412" s="85"/>
      <c r="R412" s="85"/>
      <c r="S412" s="85"/>
      <c r="T412" s="85"/>
      <c r="U412" s="85"/>
      <c r="V412" s="84"/>
      <c r="W412" s="84"/>
      <c r="X412" s="84" t="str">
        <f t="shared" si="16"/>
        <v>OK</v>
      </c>
      <c r="Y412" s="105"/>
      <c r="Z412" s="105"/>
      <c r="AA412" s="87"/>
      <c r="AB412" s="87"/>
      <c r="AC412" s="87"/>
      <c r="AD412" s="87"/>
      <c r="AE412" s="105"/>
      <c r="AF412" s="105"/>
      <c r="AG412" s="105"/>
      <c r="AH412" s="105"/>
      <c r="AI412" s="87"/>
      <c r="AJ412" s="87"/>
      <c r="AK412" s="105"/>
      <c r="AL412" s="87"/>
      <c r="AM412" s="105"/>
      <c r="AN412" s="105"/>
      <c r="AO412" s="87"/>
      <c r="AP412" s="87"/>
      <c r="AQ412" s="105"/>
      <c r="AR412" s="105"/>
      <c r="AS412" s="87"/>
      <c r="AT412" s="105"/>
      <c r="AU412" s="105"/>
      <c r="AV412" s="87"/>
      <c r="AW412" s="105"/>
      <c r="AX412" s="105"/>
      <c r="AY412" s="87"/>
      <c r="AZ412" s="105"/>
      <c r="BA412" s="105"/>
      <c r="BB412" s="105"/>
      <c r="BC412" s="87"/>
      <c r="BD412" s="87"/>
      <c r="BE412" s="105"/>
      <c r="BF412" s="105"/>
      <c r="BG412" s="105"/>
      <c r="BH412" s="105"/>
      <c r="BI412" s="105"/>
      <c r="BJ412" s="87"/>
      <c r="BK412" s="87"/>
      <c r="BL412" s="87"/>
      <c r="BM412" s="87"/>
      <c r="BN412" s="87"/>
      <c r="BO412" s="105"/>
      <c r="BP412" s="105"/>
      <c r="BQ412" s="105"/>
      <c r="BR412" s="87"/>
      <c r="BS412" s="87"/>
      <c r="BT412" s="87"/>
      <c r="BU412" s="87"/>
      <c r="BV412" s="87"/>
      <c r="BW412" s="87"/>
      <c r="BX412" s="87"/>
      <c r="BY412" s="87"/>
      <c r="BZ412" s="87"/>
      <c r="CA412" s="87"/>
      <c r="CB412" s="87"/>
      <c r="CC412" s="87"/>
      <c r="CD412" s="87">
        <f>C412*-1</f>
        <v>-0.9</v>
      </c>
      <c r="CE412" s="87"/>
      <c r="CF412" s="87">
        <f>CD412*-1</f>
        <v>0.9</v>
      </c>
      <c r="CG412" s="87"/>
      <c r="CH412" s="87"/>
      <c r="CI412" s="87"/>
      <c r="CJ412" s="87"/>
      <c r="CK412" s="87"/>
      <c r="CL412" s="87"/>
      <c r="CM412" s="87"/>
      <c r="CN412" s="87"/>
      <c r="CO412" s="87"/>
      <c r="CP412" s="87"/>
      <c r="CQ412" s="87"/>
      <c r="CR412" s="87"/>
      <c r="CS412" s="87"/>
      <c r="CT412" s="87"/>
      <c r="CU412" s="87"/>
      <c r="CV412" s="87"/>
      <c r="CW412" s="87"/>
      <c r="CX412" s="87"/>
      <c r="CY412" s="87"/>
      <c r="CZ412" s="87"/>
      <c r="DA412" s="87"/>
      <c r="DB412" s="87"/>
      <c r="DC412" s="87"/>
      <c r="DD412" s="87"/>
      <c r="DE412" s="87"/>
      <c r="DF412" s="87"/>
      <c r="DG412" s="87"/>
      <c r="DH412" s="87"/>
      <c r="DI412" s="87"/>
      <c r="DJ412" s="87"/>
      <c r="DK412" s="87"/>
      <c r="DL412" s="87"/>
      <c r="DM412" s="87"/>
      <c r="DN412" s="87"/>
      <c r="DO412" s="87"/>
      <c r="DP412" s="87"/>
      <c r="DQ412" s="87"/>
      <c r="DR412" s="87"/>
      <c r="DS412" s="87"/>
      <c r="DT412" s="87"/>
      <c r="DU412" s="87"/>
      <c r="DV412" s="87"/>
      <c r="DW412" s="87"/>
      <c r="DX412" s="87"/>
      <c r="DY412" s="87"/>
      <c r="DZ412" s="87"/>
      <c r="EA412" s="87"/>
      <c r="EB412" s="87"/>
      <c r="EC412" s="87"/>
      <c r="ED412" s="87"/>
      <c r="EE412" s="87"/>
      <c r="EF412" s="87"/>
      <c r="EG412" s="87"/>
      <c r="EH412" s="87"/>
      <c r="EI412" s="87"/>
    </row>
    <row r="413" spans="1:139" ht="43.5" hidden="1" thickBot="1" x14ac:dyDescent="0.35">
      <c r="A413" s="218" t="s">
        <v>231</v>
      </c>
      <c r="B413" s="194">
        <v>2</v>
      </c>
      <c r="C413" s="177">
        <f>20*0.25+(0.65*20)</f>
        <v>18</v>
      </c>
      <c r="D413" s="217">
        <f>C413/VLOOKUP(B413,'[2]Gas Prod per PADD'!$A$1:$C$6,2,FALSE)</f>
        <v>7.4999999999999997E-3</v>
      </c>
      <c r="E413" s="178">
        <v>45628</v>
      </c>
      <c r="F413" s="252">
        <v>45641</v>
      </c>
      <c r="G413" s="180" t="s">
        <v>763</v>
      </c>
      <c r="H413" s="221"/>
      <c r="I413" s="84"/>
      <c r="J413" s="85"/>
      <c r="K413" s="85"/>
      <c r="L413" s="85"/>
      <c r="M413" s="85"/>
      <c r="N413" s="85"/>
      <c r="O413" s="85"/>
      <c r="P413" s="85"/>
      <c r="Q413" s="85"/>
      <c r="R413" s="85"/>
      <c r="S413" s="85"/>
      <c r="T413" s="85"/>
      <c r="U413" s="85"/>
      <c r="V413" s="84"/>
      <c r="W413" s="84"/>
      <c r="X413" s="84" t="str">
        <f t="shared" si="16"/>
        <v>OK</v>
      </c>
      <c r="Y413" s="87"/>
      <c r="Z413" s="87"/>
      <c r="AA413" s="87"/>
      <c r="AB413" s="87"/>
      <c r="AC413" s="87"/>
      <c r="AD413" s="87"/>
      <c r="AE413" s="87"/>
      <c r="AF413" s="87"/>
      <c r="AG413" s="87"/>
      <c r="AH413" s="87"/>
      <c r="AI413" s="87"/>
      <c r="AJ413" s="87"/>
      <c r="AK413" s="87"/>
      <c r="AL413" s="87"/>
      <c r="AM413" s="87"/>
      <c r="AN413" s="87"/>
      <c r="AO413" s="87"/>
      <c r="AP413" s="87"/>
      <c r="AQ413" s="87"/>
      <c r="AR413" s="87"/>
      <c r="AS413" s="87"/>
      <c r="AT413" s="87"/>
      <c r="AU413" s="87"/>
      <c r="AV413" s="87"/>
      <c r="AW413" s="87"/>
      <c r="AX413" s="87"/>
      <c r="AY413" s="87"/>
      <c r="AZ413" s="87"/>
      <c r="BA413" s="87"/>
      <c r="BB413" s="87"/>
      <c r="BC413" s="87"/>
      <c r="BD413" s="87"/>
      <c r="BE413" s="87"/>
      <c r="BF413" s="87"/>
      <c r="BG413" s="87"/>
      <c r="BH413" s="87"/>
      <c r="BI413" s="87"/>
      <c r="BJ413" s="87"/>
      <c r="BK413" s="87"/>
      <c r="BL413" s="87"/>
      <c r="BM413" s="87"/>
      <c r="BN413" s="87"/>
      <c r="BO413" s="87"/>
      <c r="BP413" s="87"/>
      <c r="BQ413" s="87"/>
      <c r="BR413" s="87"/>
      <c r="BS413" s="87"/>
      <c r="BT413" s="87"/>
      <c r="BU413" s="87"/>
      <c r="BV413" s="87"/>
      <c r="BW413" s="87"/>
      <c r="BX413" s="87"/>
      <c r="BY413" s="87"/>
      <c r="BZ413" s="87"/>
      <c r="CA413" s="87"/>
      <c r="CB413" s="87"/>
      <c r="CC413" s="87"/>
      <c r="CD413" s="87">
        <f>-C413*4/7</f>
        <v>-10.285714285714286</v>
      </c>
      <c r="CE413" s="87">
        <f>((C413-(CD413)*-1))*-1</f>
        <v>-7.7142857142857135</v>
      </c>
      <c r="CF413" s="87">
        <f>CE413*-1</f>
        <v>7.7142857142857135</v>
      </c>
      <c r="CG413" s="87">
        <f>CD413*-1</f>
        <v>10.285714285714286</v>
      </c>
      <c r="CH413" s="87"/>
      <c r="CI413" s="87"/>
      <c r="CJ413" s="87"/>
      <c r="CK413" s="87"/>
      <c r="CL413" s="87"/>
      <c r="CM413" s="87"/>
      <c r="CN413" s="87"/>
      <c r="CO413" s="87"/>
      <c r="CP413" s="87"/>
      <c r="CQ413" s="87"/>
      <c r="CR413" s="87"/>
      <c r="CS413" s="87"/>
      <c r="CT413" s="87"/>
      <c r="CU413" s="87"/>
      <c r="CV413" s="87"/>
      <c r="CW413" s="87"/>
      <c r="CX413" s="87"/>
      <c r="CY413" s="87"/>
      <c r="CZ413" s="87"/>
      <c r="DA413" s="87"/>
      <c r="DB413" s="87"/>
      <c r="DC413" s="87"/>
      <c r="DD413" s="87"/>
      <c r="DE413" s="87"/>
      <c r="DF413" s="87"/>
      <c r="DG413" s="87"/>
      <c r="DH413" s="87"/>
      <c r="DI413" s="87"/>
      <c r="DJ413" s="87"/>
      <c r="DK413" s="87"/>
      <c r="DL413" s="87"/>
      <c r="DM413" s="87"/>
      <c r="DN413" s="87"/>
      <c r="DO413" s="87"/>
      <c r="DP413" s="87"/>
      <c r="DQ413" s="87"/>
      <c r="DR413" s="87"/>
      <c r="DS413" s="87"/>
      <c r="DT413" s="87"/>
      <c r="DU413" s="87"/>
      <c r="DV413" s="87"/>
      <c r="DW413" s="87"/>
      <c r="DX413" s="87"/>
      <c r="DY413" s="87"/>
      <c r="DZ413" s="87"/>
      <c r="EA413" s="87"/>
      <c r="EB413" s="87"/>
      <c r="EC413" s="87"/>
      <c r="ED413" s="87"/>
      <c r="EE413" s="87"/>
      <c r="EF413" s="87"/>
      <c r="EG413" s="87"/>
      <c r="EH413" s="87"/>
      <c r="EI413" s="87"/>
    </row>
    <row r="414" spans="1:139" ht="16.5" hidden="1" thickBot="1" x14ac:dyDescent="0.35">
      <c r="A414" s="242" t="s">
        <v>352</v>
      </c>
      <c r="B414" s="194">
        <v>5</v>
      </c>
      <c r="C414" s="195">
        <f>15*0.85</f>
        <v>12.75</v>
      </c>
      <c r="D414" s="217">
        <f>C414/VLOOKUP(B414,'[2]Gas Prod per PADD'!$A$1:$C$6,2,FALSE)</f>
        <v>9.4444444444444445E-3</v>
      </c>
      <c r="E414" s="231">
        <v>45629</v>
      </c>
      <c r="F414" s="281">
        <f>E414+7+7</f>
        <v>45643</v>
      </c>
      <c r="G414" s="194" t="s">
        <v>764</v>
      </c>
      <c r="H414" s="198" t="s">
        <v>765</v>
      </c>
      <c r="I414" s="84"/>
      <c r="J414" s="85"/>
      <c r="K414" s="85"/>
      <c r="L414" s="85"/>
      <c r="M414" s="85"/>
      <c r="N414" s="85"/>
      <c r="O414" s="85"/>
      <c r="P414" s="85"/>
      <c r="Q414" s="85"/>
      <c r="R414" s="85"/>
      <c r="S414" s="85"/>
      <c r="T414" s="85"/>
      <c r="U414" s="85"/>
      <c r="V414" s="84"/>
      <c r="W414" s="84"/>
      <c r="X414" s="84" t="str">
        <f t="shared" si="16"/>
        <v>OK</v>
      </c>
      <c r="Y414" s="87"/>
      <c r="Z414" s="87"/>
      <c r="AA414" s="87"/>
      <c r="AB414" s="87"/>
      <c r="AC414" s="87"/>
      <c r="AD414" s="87"/>
      <c r="AE414" s="87"/>
      <c r="AF414" s="87"/>
      <c r="AG414" s="87"/>
      <c r="AH414" s="87"/>
      <c r="AI414" s="87"/>
      <c r="AJ414" s="87"/>
      <c r="AK414" s="87"/>
      <c r="AL414" s="87"/>
      <c r="AM414" s="87"/>
      <c r="AN414" s="87"/>
      <c r="AO414" s="87"/>
      <c r="AP414" s="87"/>
      <c r="AQ414" s="87"/>
      <c r="AR414" s="87"/>
      <c r="AS414" s="87"/>
      <c r="AT414" s="87"/>
      <c r="AU414" s="87"/>
      <c r="AV414" s="87"/>
      <c r="AW414" s="87"/>
      <c r="AX414" s="87"/>
      <c r="AY414" s="87"/>
      <c r="AZ414" s="87"/>
      <c r="BA414" s="87"/>
      <c r="BB414" s="87"/>
      <c r="BC414" s="87"/>
      <c r="BD414" s="87"/>
      <c r="BE414" s="87"/>
      <c r="BF414" s="87"/>
      <c r="BG414" s="87"/>
      <c r="BH414" s="87"/>
      <c r="BI414" s="87"/>
      <c r="BJ414" s="87"/>
      <c r="BK414" s="87"/>
      <c r="BL414" s="87"/>
      <c r="BM414" s="87"/>
      <c r="BN414" s="87"/>
      <c r="BO414" s="87"/>
      <c r="BP414" s="87"/>
      <c r="BQ414" s="87"/>
      <c r="BR414" s="87"/>
      <c r="BS414" s="87"/>
      <c r="BT414" s="87"/>
      <c r="BU414" s="87"/>
      <c r="BV414" s="87"/>
      <c r="BW414" s="87"/>
      <c r="BX414" s="87"/>
      <c r="BY414" s="87"/>
      <c r="BZ414" s="87"/>
      <c r="CA414" s="87"/>
      <c r="CB414" s="87"/>
      <c r="CC414" s="87"/>
      <c r="CD414" s="87">
        <f>-C415*(3/7)</f>
        <v>-31.071428571428569</v>
      </c>
      <c r="CE414" s="87"/>
      <c r="CF414" s="87">
        <f>-CD414</f>
        <v>31.071428571428569</v>
      </c>
      <c r="CG414" s="87"/>
      <c r="CH414" s="87"/>
      <c r="CI414" s="87"/>
      <c r="CJ414" s="87"/>
      <c r="CK414" s="87"/>
      <c r="CL414" s="87"/>
      <c r="CM414" s="87"/>
      <c r="CN414" s="87"/>
      <c r="CO414" s="87"/>
      <c r="CP414" s="87"/>
      <c r="CQ414" s="87"/>
      <c r="CR414" s="87"/>
      <c r="CS414" s="87"/>
      <c r="CT414" s="87"/>
      <c r="CU414" s="87"/>
      <c r="CV414" s="87"/>
      <c r="CW414" s="87"/>
      <c r="CX414" s="87"/>
      <c r="CY414" s="87"/>
      <c r="CZ414" s="87"/>
      <c r="DA414" s="87"/>
      <c r="DB414" s="87"/>
      <c r="DC414" s="87"/>
      <c r="DD414" s="87"/>
      <c r="DE414" s="87"/>
      <c r="DF414" s="87"/>
      <c r="DG414" s="87"/>
      <c r="DH414" s="87"/>
      <c r="DI414" s="87"/>
      <c r="DJ414" s="87"/>
      <c r="DK414" s="87"/>
      <c r="DL414" s="87"/>
      <c r="DM414" s="87"/>
      <c r="DN414" s="87"/>
      <c r="DO414" s="87"/>
      <c r="DP414" s="87"/>
      <c r="DQ414" s="87"/>
      <c r="DR414" s="87"/>
      <c r="DS414" s="87"/>
      <c r="DT414" s="87"/>
      <c r="DU414" s="87"/>
      <c r="DV414" s="87"/>
      <c r="DW414" s="87"/>
      <c r="DX414" s="87"/>
      <c r="DY414" s="87"/>
      <c r="DZ414" s="87"/>
      <c r="EA414" s="87"/>
      <c r="EB414" s="87"/>
      <c r="EC414" s="87"/>
      <c r="ED414" s="87"/>
      <c r="EE414" s="87"/>
      <c r="EF414" s="87"/>
      <c r="EG414" s="75">
        <v>46017</v>
      </c>
      <c r="EH414" s="75">
        <v>46024</v>
      </c>
      <c r="EI414" s="75">
        <v>46031</v>
      </c>
    </row>
    <row r="415" spans="1:139" ht="43.5" hidden="1" thickBot="1" x14ac:dyDescent="0.35">
      <c r="A415" s="88" t="s">
        <v>336</v>
      </c>
      <c r="B415" s="199">
        <v>3</v>
      </c>
      <c r="C415" s="195">
        <f>(250*0.26)+(0.3*25)</f>
        <v>72.5</v>
      </c>
      <c r="D415" s="217">
        <f>C415/VLOOKUP(B415,'[2]Gas Prod per PADD'!$A$1:$C$6,2,FALSE)</f>
        <v>1.5760869565217391E-2</v>
      </c>
      <c r="E415" s="196">
        <v>45638</v>
      </c>
      <c r="F415" s="281">
        <v>45643</v>
      </c>
      <c r="G415" s="180" t="s">
        <v>766</v>
      </c>
      <c r="H415" s="221"/>
      <c r="I415" s="84"/>
      <c r="J415" s="85"/>
      <c r="K415" s="85"/>
      <c r="L415" s="85"/>
      <c r="M415" s="85"/>
      <c r="N415" s="85"/>
      <c r="O415" s="85"/>
      <c r="P415" s="85"/>
      <c r="Q415" s="85"/>
      <c r="R415" s="85"/>
      <c r="S415" s="85"/>
      <c r="T415" s="85"/>
      <c r="U415" s="85"/>
      <c r="V415" s="84"/>
      <c r="W415" s="84"/>
      <c r="X415" s="84" t="str">
        <f t="shared" si="16"/>
        <v>OK</v>
      </c>
      <c r="Y415" s="87"/>
      <c r="Z415" s="87"/>
      <c r="AA415" s="87"/>
      <c r="AB415" s="87"/>
      <c r="AC415" s="87"/>
      <c r="AD415" s="87"/>
      <c r="AE415" s="87"/>
      <c r="AF415" s="87"/>
      <c r="AG415" s="87"/>
      <c r="AH415" s="87"/>
      <c r="AI415" s="87"/>
      <c r="AJ415" s="87"/>
      <c r="AK415" s="87"/>
      <c r="AL415" s="87"/>
      <c r="AM415" s="87"/>
      <c r="AN415" s="87"/>
      <c r="AO415" s="87"/>
      <c r="AP415" s="87"/>
      <c r="AQ415" s="87"/>
      <c r="AR415" s="87"/>
      <c r="AS415" s="87"/>
      <c r="AT415" s="87"/>
      <c r="AU415" s="87"/>
      <c r="AV415" s="87"/>
      <c r="AW415" s="87"/>
      <c r="AX415" s="87"/>
      <c r="AY415" s="87"/>
      <c r="AZ415" s="87"/>
      <c r="BA415" s="87"/>
      <c r="BB415" s="87"/>
      <c r="BC415" s="87"/>
      <c r="BD415" s="87"/>
      <c r="BE415" s="87"/>
      <c r="BF415" s="87"/>
      <c r="BG415" s="87"/>
      <c r="BH415" s="87"/>
      <c r="BI415" s="87"/>
      <c r="BJ415" s="87"/>
      <c r="BK415" s="87"/>
      <c r="BL415" s="87"/>
      <c r="BM415" s="87"/>
      <c r="BN415" s="87"/>
      <c r="BO415" s="87"/>
      <c r="BP415" s="87"/>
      <c r="BQ415" s="87"/>
      <c r="BR415" s="87"/>
      <c r="BS415" s="87"/>
      <c r="BT415" s="87"/>
      <c r="BU415" s="87"/>
      <c r="BV415" s="87"/>
      <c r="BW415" s="87"/>
      <c r="BX415" s="87"/>
      <c r="BY415" s="87"/>
      <c r="BZ415" s="87"/>
      <c r="CA415" s="87"/>
      <c r="CB415" s="87"/>
      <c r="CC415" s="87"/>
      <c r="CD415" s="87"/>
      <c r="CE415" s="87"/>
      <c r="CF415" s="87">
        <f>-(4.5/7)*C415</f>
        <v>-46.607142857142861</v>
      </c>
      <c r="CG415" s="87">
        <f>CF415*-1</f>
        <v>46.607142857142861</v>
      </c>
      <c r="CH415" s="87"/>
      <c r="CI415" s="87"/>
      <c r="CJ415" s="87"/>
      <c r="CK415" s="87"/>
      <c r="CL415" s="87"/>
      <c r="CM415" s="87"/>
      <c r="CN415" s="87"/>
      <c r="CO415" s="87"/>
      <c r="CP415" s="87"/>
      <c r="CQ415" s="87"/>
      <c r="CR415" s="87"/>
      <c r="CS415" s="87"/>
      <c r="CT415" s="87"/>
      <c r="CU415" s="87"/>
      <c r="CV415" s="87"/>
      <c r="CW415" s="87"/>
      <c r="CX415" s="87"/>
      <c r="CY415" s="87"/>
      <c r="CZ415" s="87"/>
      <c r="DA415" s="87"/>
      <c r="DB415" s="87"/>
      <c r="DC415" s="87"/>
      <c r="DD415" s="87"/>
      <c r="DE415" s="87"/>
      <c r="DF415" s="87"/>
      <c r="DG415" s="87"/>
      <c r="DH415" s="87"/>
      <c r="DI415" s="87"/>
      <c r="DJ415" s="87"/>
      <c r="DK415" s="87"/>
      <c r="DL415" s="87"/>
      <c r="DM415" s="87"/>
      <c r="DN415" s="87"/>
      <c r="DO415" s="87"/>
      <c r="DP415" s="87"/>
      <c r="DQ415" s="87"/>
      <c r="DR415" s="87"/>
      <c r="DS415" s="87"/>
      <c r="DT415" s="87"/>
      <c r="DU415" s="87"/>
      <c r="DV415" s="87"/>
      <c r="DW415" s="87"/>
      <c r="DX415" s="87"/>
      <c r="DY415" s="87"/>
      <c r="DZ415" s="87"/>
      <c r="EA415" s="87"/>
      <c r="EB415" s="87"/>
      <c r="EC415" s="87"/>
      <c r="ED415" s="87"/>
      <c r="EE415" s="87"/>
      <c r="EF415" s="87"/>
      <c r="EG415" s="87"/>
      <c r="EH415" s="87"/>
      <c r="EI415" s="87"/>
    </row>
    <row r="416" spans="1:139" ht="16.5" hidden="1" thickBot="1" x14ac:dyDescent="0.35">
      <c r="A416" s="237" t="s">
        <v>563</v>
      </c>
      <c r="B416" s="194">
        <v>2</v>
      </c>
      <c r="C416" s="195">
        <f>32*0.65</f>
        <v>20.8</v>
      </c>
      <c r="D416" s="217">
        <f>C416/VLOOKUP(B416,'[2]Gas Prod per PADD'!$A$1:$C$6,2,FALSE)</f>
        <v>8.6666666666666663E-3</v>
      </c>
      <c r="E416" s="196">
        <v>45641</v>
      </c>
      <c r="F416" s="281">
        <v>45644</v>
      </c>
      <c r="G416" s="194" t="s">
        <v>767</v>
      </c>
      <c r="H416" s="198" t="s">
        <v>485</v>
      </c>
      <c r="I416" s="84"/>
      <c r="J416" s="85"/>
      <c r="K416" s="85"/>
      <c r="L416" s="85"/>
      <c r="M416" s="85"/>
      <c r="N416" s="85"/>
      <c r="O416" s="85"/>
      <c r="P416" s="85"/>
      <c r="Q416" s="85"/>
      <c r="R416" s="85"/>
      <c r="S416" s="85"/>
      <c r="T416" s="85"/>
      <c r="U416" s="85"/>
      <c r="V416" s="84"/>
      <c r="W416" s="84"/>
      <c r="X416" s="84" t="str">
        <f t="shared" si="16"/>
        <v>OK</v>
      </c>
      <c r="Y416" s="87"/>
      <c r="Z416" s="87"/>
      <c r="AA416" s="87"/>
      <c r="AB416" s="87"/>
      <c r="AC416" s="87"/>
      <c r="AD416" s="87"/>
      <c r="AE416" s="87"/>
      <c r="AF416" s="87"/>
      <c r="AG416" s="87"/>
      <c r="AH416" s="87"/>
      <c r="AI416" s="87"/>
      <c r="AJ416" s="87"/>
      <c r="AK416" s="87"/>
      <c r="AL416" s="87"/>
      <c r="AM416" s="87"/>
      <c r="AN416" s="87"/>
      <c r="AO416" s="87"/>
      <c r="AP416" s="87"/>
      <c r="AQ416" s="87"/>
      <c r="AR416" s="87"/>
      <c r="AS416" s="87"/>
      <c r="AT416" s="87"/>
      <c r="AU416" s="87"/>
      <c r="AV416" s="87"/>
      <c r="AW416" s="87"/>
      <c r="AX416" s="87"/>
      <c r="AY416" s="87"/>
      <c r="AZ416" s="87"/>
      <c r="BA416" s="87"/>
      <c r="BB416" s="87"/>
      <c r="BC416" s="87"/>
      <c r="BD416" s="87"/>
      <c r="BE416" s="87"/>
      <c r="BF416" s="87"/>
      <c r="BG416" s="87"/>
      <c r="BH416" s="87"/>
      <c r="BI416" s="87"/>
      <c r="BJ416" s="87"/>
      <c r="BK416" s="87"/>
      <c r="BL416" s="87"/>
      <c r="BM416" s="87"/>
      <c r="BN416" s="87"/>
      <c r="BO416" s="87"/>
      <c r="BP416" s="87"/>
      <c r="BQ416" s="87"/>
      <c r="BR416" s="87"/>
      <c r="BS416" s="87"/>
      <c r="BT416" s="87"/>
      <c r="BU416" s="87"/>
      <c r="BV416" s="87"/>
      <c r="BW416" s="87"/>
      <c r="BX416" s="87"/>
      <c r="BY416" s="87"/>
      <c r="BZ416" s="87"/>
      <c r="CA416" s="87"/>
      <c r="CB416" s="87"/>
      <c r="CC416" s="87"/>
      <c r="CD416" s="87"/>
      <c r="CE416" s="87"/>
      <c r="CF416" s="87">
        <f>-(3/7)*C416</f>
        <v>-8.9142857142857146</v>
      </c>
      <c r="CG416" s="87">
        <f>CF416*-1</f>
        <v>8.9142857142857146</v>
      </c>
      <c r="CH416" s="87"/>
      <c r="CI416" s="87"/>
      <c r="CJ416" s="87"/>
      <c r="CK416" s="87"/>
      <c r="CL416" s="87"/>
      <c r="CM416" s="87"/>
      <c r="CN416" s="87"/>
      <c r="CO416" s="87"/>
      <c r="CP416" s="87"/>
      <c r="CQ416" s="87"/>
      <c r="CR416" s="87"/>
      <c r="CS416" s="87"/>
      <c r="CT416" s="87"/>
      <c r="CU416" s="87"/>
      <c r="CV416" s="87"/>
      <c r="CW416" s="87"/>
      <c r="CX416" s="87"/>
      <c r="CY416" s="87"/>
      <c r="CZ416" s="87"/>
      <c r="DA416" s="87"/>
      <c r="DB416" s="87"/>
      <c r="DC416" s="87"/>
      <c r="DD416" s="87"/>
      <c r="DE416" s="87"/>
      <c r="DF416" s="87"/>
      <c r="DG416" s="87"/>
      <c r="DH416" s="87"/>
      <c r="DI416" s="87"/>
      <c r="DJ416" s="87"/>
      <c r="DK416" s="87"/>
      <c r="DL416" s="87"/>
      <c r="DM416" s="87"/>
      <c r="DN416" s="87"/>
      <c r="DO416" s="87"/>
      <c r="DP416" s="87"/>
      <c r="DQ416" s="87"/>
      <c r="DR416" s="87"/>
      <c r="DS416" s="87"/>
      <c r="DT416" s="87"/>
      <c r="DU416" s="87"/>
      <c r="DV416" s="87"/>
      <c r="DW416" s="87"/>
      <c r="DX416" s="87"/>
      <c r="DY416" s="87"/>
      <c r="DZ416" s="87"/>
      <c r="EA416" s="87"/>
      <c r="EB416" s="87"/>
      <c r="EC416" s="87"/>
      <c r="ED416" s="87"/>
      <c r="EE416" s="87"/>
      <c r="EF416" s="87"/>
      <c r="EG416" s="87"/>
      <c r="EH416" s="87"/>
      <c r="EI416" s="87"/>
    </row>
    <row r="417" spans="1:139" ht="29.25" hidden="1" thickBot="1" x14ac:dyDescent="0.35">
      <c r="A417" s="190" t="s">
        <v>745</v>
      </c>
      <c r="B417" s="282">
        <v>3</v>
      </c>
      <c r="C417" s="195">
        <f>(0.65*32.5)</f>
        <v>21.125</v>
      </c>
      <c r="D417" s="217">
        <f>C417/VLOOKUP(B417,'[2]Gas Prod per PADD'!$A$1:$C$6,2,FALSE)</f>
        <v>4.5923913043478259E-3</v>
      </c>
      <c r="E417" s="178">
        <v>45577</v>
      </c>
      <c r="F417" s="252">
        <v>45646</v>
      </c>
      <c r="G417" s="194" t="s">
        <v>768</v>
      </c>
      <c r="H417" s="181" t="s">
        <v>769</v>
      </c>
      <c r="I417" s="84"/>
      <c r="J417" s="85"/>
      <c r="K417" s="85"/>
      <c r="L417" s="85"/>
      <c r="M417" s="85"/>
      <c r="N417" s="85"/>
      <c r="O417" s="85"/>
      <c r="P417" s="85"/>
      <c r="Q417" s="85"/>
      <c r="R417" s="85"/>
      <c r="S417" s="85"/>
      <c r="T417" s="85"/>
      <c r="U417" s="85"/>
      <c r="V417" s="84"/>
      <c r="W417" s="84"/>
      <c r="X417" s="84" t="str">
        <f t="shared" si="16"/>
        <v>OK</v>
      </c>
      <c r="Y417" s="87"/>
      <c r="Z417" s="87"/>
      <c r="AA417" s="87"/>
      <c r="AB417" s="87"/>
      <c r="AC417" s="87"/>
      <c r="AD417" s="87"/>
      <c r="AE417" s="87"/>
      <c r="AF417" s="87"/>
      <c r="AG417" s="87"/>
      <c r="AH417" s="87"/>
      <c r="AI417" s="87"/>
      <c r="AJ417" s="87"/>
      <c r="AK417" s="87"/>
      <c r="AL417" s="87"/>
      <c r="AM417" s="87"/>
      <c r="AN417" s="87"/>
      <c r="AO417" s="87"/>
      <c r="AP417" s="87"/>
      <c r="AQ417" s="87"/>
      <c r="AR417" s="87"/>
      <c r="AS417" s="87"/>
      <c r="AT417" s="87"/>
      <c r="AU417" s="87"/>
      <c r="AV417" s="87"/>
      <c r="AW417" s="87"/>
      <c r="AX417" s="87"/>
      <c r="AY417" s="87"/>
      <c r="AZ417" s="87"/>
      <c r="BA417" s="87"/>
      <c r="BB417" s="87"/>
      <c r="BC417" s="87"/>
      <c r="BD417" s="87"/>
      <c r="BE417" s="87"/>
      <c r="BF417" s="87"/>
      <c r="BG417" s="87"/>
      <c r="BH417" s="87"/>
      <c r="BI417" s="87"/>
      <c r="BJ417" s="87"/>
      <c r="BK417" s="87"/>
      <c r="BL417" s="87"/>
      <c r="BM417" s="87"/>
      <c r="BN417" s="87"/>
      <c r="BO417" s="87"/>
      <c r="BP417" s="87"/>
      <c r="BQ417" s="87"/>
      <c r="BR417" s="87"/>
      <c r="BS417" s="87"/>
      <c r="BT417" s="87"/>
      <c r="BU417" s="87"/>
      <c r="BV417" s="87"/>
      <c r="BW417" s="87">
        <f>-0.85*C417</f>
        <v>-17.956250000000001</v>
      </c>
      <c r="BX417" s="87">
        <f>-1*C417-BW417</f>
        <v>-3.1687499999999993</v>
      </c>
      <c r="BY417" s="87"/>
      <c r="BZ417" s="87"/>
      <c r="CA417" s="87"/>
      <c r="CB417" s="87"/>
      <c r="CC417" s="87"/>
      <c r="CD417" s="87"/>
      <c r="CE417" s="105"/>
      <c r="CF417" s="87"/>
      <c r="CG417" s="105">
        <f>-$BW417</f>
        <v>17.956250000000001</v>
      </c>
      <c r="CH417" s="87">
        <f>-$BX417</f>
        <v>3.1687499999999993</v>
      </c>
      <c r="CI417" s="87"/>
      <c r="CJ417" s="87"/>
      <c r="CK417" s="87"/>
      <c r="CL417" s="87"/>
      <c r="CM417" s="87"/>
      <c r="CN417" s="87"/>
      <c r="CO417" s="87"/>
      <c r="CP417" s="87"/>
      <c r="CQ417" s="87"/>
      <c r="CR417" s="87"/>
      <c r="CS417" s="87"/>
      <c r="CT417" s="87"/>
      <c r="CU417" s="87"/>
      <c r="CV417" s="87"/>
      <c r="CW417" s="87"/>
      <c r="CX417" s="87"/>
      <c r="CY417" s="87"/>
      <c r="CZ417" s="87"/>
      <c r="DA417" s="87"/>
      <c r="DB417" s="87"/>
      <c r="DC417" s="87"/>
      <c r="DD417" s="87"/>
      <c r="DE417" s="87"/>
      <c r="DF417" s="87"/>
      <c r="DG417" s="87"/>
      <c r="DH417" s="87"/>
      <c r="DI417" s="87"/>
      <c r="DJ417" s="87"/>
      <c r="DK417" s="87"/>
      <c r="DL417" s="87"/>
      <c r="DM417" s="87"/>
      <c r="DN417" s="87"/>
      <c r="DO417" s="87"/>
      <c r="DP417" s="87"/>
      <c r="DQ417" s="87"/>
      <c r="DR417" s="87"/>
      <c r="DS417" s="87"/>
      <c r="DT417" s="87"/>
      <c r="DU417" s="87"/>
      <c r="DV417" s="87"/>
      <c r="DW417" s="87"/>
      <c r="DX417" s="87"/>
      <c r="DY417" s="87"/>
      <c r="DZ417" s="87"/>
      <c r="EA417" s="87"/>
      <c r="EB417" s="87"/>
      <c r="EC417" s="87"/>
      <c r="ED417" s="87"/>
      <c r="EE417" s="87"/>
      <c r="EF417" s="87"/>
      <c r="EG417" s="87"/>
      <c r="EH417" s="87"/>
      <c r="EI417" s="87"/>
    </row>
    <row r="418" spans="1:139" ht="16.5" hidden="1" thickBot="1" x14ac:dyDescent="0.35">
      <c r="A418" s="161" t="s">
        <v>289</v>
      </c>
      <c r="B418" s="176">
        <v>3</v>
      </c>
      <c r="C418" s="177">
        <f>0.95*13.8</f>
        <v>13.11</v>
      </c>
      <c r="D418" s="217">
        <f>C418/VLOOKUP(B418,'[2]Gas Prod per PADD'!$A$1:$C$6,2,FALSE)</f>
        <v>2.8499999999999997E-3</v>
      </c>
      <c r="E418" s="251">
        <v>45639</v>
      </c>
      <c r="F418" s="252">
        <f>E418+7</f>
        <v>45646</v>
      </c>
      <c r="G418" s="180" t="s">
        <v>703</v>
      </c>
      <c r="H418" s="198" t="s">
        <v>704</v>
      </c>
      <c r="I418" s="84"/>
      <c r="J418" s="85"/>
      <c r="K418" s="85"/>
      <c r="L418" s="85"/>
      <c r="M418" s="85"/>
      <c r="N418" s="85"/>
      <c r="O418" s="85"/>
      <c r="P418" s="85"/>
      <c r="Q418" s="85"/>
      <c r="R418" s="85"/>
      <c r="S418" s="85"/>
      <c r="T418" s="85"/>
      <c r="U418" s="85"/>
      <c r="V418" s="84"/>
      <c r="W418" s="84"/>
      <c r="X418" s="84" t="str">
        <f t="shared" si="16"/>
        <v>OK</v>
      </c>
      <c r="Y418" s="87"/>
      <c r="Z418" s="87"/>
      <c r="AA418" s="87"/>
      <c r="AB418" s="87"/>
      <c r="AC418" s="87"/>
      <c r="AD418" s="87"/>
      <c r="AE418" s="87"/>
      <c r="AF418" s="87"/>
      <c r="AG418" s="87"/>
      <c r="AH418" s="87"/>
      <c r="AI418" s="87"/>
      <c r="AJ418" s="87"/>
      <c r="AK418" s="87"/>
      <c r="AL418" s="87"/>
      <c r="AM418" s="87"/>
      <c r="AN418" s="87"/>
      <c r="AO418" s="87"/>
      <c r="AP418" s="87"/>
      <c r="AQ418" s="87"/>
      <c r="AR418" s="87"/>
      <c r="AS418" s="87"/>
      <c r="AT418" s="87"/>
      <c r="AU418" s="87"/>
      <c r="AV418" s="87"/>
      <c r="AW418" s="87"/>
      <c r="AX418" s="87"/>
      <c r="AY418" s="87"/>
      <c r="AZ418" s="87"/>
      <c r="BA418" s="87"/>
      <c r="BB418" s="87"/>
      <c r="BC418" s="87"/>
      <c r="BD418" s="87"/>
      <c r="BE418" s="87"/>
      <c r="BF418" s="87"/>
      <c r="BG418" s="87"/>
      <c r="BH418" s="87"/>
      <c r="BI418" s="87"/>
      <c r="BJ418" s="87"/>
      <c r="BK418" s="87"/>
      <c r="BL418" s="87"/>
      <c r="BM418" s="87"/>
      <c r="BN418" s="105"/>
      <c r="BO418" s="87"/>
      <c r="BP418" s="105"/>
      <c r="BQ418" s="105"/>
      <c r="BR418" s="87"/>
      <c r="BS418" s="87"/>
      <c r="BT418" s="87"/>
      <c r="BU418" s="87"/>
      <c r="BV418" s="87"/>
      <c r="BW418" s="87"/>
      <c r="BX418" s="87"/>
      <c r="BY418" s="87"/>
      <c r="BZ418" s="87"/>
      <c r="CA418" s="87"/>
      <c r="CB418" s="87"/>
      <c r="CC418" s="87"/>
      <c r="CD418" s="87"/>
      <c r="CE418" s="87"/>
      <c r="CF418" s="87">
        <f>-0.85*C418</f>
        <v>-11.1435</v>
      </c>
      <c r="CG418" s="87">
        <f>CF418*-1</f>
        <v>11.1435</v>
      </c>
      <c r="CH418" s="87"/>
      <c r="CI418" s="87"/>
      <c r="CJ418" s="87"/>
      <c r="CK418" s="87"/>
      <c r="CL418" s="87"/>
      <c r="CM418" s="87"/>
      <c r="CN418" s="87"/>
      <c r="CO418" s="87"/>
      <c r="CP418" s="87"/>
      <c r="CQ418" s="87"/>
      <c r="CR418" s="87"/>
      <c r="CS418" s="87"/>
      <c r="CT418" s="87"/>
      <c r="CU418" s="87"/>
      <c r="CV418" s="87"/>
      <c r="CW418" s="87"/>
      <c r="CX418" s="87"/>
      <c r="CY418" s="87"/>
      <c r="CZ418" s="87"/>
      <c r="DA418" s="87"/>
      <c r="DB418" s="87"/>
      <c r="DC418" s="87"/>
      <c r="DD418" s="87"/>
      <c r="DE418" s="87"/>
      <c r="DF418" s="87"/>
      <c r="DG418" s="87"/>
      <c r="DH418" s="87"/>
      <c r="DI418" s="87"/>
      <c r="DJ418" s="87"/>
      <c r="DK418" s="87"/>
      <c r="DL418" s="87"/>
      <c r="DM418" s="87"/>
      <c r="DN418" s="87"/>
      <c r="DO418" s="87"/>
      <c r="DP418" s="87"/>
      <c r="DQ418" s="87"/>
      <c r="DR418" s="87"/>
      <c r="DS418" s="87"/>
      <c r="DT418" s="87"/>
      <c r="DU418" s="87"/>
      <c r="DV418" s="87"/>
      <c r="DW418" s="87"/>
      <c r="DX418" s="87"/>
      <c r="DY418" s="87"/>
      <c r="DZ418" s="87"/>
      <c r="EA418" s="87"/>
      <c r="EB418" s="87"/>
      <c r="EC418" s="87"/>
      <c r="ED418" s="87"/>
      <c r="EE418" s="87"/>
      <c r="EF418" s="87"/>
      <c r="EG418" s="87"/>
      <c r="EH418" s="87"/>
      <c r="EI418" s="87"/>
    </row>
    <row r="419" spans="1:139" ht="16.5" hidden="1" thickBot="1" x14ac:dyDescent="0.35">
      <c r="A419" s="161" t="s">
        <v>212</v>
      </c>
      <c r="B419" s="194">
        <v>5</v>
      </c>
      <c r="C419" s="195">
        <f>17*0.85</f>
        <v>14.45</v>
      </c>
      <c r="D419" s="217">
        <f>C419/VLOOKUP(B419,'[2]Gas Prod per PADD'!$A$1:$C$6,2,FALSE)</f>
        <v>1.0703703703703703E-2</v>
      </c>
      <c r="E419" s="196">
        <v>45623</v>
      </c>
      <c r="F419" s="281">
        <v>45649</v>
      </c>
      <c r="G419" s="194" t="s">
        <v>770</v>
      </c>
      <c r="H419" s="230"/>
      <c r="I419" s="84"/>
      <c r="J419" s="85"/>
      <c r="K419" s="85"/>
      <c r="L419" s="85"/>
      <c r="M419" s="85"/>
      <c r="N419" s="85"/>
      <c r="O419" s="85"/>
      <c r="P419" s="85"/>
      <c r="Q419" s="85"/>
      <c r="R419" s="85"/>
      <c r="S419" s="85"/>
      <c r="T419" s="85"/>
      <c r="U419" s="85"/>
      <c r="V419" s="84"/>
      <c r="W419" s="84"/>
      <c r="X419" s="84" t="str">
        <f t="shared" si="16"/>
        <v>OK</v>
      </c>
      <c r="Y419" s="105"/>
      <c r="Z419" s="105"/>
      <c r="AA419" s="87"/>
      <c r="AB419" s="87"/>
      <c r="AC419" s="87"/>
      <c r="AD419" s="87"/>
      <c r="AE419" s="105"/>
      <c r="AF419" s="105"/>
      <c r="AG419" s="105"/>
      <c r="AH419" s="105"/>
      <c r="AI419" s="87"/>
      <c r="AJ419" s="87"/>
      <c r="AK419" s="105"/>
      <c r="AL419" s="87"/>
      <c r="AM419" s="105"/>
      <c r="AN419" s="105"/>
      <c r="AO419" s="87"/>
      <c r="AP419" s="87"/>
      <c r="AQ419" s="105"/>
      <c r="AR419" s="105"/>
      <c r="AS419" s="87"/>
      <c r="AT419" s="105"/>
      <c r="AU419" s="87"/>
      <c r="AV419" s="87"/>
      <c r="AW419" s="105"/>
      <c r="AX419" s="105"/>
      <c r="AY419" s="87"/>
      <c r="AZ419" s="105"/>
      <c r="BA419" s="105"/>
      <c r="BB419" s="105"/>
      <c r="BC419" s="105"/>
      <c r="BD419" s="105"/>
      <c r="BE419" s="105"/>
      <c r="BF419" s="105"/>
      <c r="BG419" s="105"/>
      <c r="BH419" s="105"/>
      <c r="BI419" s="105"/>
      <c r="BJ419" s="87"/>
      <c r="BK419" s="87"/>
      <c r="BL419" s="87"/>
      <c r="BM419" s="87"/>
      <c r="BN419" s="87"/>
      <c r="BO419" s="87"/>
      <c r="BP419" s="87"/>
      <c r="BQ419" s="87"/>
      <c r="BR419" s="87"/>
      <c r="BS419" s="87"/>
      <c r="BT419" s="87"/>
      <c r="BU419" s="87"/>
      <c r="BV419" s="87"/>
      <c r="BW419" s="87"/>
      <c r="BX419" s="87"/>
      <c r="BY419" s="87"/>
      <c r="BZ419" s="87"/>
      <c r="CA419" s="87"/>
      <c r="CB419" s="87"/>
      <c r="CC419" s="87">
        <f>((-2/7)*C419)</f>
        <v>-4.1285714285714281</v>
      </c>
      <c r="CD419" s="87">
        <f>(CC419+C419)*-1</f>
        <v>-10.321428571428571</v>
      </c>
      <c r="CE419" s="87"/>
      <c r="CF419" s="87"/>
      <c r="CG419" s="87">
        <f>CD419*-1</f>
        <v>10.321428571428571</v>
      </c>
      <c r="CH419" s="87">
        <f>CC419*-1</f>
        <v>4.1285714285714281</v>
      </c>
      <c r="CI419" s="87"/>
      <c r="CJ419" s="87"/>
      <c r="CK419" s="87"/>
      <c r="CL419" s="87"/>
      <c r="CM419" s="87"/>
      <c r="CN419" s="87"/>
      <c r="CO419" s="87"/>
      <c r="CP419" s="87"/>
      <c r="CQ419" s="87"/>
      <c r="CR419" s="87"/>
      <c r="CS419" s="87"/>
      <c r="CT419" s="87"/>
      <c r="CU419" s="87"/>
      <c r="CV419" s="87"/>
      <c r="CW419" s="87"/>
      <c r="CX419" s="87"/>
      <c r="CY419" s="87"/>
      <c r="CZ419" s="87"/>
      <c r="DA419" s="87"/>
      <c r="DB419" s="87"/>
      <c r="DC419" s="87"/>
      <c r="DD419" s="87"/>
      <c r="DE419" s="87"/>
      <c r="DF419" s="87"/>
      <c r="DG419" s="87"/>
      <c r="DH419" s="87"/>
      <c r="DI419" s="87"/>
      <c r="DJ419" s="87"/>
      <c r="DK419" s="87"/>
      <c r="DL419" s="87"/>
      <c r="DM419" s="87"/>
      <c r="DN419" s="87"/>
      <c r="DO419" s="87"/>
      <c r="DP419" s="87"/>
      <c r="DQ419" s="87"/>
      <c r="DR419" s="87"/>
      <c r="DS419" s="87"/>
      <c r="DT419" s="87"/>
      <c r="DU419" s="87"/>
      <c r="DV419" s="87"/>
      <c r="DW419" s="87"/>
      <c r="DX419" s="87"/>
      <c r="DY419" s="87"/>
      <c r="DZ419" s="87"/>
      <c r="EA419" s="87"/>
      <c r="EB419" s="87"/>
      <c r="EC419" s="87"/>
      <c r="ED419" s="87"/>
      <c r="EE419" s="87"/>
      <c r="EF419" s="87"/>
      <c r="EG419" s="75">
        <v>46017</v>
      </c>
      <c r="EH419" s="75">
        <v>46024</v>
      </c>
      <c r="EI419" s="75">
        <v>46031</v>
      </c>
    </row>
    <row r="420" spans="1:139" ht="29.25" hidden="1" thickBot="1" x14ac:dyDescent="0.35">
      <c r="A420" s="161" t="s">
        <v>119</v>
      </c>
      <c r="B420" s="279">
        <v>5</v>
      </c>
      <c r="C420" s="224">
        <v>51</v>
      </c>
      <c r="D420" s="217">
        <f>C420/VLOOKUP(B420,'[2]Gas Prod per PADD'!$A$1:$C$6,2,FALSE)</f>
        <v>3.7777777777777778E-2</v>
      </c>
      <c r="E420" s="225">
        <v>45643</v>
      </c>
      <c r="F420" s="226">
        <f>E420+7</f>
        <v>45650</v>
      </c>
      <c r="G420" s="180" t="s">
        <v>699</v>
      </c>
      <c r="H420" s="181" t="s">
        <v>771</v>
      </c>
      <c r="I420" s="84"/>
      <c r="J420" s="85"/>
      <c r="K420" s="85"/>
      <c r="L420" s="85"/>
      <c r="M420" s="85"/>
      <c r="N420" s="85"/>
      <c r="O420" s="85"/>
      <c r="P420" s="85"/>
      <c r="Q420" s="85"/>
      <c r="R420" s="85"/>
      <c r="S420" s="85"/>
      <c r="T420" s="85"/>
      <c r="U420" s="85"/>
      <c r="V420" s="84"/>
      <c r="W420" s="84"/>
      <c r="X420" s="84" t="str">
        <f t="shared" si="16"/>
        <v>OK</v>
      </c>
      <c r="Y420" s="105"/>
      <c r="Z420" s="105"/>
      <c r="AA420" s="87"/>
      <c r="AB420" s="87"/>
      <c r="AC420" s="87"/>
      <c r="AD420" s="87"/>
      <c r="AE420" s="105"/>
      <c r="AF420" s="105"/>
      <c r="AG420" s="105"/>
      <c r="AH420" s="105"/>
      <c r="AI420" s="87"/>
      <c r="AJ420" s="87"/>
      <c r="AK420" s="105"/>
      <c r="AL420" s="87"/>
      <c r="AM420" s="105"/>
      <c r="AN420" s="105"/>
      <c r="AO420" s="87"/>
      <c r="AP420" s="87"/>
      <c r="AQ420" s="105"/>
      <c r="AR420" s="105"/>
      <c r="AS420" s="87"/>
      <c r="AT420" s="105"/>
      <c r="AU420" s="87"/>
      <c r="AV420" s="87"/>
      <c r="AW420" s="105"/>
      <c r="AX420" s="105"/>
      <c r="AY420" s="87"/>
      <c r="AZ420" s="105"/>
      <c r="BA420" s="105"/>
      <c r="BB420" s="105"/>
      <c r="BC420" s="105"/>
      <c r="BD420" s="105"/>
      <c r="BE420" s="105"/>
      <c r="BF420" s="105"/>
      <c r="BG420" s="105"/>
      <c r="BH420" s="105"/>
      <c r="BI420" s="105"/>
      <c r="BJ420" s="87"/>
      <c r="BK420" s="87"/>
      <c r="BL420" s="87"/>
      <c r="BM420" s="87"/>
      <c r="BN420" s="87"/>
      <c r="BO420" s="87"/>
      <c r="BP420" s="87"/>
      <c r="BQ420" s="87"/>
      <c r="BR420" s="87"/>
      <c r="BS420" s="87"/>
      <c r="BT420" s="87"/>
      <c r="BU420" s="87"/>
      <c r="BV420" s="87"/>
      <c r="BW420" s="87"/>
      <c r="BX420" s="87"/>
      <c r="BY420" s="87"/>
      <c r="BZ420" s="87"/>
      <c r="CA420" s="87"/>
      <c r="CB420" s="87"/>
      <c r="CC420" s="87"/>
      <c r="CD420" s="87"/>
      <c r="CE420" s="87"/>
      <c r="CF420" s="87">
        <f>(-3/7)*C420</f>
        <v>-21.857142857142858</v>
      </c>
      <c r="CG420" s="87">
        <f>CF420*-1</f>
        <v>21.857142857142858</v>
      </c>
      <c r="CH420" s="87"/>
      <c r="CI420" s="87"/>
      <c r="CJ420" s="87"/>
      <c r="CK420" s="87"/>
      <c r="CL420" s="87"/>
      <c r="CM420" s="87"/>
      <c r="CN420" s="87"/>
      <c r="CO420" s="87"/>
      <c r="CP420" s="87"/>
      <c r="CQ420" s="87"/>
      <c r="CR420" s="87"/>
      <c r="CS420" s="87"/>
      <c r="CT420" s="87"/>
      <c r="CU420" s="87"/>
      <c r="CV420" s="87"/>
      <c r="CW420" s="87"/>
      <c r="CX420" s="87"/>
      <c r="CY420" s="87"/>
      <c r="CZ420" s="87"/>
      <c r="DA420" s="87"/>
      <c r="DB420" s="87"/>
      <c r="DC420" s="87"/>
      <c r="DD420" s="87"/>
      <c r="DE420" s="87"/>
      <c r="DF420" s="87"/>
      <c r="DG420" s="87"/>
      <c r="DH420" s="87"/>
      <c r="DI420" s="87"/>
      <c r="DJ420" s="87"/>
      <c r="DK420" s="87"/>
      <c r="DL420" s="87"/>
      <c r="DM420" s="87"/>
      <c r="DN420" s="87"/>
      <c r="DO420" s="87"/>
      <c r="DP420" s="87"/>
      <c r="DQ420" s="87"/>
      <c r="DR420" s="87"/>
      <c r="DS420" s="87"/>
      <c r="DT420" s="87"/>
      <c r="DU420" s="87"/>
      <c r="DV420" s="87"/>
      <c r="DW420" s="87"/>
      <c r="DX420" s="87"/>
      <c r="DY420" s="87"/>
      <c r="DZ420" s="87"/>
      <c r="EA420" s="87"/>
      <c r="EB420" s="87"/>
      <c r="EC420" s="87"/>
      <c r="ED420" s="87"/>
      <c r="EE420" s="87"/>
      <c r="EF420" s="87"/>
      <c r="EG420" s="75">
        <v>46017</v>
      </c>
      <c r="EH420" s="75">
        <v>46024</v>
      </c>
      <c r="EI420" s="75">
        <v>46031</v>
      </c>
    </row>
    <row r="421" spans="1:139" ht="29.25" hidden="1" thickBot="1" x14ac:dyDescent="0.35">
      <c r="A421" s="161" t="s">
        <v>119</v>
      </c>
      <c r="B421" s="279">
        <v>5</v>
      </c>
      <c r="C421" s="224">
        <v>2.75</v>
      </c>
      <c r="D421" s="217">
        <f>C421/VLOOKUP(B421,'[2]Gas Prod per PADD'!$A$1:$C$6,2,FALSE)</f>
        <v>2.0370370370370369E-3</v>
      </c>
      <c r="E421" s="225">
        <v>45643</v>
      </c>
      <c r="F421" s="226">
        <f>E421+7</f>
        <v>45650</v>
      </c>
      <c r="G421" s="180" t="s">
        <v>719</v>
      </c>
      <c r="H421" s="181" t="s">
        <v>771</v>
      </c>
      <c r="I421" s="84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4"/>
      <c r="W421" s="84"/>
      <c r="X421" s="84" t="str">
        <f t="shared" si="16"/>
        <v>OK</v>
      </c>
      <c r="Y421" s="105"/>
      <c r="Z421" s="105"/>
      <c r="AA421" s="87"/>
      <c r="AB421" s="87"/>
      <c r="AC421" s="87"/>
      <c r="AD421" s="87"/>
      <c r="AE421" s="105"/>
      <c r="AF421" s="105"/>
      <c r="AG421" s="105"/>
      <c r="AH421" s="105"/>
      <c r="AI421" s="87"/>
      <c r="AJ421" s="87"/>
      <c r="AK421" s="105"/>
      <c r="AL421" s="87"/>
      <c r="AM421" s="105"/>
      <c r="AN421" s="105"/>
      <c r="AO421" s="87"/>
      <c r="AP421" s="87"/>
      <c r="AQ421" s="105"/>
      <c r="AR421" s="105"/>
      <c r="AS421" s="87"/>
      <c r="AT421" s="105"/>
      <c r="AU421" s="87"/>
      <c r="AV421" s="87"/>
      <c r="AW421" s="105"/>
      <c r="AX421" s="105"/>
      <c r="AY421" s="87"/>
      <c r="AZ421" s="105"/>
      <c r="BA421" s="105"/>
      <c r="BB421" s="105"/>
      <c r="BC421" s="105"/>
      <c r="BD421" s="105"/>
      <c r="BE421" s="105"/>
      <c r="BF421" s="105"/>
      <c r="BG421" s="105"/>
      <c r="BH421" s="105"/>
      <c r="BI421" s="105"/>
      <c r="BJ421" s="87"/>
      <c r="BK421" s="87"/>
      <c r="BL421" s="87"/>
      <c r="BM421" s="87"/>
      <c r="BN421" s="87"/>
      <c r="BO421" s="87"/>
      <c r="BP421" s="87"/>
      <c r="BQ421" s="87"/>
      <c r="BR421" s="87"/>
      <c r="BS421" s="87"/>
      <c r="BT421" s="87"/>
      <c r="BU421" s="87"/>
      <c r="BV421" s="87"/>
      <c r="BW421" s="87"/>
      <c r="BX421" s="87"/>
      <c r="BY421" s="87"/>
      <c r="BZ421" s="87"/>
      <c r="CA421" s="87"/>
      <c r="CB421" s="87"/>
      <c r="CC421" s="87"/>
      <c r="CD421" s="87"/>
      <c r="CE421" s="87"/>
      <c r="CF421" s="87">
        <f>(-3/7)*C421</f>
        <v>-1.1785714285714286</v>
      </c>
      <c r="CG421" s="87">
        <f>CF421*-1</f>
        <v>1.1785714285714286</v>
      </c>
      <c r="CH421" s="87"/>
      <c r="CI421" s="87"/>
      <c r="CJ421" s="87"/>
      <c r="CK421" s="87"/>
      <c r="CL421" s="87"/>
      <c r="CM421" s="87"/>
      <c r="CN421" s="87"/>
      <c r="CO421" s="87"/>
      <c r="CP421" s="87"/>
      <c r="CQ421" s="87"/>
      <c r="CR421" s="87"/>
      <c r="CS421" s="87"/>
      <c r="CT421" s="87"/>
      <c r="CU421" s="87"/>
      <c r="CV421" s="87"/>
      <c r="CW421" s="87"/>
      <c r="CX421" s="87"/>
      <c r="CY421" s="87"/>
      <c r="CZ421" s="87"/>
      <c r="DA421" s="87"/>
      <c r="DB421" s="87"/>
      <c r="DC421" s="87"/>
      <c r="DD421" s="87"/>
      <c r="DE421" s="87"/>
      <c r="DF421" s="87"/>
      <c r="DG421" s="87"/>
      <c r="DH421" s="87"/>
      <c r="DI421" s="87"/>
      <c r="DJ421" s="87"/>
      <c r="DK421" s="87"/>
      <c r="DL421" s="87"/>
      <c r="DM421" s="87"/>
      <c r="DN421" s="87"/>
      <c r="DO421" s="87"/>
      <c r="DP421" s="87"/>
      <c r="DQ421" s="87"/>
      <c r="DR421" s="87"/>
      <c r="DS421" s="87"/>
      <c r="DT421" s="87"/>
      <c r="DU421" s="87"/>
      <c r="DV421" s="87"/>
      <c r="DW421" s="87"/>
      <c r="DX421" s="87"/>
      <c r="DY421" s="87"/>
      <c r="DZ421" s="87"/>
      <c r="EA421" s="87"/>
      <c r="EB421" s="87"/>
      <c r="EC421" s="87"/>
      <c r="ED421" s="87"/>
      <c r="EE421" s="87"/>
      <c r="EF421" s="87"/>
      <c r="EG421" s="75">
        <v>46017</v>
      </c>
      <c r="EH421" s="75">
        <v>46024</v>
      </c>
      <c r="EI421" s="75">
        <v>46031</v>
      </c>
    </row>
    <row r="422" spans="1:139" ht="16.5" hidden="1" thickBot="1" x14ac:dyDescent="0.35">
      <c r="A422" s="218" t="s">
        <v>312</v>
      </c>
      <c r="B422" s="194">
        <v>4</v>
      </c>
      <c r="C422" s="195">
        <f>(0.65*26.4)</f>
        <v>17.16</v>
      </c>
      <c r="D422" s="217">
        <f>C422/VLOOKUP(B422,'[2]Gas Prod per PADD'!$A$1:$C$6,2,FALSE)</f>
        <v>5.0470588235294121E-2</v>
      </c>
      <c r="E422" s="296">
        <v>45633</v>
      </c>
      <c r="F422" s="281">
        <f>E422+18</f>
        <v>45651</v>
      </c>
      <c r="G422" s="194" t="s">
        <v>772</v>
      </c>
      <c r="H422" s="198" t="s">
        <v>773</v>
      </c>
      <c r="I422" s="84"/>
      <c r="J422" s="85"/>
      <c r="K422" s="85"/>
      <c r="L422" s="85"/>
      <c r="M422" s="85"/>
      <c r="N422" s="85"/>
      <c r="O422" s="85"/>
      <c r="P422" s="85"/>
      <c r="Q422" s="85"/>
      <c r="R422" s="85"/>
      <c r="S422" s="85"/>
      <c r="T422" s="85"/>
      <c r="U422" s="85"/>
      <c r="V422" s="84"/>
      <c r="W422" s="84"/>
      <c r="X422" s="84" t="str">
        <f t="shared" si="16"/>
        <v>OK</v>
      </c>
      <c r="Y422" s="87"/>
      <c r="Z422" s="87"/>
      <c r="AA422" s="87"/>
      <c r="AB422" s="87"/>
      <c r="AC422" s="87"/>
      <c r="AD422" s="87"/>
      <c r="AE422" s="87"/>
      <c r="AF422" s="87"/>
      <c r="AG422" s="87"/>
      <c r="AH422" s="87"/>
      <c r="AI422" s="87"/>
      <c r="AJ422" s="87"/>
      <c r="AK422" s="87"/>
      <c r="AL422" s="87"/>
      <c r="AM422" s="87"/>
      <c r="AN422" s="87"/>
      <c r="AO422" s="87"/>
      <c r="AP422" s="87"/>
      <c r="AQ422" s="87"/>
      <c r="AR422" s="87"/>
      <c r="AS422" s="87"/>
      <c r="AT422" s="87"/>
      <c r="AU422" s="87"/>
      <c r="AV422" s="87"/>
      <c r="AW422" s="87"/>
      <c r="AX422" s="87"/>
      <c r="AY422" s="87"/>
      <c r="AZ422" s="87"/>
      <c r="BA422" s="87"/>
      <c r="BB422" s="87"/>
      <c r="BC422" s="87"/>
      <c r="BD422" s="87"/>
      <c r="BE422" s="87"/>
      <c r="BF422" s="87"/>
      <c r="BG422" s="87"/>
      <c r="BH422" s="87"/>
      <c r="BI422" s="87"/>
      <c r="BJ422" s="87"/>
      <c r="BK422" s="87"/>
      <c r="BL422" s="87"/>
      <c r="BM422" s="87"/>
      <c r="BN422" s="87"/>
      <c r="BO422" s="87"/>
      <c r="BP422" s="87"/>
      <c r="BQ422" s="87"/>
      <c r="BR422" s="87"/>
      <c r="BS422" s="87"/>
      <c r="BT422" s="87"/>
      <c r="BU422" s="87"/>
      <c r="BV422" s="87"/>
      <c r="BW422" s="87"/>
      <c r="BX422" s="87"/>
      <c r="BY422" s="87"/>
      <c r="BZ422" s="87"/>
      <c r="CA422" s="87"/>
      <c r="CB422" s="87"/>
      <c r="CC422" s="87"/>
      <c r="CD422" s="87"/>
      <c r="CE422" s="105">
        <f>-C422</f>
        <v>-17.16</v>
      </c>
      <c r="CF422" s="105"/>
      <c r="CG422" s="105">
        <f>2/7*C422</f>
        <v>4.902857142857143</v>
      </c>
      <c r="CH422" s="87">
        <f>5/7*C422</f>
        <v>12.257142857142858</v>
      </c>
      <c r="CI422" s="87"/>
      <c r="CJ422" s="87"/>
      <c r="CK422" s="87"/>
      <c r="CL422" s="87"/>
      <c r="CM422" s="87"/>
      <c r="CN422" s="87"/>
      <c r="CO422" s="87"/>
      <c r="CP422" s="87"/>
      <c r="CQ422" s="87"/>
      <c r="CR422" s="87"/>
      <c r="CS422" s="87"/>
      <c r="CT422" s="87"/>
      <c r="CU422" s="87"/>
      <c r="CV422" s="87"/>
      <c r="CW422" s="87"/>
      <c r="CX422" s="87"/>
      <c r="CY422" s="87"/>
      <c r="CZ422" s="87"/>
      <c r="DA422" s="87"/>
      <c r="DB422" s="87"/>
      <c r="DC422" s="87"/>
      <c r="DD422" s="87"/>
      <c r="DE422" s="87"/>
      <c r="DF422" s="87"/>
      <c r="DG422" s="87"/>
      <c r="DH422" s="87"/>
      <c r="DI422" s="87"/>
      <c r="DJ422" s="87"/>
      <c r="DK422" s="87"/>
      <c r="DL422" s="87"/>
      <c r="DM422" s="87"/>
      <c r="DN422" s="87"/>
      <c r="DO422" s="87"/>
      <c r="DP422" s="87"/>
      <c r="DQ422" s="87"/>
      <c r="DR422" s="87"/>
      <c r="DS422" s="87"/>
      <c r="DT422" s="87"/>
      <c r="DU422" s="87"/>
      <c r="DV422" s="87"/>
      <c r="DW422" s="87"/>
      <c r="DX422" s="87"/>
      <c r="DY422" s="87"/>
      <c r="DZ422" s="87"/>
      <c r="EA422" s="87"/>
      <c r="EB422" s="87"/>
      <c r="EC422" s="87"/>
      <c r="ED422" s="87"/>
      <c r="EE422" s="87"/>
      <c r="EF422" s="87"/>
      <c r="EG422" s="87"/>
      <c r="EH422" s="87"/>
      <c r="EI422" s="87"/>
    </row>
    <row r="423" spans="1:139" ht="16.5" hidden="1" thickBot="1" x14ac:dyDescent="0.35">
      <c r="A423" s="190" t="s">
        <v>280</v>
      </c>
      <c r="B423" s="191">
        <v>3</v>
      </c>
      <c r="C423" s="177">
        <f>0.3*55</f>
        <v>16.5</v>
      </c>
      <c r="D423" s="217">
        <f>C423/VLOOKUP(B423,'[2]Gas Prod per PADD'!$A$1:$C$6,2,FALSE)</f>
        <v>3.5869565217391303E-3</v>
      </c>
      <c r="E423" s="178">
        <v>45653</v>
      </c>
      <c r="F423" s="252">
        <f>E423+2</f>
        <v>45655</v>
      </c>
      <c r="G423" s="180" t="s">
        <v>774</v>
      </c>
      <c r="H423" s="181" t="s">
        <v>775</v>
      </c>
      <c r="I423" s="84"/>
      <c r="J423" s="85"/>
      <c r="K423" s="85"/>
      <c r="L423" s="85"/>
      <c r="M423" s="85"/>
      <c r="N423" s="85"/>
      <c r="O423" s="85"/>
      <c r="P423" s="85"/>
      <c r="Q423" s="85"/>
      <c r="R423" s="85"/>
      <c r="S423" s="85"/>
      <c r="T423" s="85"/>
      <c r="U423" s="85"/>
      <c r="V423" s="84"/>
      <c r="W423" s="84"/>
      <c r="X423" s="84" t="str">
        <f t="shared" si="16"/>
        <v>OK</v>
      </c>
      <c r="Y423" s="105"/>
      <c r="Z423" s="105"/>
      <c r="AA423" s="87"/>
      <c r="AB423" s="87"/>
      <c r="AC423" s="87"/>
      <c r="AD423" s="87"/>
      <c r="AE423" s="105"/>
      <c r="AF423" s="105"/>
      <c r="AG423" s="105"/>
      <c r="AH423" s="105"/>
      <c r="AI423" s="87"/>
      <c r="AJ423" s="87"/>
      <c r="AK423" s="105"/>
      <c r="AL423" s="87"/>
      <c r="AM423" s="105"/>
      <c r="AN423" s="105"/>
      <c r="AO423" s="87"/>
      <c r="AP423" s="87"/>
      <c r="AQ423" s="105"/>
      <c r="AR423" s="105"/>
      <c r="AS423" s="87"/>
      <c r="AT423" s="105"/>
      <c r="AU423" s="105"/>
      <c r="AV423" s="87"/>
      <c r="AW423" s="105"/>
      <c r="AX423" s="105"/>
      <c r="AY423" s="87"/>
      <c r="AZ423" s="105"/>
      <c r="BA423" s="105"/>
      <c r="BB423" s="105"/>
      <c r="BC423" s="87"/>
      <c r="BD423" s="87"/>
      <c r="BE423" s="105"/>
      <c r="BF423" s="105"/>
      <c r="BG423" s="105"/>
      <c r="BH423" s="105"/>
      <c r="BI423" s="105"/>
      <c r="BJ423" s="87"/>
      <c r="BK423" s="87"/>
      <c r="BL423" s="87"/>
      <c r="BM423" s="87"/>
      <c r="BN423" s="87"/>
      <c r="BO423" s="87"/>
      <c r="BP423" s="87"/>
      <c r="BQ423" s="87"/>
      <c r="BR423" s="87"/>
      <c r="BS423" s="87"/>
      <c r="BT423" s="87"/>
      <c r="BU423" s="87"/>
      <c r="BV423" s="87"/>
      <c r="BW423" s="87"/>
      <c r="BX423" s="87"/>
      <c r="BY423" s="87"/>
      <c r="BZ423" s="87"/>
      <c r="CA423" s="87"/>
      <c r="CB423" s="87"/>
      <c r="CC423" s="87"/>
      <c r="CD423" s="87"/>
      <c r="CE423" s="87"/>
      <c r="CF423" s="87"/>
      <c r="CG423" s="87"/>
      <c r="CH423" s="87">
        <f>C423*-2/7</f>
        <v>-4.7142857142857144</v>
      </c>
      <c r="CI423" s="87">
        <f>CH423*-1</f>
        <v>4.7142857142857144</v>
      </c>
      <c r="CJ423" s="87"/>
      <c r="CK423" s="87"/>
      <c r="CL423" s="87"/>
      <c r="CM423" s="87"/>
      <c r="CN423" s="87"/>
      <c r="CO423" s="87"/>
      <c r="CP423" s="87"/>
      <c r="CQ423" s="87"/>
      <c r="CR423" s="87"/>
      <c r="CS423" s="87"/>
      <c r="CT423" s="87"/>
      <c r="CU423" s="87"/>
      <c r="CV423" s="87"/>
      <c r="CW423" s="87"/>
      <c r="CX423" s="87"/>
      <c r="CY423" s="87"/>
      <c r="CZ423" s="87"/>
      <c r="DA423" s="87"/>
      <c r="DB423" s="87"/>
      <c r="DC423" s="87"/>
      <c r="DD423" s="87"/>
      <c r="DE423" s="87"/>
      <c r="DF423" s="87"/>
      <c r="DG423" s="87"/>
      <c r="DH423" s="87"/>
      <c r="DI423" s="87"/>
      <c r="DJ423" s="87"/>
      <c r="DK423" s="87"/>
      <c r="DL423" s="87"/>
      <c r="DM423" s="87"/>
      <c r="DN423" s="87"/>
      <c r="DO423" s="87"/>
      <c r="DP423" s="87"/>
      <c r="DQ423" s="87"/>
      <c r="DR423" s="87"/>
      <c r="DS423" s="87"/>
      <c r="DT423" s="87"/>
      <c r="DU423" s="87"/>
      <c r="DV423" s="87"/>
      <c r="DW423" s="87"/>
      <c r="DX423" s="87"/>
      <c r="DY423" s="87"/>
      <c r="DZ423" s="87"/>
      <c r="EA423" s="87"/>
      <c r="EB423" s="87"/>
      <c r="EC423" s="87"/>
      <c r="ED423" s="87"/>
      <c r="EE423" s="87"/>
      <c r="EF423" s="87"/>
      <c r="EG423" s="87"/>
      <c r="EH423" s="87"/>
      <c r="EI423" s="87"/>
    </row>
    <row r="424" spans="1:139" ht="16.5" hidden="1" thickBot="1" x14ac:dyDescent="0.35">
      <c r="A424" s="218" t="s">
        <v>776</v>
      </c>
      <c r="B424" s="194">
        <v>4</v>
      </c>
      <c r="C424" s="195">
        <f>0.3*10</f>
        <v>3</v>
      </c>
      <c r="D424" s="217">
        <f>C424/VLOOKUP(B424,'[2]Gas Prod per PADD'!$A$1:$C$6,2,FALSE)</f>
        <v>8.8235294117647058E-3</v>
      </c>
      <c r="E424" s="196">
        <v>45618</v>
      </c>
      <c r="F424" s="281">
        <f>E424+39</f>
        <v>45657</v>
      </c>
      <c r="G424" s="194" t="s">
        <v>777</v>
      </c>
      <c r="H424" s="198" t="s">
        <v>778</v>
      </c>
      <c r="I424" s="84"/>
      <c r="J424" s="85"/>
      <c r="K424" s="85"/>
      <c r="L424" s="85"/>
      <c r="M424" s="85"/>
      <c r="N424" s="85"/>
      <c r="O424" s="85"/>
      <c r="P424" s="85"/>
      <c r="Q424" s="85"/>
      <c r="R424" s="85"/>
      <c r="S424" s="85"/>
      <c r="T424" s="85"/>
      <c r="U424" s="85"/>
      <c r="V424" s="84"/>
      <c r="W424" s="84"/>
      <c r="X424" s="84" t="str">
        <f t="shared" si="16"/>
        <v>OK</v>
      </c>
      <c r="Y424" s="87"/>
      <c r="Z424" s="87"/>
      <c r="AA424" s="87"/>
      <c r="AB424" s="87"/>
      <c r="AC424" s="87"/>
      <c r="AD424" s="87"/>
      <c r="AE424" s="87"/>
      <c r="AF424" s="87"/>
      <c r="AG424" s="87"/>
      <c r="AH424" s="87"/>
      <c r="AI424" s="87"/>
      <c r="AJ424" s="87"/>
      <c r="AK424" s="87"/>
      <c r="AL424" s="87"/>
      <c r="AM424" s="87"/>
      <c r="AN424" s="87"/>
      <c r="AO424" s="87"/>
      <c r="AP424" s="87"/>
      <c r="AQ424" s="87"/>
      <c r="AR424" s="87"/>
      <c r="AS424" s="87"/>
      <c r="AT424" s="87"/>
      <c r="AU424" s="87"/>
      <c r="AV424" s="87"/>
      <c r="AW424" s="87"/>
      <c r="AX424" s="87"/>
      <c r="AY424" s="87"/>
      <c r="AZ424" s="87"/>
      <c r="BA424" s="87"/>
      <c r="BB424" s="87"/>
      <c r="BC424" s="87"/>
      <c r="BD424" s="87"/>
      <c r="BE424" s="87"/>
      <c r="BF424" s="87"/>
      <c r="BG424" s="87"/>
      <c r="BH424" s="87"/>
      <c r="BI424" s="87"/>
      <c r="BJ424" s="87"/>
      <c r="BK424" s="87"/>
      <c r="BL424" s="87"/>
      <c r="BM424" s="87"/>
      <c r="BN424" s="87"/>
      <c r="BO424" s="87"/>
      <c r="BP424" s="87"/>
      <c r="BQ424" s="87"/>
      <c r="BR424" s="87"/>
      <c r="BS424" s="87"/>
      <c r="BT424" s="87"/>
      <c r="BU424" s="87"/>
      <c r="BV424" s="87"/>
      <c r="BW424" s="87"/>
      <c r="BX424" s="87"/>
      <c r="BY424" s="87"/>
      <c r="BZ424" s="87"/>
      <c r="CA424" s="87"/>
      <c r="CB424" s="87"/>
      <c r="CC424" s="87">
        <f>C424*(-4/7)</f>
        <v>-1.7142857142857142</v>
      </c>
      <c r="CD424" s="87">
        <f>C424*(-3/7)</f>
        <v>-1.2857142857142856</v>
      </c>
      <c r="CE424" s="87"/>
      <c r="CF424" s="87"/>
      <c r="CG424" s="87"/>
      <c r="CH424" s="105">
        <f>C424</f>
        <v>3</v>
      </c>
      <c r="CI424" s="87"/>
      <c r="CJ424" s="87"/>
      <c r="CK424" s="87"/>
      <c r="CL424" s="87"/>
      <c r="CM424" s="87"/>
      <c r="CN424" s="87"/>
      <c r="CO424" s="87"/>
      <c r="CP424" s="87"/>
      <c r="CQ424" s="87"/>
      <c r="CR424" s="87"/>
      <c r="CS424" s="87"/>
      <c r="CT424" s="87"/>
      <c r="CU424" s="87"/>
      <c r="CV424" s="87"/>
      <c r="CW424" s="87"/>
      <c r="CX424" s="87"/>
      <c r="CY424" s="87"/>
      <c r="CZ424" s="87"/>
      <c r="DA424" s="87"/>
      <c r="DB424" s="87"/>
      <c r="DC424" s="87"/>
      <c r="DD424" s="87"/>
      <c r="DE424" s="87"/>
      <c r="DF424" s="87"/>
      <c r="DG424" s="87"/>
      <c r="DH424" s="87"/>
      <c r="DI424" s="87"/>
      <c r="DJ424" s="87"/>
      <c r="DK424" s="87"/>
      <c r="DL424" s="87"/>
      <c r="DM424" s="87"/>
      <c r="DN424" s="87"/>
      <c r="DO424" s="87"/>
      <c r="DP424" s="87"/>
      <c r="DQ424" s="87"/>
      <c r="DR424" s="87"/>
      <c r="DS424" s="87"/>
      <c r="DT424" s="87"/>
      <c r="DU424" s="87"/>
      <c r="DV424" s="87"/>
      <c r="DW424" s="87"/>
      <c r="DX424" s="87"/>
      <c r="DY424" s="87"/>
      <c r="DZ424" s="87"/>
      <c r="EA424" s="87"/>
      <c r="EB424" s="87"/>
      <c r="EC424" s="87"/>
      <c r="ED424" s="87"/>
      <c r="EE424" s="87"/>
      <c r="EF424" s="87"/>
      <c r="EG424" s="87"/>
      <c r="EH424" s="87"/>
      <c r="EI424" s="87"/>
    </row>
    <row r="425" spans="1:139" ht="16.5" hidden="1" thickBot="1" x14ac:dyDescent="0.35">
      <c r="A425" s="218" t="s">
        <v>207</v>
      </c>
      <c r="B425" s="227">
        <v>5</v>
      </c>
      <c r="C425" s="195">
        <f>0.05*55</f>
        <v>2.75</v>
      </c>
      <c r="D425" s="217">
        <f>C425/VLOOKUP(B425,'[2]Gas Prod per PADD'!$A$1:$C$6,2,FALSE)</f>
        <v>2.0370370370370369E-3</v>
      </c>
      <c r="E425" s="178">
        <v>45650</v>
      </c>
      <c r="F425" s="252">
        <v>45657</v>
      </c>
      <c r="G425" s="180" t="s">
        <v>779</v>
      </c>
      <c r="H425" s="181" t="s">
        <v>364</v>
      </c>
      <c r="I425" s="84"/>
      <c r="J425" s="85"/>
      <c r="K425" s="85"/>
      <c r="L425" s="85"/>
      <c r="M425" s="85"/>
      <c r="N425" s="85"/>
      <c r="O425" s="85"/>
      <c r="P425" s="85"/>
      <c r="Q425" s="85"/>
      <c r="R425" s="85"/>
      <c r="S425" s="85"/>
      <c r="T425" s="85"/>
      <c r="U425" s="85"/>
      <c r="V425" s="84"/>
      <c r="W425" s="84"/>
      <c r="X425" s="84" t="str">
        <f t="shared" si="16"/>
        <v>OK</v>
      </c>
      <c r="Y425" s="87"/>
      <c r="Z425" s="87"/>
      <c r="AA425" s="87"/>
      <c r="AB425" s="87"/>
      <c r="AC425" s="87"/>
      <c r="AD425" s="87"/>
      <c r="AE425" s="87"/>
      <c r="AF425" s="87"/>
      <c r="AG425" s="87"/>
      <c r="AH425" s="87"/>
      <c r="AI425" s="87"/>
      <c r="AJ425" s="87"/>
      <c r="AK425" s="87"/>
      <c r="AL425" s="87"/>
      <c r="AM425" s="87"/>
      <c r="AN425" s="87"/>
      <c r="AO425" s="87"/>
      <c r="AP425" s="87"/>
      <c r="AQ425" s="87"/>
      <c r="AR425" s="87"/>
      <c r="AS425" s="87"/>
      <c r="AT425" s="87"/>
      <c r="AU425" s="87"/>
      <c r="AV425" s="87"/>
      <c r="AW425" s="87"/>
      <c r="AX425" s="87"/>
      <c r="AY425" s="87"/>
      <c r="AZ425" s="87"/>
      <c r="BA425" s="87"/>
      <c r="BB425" s="87"/>
      <c r="BC425" s="87"/>
      <c r="BD425" s="87"/>
      <c r="BE425" s="87"/>
      <c r="BF425" s="87"/>
      <c r="BG425" s="87"/>
      <c r="BH425" s="87"/>
      <c r="BI425" s="87"/>
      <c r="BJ425" s="87"/>
      <c r="BK425" s="87"/>
      <c r="BL425" s="87"/>
      <c r="BM425" s="87"/>
      <c r="BN425" s="87"/>
      <c r="BO425" s="87"/>
      <c r="BP425" s="87"/>
      <c r="BQ425" s="87"/>
      <c r="BR425" s="87"/>
      <c r="BS425" s="87"/>
      <c r="BT425" s="87"/>
      <c r="BU425" s="87"/>
      <c r="BV425" s="87"/>
      <c r="BW425" s="87"/>
      <c r="BX425" s="87"/>
      <c r="BY425" s="87"/>
      <c r="BZ425" s="87"/>
      <c r="CA425" s="87"/>
      <c r="CB425" s="87"/>
      <c r="CC425" s="87"/>
      <c r="CD425" s="87"/>
      <c r="CE425" s="87"/>
      <c r="CF425" s="87"/>
      <c r="CG425" s="87">
        <f>-3/7*C425</f>
        <v>-1.1785714285714286</v>
      </c>
      <c r="CH425" s="87">
        <f>-CG425</f>
        <v>1.1785714285714286</v>
      </c>
      <c r="CI425" s="87"/>
      <c r="CJ425" s="87"/>
      <c r="CK425" s="87"/>
      <c r="CL425" s="87"/>
      <c r="CM425" s="87"/>
      <c r="CN425" s="87"/>
      <c r="CO425" s="87"/>
      <c r="CP425" s="87"/>
      <c r="CQ425" s="87"/>
      <c r="CR425" s="87"/>
      <c r="CS425" s="87"/>
      <c r="CT425" s="87"/>
      <c r="CU425" s="87"/>
      <c r="CV425" s="87"/>
      <c r="CW425" s="87"/>
      <c r="CX425" s="87"/>
      <c r="CY425" s="87"/>
      <c r="CZ425" s="87"/>
      <c r="DA425" s="87"/>
      <c r="DB425" s="87"/>
      <c r="DC425" s="87"/>
      <c r="DD425" s="87"/>
      <c r="DE425" s="87"/>
      <c r="DF425" s="87"/>
      <c r="DG425" s="87"/>
      <c r="DH425" s="87"/>
      <c r="DI425" s="87"/>
      <c r="DJ425" s="87"/>
      <c r="DK425" s="87"/>
      <c r="DL425" s="87"/>
      <c r="DM425" s="87"/>
      <c r="DN425" s="87"/>
      <c r="DO425" s="87"/>
      <c r="DP425" s="87"/>
      <c r="DQ425" s="87"/>
      <c r="DR425" s="87"/>
      <c r="DS425" s="87"/>
      <c r="DT425" s="87"/>
      <c r="DU425" s="87"/>
      <c r="DV425" s="87"/>
      <c r="DW425" s="87"/>
      <c r="DX425" s="87"/>
      <c r="DY425" s="87"/>
      <c r="DZ425" s="87"/>
      <c r="EA425" s="87"/>
      <c r="EB425" s="87"/>
      <c r="EC425" s="87"/>
      <c r="ED425" s="87"/>
      <c r="EE425" s="87"/>
      <c r="EF425" s="87"/>
      <c r="EG425" s="75">
        <v>46017</v>
      </c>
      <c r="EH425" s="75">
        <v>46024</v>
      </c>
      <c r="EI425" s="75">
        <v>46031</v>
      </c>
    </row>
    <row r="426" spans="1:139" ht="16.5" hidden="1" thickBot="1" x14ac:dyDescent="0.35">
      <c r="A426" s="218" t="s">
        <v>780</v>
      </c>
      <c r="B426" s="194">
        <v>2</v>
      </c>
      <c r="C426" s="195">
        <f>0.3*8.5</f>
        <v>2.5499999999999998</v>
      </c>
      <c r="D426" s="217">
        <f>C426/VLOOKUP(B426,'[2]Gas Prod per PADD'!$A$1:$C$6,2,FALSE)</f>
        <v>1.0624999999999999E-3</v>
      </c>
      <c r="E426" s="196">
        <v>45638</v>
      </c>
      <c r="F426" s="281">
        <v>45659</v>
      </c>
      <c r="G426" s="194" t="s">
        <v>781</v>
      </c>
      <c r="H426" s="198"/>
      <c r="I426" s="84"/>
      <c r="J426" s="85"/>
      <c r="K426" s="85"/>
      <c r="L426" s="85"/>
      <c r="M426" s="85"/>
      <c r="N426" s="85"/>
      <c r="O426" s="85"/>
      <c r="P426" s="85">
        <f>-2/31*C426</f>
        <v>-0.16451612903225804</v>
      </c>
      <c r="Q426" s="85"/>
      <c r="R426" s="85"/>
      <c r="S426" s="85"/>
      <c r="T426" s="85"/>
      <c r="U426" s="85"/>
      <c r="V426" s="84"/>
      <c r="W426" s="84"/>
      <c r="X426" s="84" t="str">
        <f t="shared" si="16"/>
        <v>OK</v>
      </c>
      <c r="Y426" s="87"/>
      <c r="Z426" s="87"/>
      <c r="AA426" s="87"/>
      <c r="AB426" s="87"/>
      <c r="AC426" s="87"/>
      <c r="AD426" s="87"/>
      <c r="AE426" s="87"/>
      <c r="AF426" s="87"/>
      <c r="AG426" s="87"/>
      <c r="AH426" s="87"/>
      <c r="AI426" s="87"/>
      <c r="AJ426" s="87"/>
      <c r="AK426" s="87"/>
      <c r="AL426" s="87"/>
      <c r="AM426" s="87"/>
      <c r="AN426" s="87"/>
      <c r="AO426" s="87"/>
      <c r="AP426" s="87"/>
      <c r="AQ426" s="87"/>
      <c r="AR426" s="87"/>
      <c r="AS426" s="87"/>
      <c r="AT426" s="87"/>
      <c r="AU426" s="87"/>
      <c r="AV426" s="87"/>
      <c r="AW426" s="87"/>
      <c r="AX426" s="87"/>
      <c r="AY426" s="87"/>
      <c r="AZ426" s="87"/>
      <c r="BA426" s="87"/>
      <c r="BB426" s="87"/>
      <c r="BC426" s="87"/>
      <c r="BD426" s="87"/>
      <c r="BE426" s="87"/>
      <c r="BF426" s="87"/>
      <c r="BG426" s="87"/>
      <c r="BH426" s="87"/>
      <c r="BI426" s="87"/>
      <c r="BJ426" s="87"/>
      <c r="BK426" s="87"/>
      <c r="BL426" s="87"/>
      <c r="BM426" s="87"/>
      <c r="BN426" s="87"/>
      <c r="BO426" s="87"/>
      <c r="BP426" s="87"/>
      <c r="BQ426" s="87"/>
      <c r="BR426" s="87"/>
      <c r="BS426" s="87"/>
      <c r="BT426" s="87"/>
      <c r="BU426" s="87"/>
      <c r="BV426" s="87"/>
      <c r="BW426" s="87"/>
      <c r="BX426" s="87"/>
      <c r="BY426" s="87"/>
      <c r="BZ426" s="87"/>
      <c r="CA426" s="87"/>
      <c r="CB426" s="87"/>
      <c r="CC426" s="87"/>
      <c r="CD426" s="87"/>
      <c r="CE426" s="87"/>
      <c r="CF426" s="87">
        <f>-0.8*C426</f>
        <v>-2.04</v>
      </c>
      <c r="CG426" s="87">
        <f>-0.2*C426</f>
        <v>-0.51</v>
      </c>
      <c r="CH426" s="105">
        <f>C426</f>
        <v>2.5499999999999998</v>
      </c>
      <c r="CI426" s="87"/>
      <c r="CJ426" s="87"/>
      <c r="CK426" s="87"/>
      <c r="CL426" s="87"/>
      <c r="CM426" s="87"/>
      <c r="CN426" s="87"/>
      <c r="CO426" s="87"/>
      <c r="CP426" s="87"/>
      <c r="CQ426" s="87"/>
      <c r="CR426" s="87"/>
      <c r="CS426" s="87"/>
      <c r="CT426" s="87"/>
      <c r="CU426" s="87"/>
      <c r="CV426" s="87"/>
      <c r="CW426" s="87"/>
      <c r="CX426" s="87"/>
      <c r="CY426" s="87"/>
      <c r="CZ426" s="87"/>
      <c r="DA426" s="87"/>
      <c r="DB426" s="87"/>
      <c r="DC426" s="87"/>
      <c r="DD426" s="87"/>
      <c r="DE426" s="87"/>
      <c r="DF426" s="87"/>
      <c r="DG426" s="87"/>
      <c r="DH426" s="87"/>
      <c r="DI426" s="87"/>
      <c r="DJ426" s="87"/>
      <c r="DK426" s="87"/>
      <c r="DL426" s="87"/>
      <c r="DM426" s="87"/>
      <c r="DN426" s="87"/>
      <c r="DO426" s="87"/>
      <c r="DP426" s="87"/>
      <c r="DQ426" s="87"/>
      <c r="DR426" s="87"/>
      <c r="DS426" s="87"/>
      <c r="DT426" s="87"/>
      <c r="DU426" s="87"/>
      <c r="DV426" s="87"/>
      <c r="DW426" s="87"/>
      <c r="DX426" s="87"/>
      <c r="DY426" s="87"/>
      <c r="DZ426" s="87"/>
      <c r="EA426" s="87"/>
      <c r="EB426" s="87"/>
      <c r="EC426" s="87"/>
      <c r="ED426" s="87"/>
      <c r="EE426" s="87"/>
      <c r="EF426" s="87"/>
      <c r="EG426" s="87"/>
      <c r="EH426" s="87"/>
      <c r="EI426" s="87"/>
    </row>
    <row r="427" spans="1:139" ht="16.5" hidden="1" thickBot="1" x14ac:dyDescent="0.35">
      <c r="A427" s="113" t="s">
        <v>186</v>
      </c>
      <c r="B427" s="199">
        <v>4</v>
      </c>
      <c r="C427" s="195">
        <f>39*0.25</f>
        <v>9.75</v>
      </c>
      <c r="D427" s="217">
        <f>C427/VLOOKUP(B427,'[2]Gas Prod per PADD'!$A$1:$C$6,2,FALSE)</f>
        <v>2.8676470588235293E-2</v>
      </c>
      <c r="E427" s="196">
        <v>45651</v>
      </c>
      <c r="F427" s="197">
        <v>45660</v>
      </c>
      <c r="G427" s="194" t="s">
        <v>308</v>
      </c>
      <c r="H427" s="198" t="s">
        <v>548</v>
      </c>
      <c r="I427" s="84"/>
      <c r="J427" s="85"/>
      <c r="K427" s="85"/>
      <c r="L427" s="85"/>
      <c r="M427" s="85"/>
      <c r="N427" s="85"/>
      <c r="O427" s="85"/>
      <c r="P427" s="85">
        <f>-3/31*C427</f>
        <v>-0.94354838709677413</v>
      </c>
      <c r="Q427" s="85"/>
      <c r="R427" s="85"/>
      <c r="S427" s="85"/>
      <c r="T427" s="85"/>
      <c r="U427" s="85"/>
      <c r="V427" s="84"/>
      <c r="W427" s="84"/>
      <c r="X427" s="84" t="str">
        <f t="shared" si="16"/>
        <v>OK</v>
      </c>
      <c r="Y427" s="86"/>
      <c r="Z427" s="86"/>
      <c r="AA427" s="87"/>
      <c r="AB427" s="87"/>
      <c r="AC427" s="87"/>
      <c r="AD427" s="87"/>
      <c r="AE427" s="87"/>
      <c r="AF427" s="87"/>
      <c r="AG427" s="87"/>
      <c r="AH427" s="87"/>
      <c r="AI427" s="87"/>
      <c r="AJ427" s="87"/>
      <c r="AK427" s="87"/>
      <c r="AL427" s="87"/>
      <c r="AM427" s="87"/>
      <c r="AN427" s="87"/>
      <c r="AO427" s="87"/>
      <c r="AP427" s="87"/>
      <c r="AQ427" s="87"/>
      <c r="AR427" s="87"/>
      <c r="AS427" s="87"/>
      <c r="AT427" s="87"/>
      <c r="AU427" s="87"/>
      <c r="AV427" s="87"/>
      <c r="AW427" s="87"/>
      <c r="AX427" s="87"/>
      <c r="AY427" s="87"/>
      <c r="AZ427" s="87"/>
      <c r="BA427" s="87"/>
      <c r="BB427" s="87"/>
      <c r="BC427" s="87"/>
      <c r="BD427" s="87"/>
      <c r="BE427" s="87"/>
      <c r="BF427" s="87"/>
      <c r="BG427" s="87"/>
      <c r="BH427" s="87"/>
      <c r="BI427" s="87"/>
      <c r="BJ427" s="87"/>
      <c r="BK427" s="87"/>
      <c r="BL427" s="87"/>
      <c r="BM427" s="87"/>
      <c r="BN427" s="87"/>
      <c r="BO427" s="87"/>
      <c r="BP427" s="87"/>
      <c r="BQ427" s="87"/>
      <c r="BR427" s="87"/>
      <c r="BS427" s="87"/>
      <c r="BT427" s="87"/>
      <c r="BU427" s="87"/>
      <c r="BV427" s="87"/>
      <c r="BW427" s="87"/>
      <c r="BX427" s="87"/>
      <c r="BY427" s="87"/>
      <c r="BZ427" s="87"/>
      <c r="CA427" s="87"/>
      <c r="CB427" s="87"/>
      <c r="CC427" s="87"/>
      <c r="CD427" s="87"/>
      <c r="CE427" s="87"/>
      <c r="CF427" s="87"/>
      <c r="CG427" s="87">
        <f>-2/7*C427</f>
        <v>-2.7857142857142856</v>
      </c>
      <c r="CH427" s="87">
        <f>-5/7*C427</f>
        <v>-6.9642857142857144</v>
      </c>
      <c r="CI427" s="87">
        <f>-CG427</f>
        <v>2.7857142857142856</v>
      </c>
      <c r="CJ427" s="87">
        <f>-CH427</f>
        <v>6.9642857142857144</v>
      </c>
      <c r="CK427" s="87"/>
      <c r="CL427" s="87"/>
      <c r="CM427" s="87"/>
      <c r="CN427" s="87"/>
      <c r="CO427" s="87"/>
      <c r="CP427" s="87"/>
      <c r="CQ427" s="87"/>
      <c r="CR427" s="87"/>
      <c r="CS427" s="87"/>
      <c r="CT427" s="87"/>
      <c r="CU427" s="87"/>
      <c r="CV427" s="87"/>
      <c r="CW427" s="87"/>
      <c r="CX427" s="87"/>
      <c r="CY427" s="87"/>
      <c r="CZ427" s="87"/>
      <c r="DA427" s="87"/>
      <c r="DB427" s="87"/>
      <c r="DC427" s="87"/>
      <c r="DD427" s="87"/>
      <c r="DE427" s="87"/>
      <c r="DF427" s="87"/>
      <c r="DG427" s="87"/>
      <c r="DH427" s="87"/>
      <c r="DI427" s="87"/>
      <c r="DJ427" s="87"/>
      <c r="DK427" s="87"/>
      <c r="DL427" s="87"/>
      <c r="DM427" s="87"/>
      <c r="DN427" s="87"/>
      <c r="DO427" s="87"/>
      <c r="DP427" s="87"/>
      <c r="DQ427" s="87"/>
      <c r="DR427" s="87"/>
      <c r="DS427" s="87"/>
      <c r="DT427" s="87"/>
      <c r="DU427" s="87"/>
      <c r="DV427" s="87"/>
      <c r="DW427" s="87"/>
      <c r="DX427" s="87"/>
      <c r="DY427" s="87"/>
      <c r="DZ427" s="87"/>
      <c r="EA427" s="87"/>
      <c r="EB427" s="87"/>
      <c r="EC427" s="87"/>
      <c r="ED427" s="87"/>
      <c r="EE427" s="87"/>
      <c r="EF427" s="87"/>
      <c r="EG427" s="87"/>
      <c r="EH427" s="87"/>
      <c r="EI427" s="87"/>
    </row>
    <row r="428" spans="1:139" ht="16.5" hidden="1" thickBot="1" x14ac:dyDescent="0.35">
      <c r="A428" s="190" t="s">
        <v>280</v>
      </c>
      <c r="B428" s="191">
        <v>3</v>
      </c>
      <c r="C428" s="177">
        <v>0</v>
      </c>
      <c r="D428" s="217">
        <f>C428/VLOOKUP(B428,'[2]Gas Prod per PADD'!$A$1:$C$6,2,FALSE)</f>
        <v>0</v>
      </c>
      <c r="E428" s="178">
        <v>45655</v>
      </c>
      <c r="F428" s="252">
        <v>45660</v>
      </c>
      <c r="G428" s="180" t="s">
        <v>782</v>
      </c>
      <c r="H428" s="181" t="s">
        <v>775</v>
      </c>
      <c r="I428" s="84"/>
      <c r="J428" s="85"/>
      <c r="K428" s="85"/>
      <c r="L428" s="85"/>
      <c r="M428" s="85"/>
      <c r="N428" s="85"/>
      <c r="O428" s="85"/>
      <c r="P428" s="85">
        <f>-3/31*C428</f>
        <v>0</v>
      </c>
      <c r="Q428" s="85"/>
      <c r="R428" s="85"/>
      <c r="S428" s="85"/>
      <c r="T428" s="85"/>
      <c r="U428" s="85"/>
      <c r="V428" s="84"/>
      <c r="W428" s="84"/>
      <c r="X428" s="84" t="str">
        <f t="shared" si="16"/>
        <v>OK</v>
      </c>
      <c r="Y428" s="105"/>
      <c r="Z428" s="105"/>
      <c r="AA428" s="87"/>
      <c r="AB428" s="87"/>
      <c r="AC428" s="87"/>
      <c r="AD428" s="87"/>
      <c r="AE428" s="105"/>
      <c r="AF428" s="105"/>
      <c r="AG428" s="105"/>
      <c r="AH428" s="105"/>
      <c r="AI428" s="87"/>
      <c r="AJ428" s="87"/>
      <c r="AK428" s="105"/>
      <c r="AL428" s="87"/>
      <c r="AM428" s="105"/>
      <c r="AN428" s="105"/>
      <c r="AO428" s="87"/>
      <c r="AP428" s="87"/>
      <c r="AQ428" s="105"/>
      <c r="AR428" s="105"/>
      <c r="AS428" s="87"/>
      <c r="AT428" s="105"/>
      <c r="AU428" s="105"/>
      <c r="AV428" s="87"/>
      <c r="AW428" s="105"/>
      <c r="AX428" s="105"/>
      <c r="AY428" s="87"/>
      <c r="AZ428" s="105"/>
      <c r="BA428" s="105"/>
      <c r="BB428" s="105"/>
      <c r="BC428" s="87"/>
      <c r="BD428" s="87"/>
      <c r="BE428" s="105"/>
      <c r="BF428" s="105"/>
      <c r="BG428" s="105"/>
      <c r="BH428" s="105"/>
      <c r="BI428" s="105"/>
      <c r="BJ428" s="87"/>
      <c r="BK428" s="87"/>
      <c r="BL428" s="87"/>
      <c r="BM428" s="87"/>
      <c r="BN428" s="87"/>
      <c r="BO428" s="87"/>
      <c r="BP428" s="87"/>
      <c r="BQ428" s="87"/>
      <c r="BR428" s="87"/>
      <c r="BS428" s="87"/>
      <c r="BT428" s="87"/>
      <c r="BU428" s="87"/>
      <c r="BV428" s="87"/>
      <c r="BW428" s="87"/>
      <c r="BX428" s="87"/>
      <c r="BY428" s="87"/>
      <c r="BZ428" s="87"/>
      <c r="CA428" s="87"/>
      <c r="CB428" s="87"/>
      <c r="CC428" s="87"/>
      <c r="CD428" s="87"/>
      <c r="CE428" s="87"/>
      <c r="CF428" s="87"/>
      <c r="CG428" s="87"/>
      <c r="CH428" s="87">
        <f>(-5/7)*C428</f>
        <v>0</v>
      </c>
      <c r="CI428" s="87">
        <f>CH428*-1</f>
        <v>0</v>
      </c>
      <c r="CJ428" s="87"/>
      <c r="CK428" s="87"/>
      <c r="CL428" s="87"/>
      <c r="CM428" s="87"/>
      <c r="CN428" s="87"/>
      <c r="CO428" s="87"/>
      <c r="CP428" s="87"/>
      <c r="CQ428" s="87"/>
      <c r="CR428" s="87"/>
      <c r="CS428" s="87"/>
      <c r="CT428" s="87"/>
      <c r="CU428" s="87"/>
      <c r="CV428" s="87"/>
      <c r="CW428" s="87"/>
      <c r="CX428" s="87"/>
      <c r="CY428" s="87"/>
      <c r="CZ428" s="87"/>
      <c r="DA428" s="87"/>
      <c r="DB428" s="87"/>
      <c r="DC428" s="87"/>
      <c r="DD428" s="87"/>
      <c r="DE428" s="87"/>
      <c r="DF428" s="87"/>
      <c r="DG428" s="87"/>
      <c r="DH428" s="87"/>
      <c r="DI428" s="87"/>
      <c r="DJ428" s="87"/>
      <c r="DK428" s="87"/>
      <c r="DL428" s="87"/>
      <c r="DM428" s="87"/>
      <c r="DN428" s="87"/>
      <c r="DO428" s="87"/>
      <c r="DP428" s="87"/>
      <c r="DQ428" s="87"/>
      <c r="DR428" s="87"/>
      <c r="DS428" s="87"/>
      <c r="DT428" s="87"/>
      <c r="DU428" s="87"/>
      <c r="DV428" s="87"/>
      <c r="DW428" s="87"/>
      <c r="DX428" s="87"/>
      <c r="DY428" s="87"/>
      <c r="DZ428" s="87"/>
      <c r="EA428" s="87"/>
      <c r="EB428" s="87"/>
      <c r="EC428" s="87"/>
      <c r="ED428" s="87"/>
      <c r="EE428" s="87"/>
      <c r="EF428" s="87"/>
      <c r="EG428" s="87"/>
      <c r="EH428" s="87"/>
      <c r="EI428" s="87"/>
    </row>
    <row r="429" spans="1:139" ht="16.5" hidden="1" thickBot="1" x14ac:dyDescent="0.35">
      <c r="A429" s="200" t="s">
        <v>377</v>
      </c>
      <c r="B429" s="223">
        <v>5</v>
      </c>
      <c r="C429" s="224">
        <f>55*0.05</f>
        <v>2.75</v>
      </c>
      <c r="D429" s="217">
        <f>C429/VLOOKUP(B429,'[2]Gas Prod per PADD'!$A$1:$C$6,2,FALSE)</f>
        <v>2.0370370370370369E-3</v>
      </c>
      <c r="E429" s="228">
        <v>45654</v>
      </c>
      <c r="F429" s="276">
        <v>45661</v>
      </c>
      <c r="G429" s="180" t="s">
        <v>719</v>
      </c>
      <c r="H429" s="221" t="s">
        <v>640</v>
      </c>
      <c r="I429" s="84"/>
      <c r="J429" s="85"/>
      <c r="K429" s="85"/>
      <c r="L429" s="85"/>
      <c r="M429" s="85"/>
      <c r="N429" s="85"/>
      <c r="O429" s="85"/>
      <c r="P429" s="85">
        <f>-4/31*C429</f>
        <v>-0.35483870967741937</v>
      </c>
      <c r="Q429" s="85"/>
      <c r="R429" s="85"/>
      <c r="S429" s="85"/>
      <c r="T429" s="85"/>
      <c r="U429" s="85"/>
      <c r="V429" s="84"/>
      <c r="W429" s="84"/>
      <c r="X429" s="84" t="str">
        <f t="shared" si="16"/>
        <v>OK</v>
      </c>
      <c r="Y429" s="105"/>
      <c r="Z429" s="105"/>
      <c r="AA429" s="87"/>
      <c r="AB429" s="87"/>
      <c r="AC429" s="87"/>
      <c r="AD429" s="87"/>
      <c r="AE429" s="105"/>
      <c r="AF429" s="105"/>
      <c r="AG429" s="105"/>
      <c r="AH429" s="105"/>
      <c r="AI429" s="87"/>
      <c r="AJ429" s="87"/>
      <c r="AK429" s="87"/>
      <c r="AL429" s="87"/>
      <c r="AM429" s="87"/>
      <c r="AN429" s="87"/>
      <c r="AO429" s="87"/>
      <c r="AP429" s="87"/>
      <c r="AQ429" s="87"/>
      <c r="AR429" s="87"/>
      <c r="AS429" s="87"/>
      <c r="AT429" s="87"/>
      <c r="AU429" s="87"/>
      <c r="AV429" s="87"/>
      <c r="AW429" s="87"/>
      <c r="AX429" s="87"/>
      <c r="AY429" s="87"/>
      <c r="AZ429" s="87"/>
      <c r="BA429" s="87"/>
      <c r="BB429" s="87"/>
      <c r="BC429" s="87"/>
      <c r="BD429" s="87"/>
      <c r="BE429" s="87"/>
      <c r="BF429" s="87"/>
      <c r="BG429" s="87"/>
      <c r="BH429" s="87"/>
      <c r="BI429" s="87"/>
      <c r="BJ429" s="87"/>
      <c r="BK429" s="87"/>
      <c r="BL429" s="87"/>
      <c r="BM429" s="87"/>
      <c r="BN429" s="87"/>
      <c r="BO429" s="87"/>
      <c r="BP429" s="87"/>
      <c r="BQ429" s="87"/>
      <c r="BR429" s="87"/>
      <c r="BS429" s="87"/>
      <c r="BT429" s="87"/>
      <c r="BU429" s="87"/>
      <c r="BV429" s="87"/>
      <c r="BW429" s="87"/>
      <c r="BX429" s="87"/>
      <c r="BY429" s="87"/>
      <c r="BZ429" s="87"/>
      <c r="CA429" s="87"/>
      <c r="CB429" s="87"/>
      <c r="CC429" s="87"/>
      <c r="CD429" s="87"/>
      <c r="CE429" s="87"/>
      <c r="CF429" s="87"/>
      <c r="CG429" s="87"/>
      <c r="CH429" s="87">
        <f>-6/7*C429</f>
        <v>-2.3571428571428572</v>
      </c>
      <c r="CI429" s="87">
        <f>-CH429</f>
        <v>2.3571428571428572</v>
      </c>
      <c r="CJ429" s="87"/>
      <c r="CK429" s="87"/>
      <c r="CL429" s="87"/>
      <c r="CM429" s="87"/>
      <c r="CN429" s="87"/>
      <c r="CO429" s="87"/>
      <c r="CP429" s="87"/>
      <c r="CQ429" s="87"/>
      <c r="CR429" s="87"/>
      <c r="CS429" s="87"/>
      <c r="CT429" s="87"/>
      <c r="CU429" s="87"/>
      <c r="CV429" s="87"/>
      <c r="CW429" s="87"/>
      <c r="CX429" s="87"/>
      <c r="CY429" s="87"/>
      <c r="CZ429" s="87"/>
      <c r="DA429" s="87"/>
      <c r="DB429" s="87"/>
      <c r="DC429" s="87"/>
      <c r="DD429" s="87"/>
      <c r="DE429" s="87"/>
      <c r="DF429" s="87"/>
      <c r="DG429" s="87"/>
      <c r="DH429" s="87"/>
      <c r="DI429" s="87"/>
      <c r="DJ429" s="87"/>
      <c r="DK429" s="87"/>
      <c r="DL429" s="87"/>
      <c r="DM429" s="87"/>
      <c r="DN429" s="87"/>
      <c r="DO429" s="87"/>
      <c r="DP429" s="87"/>
      <c r="DQ429" s="87"/>
      <c r="DR429" s="87"/>
      <c r="DS429" s="87"/>
      <c r="DT429" s="87"/>
      <c r="DU429" s="87"/>
      <c r="DV429" s="87"/>
      <c r="DW429" s="87"/>
      <c r="DX429" s="87"/>
      <c r="DY429" s="87"/>
      <c r="DZ429" s="87"/>
      <c r="EA429" s="87"/>
      <c r="EB429" s="87"/>
      <c r="EC429" s="87"/>
      <c r="ED429" s="87"/>
      <c r="EE429" s="87"/>
      <c r="EF429" s="87"/>
      <c r="EG429" s="75">
        <v>46017</v>
      </c>
      <c r="EH429" s="75">
        <v>46024</v>
      </c>
      <c r="EI429" s="75">
        <v>46031</v>
      </c>
    </row>
    <row r="430" spans="1:139" ht="57.75" hidden="1" thickBot="1" x14ac:dyDescent="0.35">
      <c r="A430" s="222" t="s">
        <v>659</v>
      </c>
      <c r="B430" s="191">
        <v>3</v>
      </c>
      <c r="C430" s="177">
        <f>(0.1*95)+(0.05*30)+(34*0.85)+(24*0.65)</f>
        <v>55.5</v>
      </c>
      <c r="D430" s="217">
        <f>C430/VLOOKUP(B430,'[2]Gas Prod per PADD'!$A$1:$C$6,2,FALSE)</f>
        <v>1.2065217391304348E-2</v>
      </c>
      <c r="E430" s="178">
        <v>45658</v>
      </c>
      <c r="F430" s="252">
        <v>45663</v>
      </c>
      <c r="G430" s="191" t="s">
        <v>783</v>
      </c>
      <c r="H430" s="181" t="s">
        <v>784</v>
      </c>
      <c r="I430" s="84"/>
      <c r="J430" s="85"/>
      <c r="K430" s="85"/>
      <c r="L430" s="85"/>
      <c r="M430" s="85"/>
      <c r="N430" s="85"/>
      <c r="O430" s="85"/>
      <c r="P430" s="85">
        <f>C430*(E430-F430)/31</f>
        <v>-8.9516129032258061</v>
      </c>
      <c r="Q430" s="85"/>
      <c r="R430" s="85"/>
      <c r="S430" s="85"/>
      <c r="T430" s="85"/>
      <c r="U430" s="85"/>
      <c r="V430" s="84"/>
      <c r="W430" s="84"/>
      <c r="X430" s="84" t="str">
        <f t="shared" si="16"/>
        <v>OK</v>
      </c>
      <c r="Y430" s="105"/>
      <c r="Z430" s="105"/>
      <c r="AA430" s="87"/>
      <c r="AB430" s="87"/>
      <c r="AC430" s="87"/>
      <c r="AD430" s="87"/>
      <c r="AE430" s="105"/>
      <c r="AF430" s="105"/>
      <c r="AG430" s="105"/>
      <c r="AH430" s="105"/>
      <c r="AI430" s="87"/>
      <c r="AJ430" s="87"/>
      <c r="AK430" s="105"/>
      <c r="AL430" s="87"/>
      <c r="AM430" s="105"/>
      <c r="AN430" s="105"/>
      <c r="AO430" s="87"/>
      <c r="AP430" s="87"/>
      <c r="AQ430" s="105"/>
      <c r="AR430" s="105"/>
      <c r="AS430" s="87"/>
      <c r="AT430" s="105"/>
      <c r="AU430" s="87"/>
      <c r="AV430" s="87"/>
      <c r="AW430" s="105"/>
      <c r="AX430" s="105"/>
      <c r="AY430" s="87"/>
      <c r="AZ430" s="105"/>
      <c r="BA430" s="105"/>
      <c r="BB430" s="105"/>
      <c r="BC430" s="105"/>
      <c r="BD430" s="105"/>
      <c r="BE430" s="87"/>
      <c r="BF430" s="105"/>
      <c r="BG430" s="105"/>
      <c r="BH430" s="105"/>
      <c r="BI430" s="105"/>
      <c r="BJ430" s="87"/>
      <c r="BK430" s="87"/>
      <c r="BL430" s="87"/>
      <c r="BM430" s="87"/>
      <c r="BN430" s="87"/>
      <c r="BO430" s="87"/>
      <c r="BP430" s="87"/>
      <c r="BQ430" s="87"/>
      <c r="BR430" s="87"/>
      <c r="BS430" s="87"/>
      <c r="BT430" s="87"/>
      <c r="BU430" s="87"/>
      <c r="BV430" s="87"/>
      <c r="BW430" s="87"/>
      <c r="BX430" s="87"/>
      <c r="BY430" s="87"/>
      <c r="BZ430" s="87"/>
      <c r="CA430" s="87"/>
      <c r="CB430" s="87"/>
      <c r="CC430" s="87"/>
      <c r="CD430" s="87"/>
      <c r="CE430" s="87"/>
      <c r="CF430" s="87"/>
      <c r="CG430" s="87"/>
      <c r="CH430" s="87">
        <f>(-1/7)*C430</f>
        <v>-7.9285714285714279</v>
      </c>
      <c r="CI430" s="87">
        <f>(C430)*(-2/7)</f>
        <v>-15.857142857142856</v>
      </c>
      <c r="CJ430" s="87">
        <f>C430*0.85</f>
        <v>47.174999999999997</v>
      </c>
      <c r="CK430" s="87">
        <f>C430*0.15</f>
        <v>8.3249999999999993</v>
      </c>
      <c r="CL430" s="87"/>
      <c r="CM430" s="87"/>
      <c r="CN430" s="87"/>
      <c r="CO430" s="87"/>
      <c r="CP430" s="87"/>
      <c r="CQ430" s="87"/>
      <c r="CR430" s="87"/>
      <c r="CS430" s="87"/>
      <c r="CT430" s="87"/>
      <c r="CU430" s="87"/>
      <c r="CV430" s="87"/>
      <c r="CW430" s="87"/>
      <c r="CX430" s="87"/>
      <c r="CY430" s="87"/>
      <c r="CZ430" s="87"/>
      <c r="DA430" s="87"/>
      <c r="DB430" s="87"/>
      <c r="DC430" s="87"/>
      <c r="DD430" s="87"/>
      <c r="DE430" s="87"/>
      <c r="DF430" s="87"/>
      <c r="DG430" s="87"/>
      <c r="DH430" s="87"/>
      <c r="DI430" s="87"/>
      <c r="DJ430" s="87"/>
      <c r="DK430" s="87"/>
      <c r="DL430" s="87"/>
      <c r="DM430" s="87"/>
      <c r="DN430" s="87"/>
      <c r="DO430" s="87"/>
      <c r="DP430" s="87"/>
      <c r="DQ430" s="87"/>
      <c r="DR430" s="87"/>
      <c r="DS430" s="87"/>
      <c r="DT430" s="87"/>
      <c r="DU430" s="87"/>
      <c r="DV430" s="87"/>
      <c r="DW430" s="87"/>
      <c r="DX430" s="87"/>
      <c r="DY430" s="87"/>
      <c r="DZ430" s="87"/>
      <c r="EA430" s="87"/>
      <c r="EB430" s="87"/>
      <c r="EC430" s="87"/>
      <c r="ED430" s="87"/>
      <c r="EE430" s="87"/>
      <c r="EF430" s="87"/>
      <c r="EG430" s="87"/>
      <c r="EH430" s="87"/>
      <c r="EI430" s="87"/>
    </row>
    <row r="431" spans="1:139" ht="16.5" hidden="1" thickBot="1" x14ac:dyDescent="0.35">
      <c r="A431" s="161" t="s">
        <v>168</v>
      </c>
      <c r="B431" s="176">
        <v>2</v>
      </c>
      <c r="C431" s="177">
        <f>(0.85*40)</f>
        <v>34</v>
      </c>
      <c r="D431" s="217">
        <f>C431/VLOOKUP(B431,'[2]Gas Prod per PADD'!$A$1:$C$6,2,FALSE)</f>
        <v>1.4166666666666666E-2</v>
      </c>
      <c r="E431" s="178">
        <v>45657</v>
      </c>
      <c r="F431" s="252">
        <v>45665</v>
      </c>
      <c r="G431" s="180" t="s">
        <v>376</v>
      </c>
      <c r="H431" s="181" t="s">
        <v>364</v>
      </c>
      <c r="I431" s="84"/>
      <c r="J431" s="85"/>
      <c r="K431" s="85"/>
      <c r="L431" s="85"/>
      <c r="M431" s="85"/>
      <c r="N431" s="85"/>
      <c r="O431" s="85"/>
      <c r="P431" s="85"/>
      <c r="Q431" s="85"/>
      <c r="R431" s="85"/>
      <c r="S431" s="85"/>
      <c r="T431" s="85"/>
      <c r="U431" s="85"/>
      <c r="V431" s="84"/>
      <c r="W431" s="84"/>
      <c r="X431" s="84" t="str">
        <f t="shared" si="16"/>
        <v>OK</v>
      </c>
      <c r="Y431" s="105"/>
      <c r="Z431" s="105"/>
      <c r="AA431" s="87"/>
      <c r="AB431" s="87"/>
      <c r="AC431" s="87"/>
      <c r="AD431" s="87"/>
      <c r="AE431" s="105"/>
      <c r="AF431" s="105"/>
      <c r="AG431" s="105"/>
      <c r="AH431" s="105"/>
      <c r="AI431" s="87"/>
      <c r="AJ431" s="87"/>
      <c r="AK431" s="105"/>
      <c r="AL431" s="87"/>
      <c r="AM431" s="105"/>
      <c r="AN431" s="105"/>
      <c r="AO431" s="87"/>
      <c r="AP431" s="87"/>
      <c r="AQ431" s="105"/>
      <c r="AR431" s="105"/>
      <c r="AS431" s="87"/>
      <c r="AT431" s="105"/>
      <c r="AU431" s="105"/>
      <c r="AV431" s="87"/>
      <c r="AW431" s="105"/>
      <c r="AX431" s="105"/>
      <c r="AY431" s="87"/>
      <c r="AZ431" s="105"/>
      <c r="BA431" s="105"/>
      <c r="BB431" s="105"/>
      <c r="BC431" s="87"/>
      <c r="BD431" s="87"/>
      <c r="BE431" s="105"/>
      <c r="BF431" s="105"/>
      <c r="BG431" s="105"/>
      <c r="BH431" s="105"/>
      <c r="BI431" s="105"/>
      <c r="BJ431" s="87"/>
      <c r="BK431" s="87"/>
      <c r="BL431" s="87"/>
      <c r="BM431" s="87"/>
      <c r="BN431" s="87"/>
      <c r="BO431" s="105"/>
      <c r="BP431" s="105"/>
      <c r="BQ431" s="105"/>
      <c r="BR431" s="105"/>
      <c r="BS431" s="87"/>
      <c r="BT431" s="87"/>
      <c r="BU431" s="87"/>
      <c r="BV431" s="87"/>
      <c r="BW431" s="87"/>
      <c r="BX431" s="87"/>
      <c r="BY431" s="87"/>
      <c r="BZ431" s="87"/>
      <c r="CA431" s="87"/>
      <c r="CB431" s="87"/>
      <c r="CC431" s="87"/>
      <c r="CD431" s="87"/>
      <c r="CE431" s="87"/>
      <c r="CF431" s="87"/>
      <c r="CG431" s="87"/>
      <c r="CH431" s="87">
        <f>-3/7*C431</f>
        <v>-14.571428571428571</v>
      </c>
      <c r="CI431" s="87"/>
      <c r="CJ431" s="87">
        <f>-CH431</f>
        <v>14.571428571428571</v>
      </c>
      <c r="CK431" s="87"/>
      <c r="CL431" s="87"/>
      <c r="CM431" s="87"/>
      <c r="CN431" s="87"/>
      <c r="CO431" s="87"/>
      <c r="CP431" s="87"/>
      <c r="CQ431" s="87"/>
      <c r="CR431" s="87"/>
      <c r="CS431" s="87"/>
      <c r="CT431" s="87"/>
      <c r="CU431" s="87"/>
      <c r="CV431" s="87"/>
      <c r="CW431" s="87"/>
      <c r="CX431" s="87"/>
      <c r="CY431" s="87"/>
      <c r="CZ431" s="87"/>
      <c r="DA431" s="87"/>
      <c r="DB431" s="87"/>
      <c r="DC431" s="87"/>
      <c r="DD431" s="87"/>
      <c r="DE431" s="87"/>
      <c r="DF431" s="87"/>
      <c r="DG431" s="87"/>
      <c r="DH431" s="87"/>
      <c r="DI431" s="87"/>
      <c r="DJ431" s="87"/>
      <c r="DK431" s="87"/>
      <c r="DL431" s="87"/>
      <c r="DM431" s="87"/>
      <c r="DN431" s="87"/>
      <c r="DO431" s="87"/>
      <c r="DP431" s="87"/>
      <c r="DQ431" s="87"/>
      <c r="DR431" s="87"/>
      <c r="DS431" s="87"/>
      <c r="DT431" s="87"/>
      <c r="DU431" s="87"/>
      <c r="DV431" s="87"/>
      <c r="DW431" s="87"/>
      <c r="DX431" s="87"/>
      <c r="DY431" s="87"/>
      <c r="DZ431" s="87"/>
      <c r="EA431" s="87"/>
      <c r="EB431" s="87"/>
      <c r="EC431" s="87"/>
      <c r="ED431" s="87"/>
      <c r="EE431" s="87"/>
      <c r="EF431" s="87"/>
      <c r="EG431" s="87"/>
      <c r="EH431" s="87"/>
      <c r="EI431" s="87"/>
    </row>
    <row r="432" spans="1:139" ht="16.5" hidden="1" thickBot="1" x14ac:dyDescent="0.35">
      <c r="A432" s="222" t="s">
        <v>248</v>
      </c>
      <c r="B432" s="223">
        <v>3</v>
      </c>
      <c r="C432" s="224">
        <f>(28*0.85)+(30*0.05)</f>
        <v>25.3</v>
      </c>
      <c r="D432" s="217">
        <f>C432/VLOOKUP(B432,'[2]Gas Prod per PADD'!$A$1:$C$6,2,FALSE)</f>
        <v>5.5000000000000005E-3</v>
      </c>
      <c r="E432" s="196">
        <v>45663</v>
      </c>
      <c r="F432" s="197">
        <v>45665</v>
      </c>
      <c r="G432" s="194" t="s">
        <v>785</v>
      </c>
      <c r="H432" s="230" t="s">
        <v>786</v>
      </c>
      <c r="I432" s="84"/>
      <c r="J432" s="85"/>
      <c r="K432" s="85"/>
      <c r="L432" s="85"/>
      <c r="M432" s="85"/>
      <c r="N432" s="85"/>
      <c r="O432" s="85"/>
      <c r="P432" s="85">
        <f>C432*(E432-F432)/31</f>
        <v>-1.6322580645161291</v>
      </c>
      <c r="Q432" s="85"/>
      <c r="R432" s="85"/>
      <c r="S432" s="85"/>
      <c r="T432" s="85"/>
      <c r="U432" s="85"/>
      <c r="V432" s="84"/>
      <c r="W432" s="84"/>
      <c r="X432" s="84" t="str">
        <f t="shared" si="16"/>
        <v>OK</v>
      </c>
      <c r="Y432" s="105"/>
      <c r="Z432" s="105"/>
      <c r="AA432" s="87"/>
      <c r="AB432" s="87"/>
      <c r="AC432" s="87"/>
      <c r="AD432" s="87"/>
      <c r="AE432" s="105"/>
      <c r="AF432" s="105"/>
      <c r="AG432" s="105"/>
      <c r="AH432" s="105"/>
      <c r="AI432" s="87"/>
      <c r="AJ432" s="87"/>
      <c r="AK432" s="105"/>
      <c r="AL432" s="87"/>
      <c r="AM432" s="105"/>
      <c r="AN432" s="105"/>
      <c r="AO432" s="87"/>
      <c r="AP432" s="87"/>
      <c r="AQ432" s="105"/>
      <c r="AR432" s="105"/>
      <c r="AS432" s="87"/>
      <c r="AT432" s="105"/>
      <c r="AU432" s="87"/>
      <c r="AV432" s="105"/>
      <c r="AW432" s="105"/>
      <c r="AX432" s="105"/>
      <c r="AY432" s="105"/>
      <c r="AZ432" s="105"/>
      <c r="BA432" s="105"/>
      <c r="BB432" s="105"/>
      <c r="BC432" s="105"/>
      <c r="BD432" s="87"/>
      <c r="BE432" s="87"/>
      <c r="BF432" s="87"/>
      <c r="BG432" s="87"/>
      <c r="BH432" s="87"/>
      <c r="BI432" s="87"/>
      <c r="BJ432" s="87"/>
      <c r="BK432" s="87"/>
      <c r="BL432" s="87"/>
      <c r="BM432" s="87"/>
      <c r="BN432" s="87"/>
      <c r="BO432" s="87"/>
      <c r="BP432" s="87"/>
      <c r="BQ432" s="87"/>
      <c r="BR432" s="87"/>
      <c r="BS432" s="87"/>
      <c r="BT432" s="87"/>
      <c r="BU432" s="87"/>
      <c r="BV432" s="87"/>
      <c r="BW432" s="87"/>
      <c r="BX432" s="87"/>
      <c r="BY432" s="87"/>
      <c r="BZ432" s="87"/>
      <c r="CA432" s="87"/>
      <c r="CB432" s="87"/>
      <c r="CC432" s="87"/>
      <c r="CD432" s="87"/>
      <c r="CE432" s="87"/>
      <c r="CF432" s="87"/>
      <c r="CG432" s="87"/>
      <c r="CH432" s="87"/>
      <c r="CI432" s="87">
        <f>-3/7*C432</f>
        <v>-10.842857142857143</v>
      </c>
      <c r="CJ432" s="87">
        <f>-CI432</f>
        <v>10.842857142857143</v>
      </c>
      <c r="CK432" s="87"/>
      <c r="CL432" s="87"/>
      <c r="CM432" s="87"/>
      <c r="CN432" s="87"/>
      <c r="CO432" s="87"/>
      <c r="CP432" s="87"/>
      <c r="CQ432" s="87"/>
      <c r="CR432" s="87"/>
      <c r="CS432" s="87"/>
      <c r="CT432" s="87"/>
      <c r="CU432" s="87"/>
      <c r="CV432" s="87"/>
      <c r="CW432" s="87"/>
      <c r="CX432" s="87"/>
      <c r="CY432" s="87"/>
      <c r="CZ432" s="87"/>
      <c r="DA432" s="87"/>
      <c r="DB432" s="87"/>
      <c r="DC432" s="87"/>
      <c r="DD432" s="87"/>
      <c r="DE432" s="87"/>
      <c r="DF432" s="87"/>
      <c r="DG432" s="87"/>
      <c r="DH432" s="87"/>
      <c r="DI432" s="87"/>
      <c r="DJ432" s="87"/>
      <c r="DK432" s="87"/>
      <c r="DL432" s="87"/>
      <c r="DM432" s="87"/>
      <c r="DN432" s="87"/>
      <c r="DO432" s="87"/>
      <c r="DP432" s="87"/>
      <c r="DQ432" s="87"/>
      <c r="DR432" s="87"/>
      <c r="DS432" s="87"/>
      <c r="DT432" s="87"/>
      <c r="DU432" s="87"/>
      <c r="DV432" s="87"/>
      <c r="DW432" s="87"/>
      <c r="DX432" s="87"/>
      <c r="DY432" s="87"/>
      <c r="DZ432" s="87"/>
      <c r="EA432" s="87"/>
      <c r="EB432" s="87"/>
      <c r="EC432" s="87"/>
      <c r="ED432" s="87"/>
      <c r="EE432" s="87"/>
      <c r="EF432" s="87"/>
      <c r="EG432" s="87"/>
      <c r="EH432" s="87"/>
      <c r="EI432" s="87"/>
    </row>
    <row r="433" spans="1:139" ht="29.25" hidden="1" thickBot="1" x14ac:dyDescent="0.35">
      <c r="A433" s="297" t="s">
        <v>231</v>
      </c>
      <c r="B433" s="223">
        <v>2</v>
      </c>
      <c r="C433" s="224">
        <f>0.25*15+(20*0.25)</f>
        <v>8.75</v>
      </c>
      <c r="D433" s="217">
        <f>C433/VLOOKUP(B433,'[2]Gas Prod per PADD'!$A$1:$C$6,2,FALSE)</f>
        <v>3.6458333333333334E-3</v>
      </c>
      <c r="E433" s="225">
        <v>45659</v>
      </c>
      <c r="F433" s="276">
        <v>45667</v>
      </c>
      <c r="G433" s="180" t="s">
        <v>787</v>
      </c>
      <c r="H433" s="221" t="s">
        <v>788</v>
      </c>
      <c r="I433" s="84"/>
      <c r="J433" s="85"/>
      <c r="K433" s="85"/>
      <c r="L433" s="85"/>
      <c r="M433" s="85"/>
      <c r="N433" s="85"/>
      <c r="O433" s="85"/>
      <c r="P433" s="85">
        <f>C433*(E433-F433)/31</f>
        <v>-2.2580645161290325</v>
      </c>
      <c r="Q433" s="85"/>
      <c r="R433" s="85"/>
      <c r="S433" s="85"/>
      <c r="T433" s="85"/>
      <c r="U433" s="85"/>
      <c r="V433" s="84"/>
      <c r="W433" s="84"/>
      <c r="X433" s="84" t="str">
        <f t="shared" si="16"/>
        <v>OK</v>
      </c>
      <c r="Y433" s="105"/>
      <c r="Z433" s="105"/>
      <c r="AA433" s="87"/>
      <c r="AB433" s="87"/>
      <c r="AC433" s="87"/>
      <c r="AD433" s="87"/>
      <c r="AE433" s="105"/>
      <c r="AF433" s="105"/>
      <c r="AG433" s="105"/>
      <c r="AH433" s="105"/>
      <c r="AI433" s="87"/>
      <c r="AJ433" s="87"/>
      <c r="AK433" s="105"/>
      <c r="AL433" s="87"/>
      <c r="AM433" s="105"/>
      <c r="AN433" s="105"/>
      <c r="AO433" s="87"/>
      <c r="AP433" s="87"/>
      <c r="AQ433" s="105"/>
      <c r="AR433" s="105"/>
      <c r="AS433" s="87"/>
      <c r="AT433" s="105"/>
      <c r="AU433" s="87"/>
      <c r="AV433" s="87"/>
      <c r="AW433" s="105"/>
      <c r="AX433" s="105"/>
      <c r="AY433" s="105"/>
      <c r="AZ433" s="105"/>
      <c r="BA433" s="105"/>
      <c r="BB433" s="105"/>
      <c r="BC433" s="105"/>
      <c r="BD433" s="87"/>
      <c r="BE433" s="87"/>
      <c r="BF433" s="87"/>
      <c r="BG433" s="87"/>
      <c r="BH433" s="87"/>
      <c r="BI433" s="87"/>
      <c r="BJ433" s="87"/>
      <c r="BK433" s="87"/>
      <c r="BL433" s="87"/>
      <c r="BM433" s="87"/>
      <c r="BN433" s="87"/>
      <c r="BO433" s="87"/>
      <c r="BP433" s="87"/>
      <c r="BQ433" s="87"/>
      <c r="BR433" s="87"/>
      <c r="BS433" s="87"/>
      <c r="BT433" s="87"/>
      <c r="BU433" s="87"/>
      <c r="BV433" s="87"/>
      <c r="BW433" s="87"/>
      <c r="BX433" s="87"/>
      <c r="BY433" s="87"/>
      <c r="BZ433" s="87"/>
      <c r="CA433" s="87"/>
      <c r="CB433" s="87"/>
      <c r="CC433" s="87"/>
      <c r="CD433" s="87"/>
      <c r="CE433" s="87"/>
      <c r="CF433" s="87"/>
      <c r="CG433" s="87"/>
      <c r="CH433" s="87">
        <f>-1/7*C433</f>
        <v>-1.25</v>
      </c>
      <c r="CI433" s="87">
        <f>-6/7*C433</f>
        <v>-7.5</v>
      </c>
      <c r="CJ433" s="87">
        <f>-CI433</f>
        <v>7.5</v>
      </c>
      <c r="CK433" s="87">
        <f>-CH433</f>
        <v>1.25</v>
      </c>
      <c r="CL433" s="87"/>
      <c r="CM433" s="87"/>
      <c r="CN433" s="87"/>
      <c r="CO433" s="87"/>
      <c r="CP433" s="87"/>
      <c r="CQ433" s="87"/>
      <c r="CR433" s="87"/>
      <c r="CS433" s="87"/>
      <c r="CT433" s="87"/>
      <c r="CU433" s="87"/>
      <c r="CV433" s="87"/>
      <c r="CW433" s="87"/>
      <c r="CX433" s="87"/>
      <c r="CY433" s="87"/>
      <c r="CZ433" s="87"/>
      <c r="DA433" s="87"/>
      <c r="DB433" s="87"/>
      <c r="DC433" s="87"/>
      <c r="DD433" s="87"/>
      <c r="DE433" s="87"/>
      <c r="DF433" s="87"/>
      <c r="DG433" s="87"/>
      <c r="DH433" s="87"/>
      <c r="DI433" s="87"/>
      <c r="DJ433" s="87"/>
      <c r="DK433" s="87"/>
      <c r="DL433" s="87"/>
      <c r="DM433" s="87"/>
      <c r="DN433" s="87"/>
      <c r="DO433" s="87"/>
      <c r="DP433" s="87"/>
      <c r="DQ433" s="87"/>
      <c r="DR433" s="87"/>
      <c r="DS433" s="87"/>
      <c r="DT433" s="87"/>
      <c r="DU433" s="87"/>
      <c r="DV433" s="87"/>
      <c r="DW433" s="87"/>
      <c r="DX433" s="87"/>
      <c r="DY433" s="87"/>
      <c r="DZ433" s="87"/>
      <c r="EA433" s="87"/>
      <c r="EB433" s="87"/>
      <c r="EC433" s="87"/>
      <c r="ED433" s="87"/>
      <c r="EE433" s="87"/>
      <c r="EF433" s="87"/>
      <c r="EG433" s="87"/>
      <c r="EH433" s="87"/>
      <c r="EI433" s="87"/>
    </row>
    <row r="434" spans="1:139" ht="16.5" hidden="1" thickBot="1" x14ac:dyDescent="0.35">
      <c r="A434" s="190" t="s">
        <v>280</v>
      </c>
      <c r="B434" s="191">
        <v>3</v>
      </c>
      <c r="C434" s="177">
        <f>115*0.26</f>
        <v>29.900000000000002</v>
      </c>
      <c r="D434" s="217">
        <f>C434/VLOOKUP(B434,'[2]Gas Prod per PADD'!$A$1:$C$6,2,FALSE)</f>
        <v>6.5000000000000006E-3</v>
      </c>
      <c r="E434" s="178">
        <v>45653</v>
      </c>
      <c r="F434" s="252">
        <v>45669</v>
      </c>
      <c r="G434" s="180" t="s">
        <v>789</v>
      </c>
      <c r="H434" s="181" t="s">
        <v>790</v>
      </c>
      <c r="I434" s="84"/>
      <c r="J434" s="85"/>
      <c r="K434" s="85"/>
      <c r="L434" s="85"/>
      <c r="M434" s="85"/>
      <c r="N434" s="85"/>
      <c r="O434" s="85"/>
      <c r="P434" s="85"/>
      <c r="Q434" s="85"/>
      <c r="R434" s="85"/>
      <c r="S434" s="85"/>
      <c r="T434" s="85"/>
      <c r="U434" s="85"/>
      <c r="V434" s="84"/>
      <c r="W434" s="84"/>
      <c r="X434" s="84" t="str">
        <f t="shared" si="16"/>
        <v>OK</v>
      </c>
      <c r="Y434" s="105"/>
      <c r="Z434" s="105"/>
      <c r="AA434" s="87"/>
      <c r="AB434" s="87"/>
      <c r="AC434" s="87"/>
      <c r="AD434" s="87"/>
      <c r="AE434" s="105"/>
      <c r="AF434" s="105"/>
      <c r="AG434" s="105"/>
      <c r="AH434" s="105"/>
      <c r="AI434" s="87"/>
      <c r="AJ434" s="87"/>
      <c r="AK434" s="105"/>
      <c r="AL434" s="87"/>
      <c r="AM434" s="105"/>
      <c r="AN434" s="105"/>
      <c r="AO434" s="87"/>
      <c r="AP434" s="87"/>
      <c r="AQ434" s="105"/>
      <c r="AR434" s="105"/>
      <c r="AS434" s="87"/>
      <c r="AT434" s="105"/>
      <c r="AU434" s="105"/>
      <c r="AV434" s="87"/>
      <c r="AW434" s="105"/>
      <c r="AX434" s="105"/>
      <c r="AY434" s="87"/>
      <c r="AZ434" s="105"/>
      <c r="BA434" s="105"/>
      <c r="BB434" s="105"/>
      <c r="BC434" s="87"/>
      <c r="BD434" s="87"/>
      <c r="BE434" s="105"/>
      <c r="BF434" s="105"/>
      <c r="BG434" s="105"/>
      <c r="BH434" s="105"/>
      <c r="BI434" s="105"/>
      <c r="BJ434" s="87"/>
      <c r="BK434" s="87"/>
      <c r="BL434" s="87"/>
      <c r="BM434" s="87"/>
      <c r="BN434" s="87"/>
      <c r="BO434" s="87"/>
      <c r="BP434" s="87"/>
      <c r="BQ434" s="87"/>
      <c r="BR434" s="87"/>
      <c r="BS434" s="87"/>
      <c r="BT434" s="87"/>
      <c r="BU434" s="87"/>
      <c r="BV434" s="87"/>
      <c r="BW434" s="87"/>
      <c r="BX434" s="87"/>
      <c r="BY434" s="87"/>
      <c r="BZ434" s="87"/>
      <c r="CA434" s="87"/>
      <c r="CB434" s="87"/>
      <c r="CC434" s="87"/>
      <c r="CD434" s="87"/>
      <c r="CE434" s="87"/>
      <c r="CF434" s="87"/>
      <c r="CG434" s="87"/>
      <c r="CH434" s="87">
        <f>C434*-0.8</f>
        <v>-23.92</v>
      </c>
      <c r="CI434" s="87">
        <f>-C434*0.2</f>
        <v>-5.98</v>
      </c>
      <c r="CJ434" s="87">
        <f>2/7*C434</f>
        <v>8.5428571428571427</v>
      </c>
      <c r="CK434" s="87">
        <f>5/7*C434</f>
        <v>21.357142857142858</v>
      </c>
      <c r="CL434" s="87"/>
      <c r="CM434" s="87"/>
      <c r="CN434" s="87"/>
      <c r="CO434" s="87"/>
      <c r="CP434" s="87"/>
      <c r="CQ434" s="87"/>
      <c r="CR434" s="87"/>
      <c r="CS434" s="87"/>
      <c r="CT434" s="87"/>
      <c r="CU434" s="87"/>
      <c r="CV434" s="87"/>
      <c r="CW434" s="87"/>
      <c r="CX434" s="87"/>
      <c r="CY434" s="87"/>
      <c r="CZ434" s="87"/>
      <c r="DA434" s="87"/>
      <c r="DB434" s="87"/>
      <c r="DC434" s="87"/>
      <c r="DD434" s="87"/>
      <c r="DE434" s="87"/>
      <c r="DF434" s="87"/>
      <c r="DG434" s="87"/>
      <c r="DH434" s="87"/>
      <c r="DI434" s="87"/>
      <c r="DJ434" s="87"/>
      <c r="DK434" s="87"/>
      <c r="DL434" s="87"/>
      <c r="DM434" s="87"/>
      <c r="DN434" s="87"/>
      <c r="DO434" s="87"/>
      <c r="DP434" s="87"/>
      <c r="DQ434" s="87"/>
      <c r="DR434" s="87"/>
      <c r="DS434" s="87"/>
      <c r="DT434" s="87"/>
      <c r="DU434" s="87"/>
      <c r="DV434" s="87"/>
      <c r="DW434" s="87"/>
      <c r="DX434" s="87"/>
      <c r="DY434" s="87"/>
      <c r="DZ434" s="87"/>
      <c r="EA434" s="87"/>
      <c r="EB434" s="87"/>
      <c r="EC434" s="87"/>
      <c r="ED434" s="87"/>
      <c r="EE434" s="87"/>
      <c r="EF434" s="87"/>
      <c r="EG434" s="87"/>
      <c r="EH434" s="87"/>
      <c r="EI434" s="87"/>
    </row>
    <row r="435" spans="1:139" ht="16.5" hidden="1" thickBot="1" x14ac:dyDescent="0.35">
      <c r="A435" s="190" t="s">
        <v>334</v>
      </c>
      <c r="B435" s="176">
        <v>3</v>
      </c>
      <c r="C435" s="177">
        <f>65*0.3</f>
        <v>19.5</v>
      </c>
      <c r="D435" s="217">
        <f>C435/VLOOKUP(B435,'[2]Gas Prod per PADD'!$A$1:$C$6,2,FALSE)</f>
        <v>4.239130434782609E-3</v>
      </c>
      <c r="E435" s="178">
        <v>45660</v>
      </c>
      <c r="F435" s="252">
        <f>E435+9</f>
        <v>45669</v>
      </c>
      <c r="G435" s="180" t="s">
        <v>791</v>
      </c>
      <c r="H435" s="221" t="s">
        <v>792</v>
      </c>
      <c r="I435" s="298">
        <f>(31-17)/31*C435</f>
        <v>8.806451612903226</v>
      </c>
      <c r="J435" s="85"/>
      <c r="K435" s="85"/>
      <c r="L435" s="85"/>
      <c r="M435" s="85"/>
      <c r="N435" s="85"/>
      <c r="O435" s="85"/>
      <c r="P435" s="85">
        <f t="shared" ref="P435:P441" si="17">C435*(E435-F435)/31</f>
        <v>-5.661290322580645</v>
      </c>
      <c r="Q435" s="85"/>
      <c r="R435" s="85"/>
      <c r="S435" s="85"/>
      <c r="T435" s="85"/>
      <c r="U435" s="85"/>
      <c r="V435" s="84"/>
      <c r="W435" s="84"/>
      <c r="X435" s="84" t="str">
        <f t="shared" si="16"/>
        <v>OK</v>
      </c>
      <c r="Y435" s="105"/>
      <c r="Z435" s="105"/>
      <c r="AA435" s="87"/>
      <c r="AB435" s="87"/>
      <c r="AC435" s="87"/>
      <c r="AD435" s="87"/>
      <c r="AE435" s="105"/>
      <c r="AF435" s="105"/>
      <c r="AG435" s="105"/>
      <c r="AH435" s="87"/>
      <c r="AI435" s="87"/>
      <c r="AJ435" s="87"/>
      <c r="AK435" s="105"/>
      <c r="AL435" s="105"/>
      <c r="AM435" s="105"/>
      <c r="AN435" s="87"/>
      <c r="AO435" s="87"/>
      <c r="AP435" s="105"/>
      <c r="AQ435" s="105"/>
      <c r="AR435" s="105"/>
      <c r="AS435" s="105"/>
      <c r="AT435" s="105"/>
      <c r="AU435" s="87"/>
      <c r="AV435" s="105"/>
      <c r="AW435" s="105"/>
      <c r="AX435" s="87"/>
      <c r="AY435" s="87"/>
      <c r="AZ435" s="87"/>
      <c r="BA435" s="87"/>
      <c r="BB435" s="87"/>
      <c r="BC435" s="87"/>
      <c r="BD435" s="87"/>
      <c r="BE435" s="87"/>
      <c r="BF435" s="87"/>
      <c r="BG435" s="87"/>
      <c r="BH435" s="87"/>
      <c r="BI435" s="87"/>
      <c r="BJ435" s="87"/>
      <c r="BK435" s="87"/>
      <c r="BL435" s="87"/>
      <c r="BM435" s="87"/>
      <c r="BN435" s="87"/>
      <c r="BO435" s="87"/>
      <c r="BP435" s="87"/>
      <c r="BQ435" s="87"/>
      <c r="BR435" s="87"/>
      <c r="BS435" s="87"/>
      <c r="BT435" s="87"/>
      <c r="BU435" s="87"/>
      <c r="BV435" s="87"/>
      <c r="BW435" s="87"/>
      <c r="BX435" s="87"/>
      <c r="BY435" s="87"/>
      <c r="BZ435" s="87"/>
      <c r="CA435" s="87"/>
      <c r="CB435" s="87"/>
      <c r="CC435" s="87"/>
      <c r="CD435" s="87"/>
      <c r="CE435" s="87"/>
      <c r="CF435" s="87"/>
      <c r="CG435" s="87"/>
      <c r="CH435" s="87"/>
      <c r="CI435" s="87">
        <f>-7/7*C435</f>
        <v>-19.5</v>
      </c>
      <c r="CJ435" s="87">
        <f>-CI435*5/7</f>
        <v>13.928571428571429</v>
      </c>
      <c r="CK435" s="87">
        <f>-CI435*2/7</f>
        <v>5.5714285714285712</v>
      </c>
      <c r="CL435" s="87"/>
      <c r="CM435" s="87"/>
      <c r="CN435" s="87"/>
      <c r="CO435" s="87"/>
      <c r="CP435" s="87"/>
      <c r="CQ435" s="87"/>
      <c r="CR435" s="87"/>
      <c r="CS435" s="87"/>
      <c r="CT435" s="87"/>
      <c r="CU435" s="87"/>
      <c r="CV435" s="87"/>
      <c r="CW435" s="87"/>
      <c r="CX435" s="87"/>
      <c r="CY435" s="87"/>
      <c r="CZ435" s="87"/>
      <c r="DA435" s="87"/>
      <c r="DB435" s="87"/>
      <c r="DC435" s="87"/>
      <c r="DD435" s="87"/>
      <c r="DE435" s="87"/>
      <c r="DF435" s="87"/>
      <c r="DG435" s="87"/>
      <c r="DH435" s="87"/>
      <c r="DI435" s="87"/>
      <c r="DJ435" s="87"/>
      <c r="DK435" s="87"/>
      <c r="DL435" s="87"/>
      <c r="DM435" s="87"/>
      <c r="DN435" s="87"/>
      <c r="DO435" s="87"/>
      <c r="DP435" s="87"/>
      <c r="DQ435" s="87"/>
      <c r="DR435" s="87"/>
      <c r="DS435" s="87"/>
      <c r="DT435" s="87"/>
      <c r="DU435" s="87"/>
      <c r="DV435" s="87"/>
      <c r="DW435" s="87"/>
      <c r="DX435" s="87"/>
      <c r="DY435" s="87"/>
      <c r="DZ435" s="87"/>
      <c r="EA435" s="87"/>
      <c r="EB435" s="87"/>
      <c r="EC435" s="87"/>
      <c r="ED435" s="87"/>
      <c r="EE435" s="87"/>
      <c r="EF435" s="87"/>
      <c r="EG435" s="87"/>
      <c r="EH435" s="87"/>
      <c r="EI435" s="87"/>
    </row>
    <row r="436" spans="1:139" ht="29.25" hidden="1" thickBot="1" x14ac:dyDescent="0.35">
      <c r="A436" s="190" t="s">
        <v>158</v>
      </c>
      <c r="B436" s="282">
        <v>3</v>
      </c>
      <c r="C436" s="177">
        <f>(140*0.65*0.3)+(265*0.25)</f>
        <v>93.55</v>
      </c>
      <c r="D436" s="217">
        <f>C436/VLOOKUP(B436,'[2]Gas Prod per PADD'!$A$1:$C$6,2,FALSE)</f>
        <v>2.0336956521739131E-2</v>
      </c>
      <c r="E436" s="287">
        <v>45663</v>
      </c>
      <c r="F436" s="281">
        <v>45670</v>
      </c>
      <c r="G436" s="180" t="s">
        <v>793</v>
      </c>
      <c r="H436" s="181" t="s">
        <v>794</v>
      </c>
      <c r="I436" s="84"/>
      <c r="J436" s="85"/>
      <c r="K436" s="85"/>
      <c r="L436" s="85"/>
      <c r="M436" s="85"/>
      <c r="N436" s="85"/>
      <c r="O436" s="85"/>
      <c r="P436" s="85">
        <f t="shared" si="17"/>
        <v>-21.124193548387098</v>
      </c>
      <c r="Q436" s="85"/>
      <c r="R436" s="85"/>
      <c r="S436" s="85"/>
      <c r="T436" s="85"/>
      <c r="U436" s="85"/>
      <c r="V436" s="84"/>
      <c r="W436" s="84"/>
      <c r="X436" s="84" t="str">
        <f t="shared" si="16"/>
        <v>OK</v>
      </c>
      <c r="Y436" s="105"/>
      <c r="Z436" s="105"/>
      <c r="AA436" s="87"/>
      <c r="AB436" s="87"/>
      <c r="AC436" s="87"/>
      <c r="AD436" s="87"/>
      <c r="AE436" s="105"/>
      <c r="AF436" s="105"/>
      <c r="AG436" s="105"/>
      <c r="AH436" s="105"/>
      <c r="AI436" s="87"/>
      <c r="AJ436" s="87"/>
      <c r="AK436" s="105"/>
      <c r="AL436" s="87"/>
      <c r="AM436" s="105"/>
      <c r="AN436" s="105"/>
      <c r="AO436" s="87"/>
      <c r="AP436" s="87"/>
      <c r="AQ436" s="105"/>
      <c r="AR436" s="105"/>
      <c r="AS436" s="87"/>
      <c r="AT436" s="105"/>
      <c r="AU436" s="105"/>
      <c r="AV436" s="87"/>
      <c r="AW436" s="105"/>
      <c r="AX436" s="105"/>
      <c r="AY436" s="87"/>
      <c r="AZ436" s="105"/>
      <c r="BA436" s="105"/>
      <c r="BB436" s="105"/>
      <c r="BC436" s="87"/>
      <c r="BD436" s="87"/>
      <c r="BE436" s="105"/>
      <c r="BF436" s="105"/>
      <c r="BG436" s="105"/>
      <c r="BH436" s="105"/>
      <c r="BI436" s="105"/>
      <c r="BJ436" s="87"/>
      <c r="BK436" s="87"/>
      <c r="BL436" s="87"/>
      <c r="BM436" s="87"/>
      <c r="BN436" s="87"/>
      <c r="BO436" s="105"/>
      <c r="BP436" s="105"/>
      <c r="BQ436" s="105"/>
      <c r="BR436" s="87"/>
      <c r="BS436" s="87"/>
      <c r="BT436" s="87"/>
      <c r="BU436" s="87"/>
      <c r="BV436" s="87"/>
      <c r="BW436" s="87"/>
      <c r="BX436" s="105"/>
      <c r="BY436" s="87"/>
      <c r="BZ436" s="87"/>
      <c r="CA436" s="87"/>
      <c r="CB436" s="87"/>
      <c r="CC436" s="87"/>
      <c r="CD436" s="87"/>
      <c r="CE436" s="87"/>
      <c r="CF436" s="87"/>
      <c r="CG436" s="87"/>
      <c r="CH436" s="87"/>
      <c r="CI436" s="87">
        <f>-4/7*C436</f>
        <v>-53.457142857142856</v>
      </c>
      <c r="CJ436" s="87"/>
      <c r="CK436" s="87">
        <f>-CI436</f>
        <v>53.457142857142856</v>
      </c>
      <c r="CL436" s="87"/>
      <c r="CM436" s="87"/>
      <c r="CN436" s="87"/>
      <c r="CO436" s="87"/>
      <c r="CP436" s="87"/>
      <c r="CQ436" s="87"/>
      <c r="CR436" s="87"/>
      <c r="CS436" s="87"/>
      <c r="CT436" s="87"/>
      <c r="CU436" s="87"/>
      <c r="CV436" s="87"/>
      <c r="CW436" s="87"/>
      <c r="CX436" s="87"/>
      <c r="CY436" s="87"/>
      <c r="CZ436" s="87"/>
      <c r="DA436" s="87"/>
      <c r="DB436" s="87"/>
      <c r="DC436" s="87"/>
      <c r="DD436" s="87"/>
      <c r="DE436" s="87"/>
      <c r="DF436" s="87"/>
      <c r="DG436" s="87"/>
      <c r="DH436" s="87"/>
      <c r="DI436" s="87"/>
      <c r="DJ436" s="87"/>
      <c r="DK436" s="87"/>
      <c r="DL436" s="87"/>
      <c r="DM436" s="87"/>
      <c r="DN436" s="87"/>
      <c r="DO436" s="87"/>
      <c r="DP436" s="87"/>
      <c r="DQ436" s="87"/>
      <c r="DR436" s="87"/>
      <c r="DS436" s="87"/>
      <c r="DT436" s="87"/>
      <c r="DU436" s="87"/>
      <c r="DV436" s="87"/>
      <c r="DW436" s="87"/>
      <c r="DX436" s="87"/>
      <c r="DY436" s="87"/>
      <c r="DZ436" s="87"/>
      <c r="EA436" s="87"/>
      <c r="EB436" s="87"/>
      <c r="EC436" s="87"/>
      <c r="ED436" s="87"/>
      <c r="EE436" s="87"/>
      <c r="EF436" s="87"/>
      <c r="EG436" s="87"/>
      <c r="EH436" s="87"/>
      <c r="EI436" s="87"/>
    </row>
    <row r="437" spans="1:139" ht="16.5" hidden="1" thickBot="1" x14ac:dyDescent="0.35">
      <c r="A437" s="218" t="s">
        <v>207</v>
      </c>
      <c r="B437" s="227">
        <v>5</v>
      </c>
      <c r="C437" s="195">
        <f>0.05*55</f>
        <v>2.75</v>
      </c>
      <c r="D437" s="217">
        <f>C437/VLOOKUP(B437,'[2]Gas Prod per PADD'!$A$1:$C$6,2,FALSE)</f>
        <v>2.0370370370370369E-3</v>
      </c>
      <c r="E437" s="253">
        <v>45666</v>
      </c>
      <c r="F437" s="252">
        <f>E437+4</f>
        <v>45670</v>
      </c>
      <c r="G437" s="180" t="s">
        <v>779</v>
      </c>
      <c r="H437" s="181" t="s">
        <v>364</v>
      </c>
      <c r="I437" s="84"/>
      <c r="J437" s="85"/>
      <c r="K437" s="85"/>
      <c r="L437" s="85"/>
      <c r="M437" s="85"/>
      <c r="N437" s="85"/>
      <c r="O437" s="85"/>
      <c r="P437" s="85">
        <f t="shared" si="17"/>
        <v>-0.35483870967741937</v>
      </c>
      <c r="Q437" s="85"/>
      <c r="R437" s="85"/>
      <c r="S437" s="85"/>
      <c r="T437" s="85"/>
      <c r="U437" s="85"/>
      <c r="V437" s="84"/>
      <c r="W437" s="84"/>
      <c r="X437" s="84" t="str">
        <f t="shared" si="16"/>
        <v>OK</v>
      </c>
      <c r="Y437" s="87"/>
      <c r="Z437" s="87"/>
      <c r="AA437" s="87"/>
      <c r="AB437" s="87"/>
      <c r="AC437" s="87"/>
      <c r="AD437" s="87"/>
      <c r="AE437" s="87"/>
      <c r="AF437" s="87"/>
      <c r="AG437" s="87"/>
      <c r="AH437" s="87"/>
      <c r="AI437" s="87"/>
      <c r="AJ437" s="87"/>
      <c r="AK437" s="87"/>
      <c r="AL437" s="87"/>
      <c r="AM437" s="87"/>
      <c r="AN437" s="87"/>
      <c r="AO437" s="87"/>
      <c r="AP437" s="87"/>
      <c r="AQ437" s="87"/>
      <c r="AR437" s="87"/>
      <c r="AS437" s="87"/>
      <c r="AT437" s="87"/>
      <c r="AU437" s="87"/>
      <c r="AV437" s="87"/>
      <c r="AW437" s="87"/>
      <c r="AX437" s="87"/>
      <c r="AY437" s="87"/>
      <c r="AZ437" s="87"/>
      <c r="BA437" s="87"/>
      <c r="BB437" s="87"/>
      <c r="BC437" s="87"/>
      <c r="BD437" s="87"/>
      <c r="BE437" s="87"/>
      <c r="BF437" s="87"/>
      <c r="BG437" s="87"/>
      <c r="BH437" s="87"/>
      <c r="BI437" s="87"/>
      <c r="BJ437" s="87"/>
      <c r="BK437" s="87"/>
      <c r="BL437" s="87"/>
      <c r="BM437" s="87"/>
      <c r="BN437" s="87"/>
      <c r="BO437" s="87"/>
      <c r="BP437" s="87"/>
      <c r="BQ437" s="87"/>
      <c r="BR437" s="87"/>
      <c r="BS437" s="87"/>
      <c r="BT437" s="87"/>
      <c r="BU437" s="87"/>
      <c r="BV437" s="87"/>
      <c r="BW437" s="87"/>
      <c r="BX437" s="87"/>
      <c r="BY437" s="87"/>
      <c r="BZ437" s="87"/>
      <c r="CA437" s="87"/>
      <c r="CB437" s="87"/>
      <c r="CC437" s="87"/>
      <c r="CD437" s="87"/>
      <c r="CE437" s="87"/>
      <c r="CF437" s="87"/>
      <c r="CG437" s="87"/>
      <c r="CH437" s="87"/>
      <c r="CI437" s="295">
        <f>-1/7*C437</f>
        <v>-0.39285714285714285</v>
      </c>
      <c r="CJ437" s="295"/>
      <c r="CK437" s="87">
        <f>C437*1/7</f>
        <v>0.39285714285714285</v>
      </c>
      <c r="CL437" s="87"/>
      <c r="CM437" s="87"/>
      <c r="CN437" s="87"/>
      <c r="CO437" s="87"/>
      <c r="CP437" s="87"/>
      <c r="CQ437" s="87"/>
      <c r="CR437" s="87"/>
      <c r="CS437" s="87"/>
      <c r="CT437" s="87"/>
      <c r="CU437" s="87"/>
      <c r="CV437" s="87"/>
      <c r="CW437" s="87"/>
      <c r="CX437" s="87"/>
      <c r="CY437" s="87"/>
      <c r="CZ437" s="87"/>
      <c r="DA437" s="87"/>
      <c r="DB437" s="87"/>
      <c r="DC437" s="87"/>
      <c r="DD437" s="87"/>
      <c r="DE437" s="87"/>
      <c r="DF437" s="87"/>
      <c r="DG437" s="87"/>
      <c r="DH437" s="87"/>
      <c r="DI437" s="87"/>
      <c r="DJ437" s="87"/>
      <c r="DK437" s="87"/>
      <c r="DL437" s="87"/>
      <c r="DM437" s="87"/>
      <c r="DN437" s="87"/>
      <c r="DO437" s="87"/>
      <c r="DP437" s="87"/>
      <c r="DQ437" s="87"/>
      <c r="DR437" s="87"/>
      <c r="DS437" s="87"/>
      <c r="DT437" s="87"/>
      <c r="DU437" s="87"/>
      <c r="DV437" s="87"/>
      <c r="DW437" s="87"/>
      <c r="DX437" s="87"/>
      <c r="DY437" s="87"/>
      <c r="DZ437" s="87"/>
      <c r="EA437" s="87"/>
      <c r="EB437" s="87"/>
      <c r="EC437" s="87"/>
      <c r="ED437" s="87"/>
      <c r="EE437" s="87"/>
      <c r="EF437" s="87"/>
      <c r="EG437" s="75">
        <v>46017</v>
      </c>
      <c r="EH437" s="75">
        <v>46024</v>
      </c>
      <c r="EI437" s="75">
        <v>46031</v>
      </c>
    </row>
    <row r="438" spans="1:139" ht="16.5" hidden="1" thickBot="1" x14ac:dyDescent="0.35">
      <c r="A438" s="175" t="s">
        <v>369</v>
      </c>
      <c r="B438" s="176">
        <v>5</v>
      </c>
      <c r="C438" s="177">
        <f>0.25*53</f>
        <v>13.25</v>
      </c>
      <c r="D438" s="217">
        <f>C438/VLOOKUP(B438,'[2]Gas Prod per PADD'!$A$1:$C$6,2,FALSE)</f>
        <v>9.8148148148148144E-3</v>
      </c>
      <c r="E438" s="196">
        <v>45669</v>
      </c>
      <c r="F438" s="281">
        <v>45672</v>
      </c>
      <c r="G438" s="194" t="s">
        <v>795</v>
      </c>
      <c r="H438" s="198" t="s">
        <v>538</v>
      </c>
      <c r="I438" s="84"/>
      <c r="J438" s="85"/>
      <c r="K438" s="85"/>
      <c r="L438" s="85"/>
      <c r="M438" s="85"/>
      <c r="N438" s="85"/>
      <c r="O438" s="85"/>
      <c r="P438" s="85">
        <f t="shared" si="17"/>
        <v>-1.282258064516129</v>
      </c>
      <c r="Q438" s="85"/>
      <c r="R438" s="85"/>
      <c r="S438" s="85"/>
      <c r="T438" s="85"/>
      <c r="U438" s="85"/>
      <c r="V438" s="84"/>
      <c r="W438" s="84"/>
      <c r="X438" s="84" t="str">
        <f t="shared" si="16"/>
        <v>OK</v>
      </c>
      <c r="Y438" s="86"/>
      <c r="Z438" s="86"/>
      <c r="AA438" s="87"/>
      <c r="AB438" s="87"/>
      <c r="AC438" s="87"/>
      <c r="AD438" s="87"/>
      <c r="AE438" s="87"/>
      <c r="AF438" s="87"/>
      <c r="AG438" s="87"/>
      <c r="AH438" s="87"/>
      <c r="AI438" s="87"/>
      <c r="AJ438" s="87"/>
      <c r="AK438" s="87"/>
      <c r="AL438" s="87"/>
      <c r="AM438" s="87"/>
      <c r="AN438" s="87"/>
      <c r="AO438" s="87"/>
      <c r="AP438" s="87"/>
      <c r="AQ438" s="87"/>
      <c r="AR438" s="87"/>
      <c r="AS438" s="87"/>
      <c r="AT438" s="87"/>
      <c r="AU438" s="87"/>
      <c r="AV438" s="87"/>
      <c r="AW438" s="87"/>
      <c r="AX438" s="87"/>
      <c r="AY438" s="87"/>
      <c r="AZ438" s="87"/>
      <c r="BA438" s="87"/>
      <c r="BB438" s="87"/>
      <c r="BC438" s="87"/>
      <c r="BD438" s="87"/>
      <c r="BE438" s="87"/>
      <c r="BF438" s="87"/>
      <c r="BG438" s="87"/>
      <c r="BH438" s="87"/>
      <c r="BI438" s="87"/>
      <c r="BJ438" s="87"/>
      <c r="BK438" s="87"/>
      <c r="BL438" s="87"/>
      <c r="BM438" s="87"/>
      <c r="BN438" s="87"/>
      <c r="BO438" s="87"/>
      <c r="BP438" s="87"/>
      <c r="BQ438" s="87"/>
      <c r="BR438" s="87"/>
      <c r="BS438" s="87"/>
      <c r="BT438" s="87"/>
      <c r="BU438" s="87"/>
      <c r="BV438" s="87"/>
      <c r="BW438" s="87"/>
      <c r="BX438" s="87"/>
      <c r="BY438" s="87"/>
      <c r="BZ438" s="87"/>
      <c r="CA438" s="87"/>
      <c r="CB438" s="87"/>
      <c r="CC438" s="87"/>
      <c r="CD438" s="87"/>
      <c r="CE438" s="87"/>
      <c r="CF438" s="87"/>
      <c r="CG438" s="87"/>
      <c r="CH438" s="87"/>
      <c r="CI438" s="87"/>
      <c r="CJ438" s="87">
        <f>-3/7*C438</f>
        <v>-5.6785714285714279</v>
      </c>
      <c r="CK438" s="87">
        <f>-CJ438</f>
        <v>5.6785714285714279</v>
      </c>
      <c r="CL438" s="87"/>
      <c r="CM438" s="87"/>
      <c r="CN438" s="87"/>
      <c r="CO438" s="87"/>
      <c r="CP438" s="87"/>
      <c r="CQ438" s="87"/>
      <c r="CR438" s="87"/>
      <c r="CS438" s="87"/>
      <c r="CT438" s="87"/>
      <c r="CU438" s="87"/>
      <c r="CV438" s="87"/>
      <c r="CW438" s="87"/>
      <c r="CX438" s="87"/>
      <c r="CY438" s="87"/>
      <c r="CZ438" s="87"/>
      <c r="DA438" s="87"/>
      <c r="DB438" s="87"/>
      <c r="DC438" s="87"/>
      <c r="DD438" s="87"/>
      <c r="DE438" s="87"/>
      <c r="DF438" s="87"/>
      <c r="DG438" s="87"/>
      <c r="DH438" s="87"/>
      <c r="DI438" s="87"/>
      <c r="DJ438" s="87"/>
      <c r="DK438" s="87"/>
      <c r="DL438" s="87"/>
      <c r="DM438" s="87"/>
      <c r="DN438" s="87"/>
      <c r="DO438" s="87"/>
      <c r="DP438" s="87"/>
      <c r="DQ438" s="87"/>
      <c r="DR438" s="87"/>
      <c r="DS438" s="87"/>
      <c r="DT438" s="87"/>
      <c r="DU438" s="87"/>
      <c r="DV438" s="87"/>
      <c r="DW438" s="87"/>
      <c r="DX438" s="87"/>
      <c r="DY438" s="87"/>
      <c r="DZ438" s="87"/>
      <c r="EA438" s="87"/>
      <c r="EB438" s="87"/>
      <c r="EC438" s="87"/>
      <c r="ED438" s="87"/>
      <c r="EE438" s="87"/>
      <c r="EF438" s="87"/>
      <c r="EG438" s="75">
        <v>46017</v>
      </c>
      <c r="EH438" s="75">
        <v>46024</v>
      </c>
      <c r="EI438" s="75">
        <v>46031</v>
      </c>
    </row>
    <row r="439" spans="1:139" ht="57.75" hidden="1" thickBot="1" x14ac:dyDescent="0.35">
      <c r="A439" s="190" t="s">
        <v>334</v>
      </c>
      <c r="B439" s="176">
        <v>3</v>
      </c>
      <c r="C439" s="177">
        <f>65*0.3</f>
        <v>19.5</v>
      </c>
      <c r="D439" s="217">
        <f>C439/VLOOKUP(B439,'[2]Gas Prod per PADD'!$A$1:$C$6,2,FALSE)</f>
        <v>4.239130434782609E-3</v>
      </c>
      <c r="E439" s="178">
        <v>45669</v>
      </c>
      <c r="F439" s="252">
        <f>E439+3</f>
        <v>45672</v>
      </c>
      <c r="G439" s="180" t="s">
        <v>796</v>
      </c>
      <c r="H439" s="221" t="s">
        <v>797</v>
      </c>
      <c r="I439" s="84"/>
      <c r="J439" s="85"/>
      <c r="K439" s="85"/>
      <c r="L439" s="85"/>
      <c r="M439" s="85"/>
      <c r="N439" s="85"/>
      <c r="O439" s="85"/>
      <c r="P439" s="85">
        <f t="shared" si="17"/>
        <v>-1.8870967741935485</v>
      </c>
      <c r="Q439" s="85"/>
      <c r="R439" s="85"/>
      <c r="S439" s="85"/>
      <c r="T439" s="85"/>
      <c r="U439" s="85"/>
      <c r="V439" s="84"/>
      <c r="W439" s="84"/>
      <c r="X439" s="84" t="str">
        <f t="shared" si="16"/>
        <v>OK</v>
      </c>
      <c r="Y439" s="87"/>
      <c r="Z439" s="87"/>
      <c r="AA439" s="87"/>
      <c r="AB439" s="87"/>
      <c r="AC439" s="87"/>
      <c r="AD439" s="87"/>
      <c r="AE439" s="87"/>
      <c r="AF439" s="87"/>
      <c r="AG439" s="87"/>
      <c r="AH439" s="87"/>
      <c r="AI439" s="87"/>
      <c r="AJ439" s="87"/>
      <c r="AK439" s="87"/>
      <c r="AL439" s="87"/>
      <c r="AM439" s="87"/>
      <c r="AN439" s="87"/>
      <c r="AO439" s="87"/>
      <c r="AP439" s="87"/>
      <c r="AQ439" s="87"/>
      <c r="AR439" s="87"/>
      <c r="AS439" s="87"/>
      <c r="AT439" s="87"/>
      <c r="AU439" s="87"/>
      <c r="AV439" s="87"/>
      <c r="AW439" s="87"/>
      <c r="AX439" s="87"/>
      <c r="AY439" s="87"/>
      <c r="AZ439" s="87"/>
      <c r="BA439" s="87"/>
      <c r="BB439" s="87"/>
      <c r="BC439" s="87"/>
      <c r="BD439" s="87"/>
      <c r="BE439" s="87"/>
      <c r="BF439" s="87"/>
      <c r="BG439" s="87"/>
      <c r="BH439" s="87"/>
      <c r="BI439" s="87"/>
      <c r="BJ439" s="87"/>
      <c r="BK439" s="87"/>
      <c r="BL439" s="87"/>
      <c r="BM439" s="87"/>
      <c r="BN439" s="87"/>
      <c r="BO439" s="87"/>
      <c r="BP439" s="87"/>
      <c r="BQ439" s="87"/>
      <c r="BR439" s="87"/>
      <c r="BS439" s="87"/>
      <c r="BT439" s="87"/>
      <c r="BU439" s="87"/>
      <c r="BV439" s="87"/>
      <c r="BW439" s="87"/>
      <c r="BX439" s="87"/>
      <c r="BY439" s="87"/>
      <c r="BZ439" s="87"/>
      <c r="CA439" s="87"/>
      <c r="CB439" s="87"/>
      <c r="CC439" s="87"/>
      <c r="CD439" s="87"/>
      <c r="CE439" s="87"/>
      <c r="CF439" s="87"/>
      <c r="CG439" s="87"/>
      <c r="CH439" s="87"/>
      <c r="CI439" s="87"/>
      <c r="CJ439" s="87">
        <f>-3/7*C439</f>
        <v>-8.3571428571428559</v>
      </c>
      <c r="CK439" s="87">
        <f>-CJ439</f>
        <v>8.3571428571428559</v>
      </c>
      <c r="CL439" s="87"/>
      <c r="CM439" s="87"/>
      <c r="CN439" s="87"/>
      <c r="CO439" s="87"/>
      <c r="CP439" s="87"/>
      <c r="CQ439" s="87"/>
      <c r="CR439" s="87"/>
      <c r="CS439" s="87"/>
      <c r="CT439" s="87"/>
      <c r="CU439" s="87"/>
      <c r="CV439" s="87"/>
      <c r="CW439" s="87"/>
      <c r="CX439" s="87"/>
      <c r="CY439" s="87"/>
      <c r="CZ439" s="87"/>
      <c r="DA439" s="87"/>
      <c r="DB439" s="87"/>
      <c r="DC439" s="87"/>
      <c r="DD439" s="87"/>
      <c r="DE439" s="87"/>
      <c r="DF439" s="87"/>
      <c r="DG439" s="87"/>
      <c r="DH439" s="87"/>
      <c r="DI439" s="87"/>
      <c r="DJ439" s="87"/>
      <c r="DK439" s="87"/>
      <c r="DL439" s="87"/>
      <c r="DM439" s="87"/>
      <c r="DN439" s="87"/>
      <c r="DO439" s="87"/>
      <c r="DP439" s="87"/>
      <c r="DQ439" s="87"/>
      <c r="DR439" s="87"/>
      <c r="DS439" s="87"/>
      <c r="DT439" s="87"/>
      <c r="DU439" s="87"/>
      <c r="DV439" s="87"/>
      <c r="DW439" s="87"/>
      <c r="DX439" s="87"/>
      <c r="DY439" s="87"/>
      <c r="DZ439" s="87"/>
      <c r="EA439" s="87"/>
      <c r="EB439" s="87"/>
      <c r="EC439" s="87"/>
      <c r="ED439" s="87"/>
      <c r="EE439" s="87"/>
      <c r="EF439" s="87"/>
      <c r="EG439" s="87"/>
      <c r="EH439" s="87"/>
      <c r="EI439" s="87"/>
    </row>
    <row r="440" spans="1:139" ht="29.25" hidden="1" thickBot="1" x14ac:dyDescent="0.35">
      <c r="A440" s="200" t="s">
        <v>223</v>
      </c>
      <c r="B440" s="223">
        <v>2</v>
      </c>
      <c r="C440" s="224">
        <f>14*0.05</f>
        <v>0.70000000000000007</v>
      </c>
      <c r="D440" s="217">
        <f>C440/VLOOKUP(B440,'[2]Gas Prod per PADD'!$A$1:$C$6,2,FALSE)</f>
        <v>2.9166666666666669E-4</v>
      </c>
      <c r="E440" s="225">
        <v>45671</v>
      </c>
      <c r="F440" s="252">
        <v>45672</v>
      </c>
      <c r="G440" s="191" t="s">
        <v>798</v>
      </c>
      <c r="H440" s="181" t="s">
        <v>543</v>
      </c>
      <c r="I440" s="73"/>
      <c r="J440" s="229"/>
      <c r="K440" s="229"/>
      <c r="L440" s="229"/>
      <c r="M440" s="229"/>
      <c r="N440" s="229"/>
      <c r="O440" s="229"/>
      <c r="P440" s="85">
        <f t="shared" si="17"/>
        <v>-2.2580645161290325E-2</v>
      </c>
      <c r="Q440" s="229"/>
      <c r="R440" s="229"/>
      <c r="S440" s="229"/>
      <c r="T440" s="85"/>
      <c r="U440" s="85"/>
      <c r="V440" s="84"/>
      <c r="W440" s="84"/>
      <c r="X440" s="84" t="str">
        <f t="shared" si="16"/>
        <v>OK</v>
      </c>
      <c r="Y440" s="74"/>
      <c r="Z440" s="74"/>
      <c r="AA440" s="74"/>
      <c r="AB440" s="74"/>
      <c r="AC440" s="74"/>
      <c r="AD440" s="74"/>
      <c r="AE440" s="74"/>
      <c r="AF440" s="74"/>
      <c r="AG440" s="75"/>
      <c r="AH440" s="74"/>
      <c r="AI440" s="74"/>
      <c r="AJ440" s="74"/>
      <c r="AK440" s="74"/>
      <c r="AL440" s="74"/>
      <c r="AM440" s="74"/>
      <c r="AN440" s="74"/>
      <c r="AO440" s="74"/>
      <c r="AP440" s="74"/>
      <c r="AQ440" s="74"/>
      <c r="AR440" s="75"/>
      <c r="AS440" s="74"/>
      <c r="AT440" s="74"/>
      <c r="AU440" s="74"/>
      <c r="AV440" s="87"/>
      <c r="AW440" s="87"/>
      <c r="AX440" s="87"/>
      <c r="AY440" s="87"/>
      <c r="AZ440" s="87"/>
      <c r="BA440" s="87"/>
      <c r="BB440" s="87"/>
      <c r="BC440" s="87"/>
      <c r="BD440" s="87"/>
      <c r="BE440" s="87"/>
      <c r="BF440" s="74"/>
      <c r="BG440" s="74"/>
      <c r="BH440" s="74"/>
      <c r="BI440" s="74"/>
      <c r="BJ440" s="74"/>
      <c r="BK440" s="74"/>
      <c r="BL440" s="74"/>
      <c r="BM440" s="74"/>
      <c r="BN440" s="74"/>
      <c r="BO440" s="74"/>
      <c r="BP440" s="74"/>
      <c r="BQ440" s="74"/>
      <c r="BR440" s="74"/>
      <c r="BS440" s="74"/>
      <c r="BT440" s="74"/>
      <c r="BU440" s="74"/>
      <c r="BV440" s="74"/>
      <c r="BW440" s="74"/>
      <c r="BX440" s="74"/>
      <c r="BY440" s="74"/>
      <c r="BZ440" s="74"/>
      <c r="CA440" s="74"/>
      <c r="CB440" s="74"/>
      <c r="CC440" s="74"/>
      <c r="CD440" s="74"/>
      <c r="CE440" s="74"/>
      <c r="CF440" s="74"/>
      <c r="CG440" s="74"/>
      <c r="CH440" s="87"/>
      <c r="CI440" s="87"/>
      <c r="CJ440" s="87">
        <f>-1/7*C440</f>
        <v>-0.1</v>
      </c>
      <c r="CK440" s="87">
        <f>-CJ440</f>
        <v>0.1</v>
      </c>
      <c r="CL440" s="87"/>
      <c r="CM440" s="87"/>
      <c r="CN440" s="87"/>
      <c r="CO440" s="87"/>
      <c r="CP440" s="87"/>
      <c r="CQ440" s="87"/>
      <c r="CR440" s="87"/>
      <c r="CS440" s="87"/>
      <c r="CT440" s="87"/>
      <c r="CU440" s="87"/>
      <c r="CV440" s="87"/>
      <c r="CW440" s="87"/>
      <c r="CX440" s="87"/>
      <c r="CY440" s="87"/>
      <c r="CZ440" s="87"/>
      <c r="DA440" s="87"/>
      <c r="DB440" s="87"/>
      <c r="DC440" s="87"/>
      <c r="DD440" s="87"/>
      <c r="DE440" s="87"/>
      <c r="DF440" s="87"/>
      <c r="DG440" s="87"/>
      <c r="DH440" s="87"/>
      <c r="DI440" s="87"/>
      <c r="DJ440" s="87"/>
      <c r="DK440" s="87"/>
      <c r="DL440" s="87"/>
      <c r="DM440" s="87"/>
      <c r="DN440" s="87"/>
      <c r="DO440" s="87"/>
      <c r="DP440" s="87"/>
      <c r="DQ440" s="87"/>
      <c r="DR440" s="87"/>
      <c r="DS440" s="87"/>
      <c r="DT440" s="87"/>
      <c r="DU440" s="87"/>
      <c r="DV440" s="87"/>
      <c r="DW440" s="87"/>
      <c r="DX440" s="87"/>
      <c r="DY440" s="87"/>
      <c r="DZ440" s="87"/>
      <c r="EA440" s="87"/>
      <c r="EB440" s="87"/>
      <c r="EC440" s="87"/>
      <c r="ED440" s="87"/>
      <c r="EE440" s="87"/>
      <c r="EF440" s="87"/>
      <c r="EG440" s="87"/>
      <c r="EH440" s="87"/>
      <c r="EI440" s="87"/>
    </row>
    <row r="441" spans="1:139" ht="16.5" hidden="1" thickBot="1" x14ac:dyDescent="0.35">
      <c r="A441" s="175" t="s">
        <v>357</v>
      </c>
      <c r="B441" s="191">
        <v>5</v>
      </c>
      <c r="C441" s="177">
        <f>(25.3*0.1)</f>
        <v>2.5300000000000002</v>
      </c>
      <c r="D441" s="217">
        <f>C441/VLOOKUP(B441,'[2]Gas Prod per PADD'!$A$1:$C$6,2,FALSE)</f>
        <v>1.8740740740740742E-3</v>
      </c>
      <c r="E441" s="299">
        <v>45671</v>
      </c>
      <c r="F441" s="252">
        <f>E441+1</f>
        <v>45672</v>
      </c>
      <c r="G441" s="180" t="s">
        <v>799</v>
      </c>
      <c r="H441" s="181" t="s">
        <v>364</v>
      </c>
      <c r="I441" s="84"/>
      <c r="J441" s="85"/>
      <c r="K441" s="85"/>
      <c r="L441" s="85"/>
      <c r="M441" s="85"/>
      <c r="N441" s="85"/>
      <c r="O441" s="85"/>
      <c r="P441" s="85">
        <f t="shared" si="17"/>
        <v>-8.1612903225806457E-2</v>
      </c>
      <c r="Q441" s="85"/>
      <c r="R441" s="85"/>
      <c r="S441" s="85"/>
      <c r="T441" s="85"/>
      <c r="U441" s="85"/>
      <c r="V441" s="84"/>
      <c r="W441" s="84"/>
      <c r="X441" s="84" t="str">
        <f t="shared" si="16"/>
        <v>OK</v>
      </c>
      <c r="Y441" s="105"/>
      <c r="Z441" s="105"/>
      <c r="AA441" s="87"/>
      <c r="AB441" s="87"/>
      <c r="AC441" s="87"/>
      <c r="AD441" s="87"/>
      <c r="AE441" s="105"/>
      <c r="AF441" s="105"/>
      <c r="AG441" s="105"/>
      <c r="AH441" s="105"/>
      <c r="AI441" s="87"/>
      <c r="AJ441" s="87"/>
      <c r="AK441" s="87"/>
      <c r="AL441" s="87"/>
      <c r="AM441" s="87"/>
      <c r="AN441" s="87"/>
      <c r="AO441" s="87"/>
      <c r="AP441" s="87"/>
      <c r="AQ441" s="87"/>
      <c r="AR441" s="87"/>
      <c r="AS441" s="87"/>
      <c r="AT441" s="87"/>
      <c r="AU441" s="87"/>
      <c r="AV441" s="87"/>
      <c r="AW441" s="87"/>
      <c r="AX441" s="87"/>
      <c r="AY441" s="87"/>
      <c r="AZ441" s="87"/>
      <c r="BA441" s="87"/>
      <c r="BB441" s="87"/>
      <c r="BC441" s="87"/>
      <c r="BD441" s="87"/>
      <c r="BE441" s="87"/>
      <c r="BF441" s="87"/>
      <c r="BG441" s="87"/>
      <c r="BH441" s="87"/>
      <c r="BI441" s="87"/>
      <c r="BJ441" s="87"/>
      <c r="BK441" s="87"/>
      <c r="BL441" s="87"/>
      <c r="BM441" s="87"/>
      <c r="BN441" s="87"/>
      <c r="BO441" s="87"/>
      <c r="BP441" s="87"/>
      <c r="BQ441" s="87"/>
      <c r="BR441" s="87"/>
      <c r="BS441" s="87"/>
      <c r="BT441" s="87"/>
      <c r="BU441" s="278"/>
      <c r="BV441" s="278"/>
      <c r="BW441" s="278"/>
      <c r="BX441" s="87"/>
      <c r="BY441" s="87"/>
      <c r="BZ441" s="87"/>
      <c r="CA441" s="87"/>
      <c r="CB441" s="87"/>
      <c r="CC441" s="87"/>
      <c r="CD441" s="87"/>
      <c r="CE441" s="87"/>
      <c r="CF441" s="87"/>
      <c r="CG441" s="87"/>
      <c r="CH441" s="87"/>
      <c r="CI441" s="87"/>
      <c r="CJ441" s="86">
        <f>-C441*(1/7)</f>
        <v>-0.36142857142857143</v>
      </c>
      <c r="CK441" s="86">
        <f>+-CJ441</f>
        <v>0.36142857142857143</v>
      </c>
      <c r="CL441" s="87"/>
      <c r="CM441" s="87"/>
      <c r="CN441" s="87"/>
      <c r="CO441" s="87"/>
      <c r="CP441" s="87"/>
      <c r="CQ441" s="87"/>
      <c r="CR441" s="87"/>
      <c r="CS441" s="87"/>
      <c r="CT441" s="87"/>
      <c r="CU441" s="87"/>
      <c r="CV441" s="87"/>
      <c r="CW441" s="87"/>
      <c r="CX441" s="87"/>
      <c r="CY441" s="87"/>
      <c r="CZ441" s="87"/>
      <c r="DA441" s="87"/>
      <c r="DB441" s="87"/>
      <c r="DC441" s="87"/>
      <c r="DD441" s="87"/>
      <c r="DE441" s="87"/>
      <c r="DF441" s="87"/>
      <c r="DG441" s="87"/>
      <c r="DH441" s="87"/>
      <c r="DI441" s="87"/>
      <c r="DJ441" s="87"/>
      <c r="DK441" s="87"/>
      <c r="DL441" s="87"/>
      <c r="DM441" s="87"/>
      <c r="DN441" s="87"/>
      <c r="DO441" s="87"/>
      <c r="DP441" s="87"/>
      <c r="DQ441" s="87"/>
      <c r="DR441" s="87"/>
      <c r="DS441" s="87"/>
      <c r="DT441" s="87"/>
      <c r="DU441" s="87"/>
      <c r="DV441" s="87"/>
      <c r="DW441" s="278"/>
      <c r="DX441" s="87"/>
      <c r="DY441" s="278"/>
      <c r="DZ441" s="87"/>
      <c r="EA441" s="87"/>
      <c r="EB441" s="87"/>
      <c r="EC441" s="87"/>
      <c r="ED441" s="87"/>
      <c r="EE441" s="87"/>
      <c r="EF441" s="87"/>
      <c r="EG441" s="75"/>
      <c r="EH441" s="75"/>
      <c r="EI441" s="75"/>
    </row>
    <row r="442" spans="1:139" ht="16.5" hidden="1" thickBot="1" x14ac:dyDescent="0.35">
      <c r="A442" s="113" t="s">
        <v>186</v>
      </c>
      <c r="B442" s="199">
        <v>4</v>
      </c>
      <c r="C442" s="195">
        <f>0.3*39</f>
        <v>11.7</v>
      </c>
      <c r="D442" s="217">
        <f>C442/VLOOKUP(B442,'[2]Gas Prod per PADD'!$A$1:$C$6,2,FALSE)</f>
        <v>3.441176470588235E-2</v>
      </c>
      <c r="E442" s="196">
        <v>46018</v>
      </c>
      <c r="F442" s="281">
        <v>45672</v>
      </c>
      <c r="G442" s="194" t="s">
        <v>800</v>
      </c>
      <c r="H442" s="230" t="s">
        <v>801</v>
      </c>
      <c r="I442" s="84"/>
      <c r="J442" s="85"/>
      <c r="K442" s="85"/>
      <c r="L442" s="85"/>
      <c r="M442" s="85"/>
      <c r="N442" s="85"/>
      <c r="O442" s="85"/>
      <c r="P442" s="85"/>
      <c r="Q442" s="85"/>
      <c r="R442" s="85"/>
      <c r="S442" s="85"/>
      <c r="T442" s="85"/>
      <c r="U442" s="85"/>
      <c r="V442" s="84"/>
      <c r="W442" s="84"/>
      <c r="X442" s="84" t="str">
        <f t="shared" si="16"/>
        <v>OK</v>
      </c>
      <c r="Y442" s="86"/>
      <c r="Z442" s="87"/>
      <c r="AA442" s="87"/>
      <c r="AB442" s="87"/>
      <c r="AC442" s="87"/>
      <c r="AD442" s="87"/>
      <c r="AE442" s="87"/>
      <c r="AF442" s="87"/>
      <c r="AG442" s="87"/>
      <c r="AH442" s="87"/>
      <c r="AI442" s="87"/>
      <c r="AJ442" s="87"/>
      <c r="AK442" s="87"/>
      <c r="AL442" s="87"/>
      <c r="AM442" s="87"/>
      <c r="AN442" s="87"/>
      <c r="AO442" s="87"/>
      <c r="AP442" s="87"/>
      <c r="AQ442" s="87"/>
      <c r="AR442" s="87"/>
      <c r="AS442" s="87"/>
      <c r="AT442" s="87"/>
      <c r="AU442" s="87"/>
      <c r="AV442" s="87"/>
      <c r="AW442" s="87"/>
      <c r="AX442" s="87"/>
      <c r="AY442" s="87"/>
      <c r="AZ442" s="87"/>
      <c r="BA442" s="87"/>
      <c r="BB442" s="87"/>
      <c r="BC442" s="87"/>
      <c r="BD442" s="87"/>
      <c r="BE442" s="87"/>
      <c r="BF442" s="87"/>
      <c r="BG442" s="87"/>
      <c r="BH442" s="87"/>
      <c r="BI442" s="87"/>
      <c r="BJ442" s="105"/>
      <c r="BK442" s="87"/>
      <c r="BL442" s="105"/>
      <c r="BM442" s="87"/>
      <c r="BN442" s="105"/>
      <c r="BO442" s="105"/>
      <c r="BP442" s="87"/>
      <c r="BQ442" s="87"/>
      <c r="BR442" s="87"/>
      <c r="BS442" s="87"/>
      <c r="BT442" s="87"/>
      <c r="BU442" s="87"/>
      <c r="BV442" s="87"/>
      <c r="BW442" s="87"/>
      <c r="BX442" s="87"/>
      <c r="BY442" s="87"/>
      <c r="BZ442" s="87"/>
      <c r="CA442" s="87"/>
      <c r="CB442" s="87"/>
      <c r="CC442" s="87"/>
      <c r="CD442" s="87"/>
      <c r="CE442" s="87"/>
      <c r="CF442" s="87"/>
      <c r="CG442" s="87"/>
      <c r="CH442" s="105">
        <f>-C442</f>
        <v>-11.7</v>
      </c>
      <c r="CI442" s="105"/>
      <c r="CJ442" s="295">
        <f>-CH442 *(3/7)</f>
        <v>5.0142857142857133</v>
      </c>
      <c r="CK442" s="295">
        <f>-CH442 *(4/7)</f>
        <v>6.6857142857142851</v>
      </c>
      <c r="CL442" s="87"/>
      <c r="CM442" s="87"/>
      <c r="CN442" s="87"/>
      <c r="CO442" s="87"/>
      <c r="CP442" s="87"/>
      <c r="CQ442" s="87"/>
      <c r="CR442" s="87"/>
      <c r="CS442" s="87"/>
      <c r="CT442" s="87"/>
      <c r="CU442" s="87"/>
      <c r="CV442" s="87"/>
      <c r="CW442" s="87"/>
      <c r="CX442" s="87"/>
      <c r="CY442" s="87"/>
      <c r="CZ442" s="87"/>
      <c r="DA442" s="87"/>
      <c r="DB442" s="87"/>
      <c r="DC442" s="87"/>
      <c r="DD442" s="87"/>
      <c r="DE442" s="87"/>
      <c r="DF442" s="87"/>
      <c r="DG442" s="87"/>
      <c r="DH442" s="87"/>
      <c r="DI442" s="87"/>
      <c r="DJ442" s="87"/>
      <c r="DK442" s="87"/>
      <c r="DL442" s="87"/>
      <c r="DM442" s="87"/>
      <c r="DN442" s="87"/>
      <c r="DO442" s="87"/>
      <c r="DP442" s="87"/>
      <c r="DQ442" s="87"/>
      <c r="DR442" s="87"/>
      <c r="DS442" s="87"/>
      <c r="DT442" s="87"/>
      <c r="DU442" s="87"/>
      <c r="DV442" s="87"/>
      <c r="DW442" s="87"/>
      <c r="DX442" s="87"/>
      <c r="DY442" s="87"/>
      <c r="DZ442" s="87"/>
      <c r="EA442" s="87"/>
      <c r="EB442" s="87"/>
      <c r="EC442" s="87"/>
      <c r="ED442" s="87"/>
      <c r="EE442" s="87"/>
      <c r="EF442" s="87"/>
      <c r="EG442" s="87"/>
      <c r="EH442" s="87"/>
      <c r="EI442" s="87"/>
    </row>
    <row r="443" spans="1:139" ht="16.5" hidden="1" thickBot="1" x14ac:dyDescent="0.35">
      <c r="A443" s="200" t="s">
        <v>231</v>
      </c>
      <c r="B443" s="223">
        <v>2</v>
      </c>
      <c r="C443" s="224">
        <f>0.25*15+(40*0.25)</f>
        <v>13.75</v>
      </c>
      <c r="D443" s="217">
        <f>C443/VLOOKUP(B443,'[2]Gas Prod per PADD'!$A$1:$C$6,2,FALSE)</f>
        <v>5.7291666666666663E-3</v>
      </c>
      <c r="E443" s="225">
        <v>45667</v>
      </c>
      <c r="F443" s="276">
        <v>45673</v>
      </c>
      <c r="G443" s="180" t="s">
        <v>802</v>
      </c>
      <c r="H443" s="221" t="s">
        <v>788</v>
      </c>
      <c r="I443" s="84"/>
      <c r="J443" s="85"/>
      <c r="K443" s="85"/>
      <c r="L443" s="85"/>
      <c r="M443" s="85"/>
      <c r="N443" s="85"/>
      <c r="O443" s="85"/>
      <c r="P443" s="85">
        <f>C443*(E443-F443)/31</f>
        <v>-2.661290322580645</v>
      </c>
      <c r="Q443" s="85"/>
      <c r="R443" s="85"/>
      <c r="S443" s="85"/>
      <c r="T443" s="85"/>
      <c r="U443" s="85"/>
      <c r="V443" s="84"/>
      <c r="W443" s="84"/>
      <c r="X443" s="84" t="str">
        <f t="shared" si="16"/>
        <v>OK</v>
      </c>
      <c r="Y443" s="105"/>
      <c r="Z443" s="105"/>
      <c r="AA443" s="87"/>
      <c r="AB443" s="87"/>
      <c r="AC443" s="87"/>
      <c r="AD443" s="87"/>
      <c r="AE443" s="105"/>
      <c r="AF443" s="105"/>
      <c r="AG443" s="105"/>
      <c r="AH443" s="105"/>
      <c r="AI443" s="87"/>
      <c r="AJ443" s="87"/>
      <c r="AK443" s="105"/>
      <c r="AL443" s="87"/>
      <c r="AM443" s="105"/>
      <c r="AN443" s="105"/>
      <c r="AO443" s="87"/>
      <c r="AP443" s="87"/>
      <c r="AQ443" s="105"/>
      <c r="AR443" s="105"/>
      <c r="AS443" s="87"/>
      <c r="AT443" s="105"/>
      <c r="AU443" s="105"/>
      <c r="AV443" s="87"/>
      <c r="AW443" s="105"/>
      <c r="AX443" s="105"/>
      <c r="AY443" s="87"/>
      <c r="AZ443" s="105"/>
      <c r="BA443" s="105"/>
      <c r="BB443" s="105"/>
      <c r="BC443" s="87"/>
      <c r="BD443" s="87"/>
      <c r="BE443" s="105"/>
      <c r="BF443" s="105"/>
      <c r="BG443" s="105"/>
      <c r="BH443" s="105"/>
      <c r="BI443" s="105"/>
      <c r="BJ443" s="87"/>
      <c r="BK443" s="87"/>
      <c r="BL443" s="87"/>
      <c r="BM443" s="87"/>
      <c r="BN443" s="87"/>
      <c r="BO443" s="87"/>
      <c r="BP443" s="87"/>
      <c r="BQ443" s="87"/>
      <c r="BR443" s="87"/>
      <c r="BS443" s="87"/>
      <c r="BT443" s="87"/>
      <c r="BU443" s="87"/>
      <c r="BV443" s="87"/>
      <c r="BW443" s="87"/>
      <c r="BX443" s="87"/>
      <c r="BY443" s="87"/>
      <c r="BZ443" s="87"/>
      <c r="CA443" s="87"/>
      <c r="CB443" s="87"/>
      <c r="CC443" s="87"/>
      <c r="CD443" s="87"/>
      <c r="CE443" s="87"/>
      <c r="CF443" s="87"/>
      <c r="CG443" s="87"/>
      <c r="CH443" s="87"/>
      <c r="CI443" s="87"/>
      <c r="CJ443" s="87">
        <f>-6/7*C443</f>
        <v>-11.785714285714285</v>
      </c>
      <c r="CK443" s="87">
        <f>-CJ443</f>
        <v>11.785714285714285</v>
      </c>
      <c r="CL443" s="87"/>
      <c r="CM443" s="87"/>
      <c r="CN443" s="87"/>
      <c r="CO443" s="87"/>
      <c r="CP443" s="87"/>
      <c r="CQ443" s="87"/>
      <c r="CR443" s="87"/>
      <c r="CS443" s="87"/>
      <c r="CT443" s="87"/>
      <c r="CU443" s="87"/>
      <c r="CV443" s="87"/>
      <c r="CW443" s="87"/>
      <c r="CX443" s="87"/>
      <c r="CY443" s="87"/>
      <c r="CZ443" s="87"/>
      <c r="DA443" s="87"/>
      <c r="DB443" s="87"/>
      <c r="DC443" s="87"/>
      <c r="DD443" s="87"/>
      <c r="DE443" s="87"/>
      <c r="DF443" s="87"/>
      <c r="DG443" s="87"/>
      <c r="DH443" s="87"/>
      <c r="DI443" s="87"/>
      <c r="DJ443" s="87"/>
      <c r="DK443" s="87"/>
      <c r="DL443" s="87"/>
      <c r="DM443" s="87"/>
      <c r="DN443" s="87"/>
      <c r="DO443" s="87"/>
      <c r="DP443" s="87"/>
      <c r="DQ443" s="87"/>
      <c r="DR443" s="87"/>
      <c r="DS443" s="87"/>
      <c r="DT443" s="87"/>
      <c r="DU443" s="87"/>
      <c r="DV443" s="87"/>
      <c r="DW443" s="87"/>
      <c r="DX443" s="87"/>
      <c r="DY443" s="87"/>
      <c r="DZ443" s="87"/>
      <c r="EA443" s="87"/>
      <c r="EB443" s="87"/>
      <c r="EC443" s="87"/>
      <c r="ED443" s="87"/>
      <c r="EE443" s="87"/>
      <c r="EF443" s="87"/>
      <c r="EG443" s="87"/>
      <c r="EH443" s="87"/>
      <c r="EI443" s="87"/>
    </row>
    <row r="444" spans="1:139" ht="16.5" hidden="1" thickBot="1" x14ac:dyDescent="0.35">
      <c r="A444" s="222" t="s">
        <v>248</v>
      </c>
      <c r="B444" s="223">
        <v>3</v>
      </c>
      <c r="C444" s="224">
        <f>(70*0.1)+(0.05*30)+(47*0.85)</f>
        <v>48.449999999999996</v>
      </c>
      <c r="D444" s="217">
        <f>C444/VLOOKUP(B444,'[2]Gas Prod per PADD'!$A$1:$C$6,2,FALSE)</f>
        <v>1.0532608695652174E-2</v>
      </c>
      <c r="E444" s="196">
        <v>45668</v>
      </c>
      <c r="F444" s="197">
        <v>45673</v>
      </c>
      <c r="G444" s="194" t="s">
        <v>803</v>
      </c>
      <c r="H444" s="230" t="s">
        <v>364</v>
      </c>
      <c r="I444" s="84"/>
      <c r="J444" s="85"/>
      <c r="K444" s="85"/>
      <c r="L444" s="85"/>
      <c r="M444" s="85"/>
      <c r="N444" s="85"/>
      <c r="O444" s="85"/>
      <c r="P444" s="85">
        <f>C444*(E444-F444)/31</f>
        <v>-7.8145161290322571</v>
      </c>
      <c r="Q444" s="85"/>
      <c r="R444" s="85"/>
      <c r="S444" s="85"/>
      <c r="T444" s="85"/>
      <c r="U444" s="85"/>
      <c r="V444" s="84"/>
      <c r="W444" s="84"/>
      <c r="X444" s="84" t="str">
        <f t="shared" si="16"/>
        <v>OK</v>
      </c>
      <c r="Y444" s="105"/>
      <c r="Z444" s="105"/>
      <c r="AA444" s="87"/>
      <c r="AB444" s="87"/>
      <c r="AC444" s="87"/>
      <c r="AD444" s="87"/>
      <c r="AE444" s="105"/>
      <c r="AF444" s="105"/>
      <c r="AG444" s="105"/>
      <c r="AH444" s="105"/>
      <c r="AI444" s="87"/>
      <c r="AJ444" s="87"/>
      <c r="AK444" s="105"/>
      <c r="AL444" s="87"/>
      <c r="AM444" s="105"/>
      <c r="AN444" s="105"/>
      <c r="AO444" s="87"/>
      <c r="AP444" s="87"/>
      <c r="AQ444" s="105"/>
      <c r="AR444" s="105"/>
      <c r="AS444" s="87"/>
      <c r="AT444" s="105"/>
      <c r="AU444" s="87"/>
      <c r="AV444" s="105"/>
      <c r="AW444" s="105"/>
      <c r="AX444" s="105"/>
      <c r="AY444" s="105"/>
      <c r="AZ444" s="105"/>
      <c r="BA444" s="105"/>
      <c r="BB444" s="105"/>
      <c r="BC444" s="105"/>
      <c r="BD444" s="87"/>
      <c r="BE444" s="87"/>
      <c r="BF444" s="87"/>
      <c r="BG444" s="87"/>
      <c r="BH444" s="87"/>
      <c r="BI444" s="87"/>
      <c r="BJ444" s="87"/>
      <c r="BK444" s="87"/>
      <c r="BL444" s="87"/>
      <c r="BM444" s="87"/>
      <c r="BN444" s="87"/>
      <c r="BO444" s="87"/>
      <c r="BP444" s="87"/>
      <c r="BQ444" s="87"/>
      <c r="BR444" s="87"/>
      <c r="BS444" s="87"/>
      <c r="BT444" s="87"/>
      <c r="BU444" s="87"/>
      <c r="BV444" s="87"/>
      <c r="BW444" s="87"/>
      <c r="BX444" s="87"/>
      <c r="BY444" s="87"/>
      <c r="BZ444" s="87"/>
      <c r="CA444" s="87"/>
      <c r="CB444" s="87"/>
      <c r="CC444" s="87"/>
      <c r="CD444" s="87"/>
      <c r="CE444" s="87"/>
      <c r="CF444" s="87"/>
      <c r="CG444" s="87"/>
      <c r="CH444" s="87"/>
      <c r="CI444" s="87"/>
      <c r="CJ444" s="87">
        <f>-6/7*C444</f>
        <v>-41.528571428571425</v>
      </c>
      <c r="CK444" s="87">
        <f>-CJ444</f>
        <v>41.528571428571425</v>
      </c>
      <c r="CL444" s="87"/>
      <c r="CM444" s="87"/>
      <c r="CN444" s="87"/>
      <c r="CO444" s="87"/>
      <c r="CP444" s="87"/>
      <c r="CQ444" s="87"/>
      <c r="CR444" s="87"/>
      <c r="CS444" s="87"/>
      <c r="CT444" s="87"/>
      <c r="CU444" s="87"/>
      <c r="CV444" s="87"/>
      <c r="CW444" s="87"/>
      <c r="CX444" s="87"/>
      <c r="CY444" s="87"/>
      <c r="CZ444" s="87"/>
      <c r="DA444" s="87"/>
      <c r="DB444" s="87"/>
      <c r="DC444" s="87"/>
      <c r="DD444" s="87"/>
      <c r="DE444" s="87"/>
      <c r="DF444" s="87"/>
      <c r="DG444" s="87"/>
      <c r="DH444" s="87"/>
      <c r="DI444" s="87"/>
      <c r="DJ444" s="87"/>
      <c r="DK444" s="87"/>
      <c r="DL444" s="87"/>
      <c r="DM444" s="87"/>
      <c r="DN444" s="87"/>
      <c r="DO444" s="87"/>
      <c r="DP444" s="87"/>
      <c r="DQ444" s="87"/>
      <c r="DR444" s="87"/>
      <c r="DS444" s="87"/>
      <c r="DT444" s="87"/>
      <c r="DU444" s="87"/>
      <c r="DV444" s="87"/>
      <c r="DW444" s="87"/>
      <c r="DX444" s="87"/>
      <c r="DY444" s="87"/>
      <c r="DZ444" s="87"/>
      <c r="EA444" s="87"/>
      <c r="EB444" s="87"/>
      <c r="EC444" s="87"/>
      <c r="ED444" s="87"/>
      <c r="EE444" s="87"/>
      <c r="EF444" s="87"/>
      <c r="EG444" s="87"/>
      <c r="EH444" s="87"/>
      <c r="EI444" s="87"/>
    </row>
    <row r="445" spans="1:139" ht="16.5" hidden="1" thickBot="1" x14ac:dyDescent="0.35">
      <c r="A445" s="190" t="s">
        <v>152</v>
      </c>
      <c r="B445" s="176">
        <v>3</v>
      </c>
      <c r="C445" s="177">
        <f>100*0.25</f>
        <v>25</v>
      </c>
      <c r="D445" s="217">
        <f>C445/VLOOKUP(B445,'[2]Gas Prod per PADD'!$A$1:$C$6,2,FALSE)</f>
        <v>5.434782608695652E-3</v>
      </c>
      <c r="E445" s="178">
        <v>45671</v>
      </c>
      <c r="F445" s="252">
        <v>45673</v>
      </c>
      <c r="G445" s="180" t="s">
        <v>804</v>
      </c>
      <c r="H445" s="181" t="s">
        <v>805</v>
      </c>
      <c r="I445" s="84"/>
      <c r="J445" s="85"/>
      <c r="K445" s="85"/>
      <c r="L445" s="85"/>
      <c r="M445" s="85"/>
      <c r="N445" s="85"/>
      <c r="O445" s="85"/>
      <c r="P445" s="85">
        <f>C445*(E445-F445)/31</f>
        <v>-1.6129032258064515</v>
      </c>
      <c r="Q445" s="85"/>
      <c r="R445" s="85"/>
      <c r="S445" s="85"/>
      <c r="T445" s="85"/>
      <c r="U445" s="85"/>
      <c r="V445" s="84"/>
      <c r="W445" s="84"/>
      <c r="X445" s="84" t="str">
        <f t="shared" si="16"/>
        <v>OK</v>
      </c>
      <c r="Y445" s="105"/>
      <c r="Z445" s="105"/>
      <c r="AA445" s="87"/>
      <c r="AB445" s="87"/>
      <c r="AC445" s="87"/>
      <c r="AD445" s="87"/>
      <c r="AE445" s="105"/>
      <c r="AF445" s="105"/>
      <c r="AG445" s="105"/>
      <c r="AH445" s="105"/>
      <c r="AI445" s="87"/>
      <c r="AJ445" s="87"/>
      <c r="AK445" s="105"/>
      <c r="AL445" s="87"/>
      <c r="AM445" s="105"/>
      <c r="AN445" s="105"/>
      <c r="AO445" s="87"/>
      <c r="AP445" s="87"/>
      <c r="AQ445" s="105"/>
      <c r="AR445" s="105"/>
      <c r="AS445" s="87"/>
      <c r="AT445" s="105"/>
      <c r="AU445" s="105"/>
      <c r="AV445" s="87"/>
      <c r="AW445" s="105"/>
      <c r="AX445" s="105"/>
      <c r="AY445" s="87"/>
      <c r="AZ445" s="105"/>
      <c r="BA445" s="105"/>
      <c r="BB445" s="105"/>
      <c r="BC445" s="87"/>
      <c r="BD445" s="87"/>
      <c r="BE445" s="105"/>
      <c r="BF445" s="105"/>
      <c r="BG445" s="105"/>
      <c r="BH445" s="105"/>
      <c r="BI445" s="105"/>
      <c r="BJ445" s="87"/>
      <c r="BK445" s="87"/>
      <c r="BL445" s="87"/>
      <c r="BM445" s="87"/>
      <c r="BN445" s="87"/>
      <c r="BO445" s="105"/>
      <c r="BP445" s="105"/>
      <c r="BQ445" s="105"/>
      <c r="BR445" s="105"/>
      <c r="BS445" s="105"/>
      <c r="BT445" s="87"/>
      <c r="BU445" s="87"/>
      <c r="BV445" s="87"/>
      <c r="BW445" s="87"/>
      <c r="BX445" s="87"/>
      <c r="BY445" s="87"/>
      <c r="BZ445" s="87"/>
      <c r="CA445" s="87"/>
      <c r="CB445" s="87"/>
      <c r="CC445" s="87"/>
      <c r="CD445" s="87"/>
      <c r="CE445" s="87"/>
      <c r="CF445" s="87"/>
      <c r="CG445" s="87"/>
      <c r="CH445" s="87"/>
      <c r="CI445" s="87"/>
      <c r="CJ445" s="87">
        <f>-3/7*C445</f>
        <v>-10.714285714285714</v>
      </c>
      <c r="CK445" s="87">
        <f>-CJ445</f>
        <v>10.714285714285714</v>
      </c>
      <c r="CL445" s="87"/>
      <c r="CM445" s="87"/>
      <c r="CN445" s="87"/>
      <c r="CO445" s="87"/>
      <c r="CP445" s="87"/>
      <c r="CQ445" s="87"/>
      <c r="CR445" s="87"/>
      <c r="CS445" s="87"/>
      <c r="CT445" s="87"/>
      <c r="CU445" s="87"/>
      <c r="CV445" s="87"/>
      <c r="CW445" s="87"/>
      <c r="CX445" s="87"/>
      <c r="CY445" s="87"/>
      <c r="CZ445" s="87"/>
      <c r="DA445" s="87"/>
      <c r="DB445" s="87"/>
      <c r="DC445" s="87"/>
      <c r="DD445" s="87"/>
      <c r="DE445" s="87"/>
      <c r="DF445" s="87"/>
      <c r="DG445" s="87"/>
      <c r="DH445" s="87"/>
      <c r="DI445" s="87"/>
      <c r="DJ445" s="87"/>
      <c r="DK445" s="87"/>
      <c r="DL445" s="87"/>
      <c r="DM445" s="87"/>
      <c r="DN445" s="87"/>
      <c r="DO445" s="87"/>
      <c r="DP445" s="87"/>
      <c r="DQ445" s="87"/>
      <c r="DR445" s="87"/>
      <c r="DS445" s="87"/>
      <c r="DT445" s="87"/>
      <c r="DU445" s="87"/>
      <c r="DV445" s="87"/>
      <c r="DW445" s="87"/>
      <c r="DX445" s="87"/>
      <c r="DY445" s="87"/>
      <c r="DZ445" s="87"/>
      <c r="EA445" s="87"/>
      <c r="EB445" s="87"/>
      <c r="EC445" s="87"/>
      <c r="ED445" s="87"/>
      <c r="EE445" s="87"/>
      <c r="EF445" s="87"/>
      <c r="EG445" s="87"/>
      <c r="EH445" s="87"/>
      <c r="EI445" s="87"/>
    </row>
    <row r="446" spans="1:139" ht="16.5" hidden="1" thickBot="1" x14ac:dyDescent="0.35">
      <c r="A446" s="222" t="s">
        <v>248</v>
      </c>
      <c r="B446" s="223">
        <v>3</v>
      </c>
      <c r="C446" s="224">
        <f>76*0.65</f>
        <v>49.4</v>
      </c>
      <c r="D446" s="217">
        <f>C446/VLOOKUP(B446,'[2]Gas Prod per PADD'!$A$1:$C$6,2,FALSE)</f>
        <v>1.0739130434782609E-2</v>
      </c>
      <c r="E446" s="196">
        <v>45663</v>
      </c>
      <c r="F446" s="197">
        <v>45674</v>
      </c>
      <c r="G446" s="194" t="s">
        <v>806</v>
      </c>
      <c r="H446" s="230" t="s">
        <v>786</v>
      </c>
      <c r="I446" s="84"/>
      <c r="J446" s="85"/>
      <c r="K446" s="85"/>
      <c r="L446" s="85"/>
      <c r="M446" s="85"/>
      <c r="N446" s="85"/>
      <c r="O446" s="85"/>
      <c r="P446" s="85">
        <f>C446*(E446-F446)/31</f>
        <v>-17.529032258064515</v>
      </c>
      <c r="Q446" s="85"/>
      <c r="R446" s="85"/>
      <c r="S446" s="85"/>
      <c r="T446" s="85"/>
      <c r="U446" s="85"/>
      <c r="V446" s="84"/>
      <c r="W446" s="84"/>
      <c r="X446" s="84" t="str">
        <f t="shared" si="16"/>
        <v>OK</v>
      </c>
      <c r="Y446" s="105"/>
      <c r="Z446" s="105"/>
      <c r="AA446" s="87"/>
      <c r="AB446" s="87"/>
      <c r="AC446" s="87"/>
      <c r="AD446" s="87"/>
      <c r="AE446" s="105"/>
      <c r="AF446" s="105"/>
      <c r="AG446" s="105"/>
      <c r="AH446" s="105"/>
      <c r="AI446" s="87"/>
      <c r="AJ446" s="87"/>
      <c r="AK446" s="105"/>
      <c r="AL446" s="87"/>
      <c r="AM446" s="105"/>
      <c r="AN446" s="105"/>
      <c r="AO446" s="87"/>
      <c r="AP446" s="87"/>
      <c r="AQ446" s="105"/>
      <c r="AR446" s="105"/>
      <c r="AS446" s="87"/>
      <c r="AT446" s="105"/>
      <c r="AU446" s="87"/>
      <c r="AV446" s="105"/>
      <c r="AW446" s="105"/>
      <c r="AX446" s="105"/>
      <c r="AY446" s="105"/>
      <c r="AZ446" s="105"/>
      <c r="BA446" s="105"/>
      <c r="BB446" s="105"/>
      <c r="BC446" s="105"/>
      <c r="BD446" s="87"/>
      <c r="BE446" s="87"/>
      <c r="BF446" s="87"/>
      <c r="BG446" s="87"/>
      <c r="BH446" s="87"/>
      <c r="BI446" s="87"/>
      <c r="BJ446" s="87"/>
      <c r="BK446" s="87"/>
      <c r="BL446" s="87"/>
      <c r="BM446" s="87"/>
      <c r="BN446" s="87"/>
      <c r="BO446" s="87"/>
      <c r="BP446" s="87"/>
      <c r="BQ446" s="87"/>
      <c r="BR446" s="87"/>
      <c r="BS446" s="87"/>
      <c r="BT446" s="87"/>
      <c r="BU446" s="87"/>
      <c r="BV446" s="87"/>
      <c r="BW446" s="87"/>
      <c r="BX446" s="87"/>
      <c r="BY446" s="87"/>
      <c r="BZ446" s="87"/>
      <c r="CA446" s="87"/>
      <c r="CB446" s="87"/>
      <c r="CC446" s="87"/>
      <c r="CD446" s="87"/>
      <c r="CE446" s="87"/>
      <c r="CF446" s="87"/>
      <c r="CG446" s="87"/>
      <c r="CH446" s="87"/>
      <c r="CI446" s="87">
        <f>-5/7*C446</f>
        <v>-35.285714285714285</v>
      </c>
      <c r="CJ446" s="87">
        <f>-2/7*C446</f>
        <v>-14.114285714285714</v>
      </c>
      <c r="CK446" s="87">
        <f>-CJ446</f>
        <v>14.114285714285714</v>
      </c>
      <c r="CL446" s="87">
        <f>-CI446</f>
        <v>35.285714285714285</v>
      </c>
      <c r="CM446" s="87"/>
      <c r="CN446" s="87"/>
      <c r="CO446" s="87"/>
      <c r="CP446" s="87"/>
      <c r="CQ446" s="87"/>
      <c r="CR446" s="87"/>
      <c r="CS446" s="87"/>
      <c r="CT446" s="87"/>
      <c r="CU446" s="87"/>
      <c r="CV446" s="87"/>
      <c r="CW446" s="87"/>
      <c r="CX446" s="87"/>
      <c r="CY446" s="87"/>
      <c r="CZ446" s="87"/>
      <c r="DA446" s="87"/>
      <c r="DB446" s="87"/>
      <c r="DC446" s="87"/>
      <c r="DD446" s="87"/>
      <c r="DE446" s="87"/>
      <c r="DF446" s="87"/>
      <c r="DG446" s="87"/>
      <c r="DH446" s="87"/>
      <c r="DI446" s="87"/>
      <c r="DJ446" s="87"/>
      <c r="DK446" s="87"/>
      <c r="DL446" s="87"/>
      <c r="DM446" s="87"/>
      <c r="DN446" s="87"/>
      <c r="DO446" s="87"/>
      <c r="DP446" s="87"/>
      <c r="DQ446" s="87"/>
      <c r="DR446" s="87"/>
      <c r="DS446" s="87"/>
      <c r="DT446" s="87"/>
      <c r="DU446" s="87"/>
      <c r="DV446" s="87"/>
      <c r="DW446" s="87"/>
      <c r="DX446" s="87"/>
      <c r="DY446" s="87"/>
      <c r="DZ446" s="87"/>
      <c r="EA446" s="87"/>
      <c r="EB446" s="87"/>
      <c r="EC446" s="87"/>
      <c r="ED446" s="87"/>
      <c r="EE446" s="87"/>
      <c r="EF446" s="87"/>
      <c r="EG446" s="87"/>
      <c r="EH446" s="87"/>
      <c r="EI446" s="87"/>
    </row>
    <row r="447" spans="1:139" ht="16.5" hidden="1" thickBot="1" x14ac:dyDescent="0.35">
      <c r="A447" s="161" t="s">
        <v>119</v>
      </c>
      <c r="B447" s="279">
        <v>5</v>
      </c>
      <c r="C447" s="224">
        <f>33*0.95</f>
        <v>31.349999999999998</v>
      </c>
      <c r="D447" s="217">
        <f>C447/VLOOKUP(B447,'[2]Gas Prod per PADD'!$A$1:$C$6,2,FALSE)</f>
        <v>2.322222222222222E-2</v>
      </c>
      <c r="E447" s="225">
        <v>45645</v>
      </c>
      <c r="F447" s="226">
        <v>45675</v>
      </c>
      <c r="G447" s="180" t="s">
        <v>807</v>
      </c>
      <c r="H447" s="181" t="s">
        <v>808</v>
      </c>
      <c r="I447" s="84"/>
      <c r="J447" s="85"/>
      <c r="K447" s="85"/>
      <c r="L447" s="85"/>
      <c r="M447" s="85"/>
      <c r="N447" s="85"/>
      <c r="O447" s="85"/>
      <c r="P447" s="85"/>
      <c r="Q447" s="85"/>
      <c r="R447" s="85"/>
      <c r="S447" s="85"/>
      <c r="T447" s="85"/>
      <c r="U447" s="85"/>
      <c r="V447" s="84"/>
      <c r="W447" s="84"/>
      <c r="X447" s="84" t="str">
        <f t="shared" si="16"/>
        <v>OK</v>
      </c>
      <c r="Y447" s="105"/>
      <c r="Z447" s="105"/>
      <c r="AA447" s="87"/>
      <c r="AB447" s="87"/>
      <c r="AC447" s="87"/>
      <c r="AD447" s="87"/>
      <c r="AE447" s="105"/>
      <c r="AF447" s="105">
        <f>-C447*(3/7)</f>
        <v>-13.435714285714283</v>
      </c>
      <c r="AG447" s="105">
        <f>-C447*(4/7)</f>
        <v>-17.914285714285711</v>
      </c>
      <c r="AH447" s="105"/>
      <c r="AI447" s="87"/>
      <c r="AJ447" s="87">
        <f>C447*(1/7)</f>
        <v>4.4785714285714278</v>
      </c>
      <c r="AK447" s="105">
        <f>C447*(6/7)</f>
        <v>26.871428571428567</v>
      </c>
      <c r="AL447" s="87"/>
      <c r="AM447" s="105"/>
      <c r="AN447" s="105"/>
      <c r="AO447" s="87"/>
      <c r="AP447" s="87"/>
      <c r="AQ447" s="105"/>
      <c r="AR447" s="105"/>
      <c r="AS447" s="87"/>
      <c r="AT447" s="105"/>
      <c r="AU447" s="87"/>
      <c r="AV447" s="87"/>
      <c r="AW447" s="105"/>
      <c r="AX447" s="105"/>
      <c r="AY447" s="87"/>
      <c r="AZ447" s="105"/>
      <c r="BA447" s="105"/>
      <c r="BB447" s="105"/>
      <c r="BC447" s="105"/>
      <c r="BD447" s="105"/>
      <c r="BE447" s="105"/>
      <c r="BF447" s="105"/>
      <c r="BG447" s="105"/>
      <c r="BH447" s="105"/>
      <c r="BI447" s="105"/>
      <c r="BJ447" s="87"/>
      <c r="BK447" s="87"/>
      <c r="BL447" s="87"/>
      <c r="BM447" s="87"/>
      <c r="BN447" s="87"/>
      <c r="BO447" s="87"/>
      <c r="BP447" s="87"/>
      <c r="BQ447" s="87"/>
      <c r="BR447" s="87"/>
      <c r="BS447" s="87"/>
      <c r="BT447" s="87"/>
      <c r="BU447" s="87"/>
      <c r="BV447" s="87"/>
      <c r="BW447" s="87"/>
      <c r="BX447" s="87"/>
      <c r="BY447" s="87"/>
      <c r="BZ447" s="87"/>
      <c r="CA447" s="87"/>
      <c r="CB447" s="87"/>
      <c r="CC447" s="87"/>
      <c r="CD447" s="87"/>
      <c r="CE447" s="87"/>
      <c r="CF447" s="87"/>
      <c r="CG447" s="87"/>
      <c r="CH447" s="87"/>
      <c r="CI447" s="87"/>
      <c r="CJ447" s="87"/>
      <c r="CK447" s="87"/>
      <c r="CL447" s="87"/>
      <c r="CM447" s="87"/>
      <c r="CN447" s="87"/>
      <c r="CO447" s="87"/>
      <c r="CP447" s="87"/>
      <c r="CQ447" s="87"/>
      <c r="CR447" s="87"/>
      <c r="CS447" s="87"/>
      <c r="CT447" s="87"/>
      <c r="CU447" s="87"/>
      <c r="CV447" s="87"/>
      <c r="CW447" s="87"/>
      <c r="CX447" s="87"/>
      <c r="CY447" s="87"/>
      <c r="CZ447" s="87"/>
      <c r="DA447" s="87"/>
      <c r="DB447" s="87"/>
      <c r="DC447" s="87"/>
      <c r="DD447" s="87"/>
      <c r="DE447" s="87"/>
      <c r="DF447" s="87"/>
      <c r="DG447" s="87"/>
      <c r="DH447" s="87"/>
      <c r="DI447" s="87"/>
      <c r="DJ447" s="87"/>
      <c r="DK447" s="87"/>
      <c r="DL447" s="87"/>
      <c r="DM447" s="87"/>
      <c r="DN447" s="87"/>
      <c r="DO447" s="87"/>
      <c r="DP447" s="87"/>
      <c r="DQ447" s="87"/>
      <c r="DR447" s="87"/>
      <c r="DS447" s="87"/>
      <c r="DT447" s="87"/>
      <c r="DU447" s="87"/>
      <c r="DV447" s="87"/>
      <c r="DW447" s="87"/>
      <c r="DX447" s="87"/>
      <c r="DY447" s="87"/>
      <c r="DZ447" s="87"/>
      <c r="EA447" s="87"/>
      <c r="EB447" s="87"/>
      <c r="EC447" s="87"/>
      <c r="ED447" s="87"/>
      <c r="EE447" s="87"/>
      <c r="EF447" s="87"/>
      <c r="EG447" s="75">
        <v>46017</v>
      </c>
      <c r="EH447" s="75">
        <v>46024</v>
      </c>
      <c r="EI447" s="75">
        <v>46031</v>
      </c>
    </row>
    <row r="448" spans="1:139" ht="16.5" hidden="1" thickBot="1" x14ac:dyDescent="0.35">
      <c r="A448" s="200" t="s">
        <v>231</v>
      </c>
      <c r="B448" s="223">
        <v>2</v>
      </c>
      <c r="C448" s="224">
        <f>(40*0.25)</f>
        <v>10</v>
      </c>
      <c r="D448" s="217">
        <f>C448/VLOOKUP(B448,'[2]Gas Prod per PADD'!$A$1:$C$6,2,FALSE)</f>
        <v>4.1666666666666666E-3</v>
      </c>
      <c r="E448" s="225">
        <v>45673</v>
      </c>
      <c r="F448" s="276">
        <v>45675</v>
      </c>
      <c r="G448" s="180" t="s">
        <v>809</v>
      </c>
      <c r="H448" s="221" t="s">
        <v>788</v>
      </c>
      <c r="I448" s="84"/>
      <c r="J448" s="85"/>
      <c r="K448" s="85"/>
      <c r="L448" s="85"/>
      <c r="M448" s="85"/>
      <c r="N448" s="85"/>
      <c r="O448" s="85"/>
      <c r="P448" s="85">
        <f>C448*(E448-F448)/31</f>
        <v>-0.64516129032258063</v>
      </c>
      <c r="Q448" s="85"/>
      <c r="R448" s="85"/>
      <c r="S448" s="85"/>
      <c r="T448" s="85"/>
      <c r="U448" s="85"/>
      <c r="V448" s="84"/>
      <c r="W448" s="84"/>
      <c r="X448" s="84" t="str">
        <f t="shared" si="16"/>
        <v>OK</v>
      </c>
      <c r="Y448" s="105"/>
      <c r="Z448" s="105"/>
      <c r="AA448" s="87"/>
      <c r="AB448" s="87"/>
      <c r="AC448" s="87"/>
      <c r="AD448" s="87"/>
      <c r="AE448" s="105"/>
      <c r="AF448" s="105"/>
      <c r="AG448" s="105"/>
      <c r="AH448" s="105"/>
      <c r="AI448" s="87"/>
      <c r="AJ448" s="87"/>
      <c r="AK448" s="105"/>
      <c r="AL448" s="87"/>
      <c r="AM448" s="105"/>
      <c r="AN448" s="105"/>
      <c r="AO448" s="87"/>
      <c r="AP448" s="87"/>
      <c r="AQ448" s="105"/>
      <c r="AR448" s="105"/>
      <c r="AS448" s="87"/>
      <c r="AT448" s="105"/>
      <c r="AU448" s="105"/>
      <c r="AV448" s="87"/>
      <c r="AW448" s="105"/>
      <c r="AX448" s="105"/>
      <c r="AY448" s="87"/>
      <c r="AZ448" s="105"/>
      <c r="BA448" s="105"/>
      <c r="BB448" s="105"/>
      <c r="BC448" s="87"/>
      <c r="BD448" s="87"/>
      <c r="BE448" s="105"/>
      <c r="BF448" s="105"/>
      <c r="BG448" s="105"/>
      <c r="BH448" s="105"/>
      <c r="BI448" s="105"/>
      <c r="BJ448" s="87"/>
      <c r="BK448" s="87"/>
      <c r="BL448" s="87"/>
      <c r="BM448" s="87"/>
      <c r="BN448" s="87"/>
      <c r="BO448" s="87"/>
      <c r="BP448" s="87"/>
      <c r="BQ448" s="87"/>
      <c r="BR448" s="87"/>
      <c r="BS448" s="87"/>
      <c r="BT448" s="87"/>
      <c r="BU448" s="87"/>
      <c r="BV448" s="87"/>
      <c r="BW448" s="87"/>
      <c r="BX448" s="87"/>
      <c r="BY448" s="87"/>
      <c r="BZ448" s="87"/>
      <c r="CA448" s="87"/>
      <c r="CB448" s="87"/>
      <c r="CC448" s="87"/>
      <c r="CD448" s="87"/>
      <c r="CE448" s="87"/>
      <c r="CF448" s="87"/>
      <c r="CG448" s="87"/>
      <c r="CH448" s="87"/>
      <c r="CI448" s="87"/>
      <c r="CJ448" s="87">
        <f>-1/7*C448</f>
        <v>-1.4285714285714284</v>
      </c>
      <c r="CK448" s="87">
        <f>-CJ448</f>
        <v>1.4285714285714284</v>
      </c>
      <c r="CL448" s="87"/>
      <c r="CM448" s="87"/>
      <c r="CN448" s="87"/>
      <c r="CO448" s="87"/>
      <c r="CP448" s="87"/>
      <c r="CQ448" s="87"/>
      <c r="CR448" s="87"/>
      <c r="CS448" s="87"/>
      <c r="CT448" s="87"/>
      <c r="CU448" s="87"/>
      <c r="CV448" s="87"/>
      <c r="CW448" s="87"/>
      <c r="CX448" s="87"/>
      <c r="CY448" s="87"/>
      <c r="CZ448" s="87"/>
      <c r="DA448" s="87"/>
      <c r="DB448" s="87"/>
      <c r="DC448" s="87"/>
      <c r="DD448" s="87"/>
      <c r="DE448" s="87"/>
      <c r="DF448" s="87"/>
      <c r="DG448" s="87"/>
      <c r="DH448" s="87"/>
      <c r="DI448" s="87"/>
      <c r="DJ448" s="87"/>
      <c r="DK448" s="87"/>
      <c r="DL448" s="87"/>
      <c r="DM448" s="87"/>
      <c r="DN448" s="87"/>
      <c r="DO448" s="87"/>
      <c r="DP448" s="87"/>
      <c r="DQ448" s="87"/>
      <c r="DR448" s="87"/>
      <c r="DS448" s="87"/>
      <c r="DT448" s="87"/>
      <c r="DU448" s="87"/>
      <c r="DV448" s="87"/>
      <c r="DW448" s="87"/>
      <c r="DX448" s="87"/>
      <c r="DY448" s="87"/>
      <c r="DZ448" s="87"/>
      <c r="EA448" s="87"/>
      <c r="EB448" s="87"/>
      <c r="EC448" s="87"/>
      <c r="ED448" s="87"/>
      <c r="EE448" s="87"/>
      <c r="EF448" s="87"/>
      <c r="EG448" s="87"/>
      <c r="EH448" s="87"/>
      <c r="EI448" s="87"/>
    </row>
    <row r="449" spans="1:139" ht="29.25" hidden="1" thickBot="1" x14ac:dyDescent="0.35">
      <c r="A449" s="190" t="s">
        <v>158</v>
      </c>
      <c r="B449" s="282">
        <v>3</v>
      </c>
      <c r="C449" s="177">
        <f>0.85*65.5</f>
        <v>55.674999999999997</v>
      </c>
      <c r="D449" s="217">
        <f>C449/VLOOKUP(B449,'[2]Gas Prod per PADD'!$A$1:$C$6,2,FALSE)</f>
        <v>1.2103260869565216E-2</v>
      </c>
      <c r="E449" s="196">
        <v>45670</v>
      </c>
      <c r="F449" s="281">
        <v>45677</v>
      </c>
      <c r="G449" s="180" t="s">
        <v>681</v>
      </c>
      <c r="H449" s="181" t="s">
        <v>810</v>
      </c>
      <c r="I449" s="84"/>
      <c r="J449" s="85"/>
      <c r="K449" s="85"/>
      <c r="L449" s="85"/>
      <c r="M449" s="85"/>
      <c r="N449" s="85"/>
      <c r="O449" s="85"/>
      <c r="P449" s="85">
        <f>C449*(E449-F449)/31</f>
        <v>-12.571774193548386</v>
      </c>
      <c r="Q449" s="85"/>
      <c r="R449" s="85"/>
      <c r="S449" s="85"/>
      <c r="T449" s="85"/>
      <c r="U449" s="85"/>
      <c r="V449" s="84"/>
      <c r="W449" s="84"/>
      <c r="X449" s="84" t="str">
        <f t="shared" si="16"/>
        <v>OK</v>
      </c>
      <c r="Y449" s="105"/>
      <c r="Z449" s="105"/>
      <c r="AA449" s="87"/>
      <c r="AB449" s="87"/>
      <c r="AC449" s="87"/>
      <c r="AD449" s="87"/>
      <c r="AE449" s="105"/>
      <c r="AF449" s="105"/>
      <c r="AG449" s="105"/>
      <c r="AH449" s="105"/>
      <c r="AI449" s="87"/>
      <c r="AJ449" s="87"/>
      <c r="AK449" s="105"/>
      <c r="AL449" s="87"/>
      <c r="AM449" s="105"/>
      <c r="AN449" s="105"/>
      <c r="AO449" s="87"/>
      <c r="AP449" s="87"/>
      <c r="AQ449" s="105"/>
      <c r="AR449" s="105"/>
      <c r="AS449" s="87"/>
      <c r="AT449" s="105"/>
      <c r="AU449" s="105"/>
      <c r="AV449" s="87"/>
      <c r="AW449" s="105"/>
      <c r="AX449" s="105"/>
      <c r="AY449" s="87"/>
      <c r="AZ449" s="105"/>
      <c r="BA449" s="105"/>
      <c r="BB449" s="105"/>
      <c r="BC449" s="87"/>
      <c r="BD449" s="87"/>
      <c r="BE449" s="105"/>
      <c r="BF449" s="105"/>
      <c r="BG449" s="105"/>
      <c r="BH449" s="105"/>
      <c r="BI449" s="105"/>
      <c r="BJ449" s="87"/>
      <c r="BK449" s="87"/>
      <c r="BL449" s="87"/>
      <c r="BM449" s="87"/>
      <c r="BN449" s="87"/>
      <c r="BO449" s="105"/>
      <c r="BP449" s="105"/>
      <c r="BQ449" s="105"/>
      <c r="BR449" s="87"/>
      <c r="BS449" s="87"/>
      <c r="BT449" s="87"/>
      <c r="BU449" s="87"/>
      <c r="BV449" s="87"/>
      <c r="BW449" s="87"/>
      <c r="BX449" s="105"/>
      <c r="BY449" s="87"/>
      <c r="BZ449" s="87"/>
      <c r="CA449" s="87"/>
      <c r="CB449" s="87"/>
      <c r="CC449" s="87"/>
      <c r="CD449" s="87"/>
      <c r="CE449" s="87"/>
      <c r="CF449" s="87"/>
      <c r="CG449" s="87"/>
      <c r="CH449" s="87"/>
      <c r="CI449" s="87"/>
      <c r="CJ449" s="87">
        <f>-4/7*C449</f>
        <v>-31.81428571428571</v>
      </c>
      <c r="CK449" s="87"/>
      <c r="CL449" s="87">
        <f>-CJ449</f>
        <v>31.81428571428571</v>
      </c>
      <c r="CM449" s="87"/>
      <c r="CN449" s="87"/>
      <c r="CO449" s="87"/>
      <c r="CP449" s="87"/>
      <c r="CQ449" s="87"/>
      <c r="CR449" s="87"/>
      <c r="CS449" s="87"/>
      <c r="CT449" s="87"/>
      <c r="CU449" s="87"/>
      <c r="CV449" s="87"/>
      <c r="CW449" s="87"/>
      <c r="CX449" s="87"/>
      <c r="CY449" s="87"/>
      <c r="CZ449" s="87"/>
      <c r="DA449" s="87"/>
      <c r="DB449" s="87"/>
      <c r="DC449" s="87"/>
      <c r="DD449" s="87"/>
      <c r="DE449" s="87"/>
      <c r="DF449" s="87"/>
      <c r="DG449" s="87"/>
      <c r="DH449" s="87"/>
      <c r="DI449" s="87"/>
      <c r="DJ449" s="87"/>
      <c r="DK449" s="87"/>
      <c r="DL449" s="87"/>
      <c r="DM449" s="87"/>
      <c r="DN449" s="87"/>
      <c r="DO449" s="87"/>
      <c r="DP449" s="87"/>
      <c r="DQ449" s="87"/>
      <c r="DR449" s="87"/>
      <c r="DS449" s="87"/>
      <c r="DT449" s="87"/>
      <c r="DU449" s="87"/>
      <c r="DV449" s="87"/>
      <c r="DW449" s="87"/>
      <c r="DX449" s="87"/>
      <c r="DY449" s="87"/>
      <c r="DZ449" s="87"/>
      <c r="EA449" s="87"/>
      <c r="EB449" s="87"/>
      <c r="EC449" s="87"/>
      <c r="ED449" s="87"/>
      <c r="EE449" s="87"/>
      <c r="EF449" s="87"/>
      <c r="EG449" s="87"/>
      <c r="EH449" s="87"/>
      <c r="EI449" s="87"/>
    </row>
    <row r="450" spans="1:139" ht="29.25" hidden="1" thickBot="1" x14ac:dyDescent="0.35">
      <c r="A450" s="190" t="s">
        <v>158</v>
      </c>
      <c r="B450" s="282">
        <v>3</v>
      </c>
      <c r="C450" s="177">
        <f>(140*0.65*0.3)+(265*0.1)</f>
        <v>53.8</v>
      </c>
      <c r="D450" s="217">
        <f>C450/VLOOKUP(B450,'[2]Gas Prod per PADD'!$A$1:$C$6,2,FALSE)</f>
        <v>1.1695652173913043E-2</v>
      </c>
      <c r="E450" s="196">
        <v>45670</v>
      </c>
      <c r="F450" s="281">
        <v>45677</v>
      </c>
      <c r="G450" s="180" t="s">
        <v>811</v>
      </c>
      <c r="H450" s="181" t="s">
        <v>812</v>
      </c>
      <c r="I450" s="84"/>
      <c r="J450" s="85"/>
      <c r="K450" s="85"/>
      <c r="L450" s="85"/>
      <c r="M450" s="85"/>
      <c r="N450" s="85"/>
      <c r="O450" s="85"/>
      <c r="P450" s="85">
        <f>C450*(E450-F450)/31</f>
        <v>-12.148387096774192</v>
      </c>
      <c r="Q450" s="85"/>
      <c r="R450" s="85"/>
      <c r="S450" s="85"/>
      <c r="T450" s="85"/>
      <c r="U450" s="85"/>
      <c r="V450" s="84"/>
      <c r="W450" s="84"/>
      <c r="X450" s="84" t="str">
        <f t="shared" ref="X450:X513" si="18">IF(COUNTA(Y450:EI450)=0,"Missing","OK")</f>
        <v>OK</v>
      </c>
      <c r="Y450" s="105"/>
      <c r="Z450" s="105"/>
      <c r="AA450" s="87"/>
      <c r="AB450" s="87"/>
      <c r="AC450" s="87"/>
      <c r="AD450" s="87"/>
      <c r="AE450" s="105"/>
      <c r="AF450" s="105"/>
      <c r="AG450" s="105"/>
      <c r="AH450" s="105"/>
      <c r="AI450" s="87"/>
      <c r="AJ450" s="87"/>
      <c r="AK450" s="105"/>
      <c r="AL450" s="87"/>
      <c r="AM450" s="105"/>
      <c r="AN450" s="105"/>
      <c r="AO450" s="87"/>
      <c r="AP450" s="87"/>
      <c r="AQ450" s="105"/>
      <c r="AR450" s="105"/>
      <c r="AS450" s="87"/>
      <c r="AT450" s="105"/>
      <c r="AU450" s="105"/>
      <c r="AV450" s="87"/>
      <c r="AW450" s="105"/>
      <c r="AX450" s="105"/>
      <c r="AY450" s="87"/>
      <c r="AZ450" s="105"/>
      <c r="BA450" s="105"/>
      <c r="BB450" s="105"/>
      <c r="BC450" s="87"/>
      <c r="BD450" s="87"/>
      <c r="BE450" s="105"/>
      <c r="BF450" s="105"/>
      <c r="BG450" s="105"/>
      <c r="BH450" s="105"/>
      <c r="BI450" s="105"/>
      <c r="BJ450" s="87"/>
      <c r="BK450" s="87"/>
      <c r="BL450" s="87"/>
      <c r="BM450" s="87"/>
      <c r="BN450" s="87"/>
      <c r="BO450" s="105"/>
      <c r="BP450" s="105"/>
      <c r="BQ450" s="105"/>
      <c r="BR450" s="87"/>
      <c r="BS450" s="87"/>
      <c r="BT450" s="87"/>
      <c r="BU450" s="87"/>
      <c r="BV450" s="87"/>
      <c r="BW450" s="87"/>
      <c r="BX450" s="105"/>
      <c r="BY450" s="87"/>
      <c r="BZ450" s="87"/>
      <c r="CA450" s="87"/>
      <c r="CB450" s="87"/>
      <c r="CC450" s="87"/>
      <c r="CD450" s="87"/>
      <c r="CE450" s="87"/>
      <c r="CF450" s="87"/>
      <c r="CG450" s="87"/>
      <c r="CH450" s="87"/>
      <c r="CI450" s="87"/>
      <c r="CJ450" s="87">
        <f>-4/7*C450</f>
        <v>-30.74285714285714</v>
      </c>
      <c r="CK450" s="87"/>
      <c r="CL450" s="87">
        <f>-CJ450</f>
        <v>30.74285714285714</v>
      </c>
      <c r="CM450" s="87"/>
      <c r="CN450" s="87"/>
      <c r="CO450" s="87"/>
      <c r="CP450" s="87"/>
      <c r="CQ450" s="87"/>
      <c r="CR450" s="87"/>
      <c r="CS450" s="87"/>
      <c r="CT450" s="87"/>
      <c r="CU450" s="87"/>
      <c r="CV450" s="87"/>
      <c r="CW450" s="87"/>
      <c r="CX450" s="87"/>
      <c r="CY450" s="87"/>
      <c r="CZ450" s="87"/>
      <c r="DA450" s="87"/>
      <c r="DB450" s="87"/>
      <c r="DC450" s="87"/>
      <c r="DD450" s="87"/>
      <c r="DE450" s="87"/>
      <c r="DF450" s="87"/>
      <c r="DG450" s="87"/>
      <c r="DH450" s="87"/>
      <c r="DI450" s="87"/>
      <c r="DJ450" s="87"/>
      <c r="DK450" s="87"/>
      <c r="DL450" s="87"/>
      <c r="DM450" s="87"/>
      <c r="DN450" s="87"/>
      <c r="DO450" s="87"/>
      <c r="DP450" s="87"/>
      <c r="DQ450" s="87"/>
      <c r="DR450" s="87"/>
      <c r="DS450" s="87"/>
      <c r="DT450" s="87"/>
      <c r="DU450" s="87"/>
      <c r="DV450" s="87"/>
      <c r="DW450" s="87"/>
      <c r="DX450" s="87"/>
      <c r="DY450" s="87"/>
      <c r="DZ450" s="87"/>
      <c r="EA450" s="87"/>
      <c r="EB450" s="87"/>
      <c r="EC450" s="87"/>
      <c r="ED450" s="87"/>
      <c r="EE450" s="87"/>
      <c r="EF450" s="87"/>
      <c r="EG450" s="87"/>
      <c r="EH450" s="87"/>
      <c r="EI450" s="87"/>
    </row>
    <row r="451" spans="1:139" ht="29.25" hidden="1" thickBot="1" x14ac:dyDescent="0.35">
      <c r="A451" s="202" t="s">
        <v>345</v>
      </c>
      <c r="B451" s="300">
        <v>3</v>
      </c>
      <c r="C451" s="205">
        <f>0.25*25</f>
        <v>6.25</v>
      </c>
      <c r="D451" s="79">
        <f>C451/VLOOKUP(B451,'[2]Gas Prod per PADD'!$A$1:$C$6,2,FALSE)</f>
        <v>1.358695652173913E-3</v>
      </c>
      <c r="E451" s="301">
        <v>45996</v>
      </c>
      <c r="F451" s="302">
        <v>45678</v>
      </c>
      <c r="G451" s="303" t="s">
        <v>813</v>
      </c>
      <c r="H451" s="304" t="s">
        <v>814</v>
      </c>
      <c r="I451" s="84"/>
      <c r="J451" s="85"/>
      <c r="K451" s="85"/>
      <c r="L451" s="85"/>
      <c r="M451" s="85"/>
      <c r="N451" s="85"/>
      <c r="O451" s="85"/>
      <c r="P451" s="85"/>
      <c r="Q451" s="85"/>
      <c r="R451" s="85"/>
      <c r="S451" s="85"/>
      <c r="T451" s="85"/>
      <c r="U451" s="85"/>
      <c r="V451" s="84"/>
      <c r="W451" s="84"/>
      <c r="X451" s="84" t="str">
        <f t="shared" si="18"/>
        <v>OK</v>
      </c>
      <c r="Y451" s="86"/>
      <c r="Z451" s="87"/>
      <c r="AA451" s="87"/>
      <c r="AB451" s="87"/>
      <c r="AC451" s="87"/>
      <c r="AD451" s="87"/>
      <c r="AE451" s="87"/>
      <c r="AF451" s="87"/>
      <c r="AG451" s="87"/>
      <c r="AH451" s="87"/>
      <c r="AI451" s="87"/>
      <c r="AJ451" s="87"/>
      <c r="AK451" s="87"/>
      <c r="AL451" s="87"/>
      <c r="AM451" s="87"/>
      <c r="AN451" s="87"/>
      <c r="AO451" s="87"/>
      <c r="AP451" s="87"/>
      <c r="AQ451" s="87"/>
      <c r="AR451" s="87"/>
      <c r="AS451" s="87"/>
      <c r="AT451" s="87"/>
      <c r="AU451" s="87"/>
      <c r="AV451" s="87"/>
      <c r="AW451" s="87"/>
      <c r="AX451" s="87"/>
      <c r="AY451" s="87"/>
      <c r="AZ451" s="87"/>
      <c r="BA451" s="87"/>
      <c r="BB451" s="87"/>
      <c r="BC451" s="87"/>
      <c r="BD451" s="87"/>
      <c r="BE451" s="87"/>
      <c r="BF451" s="87"/>
      <c r="BG451" s="87"/>
      <c r="BH451" s="87"/>
      <c r="BI451" s="87"/>
      <c r="BJ451" s="105"/>
      <c r="BK451" s="87"/>
      <c r="BL451" s="105"/>
      <c r="BM451" s="87"/>
      <c r="BN451" s="87"/>
      <c r="BO451" s="87"/>
      <c r="BP451" s="87"/>
      <c r="BQ451" s="87"/>
      <c r="BR451" s="87"/>
      <c r="BS451" s="87"/>
      <c r="BT451" s="87"/>
      <c r="BU451" s="87"/>
      <c r="BV451" s="105"/>
      <c r="BW451" s="87"/>
      <c r="BX451" s="87"/>
      <c r="BY451" s="87"/>
      <c r="BZ451" s="105"/>
      <c r="CA451" s="87"/>
      <c r="CB451" s="87"/>
      <c r="CC451" s="87"/>
      <c r="CD451" s="87">
        <f>-1/7*C451</f>
        <v>-0.89285714285714279</v>
      </c>
      <c r="CE451" s="87">
        <f>-6/7*C451</f>
        <v>-5.3571428571428568</v>
      </c>
      <c r="CF451" s="87"/>
      <c r="CG451" s="87"/>
      <c r="CH451" s="87"/>
      <c r="CI451" s="87"/>
      <c r="CJ451" s="87"/>
      <c r="CK451" s="105">
        <f>C451</f>
        <v>6.25</v>
      </c>
      <c r="CL451" s="87"/>
      <c r="CM451" s="87"/>
      <c r="CN451" s="87"/>
      <c r="CO451" s="87"/>
      <c r="CP451" s="87"/>
      <c r="CQ451" s="87"/>
      <c r="CR451" s="87"/>
      <c r="CS451" s="87"/>
      <c r="CT451" s="87"/>
      <c r="CU451" s="87"/>
      <c r="CV451" s="87"/>
      <c r="CW451" s="87"/>
      <c r="CX451" s="87"/>
      <c r="CY451" s="87"/>
      <c r="CZ451" s="87"/>
      <c r="DA451" s="87"/>
      <c r="DB451" s="87"/>
      <c r="DC451" s="87"/>
      <c r="DD451" s="87"/>
      <c r="DE451" s="87"/>
      <c r="DF451" s="87"/>
      <c r="DG451" s="87"/>
      <c r="DH451" s="87"/>
      <c r="DI451" s="87"/>
      <c r="DJ451" s="87"/>
      <c r="DK451" s="87"/>
      <c r="DL451" s="87"/>
      <c r="DM451" s="87"/>
      <c r="DN451" s="87"/>
      <c r="DO451" s="87"/>
      <c r="DP451" s="87"/>
      <c r="DQ451" s="87"/>
      <c r="DR451" s="87"/>
      <c r="DS451" s="87"/>
      <c r="DT451" s="87"/>
      <c r="DU451" s="87"/>
      <c r="DV451" s="87"/>
      <c r="DW451" s="87"/>
      <c r="DX451" s="87"/>
      <c r="DY451" s="87"/>
      <c r="DZ451" s="87"/>
      <c r="EA451" s="87"/>
      <c r="EB451" s="87"/>
      <c r="EC451" s="87"/>
      <c r="ED451" s="87"/>
      <c r="EE451" s="87"/>
      <c r="EF451" s="87"/>
      <c r="EG451" s="87"/>
      <c r="EH451" s="87"/>
      <c r="EI451" s="87"/>
    </row>
    <row r="452" spans="1:139" ht="16.5" hidden="1" thickBot="1" x14ac:dyDescent="0.35">
      <c r="A452" s="200" t="s">
        <v>123</v>
      </c>
      <c r="B452" s="223">
        <v>1</v>
      </c>
      <c r="C452" s="177">
        <f>0.25*104</f>
        <v>26</v>
      </c>
      <c r="D452" s="217">
        <f>C452/VLOOKUP(B452,'[2]Gas Prod per PADD'!$A$1:$C$6,2,FALSE)</f>
        <v>5.4166666666666669E-2</v>
      </c>
      <c r="E452" s="196">
        <v>45678</v>
      </c>
      <c r="F452" s="281">
        <v>45679</v>
      </c>
      <c r="G452" s="180" t="s">
        <v>815</v>
      </c>
      <c r="H452" s="181" t="s">
        <v>640</v>
      </c>
      <c r="I452" s="305"/>
      <c r="J452" s="306"/>
      <c r="K452" s="306"/>
      <c r="L452" s="306"/>
      <c r="M452" s="306"/>
      <c r="N452" s="306"/>
      <c r="O452" s="306"/>
      <c r="P452" s="85">
        <f t="shared" ref="P452:P484" si="19">C452*(E452-F452)/31</f>
        <v>-0.83870967741935487</v>
      </c>
      <c r="Q452" s="306"/>
      <c r="R452" s="306"/>
      <c r="S452" s="306"/>
      <c r="T452" s="85"/>
      <c r="U452" s="85"/>
      <c r="V452" s="84"/>
      <c r="W452" s="84"/>
      <c r="X452" s="84" t="str">
        <f t="shared" si="18"/>
        <v>OK</v>
      </c>
      <c r="Y452" s="105"/>
      <c r="Z452" s="105"/>
      <c r="AA452" s="87"/>
      <c r="AB452" s="87"/>
      <c r="AC452" s="87"/>
      <c r="AD452" s="87"/>
      <c r="AE452" s="105"/>
      <c r="AF452" s="105"/>
      <c r="AG452" s="105"/>
      <c r="AH452" s="105"/>
      <c r="AI452" s="87"/>
      <c r="AJ452" s="87"/>
      <c r="AK452" s="105"/>
      <c r="AL452" s="87"/>
      <c r="AM452" s="105"/>
      <c r="AN452" s="105"/>
      <c r="AO452" s="87"/>
      <c r="AP452" s="87"/>
      <c r="AQ452" s="105"/>
      <c r="AR452" s="105"/>
      <c r="AS452" s="87"/>
      <c r="AT452" s="105"/>
      <c r="AU452" s="105"/>
      <c r="AV452" s="87"/>
      <c r="AW452" s="105"/>
      <c r="AX452" s="105"/>
      <c r="AY452" s="87"/>
      <c r="AZ452" s="105"/>
      <c r="BA452" s="105"/>
      <c r="BB452" s="105"/>
      <c r="BC452" s="87"/>
      <c r="BD452" s="87"/>
      <c r="BE452" s="105"/>
      <c r="BF452" s="105"/>
      <c r="BG452" s="105"/>
      <c r="BH452" s="105"/>
      <c r="BI452" s="105"/>
      <c r="BJ452" s="87"/>
      <c r="BK452" s="87"/>
      <c r="BL452" s="87"/>
      <c r="BM452" s="87"/>
      <c r="BN452" s="87"/>
      <c r="BO452" s="87"/>
      <c r="BP452" s="87"/>
      <c r="BQ452" s="87"/>
      <c r="BR452" s="87"/>
      <c r="BS452" s="87"/>
      <c r="BT452" s="87"/>
      <c r="BU452" s="87"/>
      <c r="BV452" s="87"/>
      <c r="BW452" s="87"/>
      <c r="BX452" s="87"/>
      <c r="BY452" s="87"/>
      <c r="BZ452" s="87"/>
      <c r="CA452" s="87"/>
      <c r="CB452" s="87"/>
      <c r="CC452" s="87"/>
      <c r="CD452" s="87"/>
      <c r="CE452" s="87"/>
      <c r="CF452" s="87"/>
      <c r="CG452" s="87"/>
      <c r="CH452" s="87"/>
      <c r="CI452" s="87"/>
      <c r="CJ452" s="87"/>
      <c r="CK452" s="87">
        <f>-1/7*C452</f>
        <v>-3.714285714285714</v>
      </c>
      <c r="CL452" s="87">
        <f>-CK452</f>
        <v>3.714285714285714</v>
      </c>
      <c r="CM452" s="87"/>
      <c r="CN452" s="87"/>
      <c r="CO452" s="105"/>
      <c r="CP452" s="87"/>
      <c r="CQ452" s="87"/>
      <c r="CR452" s="87"/>
      <c r="CS452" s="87"/>
      <c r="CT452" s="87"/>
      <c r="CU452" s="87"/>
      <c r="CV452" s="87"/>
      <c r="CW452" s="87"/>
      <c r="CX452" s="87"/>
      <c r="CY452" s="87"/>
      <c r="CZ452" s="87"/>
      <c r="DA452" s="87"/>
      <c r="DB452" s="87"/>
      <c r="DC452" s="87"/>
      <c r="DD452" s="87"/>
      <c r="DE452" s="87"/>
      <c r="DF452" s="87"/>
      <c r="DG452" s="87"/>
      <c r="DH452" s="87"/>
      <c r="DI452" s="87"/>
      <c r="DJ452" s="87"/>
      <c r="DK452" s="87"/>
      <c r="DL452" s="87"/>
      <c r="DM452" s="87"/>
      <c r="DN452" s="87"/>
      <c r="DO452" s="87"/>
      <c r="DP452" s="87"/>
      <c r="DQ452" s="87"/>
      <c r="DR452" s="87"/>
      <c r="DS452" s="87"/>
      <c r="DT452" s="87"/>
      <c r="DU452" s="87"/>
      <c r="DV452" s="87"/>
      <c r="DW452" s="87"/>
      <c r="DX452" s="87"/>
      <c r="DY452" s="87"/>
      <c r="DZ452" s="87"/>
      <c r="EA452" s="87"/>
      <c r="EB452" s="87"/>
      <c r="EC452" s="87"/>
      <c r="ED452" s="87"/>
      <c r="EE452" s="87"/>
      <c r="EF452" s="87"/>
      <c r="EG452" s="87"/>
      <c r="EH452" s="87"/>
      <c r="EI452" s="87"/>
    </row>
    <row r="453" spans="1:139" ht="16.5" hidden="1" thickBot="1" x14ac:dyDescent="0.35">
      <c r="A453" s="307" t="s">
        <v>451</v>
      </c>
      <c r="B453" s="308">
        <v>3</v>
      </c>
      <c r="C453" s="309">
        <f>90*0.65*0.25</f>
        <v>14.625</v>
      </c>
      <c r="D453" s="310">
        <f>C453/VLOOKUP(B453,'[2]Gas Prod per PADD'!$A$1:$C$6,2,FALSE)</f>
        <v>3.1793478260869566E-3</v>
      </c>
      <c r="E453" s="311">
        <v>45679</v>
      </c>
      <c r="F453" s="312">
        <v>45679</v>
      </c>
      <c r="G453" s="313" t="s">
        <v>221</v>
      </c>
      <c r="H453" s="314" t="s">
        <v>816</v>
      </c>
      <c r="I453" s="84"/>
      <c r="J453" s="85"/>
      <c r="K453" s="85"/>
      <c r="L453" s="85"/>
      <c r="M453" s="85"/>
      <c r="N453" s="85"/>
      <c r="O453" s="85"/>
      <c r="P453" s="85">
        <f t="shared" si="19"/>
        <v>0</v>
      </c>
      <c r="Q453" s="85"/>
      <c r="R453" s="85"/>
      <c r="S453" s="85"/>
      <c r="T453" s="85"/>
      <c r="U453" s="85"/>
      <c r="V453" s="84"/>
      <c r="W453" s="84"/>
      <c r="X453" s="84" t="str">
        <f t="shared" si="18"/>
        <v>OK</v>
      </c>
      <c r="Y453" s="105"/>
      <c r="Z453" s="105"/>
      <c r="AA453" s="87"/>
      <c r="AB453" s="87"/>
      <c r="AC453" s="87"/>
      <c r="AD453" s="87"/>
      <c r="AE453" s="105"/>
      <c r="AF453" s="105"/>
      <c r="AG453" s="105"/>
      <c r="AH453" s="105"/>
      <c r="AI453" s="87"/>
      <c r="AJ453" s="87"/>
      <c r="AK453" s="105"/>
      <c r="AL453" s="87"/>
      <c r="AM453" s="105"/>
      <c r="AN453" s="105"/>
      <c r="AO453" s="87"/>
      <c r="AP453" s="87"/>
      <c r="AQ453" s="105"/>
      <c r="AR453" s="105"/>
      <c r="AS453" s="87"/>
      <c r="AT453" s="105"/>
      <c r="AU453" s="105"/>
      <c r="AV453" s="87"/>
      <c r="AW453" s="105"/>
      <c r="AX453" s="105"/>
      <c r="AY453" s="87"/>
      <c r="AZ453" s="105"/>
      <c r="BA453" s="105"/>
      <c r="BB453" s="105"/>
      <c r="BC453" s="87"/>
      <c r="BD453" s="87"/>
      <c r="BE453" s="105"/>
      <c r="BF453" s="105"/>
      <c r="BG453" s="105"/>
      <c r="BH453" s="105"/>
      <c r="BI453" s="105"/>
      <c r="BJ453" s="87"/>
      <c r="BK453" s="87"/>
      <c r="BL453" s="87"/>
      <c r="BM453" s="87"/>
      <c r="BN453" s="87"/>
      <c r="BO453" s="105"/>
      <c r="BP453" s="105"/>
      <c r="BQ453" s="105"/>
      <c r="BR453" s="105"/>
      <c r="BS453" s="105"/>
      <c r="BT453" s="87"/>
      <c r="BU453" s="87"/>
      <c r="BV453" s="87"/>
      <c r="BW453" s="87"/>
      <c r="BX453" s="87"/>
      <c r="BY453" s="87"/>
      <c r="BZ453" s="87"/>
      <c r="CA453" s="87"/>
      <c r="CB453" s="87"/>
      <c r="CC453" s="87"/>
      <c r="CD453" s="87"/>
      <c r="CE453" s="87"/>
      <c r="CF453" s="87"/>
      <c r="CG453" s="87"/>
      <c r="CH453" s="87"/>
      <c r="CI453" s="87"/>
      <c r="CJ453" s="87"/>
      <c r="CK453" s="87">
        <f>-C453*1/7</f>
        <v>-2.0892857142857144</v>
      </c>
      <c r="CL453" s="87">
        <f>-CK453</f>
        <v>2.0892857142857144</v>
      </c>
      <c r="CM453" s="87"/>
      <c r="CN453" s="87"/>
      <c r="CO453" s="87"/>
      <c r="CP453" s="87"/>
      <c r="CQ453" s="87"/>
      <c r="CR453" s="87"/>
      <c r="CS453" s="87"/>
      <c r="CT453" s="87"/>
      <c r="CU453" s="87"/>
      <c r="CV453" s="87"/>
      <c r="CW453" s="87"/>
      <c r="CX453" s="87"/>
      <c r="CY453" s="87"/>
      <c r="CZ453" s="87"/>
      <c r="DA453" s="87"/>
      <c r="DB453" s="87"/>
      <c r="DC453" s="87"/>
      <c r="DD453" s="87"/>
      <c r="DE453" s="87"/>
      <c r="DF453" s="87"/>
      <c r="DG453" s="87"/>
      <c r="DH453" s="87"/>
      <c r="DI453" s="87"/>
      <c r="DJ453" s="87"/>
      <c r="DK453" s="87"/>
      <c r="DL453" s="87"/>
      <c r="DM453" s="87"/>
      <c r="DN453" s="87"/>
      <c r="DO453" s="87"/>
      <c r="DP453" s="87"/>
      <c r="DQ453" s="87"/>
      <c r="DR453" s="87"/>
      <c r="DS453" s="87"/>
      <c r="DT453" s="87"/>
      <c r="DU453" s="87"/>
      <c r="DV453" s="87"/>
      <c r="DW453" s="87"/>
      <c r="DX453" s="87"/>
      <c r="DY453" s="87"/>
      <c r="DZ453" s="87"/>
      <c r="EA453" s="87"/>
      <c r="EB453" s="87"/>
      <c r="EC453" s="87"/>
      <c r="ED453" s="87"/>
      <c r="EE453" s="87"/>
      <c r="EF453" s="87"/>
      <c r="EG453" s="87"/>
      <c r="EH453" s="87"/>
      <c r="EI453" s="87"/>
    </row>
    <row r="454" spans="1:139" ht="29.25" hidden="1" thickBot="1" x14ac:dyDescent="0.35">
      <c r="A454" s="315" t="s">
        <v>127</v>
      </c>
      <c r="B454" s="316">
        <v>3</v>
      </c>
      <c r="C454" s="309">
        <f>66*0.25</f>
        <v>16.5</v>
      </c>
      <c r="D454" s="310">
        <f>C454/VLOOKUP(B454,'[2]Gas Prod per PADD'!$A$1:$C$6,2,FALSE)</f>
        <v>3.5869565217391303E-3</v>
      </c>
      <c r="E454" s="311">
        <v>45677</v>
      </c>
      <c r="F454" s="312">
        <v>45680</v>
      </c>
      <c r="G454" s="313" t="s">
        <v>817</v>
      </c>
      <c r="H454" s="314"/>
      <c r="I454" s="84"/>
      <c r="J454" s="85"/>
      <c r="K454" s="85"/>
      <c r="L454" s="85"/>
      <c r="M454" s="85"/>
      <c r="N454" s="85"/>
      <c r="O454" s="85"/>
      <c r="P454" s="85">
        <f t="shared" si="19"/>
        <v>-1.596774193548387</v>
      </c>
      <c r="Q454" s="85"/>
      <c r="R454" s="85"/>
      <c r="S454" s="85"/>
      <c r="T454" s="85"/>
      <c r="U454" s="85"/>
      <c r="V454" s="84"/>
      <c r="W454" s="84"/>
      <c r="X454" s="84" t="str">
        <f t="shared" si="18"/>
        <v>OK</v>
      </c>
      <c r="Y454" s="105"/>
      <c r="Z454" s="105"/>
      <c r="AA454" s="87"/>
      <c r="AB454" s="87"/>
      <c r="AC454" s="87"/>
      <c r="AD454" s="87"/>
      <c r="AE454" s="105"/>
      <c r="AF454" s="105"/>
      <c r="AG454" s="105"/>
      <c r="AH454" s="105"/>
      <c r="AI454" s="87"/>
      <c r="AJ454" s="87"/>
      <c r="AK454" s="105"/>
      <c r="AL454" s="87"/>
      <c r="AM454" s="105"/>
      <c r="AN454" s="105"/>
      <c r="AO454" s="87"/>
      <c r="AP454" s="87"/>
      <c r="AQ454" s="105"/>
      <c r="AR454" s="105"/>
      <c r="AS454" s="87"/>
      <c r="AT454" s="105"/>
      <c r="AU454" s="87"/>
      <c r="AV454" s="105"/>
      <c r="AW454" s="105"/>
      <c r="AX454" s="105"/>
      <c r="AY454" s="87"/>
      <c r="AZ454" s="105"/>
      <c r="BA454" s="105"/>
      <c r="BB454" s="105"/>
      <c r="BC454" s="105"/>
      <c r="BD454" s="105"/>
      <c r="BE454" s="105"/>
      <c r="BF454" s="87"/>
      <c r="BG454" s="87"/>
      <c r="BH454" s="87"/>
      <c r="BI454" s="87"/>
      <c r="BJ454" s="87"/>
      <c r="BK454" s="87"/>
      <c r="BL454" s="87"/>
      <c r="BM454" s="87"/>
      <c r="BN454" s="87"/>
      <c r="BO454" s="87"/>
      <c r="BP454" s="87"/>
      <c r="BQ454" s="87"/>
      <c r="BR454" s="87"/>
      <c r="BS454" s="87"/>
      <c r="BT454" s="87"/>
      <c r="BU454" s="87"/>
      <c r="BV454" s="87"/>
      <c r="BW454" s="87"/>
      <c r="BX454" s="87"/>
      <c r="BY454" s="87"/>
      <c r="BZ454" s="87"/>
      <c r="CA454" s="87"/>
      <c r="CB454" s="87"/>
      <c r="CC454" s="87"/>
      <c r="CD454" s="87"/>
      <c r="CE454" s="87"/>
      <c r="CF454" s="87"/>
      <c r="CG454" s="87"/>
      <c r="CH454" s="87"/>
      <c r="CI454" s="87"/>
      <c r="CJ454" s="87"/>
      <c r="CK454" s="87">
        <f>-4/7*C454</f>
        <v>-9.4285714285714288</v>
      </c>
      <c r="CL454" s="87">
        <f>-CK454</f>
        <v>9.4285714285714288</v>
      </c>
      <c r="CM454" s="87"/>
      <c r="CN454" s="87"/>
      <c r="CO454" s="87"/>
      <c r="CP454" s="87"/>
      <c r="CQ454" s="87"/>
      <c r="CR454" s="87"/>
      <c r="CS454" s="87"/>
      <c r="CT454" s="87"/>
      <c r="CU454" s="87"/>
      <c r="CV454" s="87"/>
      <c r="CW454" s="87"/>
      <c r="CX454" s="87"/>
      <c r="CY454" s="87"/>
      <c r="CZ454" s="87"/>
      <c r="DA454" s="87"/>
      <c r="DB454" s="87"/>
      <c r="DC454" s="87"/>
      <c r="DD454" s="87"/>
      <c r="DE454" s="87"/>
      <c r="DF454" s="87"/>
      <c r="DG454" s="87"/>
      <c r="DH454" s="87"/>
      <c r="DI454" s="87"/>
      <c r="DJ454" s="87"/>
      <c r="DK454" s="87"/>
      <c r="DL454" s="87"/>
      <c r="DM454" s="87"/>
      <c r="DN454" s="87"/>
      <c r="DO454" s="87"/>
      <c r="DP454" s="87"/>
      <c r="DQ454" s="87"/>
      <c r="DR454" s="87"/>
      <c r="DS454" s="87"/>
      <c r="DT454" s="87"/>
      <c r="DU454" s="87"/>
      <c r="DV454" s="87"/>
      <c r="DW454" s="87"/>
      <c r="DX454" s="87"/>
      <c r="DY454" s="87"/>
      <c r="DZ454" s="87"/>
      <c r="EA454" s="87"/>
      <c r="EB454" s="87"/>
      <c r="EC454" s="87"/>
      <c r="ED454" s="87"/>
      <c r="EE454" s="87"/>
      <c r="EF454" s="87"/>
      <c r="EG454" s="87"/>
      <c r="EH454" s="87"/>
      <c r="EI454" s="87"/>
    </row>
    <row r="455" spans="1:139" ht="16.5" hidden="1" thickBot="1" x14ac:dyDescent="0.35">
      <c r="A455" s="175" t="s">
        <v>115</v>
      </c>
      <c r="B455" s="191">
        <v>2</v>
      </c>
      <c r="C455" s="177">
        <f>(25*0.85)</f>
        <v>21.25</v>
      </c>
      <c r="D455" s="217">
        <f>C455/VLOOKUP(B455,'[2]Gas Prod per PADD'!$A$1:$C$6,2,FALSE)</f>
        <v>8.8541666666666664E-3</v>
      </c>
      <c r="E455" s="178">
        <v>45678</v>
      </c>
      <c r="F455" s="252">
        <f>E455+2</f>
        <v>45680</v>
      </c>
      <c r="G455" s="180" t="s">
        <v>818</v>
      </c>
      <c r="H455" s="181" t="s">
        <v>819</v>
      </c>
      <c r="I455" s="84"/>
      <c r="J455" s="85"/>
      <c r="K455" s="85"/>
      <c r="L455" s="85"/>
      <c r="M455" s="85"/>
      <c r="N455" s="85"/>
      <c r="O455" s="85"/>
      <c r="P455" s="85">
        <f t="shared" si="19"/>
        <v>-1.3709677419354838</v>
      </c>
      <c r="Q455" s="85"/>
      <c r="R455" s="85"/>
      <c r="S455" s="85"/>
      <c r="T455" s="85"/>
      <c r="U455" s="85"/>
      <c r="V455" s="84"/>
      <c r="W455" s="84"/>
      <c r="X455" s="84" t="str">
        <f t="shared" si="18"/>
        <v>OK</v>
      </c>
      <c r="Y455" s="105"/>
      <c r="Z455" s="105"/>
      <c r="AA455" s="87"/>
      <c r="AB455" s="87"/>
      <c r="AC455" s="87"/>
      <c r="AD455" s="87"/>
      <c r="AE455" s="105"/>
      <c r="AF455" s="105"/>
      <c r="AG455" s="105"/>
      <c r="AH455" s="105"/>
      <c r="AI455" s="87"/>
      <c r="AJ455" s="87"/>
      <c r="AK455" s="105"/>
      <c r="AL455" s="87"/>
      <c r="AM455" s="105"/>
      <c r="AN455" s="105"/>
      <c r="AO455" s="87"/>
      <c r="AP455" s="87"/>
      <c r="AQ455" s="105"/>
      <c r="AR455" s="105"/>
      <c r="AS455" s="87"/>
      <c r="AT455" s="105"/>
      <c r="AU455" s="105"/>
      <c r="AV455" s="87"/>
      <c r="AW455" s="105"/>
      <c r="AX455" s="105"/>
      <c r="AY455" s="87"/>
      <c r="AZ455" s="105"/>
      <c r="BA455" s="105"/>
      <c r="BB455" s="105"/>
      <c r="BC455" s="87"/>
      <c r="BD455" s="87"/>
      <c r="BE455" s="105"/>
      <c r="BF455" s="105"/>
      <c r="BG455" s="105"/>
      <c r="BH455" s="105"/>
      <c r="BI455" s="105"/>
      <c r="BJ455" s="87"/>
      <c r="BK455" s="87"/>
      <c r="BL455" s="87"/>
      <c r="BM455" s="87"/>
      <c r="BN455" s="87"/>
      <c r="BO455" s="105"/>
      <c r="BP455" s="105"/>
      <c r="BQ455" s="105"/>
      <c r="BR455" s="105"/>
      <c r="BS455" s="105"/>
      <c r="BT455" s="87"/>
      <c r="BU455" s="87"/>
      <c r="BV455" s="87"/>
      <c r="BW455" s="87"/>
      <c r="BX455" s="87"/>
      <c r="BY455" s="87"/>
      <c r="BZ455" s="87"/>
      <c r="CA455" s="87"/>
      <c r="CB455" s="87"/>
      <c r="CC455" s="87"/>
      <c r="CD455" s="87"/>
      <c r="CE455" s="87"/>
      <c r="CF455" s="87"/>
      <c r="CG455" s="87"/>
      <c r="CH455" s="87"/>
      <c r="CI455" s="87"/>
      <c r="CJ455" s="87"/>
      <c r="CK455" s="87">
        <f>-2/7*C455</f>
        <v>-6.0714285714285712</v>
      </c>
      <c r="CL455" s="87">
        <f>-CK455</f>
        <v>6.0714285714285712</v>
      </c>
      <c r="CM455" s="87"/>
      <c r="CN455" s="87"/>
      <c r="CO455" s="87"/>
      <c r="CP455" s="87"/>
      <c r="CQ455" s="87"/>
      <c r="CR455" s="87"/>
      <c r="CS455" s="87"/>
      <c r="CT455" s="87"/>
      <c r="CU455" s="87"/>
      <c r="CV455" s="87"/>
      <c r="CW455" s="87"/>
      <c r="CX455" s="87"/>
      <c r="CY455" s="87"/>
      <c r="CZ455" s="87"/>
      <c r="DA455" s="87"/>
      <c r="DB455" s="87"/>
      <c r="DC455" s="87"/>
      <c r="DD455" s="87"/>
      <c r="DE455" s="87"/>
      <c r="DF455" s="87"/>
      <c r="DG455" s="87"/>
      <c r="DH455" s="87"/>
      <c r="DI455" s="87"/>
      <c r="DJ455" s="87"/>
      <c r="DK455" s="87"/>
      <c r="DL455" s="87"/>
      <c r="DM455" s="87"/>
      <c r="DN455" s="87"/>
      <c r="DO455" s="87"/>
      <c r="DP455" s="87"/>
      <c r="DQ455" s="87"/>
      <c r="DR455" s="87"/>
      <c r="DS455" s="87"/>
      <c r="DT455" s="87"/>
      <c r="DU455" s="87"/>
      <c r="DV455" s="87"/>
      <c r="DW455" s="87"/>
      <c r="DX455" s="87"/>
      <c r="DY455" s="87"/>
      <c r="DZ455" s="87"/>
      <c r="EA455" s="87"/>
      <c r="EB455" s="87"/>
      <c r="EC455" s="87"/>
      <c r="ED455" s="87"/>
      <c r="EE455" s="87"/>
      <c r="EF455" s="87"/>
      <c r="EG455" s="87"/>
      <c r="EH455" s="87"/>
      <c r="EI455" s="87"/>
    </row>
    <row r="456" spans="1:139" ht="29.25" hidden="1" thickBot="1" x14ac:dyDescent="0.35">
      <c r="A456" s="190" t="s">
        <v>225</v>
      </c>
      <c r="B456" s="176">
        <v>3</v>
      </c>
      <c r="C456" s="177">
        <f>81*0.65+(0.85*49)+(54*0.1)</f>
        <v>99.7</v>
      </c>
      <c r="D456" s="217">
        <f>C456/VLOOKUP(B456,'[2]Gas Prod per PADD'!$A$1:$C$6,2,FALSE)</f>
        <v>2.1673913043478262E-2</v>
      </c>
      <c r="E456" s="178">
        <v>45678</v>
      </c>
      <c r="F456" s="179">
        <f>E456+2</f>
        <v>45680</v>
      </c>
      <c r="G456" s="180" t="s">
        <v>820</v>
      </c>
      <c r="H456" s="221" t="s">
        <v>821</v>
      </c>
      <c r="I456" s="84"/>
      <c r="J456" s="85"/>
      <c r="K456" s="85"/>
      <c r="L456" s="85"/>
      <c r="M456" s="85"/>
      <c r="N456" s="85"/>
      <c r="O456" s="85"/>
      <c r="P456" s="85">
        <f t="shared" si="19"/>
        <v>-6.4322580645161294</v>
      </c>
      <c r="Q456" s="85"/>
      <c r="R456" s="85"/>
      <c r="S456" s="85"/>
      <c r="T456" s="85"/>
      <c r="U456" s="85"/>
      <c r="V456" s="84"/>
      <c r="W456" s="84"/>
      <c r="X456" s="84" t="str">
        <f t="shared" si="18"/>
        <v>OK</v>
      </c>
      <c r="Y456" s="105"/>
      <c r="Z456" s="105"/>
      <c r="AA456" s="87"/>
      <c r="AB456" s="87"/>
      <c r="AC456" s="87"/>
      <c r="AD456" s="87"/>
      <c r="AE456" s="105"/>
      <c r="AF456" s="105"/>
      <c r="AG456" s="105"/>
      <c r="AH456" s="105"/>
      <c r="AI456" s="87"/>
      <c r="AJ456" s="87"/>
      <c r="AK456" s="105"/>
      <c r="AL456" s="87"/>
      <c r="AM456" s="105"/>
      <c r="AN456" s="105"/>
      <c r="AO456" s="87"/>
      <c r="AP456" s="87"/>
      <c r="AQ456" s="105"/>
      <c r="AR456" s="105"/>
      <c r="AS456" s="87"/>
      <c r="AT456" s="105"/>
      <c r="AU456" s="87"/>
      <c r="AV456" s="87"/>
      <c r="AW456" s="105"/>
      <c r="AX456" s="105"/>
      <c r="AY456" s="105"/>
      <c r="AZ456" s="105"/>
      <c r="BA456" s="105"/>
      <c r="BB456" s="105"/>
      <c r="BC456" s="105"/>
      <c r="BD456" s="105"/>
      <c r="BE456" s="105"/>
      <c r="BF456" s="105"/>
      <c r="BG456" s="87"/>
      <c r="BH456" s="87"/>
      <c r="BI456" s="87"/>
      <c r="BJ456" s="87"/>
      <c r="BK456" s="87"/>
      <c r="BL456" s="87"/>
      <c r="BM456" s="87"/>
      <c r="BN456" s="87"/>
      <c r="BO456" s="87"/>
      <c r="BP456" s="87"/>
      <c r="BQ456" s="87"/>
      <c r="BR456" s="87"/>
      <c r="BS456" s="87"/>
      <c r="BT456" s="87"/>
      <c r="BU456" s="87"/>
      <c r="BV456" s="87"/>
      <c r="BW456" s="87"/>
      <c r="BX456" s="87"/>
      <c r="BY456" s="87"/>
      <c r="BZ456" s="87"/>
      <c r="CA456" s="87"/>
      <c r="CB456" s="87"/>
      <c r="CC456" s="87"/>
      <c r="CD456" s="87"/>
      <c r="CE456" s="87"/>
      <c r="CF456" s="87"/>
      <c r="CG456" s="87"/>
      <c r="CH456" s="87"/>
      <c r="CI456" s="87"/>
      <c r="CJ456" s="87"/>
      <c r="CK456" s="87">
        <f>-3/7*C456</f>
        <v>-42.728571428571428</v>
      </c>
      <c r="CL456" s="87">
        <f>-CK456</f>
        <v>42.728571428571428</v>
      </c>
      <c r="CM456" s="87"/>
      <c r="CN456" s="87"/>
      <c r="CO456" s="87"/>
      <c r="CP456" s="87"/>
      <c r="CQ456" s="87"/>
      <c r="CR456" s="87"/>
      <c r="CS456" s="87"/>
      <c r="CT456" s="87"/>
      <c r="CU456" s="87"/>
      <c r="CV456" s="87"/>
      <c r="CW456" s="87"/>
      <c r="CX456" s="87"/>
      <c r="CY456" s="87"/>
      <c r="CZ456" s="87"/>
      <c r="DA456" s="87"/>
      <c r="DB456" s="87"/>
      <c r="DC456" s="87"/>
      <c r="DD456" s="87"/>
      <c r="DE456" s="87"/>
      <c r="DF456" s="87"/>
      <c r="DG456" s="87"/>
      <c r="DH456" s="87"/>
      <c r="DI456" s="87"/>
      <c r="DJ456" s="87"/>
      <c r="DK456" s="87"/>
      <c r="DL456" s="87"/>
      <c r="DM456" s="87"/>
      <c r="DN456" s="87"/>
      <c r="DO456" s="87"/>
      <c r="DP456" s="87"/>
      <c r="DQ456" s="87"/>
      <c r="DR456" s="87"/>
      <c r="DS456" s="87"/>
      <c r="DT456" s="87"/>
      <c r="DU456" s="87"/>
      <c r="DV456" s="87"/>
      <c r="DW456" s="87"/>
      <c r="DX456" s="87"/>
      <c r="DY456" s="87"/>
      <c r="DZ456" s="87"/>
      <c r="EA456" s="87"/>
      <c r="EB456" s="87"/>
      <c r="EC456" s="87"/>
      <c r="ED456" s="87"/>
      <c r="EE456" s="87"/>
      <c r="EF456" s="87"/>
      <c r="EG456" s="87"/>
      <c r="EH456" s="87"/>
      <c r="EI456" s="87"/>
    </row>
    <row r="457" spans="1:139" ht="16.5" hidden="1" thickBot="1" x14ac:dyDescent="0.35">
      <c r="A457" s="161" t="s">
        <v>123</v>
      </c>
      <c r="B457" s="279">
        <v>1</v>
      </c>
      <c r="C457" s="224">
        <f>0.25*25</f>
        <v>6.25</v>
      </c>
      <c r="D457" s="217">
        <f>C457/VLOOKUP(B457,'[2]Gas Prod per PADD'!$A$1:$C$6,2,FALSE)</f>
        <v>1.3020833333333334E-2</v>
      </c>
      <c r="E457" s="289">
        <v>45678</v>
      </c>
      <c r="F457" s="276">
        <v>45680</v>
      </c>
      <c r="G457" s="180" t="s">
        <v>711</v>
      </c>
      <c r="H457" s="221" t="s">
        <v>822</v>
      </c>
      <c r="I457" s="84"/>
      <c r="J457" s="85"/>
      <c r="K457" s="85"/>
      <c r="L457" s="85"/>
      <c r="M457" s="85"/>
      <c r="N457" s="85"/>
      <c r="O457" s="85"/>
      <c r="P457" s="85">
        <f t="shared" si="19"/>
        <v>-0.40322580645161288</v>
      </c>
      <c r="Q457" s="85"/>
      <c r="R457" s="85"/>
      <c r="S457" s="85"/>
      <c r="T457" s="85"/>
      <c r="U457" s="85"/>
      <c r="V457" s="84"/>
      <c r="W457" s="84"/>
      <c r="X457" s="84" t="str">
        <f t="shared" si="18"/>
        <v>OK</v>
      </c>
      <c r="Y457" s="87"/>
      <c r="Z457" s="87"/>
      <c r="AA457" s="87"/>
      <c r="AB457" s="87"/>
      <c r="AC457" s="87"/>
      <c r="AD457" s="87"/>
      <c r="AE457" s="87"/>
      <c r="AF457" s="87"/>
      <c r="AG457" s="87"/>
      <c r="AH457" s="87"/>
      <c r="AI457" s="87"/>
      <c r="AJ457" s="87"/>
      <c r="AK457" s="87"/>
      <c r="AL457" s="87"/>
      <c r="AM457" s="87"/>
      <c r="AN457" s="87"/>
      <c r="AO457" s="87"/>
      <c r="AP457" s="87"/>
      <c r="AQ457" s="87"/>
      <c r="AR457" s="87"/>
      <c r="AS457" s="87"/>
      <c r="AT457" s="87"/>
      <c r="AU457" s="87"/>
      <c r="AV457" s="87"/>
      <c r="AW457" s="87"/>
      <c r="AX457" s="87"/>
      <c r="AY457" s="87"/>
      <c r="AZ457" s="87"/>
      <c r="BA457" s="87"/>
      <c r="BB457" s="87"/>
      <c r="BC457" s="87"/>
      <c r="BD457" s="87"/>
      <c r="BE457" s="87"/>
      <c r="BF457" s="87"/>
      <c r="BG457" s="87"/>
      <c r="BH457" s="87"/>
      <c r="BI457" s="87"/>
      <c r="BJ457" s="87"/>
      <c r="BK457" s="87"/>
      <c r="BL457" s="87"/>
      <c r="BM457" s="87"/>
      <c r="BN457" s="87"/>
      <c r="BO457" s="87"/>
      <c r="BP457" s="87"/>
      <c r="BQ457" s="87"/>
      <c r="BR457" s="87"/>
      <c r="BS457" s="87"/>
      <c r="BT457" s="87"/>
      <c r="BU457" s="87"/>
      <c r="BV457" s="87"/>
      <c r="BW457" s="87"/>
      <c r="BX457" s="87"/>
      <c r="BY457" s="87"/>
      <c r="BZ457" s="105"/>
      <c r="CA457" s="87"/>
      <c r="CB457" s="87"/>
      <c r="CC457" s="87"/>
      <c r="CD457" s="87"/>
      <c r="CE457" s="87"/>
      <c r="CF457" s="87"/>
      <c r="CG457" s="87"/>
      <c r="CH457" s="87"/>
      <c r="CI457" s="87"/>
      <c r="CJ457" s="87"/>
      <c r="CK457" s="87">
        <f>-C457*3/7</f>
        <v>-2.6785714285714284</v>
      </c>
      <c r="CL457" s="87">
        <f>C457*3/7</f>
        <v>2.6785714285714284</v>
      </c>
      <c r="CM457" s="87"/>
      <c r="CN457" s="87"/>
      <c r="CO457" s="87"/>
      <c r="CP457" s="87"/>
      <c r="CQ457" s="87"/>
      <c r="CR457" s="87"/>
      <c r="CS457" s="87"/>
      <c r="CT457" s="87"/>
      <c r="CU457" s="87"/>
      <c r="CV457" s="87"/>
      <c r="CW457" s="87"/>
      <c r="CX457" s="87"/>
      <c r="CY457" s="87"/>
      <c r="CZ457" s="87"/>
      <c r="DA457" s="87"/>
      <c r="DB457" s="87"/>
      <c r="DC457" s="87"/>
      <c r="DD457" s="87"/>
      <c r="DE457" s="87"/>
      <c r="DF457" s="87"/>
      <c r="DG457" s="87"/>
      <c r="DH457" s="87"/>
      <c r="DI457" s="87"/>
      <c r="DJ457" s="87"/>
      <c r="DK457" s="87"/>
      <c r="DL457" s="87"/>
      <c r="DM457" s="87"/>
      <c r="DN457" s="87"/>
      <c r="DO457" s="87"/>
      <c r="DP457" s="87"/>
      <c r="DQ457" s="87"/>
      <c r="DR457" s="87"/>
      <c r="DS457" s="87"/>
      <c r="DT457" s="87"/>
      <c r="DU457" s="87"/>
      <c r="DV457" s="87"/>
      <c r="DW457" s="87"/>
      <c r="DX457" s="87"/>
      <c r="DY457" s="87"/>
      <c r="DZ457" s="87"/>
      <c r="EA457" s="87"/>
      <c r="EB457" s="87"/>
      <c r="EC457" s="87"/>
      <c r="ED457" s="87"/>
      <c r="EE457" s="87"/>
      <c r="EF457" s="87"/>
      <c r="EG457" s="87"/>
      <c r="EH457" s="87"/>
      <c r="EI457" s="87"/>
    </row>
    <row r="458" spans="1:139" ht="16.5" hidden="1" thickBot="1" x14ac:dyDescent="0.35">
      <c r="A458" s="190" t="s">
        <v>194</v>
      </c>
      <c r="B458" s="194">
        <v>3</v>
      </c>
      <c r="C458" s="195">
        <f>12.5*0.95</f>
        <v>11.875</v>
      </c>
      <c r="D458" s="217">
        <f>C458/VLOOKUP(B458,'[2]Gas Prod per PADD'!$A$1:$C$6,2,FALSE)</f>
        <v>2.5815217391304346E-3</v>
      </c>
      <c r="E458" s="225">
        <v>45679</v>
      </c>
      <c r="F458" s="276">
        <v>45680</v>
      </c>
      <c r="G458" s="180" t="s">
        <v>401</v>
      </c>
      <c r="H458" s="198" t="s">
        <v>364</v>
      </c>
      <c r="I458" s="84"/>
      <c r="J458" s="85"/>
      <c r="K458" s="85"/>
      <c r="L458" s="85"/>
      <c r="M458" s="85"/>
      <c r="N458" s="85"/>
      <c r="O458" s="85"/>
      <c r="P458" s="85">
        <f t="shared" si="19"/>
        <v>-0.38306451612903225</v>
      </c>
      <c r="Q458" s="85"/>
      <c r="R458" s="85"/>
      <c r="S458" s="85"/>
      <c r="T458" s="85"/>
      <c r="U458" s="85"/>
      <c r="V458" s="84"/>
      <c r="W458" s="84"/>
      <c r="X458" s="84" t="str">
        <f t="shared" si="18"/>
        <v>OK</v>
      </c>
      <c r="Y458" s="105"/>
      <c r="Z458" s="105"/>
      <c r="AA458" s="87"/>
      <c r="AB458" s="87"/>
      <c r="AC458" s="87"/>
      <c r="AD458" s="87"/>
      <c r="AE458" s="105"/>
      <c r="AF458" s="105"/>
      <c r="AG458" s="105"/>
      <c r="AH458" s="105"/>
      <c r="AI458" s="87"/>
      <c r="AJ458" s="87"/>
      <c r="AK458" s="105"/>
      <c r="AL458" s="87"/>
      <c r="AM458" s="105"/>
      <c r="AN458" s="105"/>
      <c r="AO458" s="87"/>
      <c r="AP458" s="87"/>
      <c r="AQ458" s="105"/>
      <c r="AR458" s="105"/>
      <c r="AS458" s="87"/>
      <c r="AT458" s="105"/>
      <c r="AU458" s="87"/>
      <c r="AV458" s="87"/>
      <c r="AW458" s="105"/>
      <c r="AX458" s="105"/>
      <c r="AY458" s="105"/>
      <c r="AZ458" s="105"/>
      <c r="BA458" s="105"/>
      <c r="BB458" s="105"/>
      <c r="BC458" s="105"/>
      <c r="BD458" s="87"/>
      <c r="BE458" s="87"/>
      <c r="BF458" s="87"/>
      <c r="BG458" s="87"/>
      <c r="BH458" s="87"/>
      <c r="BI458" s="87"/>
      <c r="BJ458" s="87"/>
      <c r="BK458" s="87"/>
      <c r="BL458" s="87"/>
      <c r="BM458" s="87"/>
      <c r="BN458" s="87"/>
      <c r="BO458" s="87"/>
      <c r="BP458" s="87"/>
      <c r="BQ458" s="87"/>
      <c r="BR458" s="87"/>
      <c r="BS458" s="87"/>
      <c r="BT458" s="87"/>
      <c r="BU458" s="87"/>
      <c r="BV458" s="87"/>
      <c r="BW458" s="87"/>
      <c r="BX458" s="87"/>
      <c r="BY458" s="87"/>
      <c r="BZ458" s="87"/>
      <c r="CA458" s="87"/>
      <c r="CB458" s="87"/>
      <c r="CC458" s="87"/>
      <c r="CD458" s="87"/>
      <c r="CE458" s="87"/>
      <c r="CF458" s="87"/>
      <c r="CG458" s="87"/>
      <c r="CH458" s="87"/>
      <c r="CI458" s="87"/>
      <c r="CJ458" s="87"/>
      <c r="CK458" s="87">
        <f>-1/7*C458</f>
        <v>-1.6964285714285714</v>
      </c>
      <c r="CL458" s="87">
        <f>-CK458</f>
        <v>1.6964285714285714</v>
      </c>
      <c r="CM458" s="87"/>
      <c r="CN458" s="87"/>
      <c r="CO458" s="87"/>
      <c r="CP458" s="87"/>
      <c r="CQ458" s="87"/>
      <c r="CR458" s="87"/>
      <c r="CS458" s="87"/>
      <c r="CT458" s="87"/>
      <c r="CU458" s="87"/>
      <c r="CV458" s="87"/>
      <c r="CW458" s="87"/>
      <c r="CX458" s="87"/>
      <c r="CY458" s="87"/>
      <c r="CZ458" s="87"/>
      <c r="DA458" s="87"/>
      <c r="DB458" s="87"/>
      <c r="DC458" s="87"/>
      <c r="DD458" s="87"/>
      <c r="DE458" s="87"/>
      <c r="DF458" s="87"/>
      <c r="DG458" s="87"/>
      <c r="DH458" s="87"/>
      <c r="DI458" s="87"/>
      <c r="DJ458" s="87"/>
      <c r="DK458" s="87"/>
      <c r="DL458" s="87"/>
      <c r="DM458" s="87"/>
      <c r="DN458" s="87"/>
      <c r="DO458" s="87"/>
      <c r="DP458" s="87"/>
      <c r="DQ458" s="87"/>
      <c r="DR458" s="87"/>
      <c r="DS458" s="87"/>
      <c r="DT458" s="87"/>
      <c r="DU458" s="87"/>
      <c r="DV458" s="87"/>
      <c r="DW458" s="87"/>
      <c r="DX458" s="87"/>
      <c r="DY458" s="87"/>
      <c r="DZ458" s="87"/>
      <c r="EA458" s="87"/>
      <c r="EB458" s="87"/>
      <c r="EC458" s="87"/>
      <c r="ED458" s="87"/>
      <c r="EE458" s="87"/>
      <c r="EF458" s="87"/>
      <c r="EG458" s="87"/>
      <c r="EH458" s="87"/>
      <c r="EI458" s="87"/>
    </row>
    <row r="459" spans="1:139" ht="16.5" hidden="1" thickBot="1" x14ac:dyDescent="0.35">
      <c r="A459" s="161" t="s">
        <v>119</v>
      </c>
      <c r="B459" s="279">
        <v>5</v>
      </c>
      <c r="C459" s="224">
        <f>33*0.95</f>
        <v>31.349999999999998</v>
      </c>
      <c r="D459" s="217">
        <f>C459/VLOOKUP(B459,'[2]Gas Prod per PADD'!$A$1:$C$6,2,FALSE)</f>
        <v>2.322222222222222E-2</v>
      </c>
      <c r="E459" s="225">
        <v>45669</v>
      </c>
      <c r="F459" s="226">
        <v>45681</v>
      </c>
      <c r="G459" s="180" t="s">
        <v>807</v>
      </c>
      <c r="H459" s="181" t="s">
        <v>823</v>
      </c>
      <c r="I459" s="84" t="s">
        <v>824</v>
      </c>
      <c r="J459" s="85"/>
      <c r="K459" s="85"/>
      <c r="L459" s="85"/>
      <c r="M459" s="85"/>
      <c r="N459" s="85"/>
      <c r="O459" s="85"/>
      <c r="P459" s="85">
        <f t="shared" si="19"/>
        <v>-12.135483870967741</v>
      </c>
      <c r="Q459" s="85"/>
      <c r="R459" s="85"/>
      <c r="S459" s="85"/>
      <c r="T459" s="85"/>
      <c r="U459" s="85"/>
      <c r="V459" s="84"/>
      <c r="W459" s="84"/>
      <c r="X459" s="84" t="str">
        <f t="shared" si="18"/>
        <v>OK</v>
      </c>
      <c r="Y459" s="87"/>
      <c r="Z459" s="87"/>
      <c r="AA459" s="87"/>
      <c r="AB459" s="87"/>
      <c r="AC459" s="87"/>
      <c r="AD459" s="87"/>
      <c r="AE459" s="87"/>
      <c r="AF459" s="87"/>
      <c r="AG459" s="87"/>
      <c r="AH459" s="87"/>
      <c r="AI459" s="87"/>
      <c r="AJ459" s="87"/>
      <c r="AK459" s="87"/>
      <c r="AL459" s="87"/>
      <c r="AM459" s="87"/>
      <c r="AN459" s="87"/>
      <c r="AO459" s="87"/>
      <c r="AP459" s="87"/>
      <c r="AQ459" s="87"/>
      <c r="AR459" s="87"/>
      <c r="AS459" s="87"/>
      <c r="AT459" s="87"/>
      <c r="AU459" s="87"/>
      <c r="AV459" s="87"/>
      <c r="AW459" s="87"/>
      <c r="AX459" s="87"/>
      <c r="AY459" s="87"/>
      <c r="AZ459" s="87"/>
      <c r="BA459" s="87"/>
      <c r="BB459" s="87"/>
      <c r="BC459" s="87"/>
      <c r="BD459" s="87"/>
      <c r="BE459" s="87"/>
      <c r="BF459" s="87"/>
      <c r="BG459" s="87"/>
      <c r="BH459" s="87"/>
      <c r="BI459" s="87"/>
      <c r="BJ459" s="87"/>
      <c r="BK459" s="87"/>
      <c r="BL459" s="87"/>
      <c r="BM459" s="87"/>
      <c r="BN459" s="87"/>
      <c r="BO459" s="87"/>
      <c r="BP459" s="87"/>
      <c r="BQ459" s="87"/>
      <c r="BR459" s="87"/>
      <c r="BS459" s="87"/>
      <c r="BT459" s="87"/>
      <c r="BU459" s="87"/>
      <c r="BV459" s="87"/>
      <c r="BW459" s="87"/>
      <c r="BX459" s="87"/>
      <c r="BY459" s="87"/>
      <c r="BZ459" s="87"/>
      <c r="CA459" s="87"/>
      <c r="CB459" s="87"/>
      <c r="CC459" s="87"/>
      <c r="CD459" s="87"/>
      <c r="CE459" s="87"/>
      <c r="CF459" s="87"/>
      <c r="CG459" s="87"/>
      <c r="CH459" s="87"/>
      <c r="CI459" s="87"/>
      <c r="CJ459" s="87"/>
      <c r="CK459" s="105"/>
      <c r="CL459" s="87"/>
      <c r="CM459" s="87"/>
      <c r="CN459" s="87"/>
      <c r="CO459" s="87"/>
      <c r="CP459" s="87"/>
      <c r="CQ459" s="87"/>
      <c r="CR459" s="87"/>
      <c r="CS459" s="87"/>
      <c r="CT459" s="87"/>
      <c r="CU459" s="87"/>
      <c r="CV459" s="87"/>
      <c r="CW459" s="87"/>
      <c r="CX459" s="87"/>
      <c r="CY459" s="87"/>
      <c r="CZ459" s="87"/>
      <c r="DA459" s="87"/>
      <c r="DB459" s="87"/>
      <c r="DC459" s="87"/>
      <c r="DD459" s="87"/>
      <c r="DE459" s="87"/>
      <c r="DF459" s="87"/>
      <c r="DG459" s="87"/>
      <c r="DH459" s="87"/>
      <c r="DI459" s="87"/>
      <c r="DJ459" s="87"/>
      <c r="DK459" s="87"/>
      <c r="DL459" s="87"/>
      <c r="DM459" s="87"/>
      <c r="DN459" s="87"/>
      <c r="DO459" s="87"/>
      <c r="DP459" s="87"/>
      <c r="DQ459" s="87"/>
      <c r="DR459" s="87"/>
      <c r="DS459" s="87"/>
      <c r="DT459" s="87"/>
      <c r="DU459" s="87"/>
      <c r="DV459" s="87"/>
      <c r="DW459" s="87"/>
      <c r="DX459" s="87"/>
      <c r="DY459" s="87"/>
      <c r="DZ459" s="87"/>
      <c r="EA459" s="87"/>
      <c r="EB459" s="87"/>
      <c r="EC459" s="87"/>
      <c r="ED459" s="87"/>
      <c r="EE459" s="87"/>
      <c r="EF459" s="87"/>
      <c r="EG459" s="75">
        <v>46017</v>
      </c>
      <c r="EH459" s="75">
        <v>46024</v>
      </c>
      <c r="EI459" s="75">
        <v>46031</v>
      </c>
    </row>
    <row r="460" spans="1:139" ht="16.5" hidden="1" thickBot="1" x14ac:dyDescent="0.35">
      <c r="A460" s="307" t="s">
        <v>659</v>
      </c>
      <c r="B460" s="308">
        <v>3</v>
      </c>
      <c r="C460" s="309">
        <f>0.85*23</f>
        <v>19.55</v>
      </c>
      <c r="D460" s="310">
        <f>C460/VLOOKUP(B460,'[2]Gas Prod per PADD'!$A$1:$C$6,2,FALSE)</f>
        <v>4.2500000000000003E-3</v>
      </c>
      <c r="E460" s="311">
        <v>45677</v>
      </c>
      <c r="F460" s="252">
        <v>45681</v>
      </c>
      <c r="G460" s="313" t="s">
        <v>825</v>
      </c>
      <c r="H460" s="314" t="s">
        <v>548</v>
      </c>
      <c r="I460" s="84"/>
      <c r="J460" s="85"/>
      <c r="K460" s="85"/>
      <c r="L460" s="85"/>
      <c r="M460" s="85"/>
      <c r="N460" s="85"/>
      <c r="O460" s="85"/>
      <c r="P460" s="85">
        <f t="shared" si="19"/>
        <v>-2.5225806451612902</v>
      </c>
      <c r="Q460" s="85"/>
      <c r="R460" s="85"/>
      <c r="S460" s="85"/>
      <c r="T460" s="85"/>
      <c r="U460" s="85"/>
      <c r="V460" s="84"/>
      <c r="W460" s="84"/>
      <c r="X460" s="84" t="str">
        <f t="shared" si="18"/>
        <v>OK</v>
      </c>
      <c r="Y460" s="105"/>
      <c r="Z460" s="105"/>
      <c r="AA460" s="87"/>
      <c r="AB460" s="87"/>
      <c r="AC460" s="87"/>
      <c r="AD460" s="87"/>
      <c r="AE460" s="105"/>
      <c r="AF460" s="105"/>
      <c r="AG460" s="105"/>
      <c r="AH460" s="105"/>
      <c r="AI460" s="87"/>
      <c r="AJ460" s="87"/>
      <c r="AK460" s="105"/>
      <c r="AL460" s="87"/>
      <c r="AM460" s="105"/>
      <c r="AN460" s="105"/>
      <c r="AO460" s="87"/>
      <c r="AP460" s="87"/>
      <c r="AQ460" s="105"/>
      <c r="AR460" s="105"/>
      <c r="AS460" s="87"/>
      <c r="AT460" s="105"/>
      <c r="AU460" s="87"/>
      <c r="AV460" s="87"/>
      <c r="AW460" s="87"/>
      <c r="AX460" s="87"/>
      <c r="AY460" s="87"/>
      <c r="AZ460" s="87"/>
      <c r="BA460" s="87"/>
      <c r="BB460" s="87"/>
      <c r="BC460" s="87"/>
      <c r="BD460" s="87"/>
      <c r="BE460" s="87"/>
      <c r="BF460" s="87"/>
      <c r="BG460" s="87"/>
      <c r="BH460" s="87"/>
      <c r="BI460" s="87"/>
      <c r="BJ460" s="87"/>
      <c r="BK460" s="87"/>
      <c r="BL460" s="87"/>
      <c r="BM460" s="87"/>
      <c r="BN460" s="87"/>
      <c r="BO460" s="87"/>
      <c r="BP460" s="87"/>
      <c r="BQ460" s="87"/>
      <c r="BR460" s="87"/>
      <c r="BS460" s="87"/>
      <c r="BT460" s="87"/>
      <c r="BU460" s="87"/>
      <c r="BV460" s="87"/>
      <c r="BW460" s="87"/>
      <c r="BX460" s="87"/>
      <c r="BY460" s="87"/>
      <c r="BZ460" s="87"/>
      <c r="CA460" s="87"/>
      <c r="CB460" s="87"/>
      <c r="CC460" s="87"/>
      <c r="CD460" s="87"/>
      <c r="CE460" s="87"/>
      <c r="CF460" s="87"/>
      <c r="CG460" s="87"/>
      <c r="CH460" s="87"/>
      <c r="CI460" s="87"/>
      <c r="CJ460" s="87"/>
      <c r="CK460" s="87">
        <f>-4/7*C460</f>
        <v>-11.171428571428571</v>
      </c>
      <c r="CL460" s="87"/>
      <c r="CM460" s="87">
        <f>-CK460</f>
        <v>11.171428571428571</v>
      </c>
      <c r="CN460" s="87"/>
      <c r="CO460" s="87"/>
      <c r="CP460" s="87"/>
      <c r="CQ460" s="87"/>
      <c r="CR460" s="87"/>
      <c r="CS460" s="87"/>
      <c r="CT460" s="87"/>
      <c r="CU460" s="87"/>
      <c r="CV460" s="87"/>
      <c r="CW460" s="87"/>
      <c r="CX460" s="87"/>
      <c r="CY460" s="87"/>
      <c r="CZ460" s="87"/>
      <c r="DA460" s="87"/>
      <c r="DB460" s="87"/>
      <c r="DC460" s="87"/>
      <c r="DD460" s="87"/>
      <c r="DE460" s="87"/>
      <c r="DF460" s="87"/>
      <c r="DG460" s="87"/>
      <c r="DH460" s="87"/>
      <c r="DI460" s="87"/>
      <c r="DJ460" s="87"/>
      <c r="DK460" s="87"/>
      <c r="DL460" s="87"/>
      <c r="DM460" s="87"/>
      <c r="DN460" s="87"/>
      <c r="DO460" s="87"/>
      <c r="DP460" s="87"/>
      <c r="DQ460" s="87"/>
      <c r="DR460" s="87"/>
      <c r="DS460" s="87"/>
      <c r="DT460" s="87"/>
      <c r="DU460" s="87"/>
      <c r="DV460" s="87"/>
      <c r="DW460" s="87"/>
      <c r="DX460" s="87"/>
      <c r="DY460" s="87"/>
      <c r="DZ460" s="87"/>
      <c r="EA460" s="87"/>
      <c r="EB460" s="87"/>
      <c r="EC460" s="87"/>
      <c r="ED460" s="87"/>
      <c r="EE460" s="87"/>
      <c r="EF460" s="87"/>
      <c r="EG460" s="87"/>
      <c r="EH460" s="87"/>
      <c r="EI460" s="87"/>
    </row>
    <row r="461" spans="1:139" ht="16.5" hidden="1" thickBot="1" x14ac:dyDescent="0.35">
      <c r="A461" s="317" t="s">
        <v>826</v>
      </c>
      <c r="B461" s="316">
        <v>3</v>
      </c>
      <c r="C461" s="318">
        <f>8253*0.03*0.25</f>
        <v>61.897500000000001</v>
      </c>
      <c r="D461" s="310">
        <f>C461/VLOOKUP(B461,'[2]Gas Prod per PADD'!$A$1:$C$6,2,FALSE)</f>
        <v>1.3455978260869566E-2</v>
      </c>
      <c r="E461" s="319">
        <v>45677</v>
      </c>
      <c r="F461" s="320">
        <v>45681</v>
      </c>
      <c r="G461" s="321" t="s">
        <v>827</v>
      </c>
      <c r="H461" s="322" t="s">
        <v>828</v>
      </c>
      <c r="I461" s="84"/>
      <c r="J461" s="85"/>
      <c r="K461" s="85"/>
      <c r="L461" s="85"/>
      <c r="M461" s="85"/>
      <c r="N461" s="85"/>
      <c r="O461" s="85"/>
      <c r="P461" s="85">
        <f t="shared" si="19"/>
        <v>-7.9867741935483876</v>
      </c>
      <c r="Q461" s="85"/>
      <c r="R461" s="85"/>
      <c r="S461" s="85"/>
      <c r="T461" s="85"/>
      <c r="U461" s="85"/>
      <c r="V461" s="84"/>
      <c r="W461" s="84"/>
      <c r="X461" s="84" t="str">
        <f t="shared" si="18"/>
        <v>OK</v>
      </c>
      <c r="Y461" s="87"/>
      <c r="Z461" s="87"/>
      <c r="AA461" s="87"/>
      <c r="AB461" s="87"/>
      <c r="AC461" s="87"/>
      <c r="AD461" s="87"/>
      <c r="AE461" s="87"/>
      <c r="AF461" s="87"/>
      <c r="AG461" s="87"/>
      <c r="AH461" s="87"/>
      <c r="AI461" s="87"/>
      <c r="AJ461" s="87"/>
      <c r="AK461" s="87"/>
      <c r="AL461" s="87"/>
      <c r="AM461" s="87"/>
      <c r="AN461" s="87"/>
      <c r="AO461" s="87"/>
      <c r="AP461" s="87"/>
      <c r="AQ461" s="87"/>
      <c r="AR461" s="87"/>
      <c r="AS461" s="87"/>
      <c r="AT461" s="87"/>
      <c r="AU461" s="87"/>
      <c r="AV461" s="87"/>
      <c r="AW461" s="87"/>
      <c r="AX461" s="87"/>
      <c r="AY461" s="87"/>
      <c r="AZ461" s="87"/>
      <c r="BA461" s="87"/>
      <c r="BB461" s="87"/>
      <c r="BC461" s="87"/>
      <c r="BD461" s="87"/>
      <c r="BE461" s="87"/>
      <c r="BF461" s="87"/>
      <c r="BG461" s="87"/>
      <c r="BH461" s="87"/>
      <c r="BI461" s="87"/>
      <c r="BJ461" s="87"/>
      <c r="BK461" s="87"/>
      <c r="BL461" s="87"/>
      <c r="BM461" s="87"/>
      <c r="BN461" s="87"/>
      <c r="BO461" s="87"/>
      <c r="BP461" s="87"/>
      <c r="BQ461" s="87"/>
      <c r="BR461" s="87"/>
      <c r="BS461" s="87"/>
      <c r="BT461" s="87"/>
      <c r="BU461" s="87"/>
      <c r="BV461" s="87"/>
      <c r="BW461" s="87"/>
      <c r="BX461" s="87"/>
      <c r="BY461" s="87"/>
      <c r="BZ461" s="87"/>
      <c r="CA461" s="87"/>
      <c r="CB461" s="87"/>
      <c r="CC461" s="87"/>
      <c r="CD461" s="87"/>
      <c r="CE461" s="87"/>
      <c r="CF461" s="87"/>
      <c r="CG461" s="87"/>
      <c r="CH461" s="87"/>
      <c r="CI461" s="87"/>
      <c r="CJ461" s="87"/>
      <c r="CK461" s="87">
        <f>-4/7*C461</f>
        <v>-35.369999999999997</v>
      </c>
      <c r="CL461" s="87"/>
      <c r="CM461" s="87">
        <f>-CK461</f>
        <v>35.369999999999997</v>
      </c>
      <c r="CN461" s="87"/>
      <c r="CO461" s="87"/>
      <c r="CP461" s="87"/>
      <c r="CQ461" s="87"/>
      <c r="CR461" s="87"/>
      <c r="CS461" s="87"/>
      <c r="CT461" s="87"/>
      <c r="CU461" s="87"/>
      <c r="CV461" s="87"/>
      <c r="CW461" s="87"/>
      <c r="CX461" s="87"/>
      <c r="CY461" s="87"/>
      <c r="CZ461" s="87"/>
      <c r="DA461" s="87"/>
      <c r="DB461" s="87"/>
      <c r="DC461" s="87"/>
      <c r="DD461" s="87"/>
      <c r="DE461" s="87"/>
      <c r="DF461" s="87"/>
      <c r="DG461" s="87"/>
      <c r="DH461" s="87"/>
      <c r="DI461" s="87"/>
      <c r="DJ461" s="87"/>
      <c r="DK461" s="87"/>
      <c r="DL461" s="87"/>
      <c r="DM461" s="87"/>
      <c r="DN461" s="87"/>
      <c r="DO461" s="87"/>
      <c r="DP461" s="87"/>
      <c r="DQ461" s="87"/>
      <c r="DR461" s="87"/>
      <c r="DS461" s="87"/>
      <c r="DT461" s="87"/>
      <c r="DU461" s="87"/>
      <c r="DV461" s="87"/>
      <c r="DW461" s="87"/>
      <c r="DX461" s="87"/>
      <c r="DY461" s="87"/>
      <c r="DZ461" s="87"/>
      <c r="EA461" s="87"/>
      <c r="EB461" s="87"/>
      <c r="EC461" s="87"/>
      <c r="ED461" s="87"/>
      <c r="EE461" s="87"/>
      <c r="EF461" s="87"/>
      <c r="EG461" s="87"/>
      <c r="EH461" s="87"/>
      <c r="EI461" s="87"/>
    </row>
    <row r="462" spans="1:139" ht="16.5" hidden="1" thickBot="1" x14ac:dyDescent="0.35">
      <c r="A462" s="323" t="s">
        <v>149</v>
      </c>
      <c r="B462" s="316">
        <v>3</v>
      </c>
      <c r="C462" s="318">
        <f>10*0.25</f>
        <v>2.5</v>
      </c>
      <c r="D462" s="310">
        <f>C462/VLOOKUP(B462,'[2]Gas Prod per PADD'!$A$1:$C$6,2,FALSE)</f>
        <v>5.4347826086956522E-4</v>
      </c>
      <c r="E462" s="319">
        <v>45678</v>
      </c>
      <c r="F462" s="320">
        <f>E462+3</f>
        <v>45681</v>
      </c>
      <c r="G462" s="321" t="s">
        <v>829</v>
      </c>
      <c r="H462" s="322"/>
      <c r="I462" s="84"/>
      <c r="J462" s="85"/>
      <c r="K462" s="85"/>
      <c r="L462" s="85"/>
      <c r="M462" s="85"/>
      <c r="N462" s="85"/>
      <c r="O462" s="85"/>
      <c r="P462" s="85">
        <f t="shared" si="19"/>
        <v>-0.24193548387096775</v>
      </c>
      <c r="Q462" s="85"/>
      <c r="R462" s="85"/>
      <c r="S462" s="85"/>
      <c r="T462" s="85"/>
      <c r="U462" s="85"/>
      <c r="V462" s="84"/>
      <c r="W462" s="84"/>
      <c r="X462" s="84" t="str">
        <f t="shared" si="18"/>
        <v>OK</v>
      </c>
      <c r="Y462" s="87"/>
      <c r="Z462" s="87"/>
      <c r="AA462" s="87"/>
      <c r="AB462" s="87"/>
      <c r="AC462" s="87"/>
      <c r="AD462" s="87"/>
      <c r="AE462" s="87"/>
      <c r="AF462" s="87"/>
      <c r="AG462" s="87"/>
      <c r="AH462" s="87"/>
      <c r="AI462" s="87"/>
      <c r="AJ462" s="87"/>
      <c r="AK462" s="87"/>
      <c r="AL462" s="87"/>
      <c r="AM462" s="87"/>
      <c r="AN462" s="87"/>
      <c r="AO462" s="87"/>
      <c r="AP462" s="87"/>
      <c r="AQ462" s="87"/>
      <c r="AR462" s="87"/>
      <c r="AS462" s="87"/>
      <c r="AT462" s="87"/>
      <c r="AU462" s="87"/>
      <c r="AV462" s="87"/>
      <c r="AW462" s="87"/>
      <c r="AX462" s="87"/>
      <c r="AY462" s="87"/>
      <c r="AZ462" s="87"/>
      <c r="BA462" s="87"/>
      <c r="BB462" s="87"/>
      <c r="BC462" s="87"/>
      <c r="BD462" s="87"/>
      <c r="BE462" s="87"/>
      <c r="BF462" s="87"/>
      <c r="BG462" s="87"/>
      <c r="BH462" s="87"/>
      <c r="BI462" s="87"/>
      <c r="BJ462" s="87"/>
      <c r="BK462" s="87"/>
      <c r="BL462" s="87"/>
      <c r="BM462" s="87"/>
      <c r="BN462" s="87"/>
      <c r="BO462" s="87"/>
      <c r="BP462" s="87"/>
      <c r="BQ462" s="87"/>
      <c r="BR462" s="87"/>
      <c r="BS462" s="87"/>
      <c r="BT462" s="87"/>
      <c r="BU462" s="87"/>
      <c r="BV462" s="87"/>
      <c r="BW462" s="87"/>
      <c r="BX462" s="87"/>
      <c r="BY462" s="87"/>
      <c r="BZ462" s="87"/>
      <c r="CA462" s="87"/>
      <c r="CB462" s="87"/>
      <c r="CC462" s="87"/>
      <c r="CD462" s="87"/>
      <c r="CE462" s="87"/>
      <c r="CF462" s="87"/>
      <c r="CG462" s="87"/>
      <c r="CH462" s="87"/>
      <c r="CI462" s="87"/>
      <c r="CJ462" s="87"/>
      <c r="CK462" s="87">
        <f>-4/7*C462</f>
        <v>-1.4285714285714284</v>
      </c>
      <c r="CL462" s="87">
        <f>-CK462</f>
        <v>1.4285714285714284</v>
      </c>
      <c r="CM462" s="87"/>
      <c r="CN462" s="87"/>
      <c r="CO462" s="87"/>
      <c r="CP462" s="87"/>
      <c r="CQ462" s="87"/>
      <c r="CR462" s="87"/>
      <c r="CS462" s="87"/>
      <c r="CT462" s="87"/>
      <c r="CU462" s="87"/>
      <c r="CV462" s="87"/>
      <c r="CW462" s="87"/>
      <c r="CX462" s="87"/>
      <c r="CY462" s="87"/>
      <c r="CZ462" s="87"/>
      <c r="DA462" s="87"/>
      <c r="DB462" s="87"/>
      <c r="DC462" s="87"/>
      <c r="DD462" s="87"/>
      <c r="DE462" s="87"/>
      <c r="DF462" s="87"/>
      <c r="DG462" s="87"/>
      <c r="DH462" s="87"/>
      <c r="DI462" s="87"/>
      <c r="DJ462" s="87"/>
      <c r="DK462" s="87"/>
      <c r="DL462" s="87"/>
      <c r="DM462" s="87"/>
      <c r="DN462" s="87"/>
      <c r="DO462" s="87"/>
      <c r="DP462" s="87"/>
      <c r="DQ462" s="87"/>
      <c r="DR462" s="87"/>
      <c r="DS462" s="87"/>
      <c r="DT462" s="87"/>
      <c r="DU462" s="87"/>
      <c r="DV462" s="87"/>
      <c r="DW462" s="87"/>
      <c r="DX462" s="87"/>
      <c r="DY462" s="87"/>
      <c r="DZ462" s="87"/>
      <c r="EA462" s="87"/>
      <c r="EB462" s="87"/>
      <c r="EC462" s="87"/>
      <c r="ED462" s="87"/>
      <c r="EE462" s="87"/>
      <c r="EF462" s="87"/>
      <c r="EG462" s="87"/>
      <c r="EH462" s="87"/>
      <c r="EI462" s="87"/>
    </row>
    <row r="463" spans="1:139" ht="16.5" hidden="1" thickBot="1" x14ac:dyDescent="0.35">
      <c r="A463" s="323" t="s">
        <v>152</v>
      </c>
      <c r="B463" s="316">
        <v>3</v>
      </c>
      <c r="C463" s="318">
        <f>10*0.25</f>
        <v>2.5</v>
      </c>
      <c r="D463" s="310">
        <f>C463/VLOOKUP(B463,'[2]Gas Prod per PADD'!$A$1:$C$6,2,FALSE)</f>
        <v>5.4347826086956522E-4</v>
      </c>
      <c r="E463" s="319">
        <v>45678</v>
      </c>
      <c r="F463" s="320">
        <f>E463+3</f>
        <v>45681</v>
      </c>
      <c r="G463" s="321" t="s">
        <v>829</v>
      </c>
      <c r="H463" s="322"/>
      <c r="I463" s="84"/>
      <c r="J463" s="85"/>
      <c r="K463" s="85"/>
      <c r="L463" s="85"/>
      <c r="M463" s="85"/>
      <c r="N463" s="85"/>
      <c r="O463" s="85"/>
      <c r="P463" s="85">
        <f t="shared" si="19"/>
        <v>-0.24193548387096775</v>
      </c>
      <c r="Q463" s="85"/>
      <c r="R463" s="85"/>
      <c r="S463" s="85"/>
      <c r="T463" s="85"/>
      <c r="U463" s="85"/>
      <c r="V463" s="84"/>
      <c r="W463" s="84"/>
      <c r="X463" s="84" t="str">
        <f t="shared" si="18"/>
        <v>OK</v>
      </c>
      <c r="Y463" s="324"/>
      <c r="Z463" s="324"/>
      <c r="AA463" s="324"/>
      <c r="AB463" s="324"/>
      <c r="AC463" s="87"/>
      <c r="AD463" s="87"/>
      <c r="AE463" s="87"/>
      <c r="AF463" s="87"/>
      <c r="AG463" s="87"/>
      <c r="AH463" s="87"/>
      <c r="AI463" s="87"/>
      <c r="AJ463" s="87"/>
      <c r="AK463" s="87"/>
      <c r="AL463" s="87"/>
      <c r="AM463" s="87"/>
      <c r="AN463" s="87"/>
      <c r="AO463" s="87"/>
      <c r="AP463" s="87"/>
      <c r="AQ463" s="87"/>
      <c r="AR463" s="87"/>
      <c r="AS463" s="87"/>
      <c r="AT463" s="87"/>
      <c r="AU463" s="87"/>
      <c r="AV463" s="87"/>
      <c r="AW463" s="87"/>
      <c r="AX463" s="87"/>
      <c r="AY463" s="87"/>
      <c r="AZ463" s="87"/>
      <c r="BA463" s="87"/>
      <c r="BB463" s="87"/>
      <c r="BC463" s="87"/>
      <c r="BD463" s="87"/>
      <c r="BE463" s="87"/>
      <c r="BF463" s="87"/>
      <c r="BG463" s="87"/>
      <c r="BH463" s="87"/>
      <c r="BI463" s="87"/>
      <c r="BJ463" s="87"/>
      <c r="BK463" s="87"/>
      <c r="BL463" s="87"/>
      <c r="BM463" s="87"/>
      <c r="BN463" s="87"/>
      <c r="BO463" s="87"/>
      <c r="BP463" s="87"/>
      <c r="BQ463" s="87"/>
      <c r="BR463" s="87"/>
      <c r="BS463" s="87"/>
      <c r="BT463" s="87"/>
      <c r="BU463" s="87"/>
      <c r="BV463" s="87"/>
      <c r="BW463" s="87"/>
      <c r="BX463" s="87"/>
      <c r="BY463" s="87"/>
      <c r="BZ463" s="87"/>
      <c r="CA463" s="87"/>
      <c r="CB463" s="87"/>
      <c r="CC463" s="87"/>
      <c r="CD463" s="87"/>
      <c r="CE463" s="87"/>
      <c r="CF463" s="87"/>
      <c r="CG463" s="87"/>
      <c r="CH463" s="87"/>
      <c r="CI463" s="87"/>
      <c r="CJ463" s="87"/>
      <c r="CK463" s="87">
        <f>-4/7*C463</f>
        <v>-1.4285714285714284</v>
      </c>
      <c r="CL463" s="87">
        <f>-CK463</f>
        <v>1.4285714285714284</v>
      </c>
      <c r="CM463" s="87"/>
      <c r="CN463" s="87"/>
      <c r="CO463" s="87"/>
      <c r="CP463" s="87"/>
      <c r="CQ463" s="87"/>
      <c r="CR463" s="87"/>
      <c r="CS463" s="87"/>
      <c r="CT463" s="87"/>
      <c r="CU463" s="87"/>
      <c r="CV463" s="87"/>
      <c r="CW463" s="87"/>
      <c r="CX463" s="87"/>
      <c r="CY463" s="87"/>
      <c r="CZ463" s="87"/>
      <c r="DA463" s="87"/>
      <c r="DB463" s="87"/>
      <c r="DC463" s="87"/>
      <c r="DD463" s="87"/>
      <c r="DE463" s="87"/>
      <c r="DF463" s="87"/>
      <c r="DG463" s="87"/>
      <c r="DH463" s="87"/>
      <c r="DI463" s="87"/>
      <c r="DJ463" s="87"/>
      <c r="DK463" s="87"/>
      <c r="DL463" s="87"/>
      <c r="DM463" s="87"/>
      <c r="DN463" s="87"/>
      <c r="DO463" s="87"/>
      <c r="DP463" s="87"/>
      <c r="DQ463" s="87"/>
      <c r="DR463" s="87"/>
      <c r="DS463" s="87"/>
      <c r="DT463" s="87"/>
      <c r="DU463" s="87"/>
      <c r="DV463" s="87"/>
      <c r="DW463" s="87"/>
      <c r="DX463" s="87"/>
      <c r="DY463" s="87"/>
      <c r="DZ463" s="87"/>
      <c r="EA463" s="87"/>
      <c r="EB463" s="87"/>
      <c r="EC463" s="87"/>
      <c r="ED463" s="87"/>
      <c r="EE463" s="87"/>
      <c r="EF463" s="87"/>
      <c r="EG463" s="87"/>
      <c r="EH463" s="87"/>
      <c r="EI463" s="87"/>
    </row>
    <row r="464" spans="1:139" ht="29.25" hidden="1" thickBot="1" x14ac:dyDescent="0.35">
      <c r="A464" s="315" t="s">
        <v>266</v>
      </c>
      <c r="B464" s="325">
        <v>3</v>
      </c>
      <c r="C464" s="309">
        <f>220*0.25*0.3</f>
        <v>16.5</v>
      </c>
      <c r="D464" s="310">
        <f>C464/VLOOKUP(B464,'[2]Gas Prod per PADD'!$A$1:$C$6,2,FALSE)</f>
        <v>3.5869565217391303E-3</v>
      </c>
      <c r="E464" s="311">
        <v>45678</v>
      </c>
      <c r="F464" s="312">
        <v>45681</v>
      </c>
      <c r="G464" s="313" t="s">
        <v>830</v>
      </c>
      <c r="H464" s="314"/>
      <c r="I464" s="84"/>
      <c r="J464" s="85"/>
      <c r="K464" s="85"/>
      <c r="L464" s="85"/>
      <c r="M464" s="85"/>
      <c r="N464" s="85"/>
      <c r="O464" s="85"/>
      <c r="P464" s="85">
        <f t="shared" si="19"/>
        <v>-1.596774193548387</v>
      </c>
      <c r="Q464" s="85"/>
      <c r="R464" s="85"/>
      <c r="S464" s="85"/>
      <c r="T464" s="85"/>
      <c r="U464" s="85"/>
      <c r="V464" s="84"/>
      <c r="W464" s="84"/>
      <c r="X464" s="84" t="str">
        <f t="shared" si="18"/>
        <v>OK</v>
      </c>
      <c r="Y464" s="105"/>
      <c r="Z464" s="105"/>
      <c r="AA464" s="87"/>
      <c r="AB464" s="87"/>
      <c r="AC464" s="87"/>
      <c r="AD464" s="87"/>
      <c r="AE464" s="105"/>
      <c r="AF464" s="105"/>
      <c r="AG464" s="105"/>
      <c r="AH464" s="105"/>
      <c r="AI464" s="87"/>
      <c r="AJ464" s="87"/>
      <c r="AK464" s="105"/>
      <c r="AL464" s="87"/>
      <c r="AM464" s="105"/>
      <c r="AN464" s="105"/>
      <c r="AO464" s="87"/>
      <c r="AP464" s="87"/>
      <c r="AQ464" s="105"/>
      <c r="AR464" s="105"/>
      <c r="AS464" s="87"/>
      <c r="AT464" s="105"/>
      <c r="AU464" s="87"/>
      <c r="AV464" s="87"/>
      <c r="AW464" s="105"/>
      <c r="AX464" s="105"/>
      <c r="AY464" s="87"/>
      <c r="AZ464" s="87"/>
      <c r="BA464" s="105"/>
      <c r="BB464" s="105"/>
      <c r="BC464" s="87"/>
      <c r="BD464" s="87"/>
      <c r="BE464" s="87"/>
      <c r="BF464" s="87"/>
      <c r="BG464" s="87"/>
      <c r="BH464" s="87"/>
      <c r="BI464" s="87"/>
      <c r="BJ464" s="87"/>
      <c r="BK464" s="87"/>
      <c r="BL464" s="87"/>
      <c r="BM464" s="87"/>
      <c r="BN464" s="87"/>
      <c r="BO464" s="87"/>
      <c r="BP464" s="87"/>
      <c r="BQ464" s="87"/>
      <c r="BR464" s="87"/>
      <c r="BS464" s="87"/>
      <c r="BT464" s="87"/>
      <c r="BU464" s="87"/>
      <c r="BV464" s="87"/>
      <c r="BW464" s="87"/>
      <c r="BX464" s="87"/>
      <c r="BY464" s="87"/>
      <c r="BZ464" s="87"/>
      <c r="CA464" s="87"/>
      <c r="CB464" s="87"/>
      <c r="CC464" s="87"/>
      <c r="CD464" s="87"/>
      <c r="CE464" s="87"/>
      <c r="CF464" s="87"/>
      <c r="CG464" s="87"/>
      <c r="CH464" s="87"/>
      <c r="CI464" s="87"/>
      <c r="CJ464" s="87"/>
      <c r="CK464" s="87">
        <f>-3/7*C464</f>
        <v>-7.0714285714285712</v>
      </c>
      <c r="CL464" s="87">
        <f>-CK464</f>
        <v>7.0714285714285712</v>
      </c>
      <c r="CM464" s="87"/>
      <c r="CN464" s="87"/>
      <c r="CO464" s="87"/>
      <c r="CP464" s="87"/>
      <c r="CQ464" s="87"/>
      <c r="CR464" s="87"/>
      <c r="CS464" s="87"/>
      <c r="CT464" s="87"/>
      <c r="CU464" s="87"/>
      <c r="CV464" s="87"/>
      <c r="CW464" s="87"/>
      <c r="CX464" s="87"/>
      <c r="CY464" s="87"/>
      <c r="CZ464" s="87"/>
      <c r="DA464" s="87"/>
      <c r="DB464" s="87"/>
      <c r="DC464" s="87"/>
      <c r="DD464" s="87"/>
      <c r="DE464" s="87"/>
      <c r="DF464" s="87"/>
      <c r="DG464" s="87"/>
      <c r="DH464" s="87"/>
      <c r="DI464" s="87"/>
      <c r="DJ464" s="87"/>
      <c r="DK464" s="87"/>
      <c r="DL464" s="87"/>
      <c r="DM464" s="87"/>
      <c r="DN464" s="87"/>
      <c r="DO464" s="87"/>
      <c r="DP464" s="87"/>
      <c r="DQ464" s="87"/>
      <c r="DR464" s="87"/>
      <c r="DS464" s="87"/>
      <c r="DT464" s="87"/>
      <c r="DU464" s="87"/>
      <c r="DV464" s="87"/>
      <c r="DW464" s="87"/>
      <c r="DX464" s="87"/>
      <c r="DY464" s="87"/>
      <c r="DZ464" s="87"/>
      <c r="EA464" s="87"/>
      <c r="EB464" s="87"/>
      <c r="EC464" s="87"/>
      <c r="ED464" s="87"/>
      <c r="EE464" s="87"/>
      <c r="EF464" s="87"/>
      <c r="EG464" s="87"/>
      <c r="EH464" s="87"/>
      <c r="EI464" s="87"/>
    </row>
    <row r="465" spans="1:139" ht="43.5" hidden="1" thickBot="1" x14ac:dyDescent="0.35">
      <c r="A465" s="175" t="s">
        <v>352</v>
      </c>
      <c r="B465" s="191">
        <v>5</v>
      </c>
      <c r="C465" s="177">
        <f>103*0.1+(0.85*28)+(32*0.05)+(42*0.1)</f>
        <v>39.900000000000006</v>
      </c>
      <c r="D465" s="217">
        <f>C465/VLOOKUP(B465,'[2]Gas Prod per PADD'!$A$1:$C$6,2,FALSE)</f>
        <v>2.9555555555555561E-2</v>
      </c>
      <c r="E465" s="220">
        <v>45670</v>
      </c>
      <c r="F465" s="252">
        <v>45682</v>
      </c>
      <c r="G465" s="180" t="s">
        <v>831</v>
      </c>
      <c r="H465" s="198" t="s">
        <v>832</v>
      </c>
      <c r="I465" s="84"/>
      <c r="J465" s="85"/>
      <c r="K465" s="85"/>
      <c r="L465" s="85"/>
      <c r="M465" s="85"/>
      <c r="N465" s="85"/>
      <c r="O465" s="85"/>
      <c r="P465" s="85">
        <f t="shared" si="19"/>
        <v>-15.445161290322583</v>
      </c>
      <c r="Q465" s="85"/>
      <c r="R465" s="85"/>
      <c r="S465" s="85"/>
      <c r="T465" s="85"/>
      <c r="U465" s="85"/>
      <c r="V465" s="84"/>
      <c r="W465" s="84"/>
      <c r="X465" s="84" t="str">
        <f t="shared" si="18"/>
        <v>OK</v>
      </c>
      <c r="Y465" s="86"/>
      <c r="Z465" s="87"/>
      <c r="AA465" s="87"/>
      <c r="AB465" s="87"/>
      <c r="AC465" s="87"/>
      <c r="AD465" s="87"/>
      <c r="AE465" s="87"/>
      <c r="AF465" s="87"/>
      <c r="AG465" s="87"/>
      <c r="AH465" s="87"/>
      <c r="AI465" s="87"/>
      <c r="AJ465" s="87"/>
      <c r="AK465" s="87"/>
      <c r="AL465" s="87"/>
      <c r="AM465" s="87"/>
      <c r="AN465" s="87"/>
      <c r="AO465" s="87"/>
      <c r="AP465" s="87"/>
      <c r="AQ465" s="87"/>
      <c r="AR465" s="87"/>
      <c r="AS465" s="87"/>
      <c r="AT465" s="87"/>
      <c r="AU465" s="87"/>
      <c r="AV465" s="87"/>
      <c r="AW465" s="87"/>
      <c r="AX465" s="87"/>
      <c r="AY465" s="87"/>
      <c r="AZ465" s="87"/>
      <c r="BA465" s="87"/>
      <c r="BB465" s="87"/>
      <c r="BC465" s="87"/>
      <c r="BD465" s="87"/>
      <c r="BE465" s="87"/>
      <c r="BF465" s="87"/>
      <c r="BG465" s="87"/>
      <c r="BH465" s="87"/>
      <c r="BI465" s="87"/>
      <c r="BJ465" s="105"/>
      <c r="BK465" s="87"/>
      <c r="BL465" s="105"/>
      <c r="BM465" s="87"/>
      <c r="BN465" s="87"/>
      <c r="BO465" s="87"/>
      <c r="BP465" s="87"/>
      <c r="BQ465" s="87"/>
      <c r="BR465" s="87"/>
      <c r="BS465" s="87"/>
      <c r="BT465" s="87"/>
      <c r="BU465" s="87"/>
      <c r="BV465" s="87"/>
      <c r="BW465" s="87"/>
      <c r="BX465" s="105"/>
      <c r="BY465" s="105"/>
      <c r="BZ465" s="87"/>
      <c r="CA465" s="87"/>
      <c r="CB465" s="105"/>
      <c r="CC465" s="87"/>
      <c r="CD465" s="87"/>
      <c r="CE465" s="87"/>
      <c r="CF465" s="87"/>
      <c r="CG465" s="87"/>
      <c r="CH465" s="87"/>
      <c r="CI465" s="87"/>
      <c r="CJ465" s="87">
        <f>-3/7*C465</f>
        <v>-17.100000000000001</v>
      </c>
      <c r="CK465" s="87">
        <f>-4/7*C465</f>
        <v>-22.8</v>
      </c>
      <c r="CL465" s="87">
        <f>-CJ465</f>
        <v>17.100000000000001</v>
      </c>
      <c r="CM465" s="87">
        <f>-CK465</f>
        <v>22.8</v>
      </c>
      <c r="CN465" s="87"/>
      <c r="CO465" s="87"/>
      <c r="CP465" s="87"/>
      <c r="CQ465" s="87"/>
      <c r="CR465" s="87"/>
      <c r="CS465" s="87"/>
      <c r="CT465" s="87"/>
      <c r="CU465" s="87"/>
      <c r="CV465" s="87"/>
      <c r="CW465" s="87"/>
      <c r="CX465" s="87"/>
      <c r="CY465" s="87"/>
      <c r="CZ465" s="87"/>
      <c r="DA465" s="87"/>
      <c r="DB465" s="87"/>
      <c r="DC465" s="87"/>
      <c r="DD465" s="87"/>
      <c r="DE465" s="87"/>
      <c r="DF465" s="87"/>
      <c r="DG465" s="87"/>
      <c r="DH465" s="87"/>
      <c r="DI465" s="87"/>
      <c r="DJ465" s="87"/>
      <c r="DK465" s="87"/>
      <c r="DL465" s="87"/>
      <c r="DM465" s="87"/>
      <c r="DN465" s="87"/>
      <c r="DO465" s="87"/>
      <c r="DP465" s="87"/>
      <c r="DQ465" s="87"/>
      <c r="DR465" s="87"/>
      <c r="DS465" s="87"/>
      <c r="DT465" s="87"/>
      <c r="DU465" s="87"/>
      <c r="DV465" s="87"/>
      <c r="DW465" s="87"/>
      <c r="DX465" s="87"/>
      <c r="DY465" s="87"/>
      <c r="DZ465" s="87"/>
      <c r="EA465" s="87"/>
      <c r="EB465" s="87"/>
      <c r="EC465" s="87"/>
      <c r="ED465" s="87"/>
      <c r="EE465" s="87"/>
      <c r="EF465" s="87"/>
      <c r="EG465" s="75">
        <v>46017</v>
      </c>
      <c r="EH465" s="75">
        <v>46024</v>
      </c>
      <c r="EI465" s="75">
        <v>46031</v>
      </c>
    </row>
    <row r="466" spans="1:139" ht="43.5" hidden="1" thickBot="1" x14ac:dyDescent="0.35">
      <c r="A466" s="315" t="s">
        <v>294</v>
      </c>
      <c r="B466" s="308">
        <v>3</v>
      </c>
      <c r="C466" s="309">
        <f>155*0.25+(10*0.65)+(10*0.85)</f>
        <v>53.75</v>
      </c>
      <c r="D466" s="217">
        <f>C466/VLOOKUP(B466,'[2]Gas Prod per PADD'!$A$1:$C$6,2,FALSE)</f>
        <v>1.1684782608695652E-2</v>
      </c>
      <c r="E466" s="311">
        <v>45677</v>
      </c>
      <c r="F466" s="252">
        <v>45682</v>
      </c>
      <c r="G466" s="313" t="s">
        <v>833</v>
      </c>
      <c r="H466" s="314" t="s">
        <v>828</v>
      </c>
      <c r="I466" s="84"/>
      <c r="J466" s="85"/>
      <c r="K466" s="85"/>
      <c r="L466" s="85"/>
      <c r="M466" s="85"/>
      <c r="N466" s="85"/>
      <c r="O466" s="85"/>
      <c r="P466" s="85">
        <f t="shared" si="19"/>
        <v>-8.6693548387096779</v>
      </c>
      <c r="Q466" s="85"/>
      <c r="R466" s="85"/>
      <c r="S466" s="85"/>
      <c r="T466" s="85"/>
      <c r="U466" s="85"/>
      <c r="V466" s="84"/>
      <c r="W466" s="84"/>
      <c r="X466" s="84" t="str">
        <f t="shared" si="18"/>
        <v>OK</v>
      </c>
      <c r="Y466" s="87"/>
      <c r="Z466" s="87"/>
      <c r="AA466" s="87"/>
      <c r="AB466" s="87"/>
      <c r="AC466" s="87"/>
      <c r="AD466" s="87"/>
      <c r="AE466" s="87"/>
      <c r="AF466" s="87"/>
      <c r="AG466" s="87"/>
      <c r="AH466" s="87"/>
      <c r="AI466" s="87"/>
      <c r="AJ466" s="87"/>
      <c r="AK466" s="87"/>
      <c r="AL466" s="87"/>
      <c r="AM466" s="87"/>
      <c r="AN466" s="87"/>
      <c r="AO466" s="87"/>
      <c r="AP466" s="87"/>
      <c r="AQ466" s="87"/>
      <c r="AR466" s="87"/>
      <c r="AS466" s="87"/>
      <c r="AT466" s="87"/>
      <c r="AU466" s="87"/>
      <c r="AV466" s="87"/>
      <c r="AW466" s="87"/>
      <c r="AX466" s="87"/>
      <c r="AY466" s="87"/>
      <c r="AZ466" s="87"/>
      <c r="BA466" s="87"/>
      <c r="BB466" s="87"/>
      <c r="BC466" s="87"/>
      <c r="BD466" s="87"/>
      <c r="BE466" s="87"/>
      <c r="BF466" s="87"/>
      <c r="BG466" s="87"/>
      <c r="BH466" s="87"/>
      <c r="BI466" s="87"/>
      <c r="BJ466" s="87"/>
      <c r="BK466" s="87"/>
      <c r="BL466" s="87"/>
      <c r="BM466" s="87"/>
      <c r="BN466" s="87"/>
      <c r="BO466" s="87"/>
      <c r="BP466" s="87"/>
      <c r="BQ466" s="87"/>
      <c r="BR466" s="87"/>
      <c r="BS466" s="87"/>
      <c r="BT466" s="87"/>
      <c r="BU466" s="87"/>
      <c r="BV466" s="87"/>
      <c r="BW466" s="87"/>
      <c r="BX466" s="87"/>
      <c r="BY466" s="87"/>
      <c r="BZ466" s="87"/>
      <c r="CA466" s="87"/>
      <c r="CB466" s="87"/>
      <c r="CC466" s="87"/>
      <c r="CD466" s="87"/>
      <c r="CE466" s="87"/>
      <c r="CF466" s="87"/>
      <c r="CG466" s="87"/>
      <c r="CH466" s="87"/>
      <c r="CI466" s="87"/>
      <c r="CJ466" s="87"/>
      <c r="CK466" s="87">
        <f>-4/7*C466</f>
        <v>-30.714285714285712</v>
      </c>
      <c r="CL466" s="87">
        <f>-CK466</f>
        <v>30.714285714285712</v>
      </c>
      <c r="CM466" s="87"/>
      <c r="CN466" s="87"/>
      <c r="CO466" s="87"/>
      <c r="CP466" s="87"/>
      <c r="CQ466" s="87"/>
      <c r="CR466" s="87"/>
      <c r="CS466" s="87"/>
      <c r="CT466" s="87"/>
      <c r="CU466" s="87"/>
      <c r="CV466" s="87"/>
      <c r="CW466" s="87"/>
      <c r="CX466" s="87"/>
      <c r="CY466" s="87"/>
      <c r="CZ466" s="87"/>
      <c r="DA466" s="87"/>
      <c r="DB466" s="87"/>
      <c r="DC466" s="87"/>
      <c r="DD466" s="87"/>
      <c r="DE466" s="87"/>
      <c r="DF466" s="87"/>
      <c r="DG466" s="87"/>
      <c r="DH466" s="87"/>
      <c r="DI466" s="87"/>
      <c r="DJ466" s="87"/>
      <c r="DK466" s="87"/>
      <c r="DL466" s="87"/>
      <c r="DM466" s="87"/>
      <c r="DN466" s="87"/>
      <c r="DO466" s="87"/>
      <c r="DP466" s="87"/>
      <c r="DQ466" s="87"/>
      <c r="DR466" s="87"/>
      <c r="DS466" s="87"/>
      <c r="DT466" s="87"/>
      <c r="DU466" s="87"/>
      <c r="DV466" s="87"/>
      <c r="DW466" s="87"/>
      <c r="DX466" s="87"/>
      <c r="DY466" s="87"/>
      <c r="DZ466" s="87"/>
      <c r="EA466" s="87"/>
      <c r="EB466" s="87"/>
      <c r="EC466" s="87"/>
      <c r="ED466" s="87"/>
      <c r="EE466" s="87"/>
      <c r="EF466" s="87"/>
      <c r="EG466" s="87"/>
      <c r="EH466" s="87"/>
      <c r="EI466" s="87"/>
    </row>
    <row r="467" spans="1:139" ht="16.5" hidden="1" thickBot="1" x14ac:dyDescent="0.35">
      <c r="A467" s="113" t="s">
        <v>834</v>
      </c>
      <c r="B467" s="194">
        <v>2</v>
      </c>
      <c r="C467" s="195">
        <f>75.5*0.25</f>
        <v>18.875</v>
      </c>
      <c r="D467" s="217">
        <f>C467/VLOOKUP(B467,'[2]Gas Prod per PADD'!$A$1:$C$6,2,FALSE)</f>
        <v>7.8645833333333328E-3</v>
      </c>
      <c r="E467" s="290">
        <v>45671</v>
      </c>
      <c r="F467" s="281">
        <f>E467+12</f>
        <v>45683</v>
      </c>
      <c r="G467" s="194" t="s">
        <v>835</v>
      </c>
      <c r="H467" s="198" t="s">
        <v>364</v>
      </c>
      <c r="I467" s="84"/>
      <c r="J467" s="85"/>
      <c r="K467" s="85"/>
      <c r="L467" s="85"/>
      <c r="M467" s="85"/>
      <c r="N467" s="85"/>
      <c r="O467" s="85"/>
      <c r="P467" s="85">
        <f t="shared" si="19"/>
        <v>-7.306451612903226</v>
      </c>
      <c r="Q467" s="85"/>
      <c r="R467" s="85"/>
      <c r="S467" s="85"/>
      <c r="T467" s="85"/>
      <c r="U467" s="85"/>
      <c r="V467" s="84"/>
      <c r="W467" s="84"/>
      <c r="X467" s="84" t="str">
        <f t="shared" si="18"/>
        <v>OK</v>
      </c>
      <c r="Y467" s="87"/>
      <c r="Z467" s="87"/>
      <c r="AA467" s="87"/>
      <c r="AB467" s="87"/>
      <c r="AC467" s="87"/>
      <c r="AD467" s="87"/>
      <c r="AE467" s="87"/>
      <c r="AF467" s="87"/>
      <c r="AG467" s="87"/>
      <c r="AH467" s="87"/>
      <c r="AI467" s="87"/>
      <c r="AJ467" s="105"/>
      <c r="AK467" s="105"/>
      <c r="AL467" s="105"/>
      <c r="AM467" s="87"/>
      <c r="AN467" s="87"/>
      <c r="AO467" s="87"/>
      <c r="AP467" s="87"/>
      <c r="AQ467" s="87"/>
      <c r="AR467" s="87"/>
      <c r="AS467" s="87"/>
      <c r="AT467" s="87"/>
      <c r="AU467" s="87"/>
      <c r="AV467" s="87"/>
      <c r="AW467" s="87"/>
      <c r="AX467" s="87"/>
      <c r="AY467" s="87"/>
      <c r="AZ467" s="87"/>
      <c r="BA467" s="87"/>
      <c r="BB467" s="87"/>
      <c r="BC467" s="87"/>
      <c r="BD467" s="87"/>
      <c r="BE467" s="87"/>
      <c r="BF467" s="87"/>
      <c r="BG467" s="87"/>
      <c r="BH467" s="87"/>
      <c r="BI467" s="87"/>
      <c r="BJ467" s="87"/>
      <c r="BK467" s="87"/>
      <c r="BL467" s="87"/>
      <c r="BM467" s="87"/>
      <c r="BN467" s="87"/>
      <c r="BO467" s="87"/>
      <c r="BP467" s="87"/>
      <c r="BQ467" s="87"/>
      <c r="BR467" s="87"/>
      <c r="BS467" s="87"/>
      <c r="BT467" s="87"/>
      <c r="BU467" s="87"/>
      <c r="BV467" s="87"/>
      <c r="BW467" s="87"/>
      <c r="BX467" s="87"/>
      <c r="BY467" s="87"/>
      <c r="BZ467" s="87"/>
      <c r="CA467" s="87"/>
      <c r="CB467" s="87"/>
      <c r="CC467" s="87"/>
      <c r="CD467" s="87"/>
      <c r="CE467" s="87"/>
      <c r="CF467" s="87"/>
      <c r="CG467" s="87"/>
      <c r="CH467" s="87"/>
      <c r="CI467" s="87"/>
      <c r="CJ467" s="87">
        <f>(3/7)*-C467</f>
        <v>-8.0892857142857135</v>
      </c>
      <c r="CK467" s="87">
        <f>-4/7*C467</f>
        <v>-10.785714285714285</v>
      </c>
      <c r="CL467" s="105">
        <f>C467</f>
        <v>18.875</v>
      </c>
      <c r="CM467" s="87"/>
      <c r="CN467" s="87"/>
      <c r="CO467" s="87"/>
      <c r="CP467" s="87"/>
      <c r="CQ467" s="87"/>
      <c r="CR467" s="87"/>
      <c r="CS467" s="87"/>
      <c r="CT467" s="87"/>
      <c r="CU467" s="87"/>
      <c r="CV467" s="87"/>
      <c r="CW467" s="87"/>
      <c r="CX467" s="87"/>
      <c r="CY467" s="87"/>
      <c r="CZ467" s="87"/>
      <c r="DA467" s="87"/>
      <c r="DB467" s="87"/>
      <c r="DC467" s="87"/>
      <c r="DD467" s="87"/>
      <c r="DE467" s="87"/>
      <c r="DF467" s="87"/>
      <c r="DG467" s="87"/>
      <c r="DH467" s="87"/>
      <c r="DI467" s="87"/>
      <c r="DJ467" s="87"/>
      <c r="DK467" s="87"/>
      <c r="DL467" s="87"/>
      <c r="DM467" s="87"/>
      <c r="DN467" s="87"/>
      <c r="DO467" s="87"/>
      <c r="DP467" s="87"/>
      <c r="DQ467" s="87"/>
      <c r="DR467" s="87"/>
      <c r="DS467" s="87"/>
      <c r="DT467" s="87"/>
      <c r="DU467" s="87"/>
      <c r="DV467" s="87"/>
      <c r="DW467" s="87"/>
      <c r="DX467" s="87"/>
      <c r="DY467" s="87"/>
      <c r="DZ467" s="87"/>
      <c r="EA467" s="87"/>
      <c r="EB467" s="87"/>
      <c r="EC467" s="87"/>
      <c r="ED467" s="87"/>
      <c r="EE467" s="87"/>
      <c r="EF467" s="87"/>
      <c r="EG467" s="87"/>
      <c r="EH467" s="87"/>
      <c r="EI467" s="87"/>
    </row>
    <row r="468" spans="1:139" ht="16.5" hidden="1" thickBot="1" x14ac:dyDescent="0.35">
      <c r="A468" s="218" t="s">
        <v>780</v>
      </c>
      <c r="B468" s="194">
        <v>2</v>
      </c>
      <c r="C468" s="195">
        <f>0.3*8.5</f>
        <v>2.5499999999999998</v>
      </c>
      <c r="D468" s="217">
        <f>C468/VLOOKUP(B468,'[2]Gas Prod per PADD'!$A$1:$C$6,2,FALSE)</f>
        <v>1.0624999999999999E-3</v>
      </c>
      <c r="E468" s="196">
        <v>45673</v>
      </c>
      <c r="F468" s="281">
        <f>E468+10</f>
        <v>45683</v>
      </c>
      <c r="G468" s="194" t="s">
        <v>781</v>
      </c>
      <c r="H468" s="326" t="s">
        <v>364</v>
      </c>
      <c r="I468" s="84"/>
      <c r="J468" s="85"/>
      <c r="K468" s="85"/>
      <c r="L468" s="85"/>
      <c r="M468" s="85"/>
      <c r="N468" s="85"/>
      <c r="O468" s="85"/>
      <c r="P468" s="85">
        <f t="shared" si="19"/>
        <v>-0.82258064516129037</v>
      </c>
      <c r="Q468" s="85"/>
      <c r="R468" s="85"/>
      <c r="S468" s="85"/>
      <c r="T468" s="85"/>
      <c r="U468" s="85"/>
      <c r="V468" s="84"/>
      <c r="W468" s="84"/>
      <c r="X468" s="84" t="str">
        <f t="shared" si="18"/>
        <v>OK</v>
      </c>
      <c r="Y468" s="87"/>
      <c r="Z468" s="87"/>
      <c r="AA468" s="87"/>
      <c r="AB468" s="87"/>
      <c r="AC468" s="87"/>
      <c r="AD468" s="87"/>
      <c r="AE468" s="87"/>
      <c r="AF468" s="87"/>
      <c r="AG468" s="87"/>
      <c r="AH468" s="87"/>
      <c r="AI468" s="87"/>
      <c r="AJ468" s="87"/>
      <c r="AK468" s="87"/>
      <c r="AL468" s="87"/>
      <c r="AM468" s="87"/>
      <c r="AN468" s="87"/>
      <c r="AO468" s="87"/>
      <c r="AP468" s="87"/>
      <c r="AQ468" s="87"/>
      <c r="AR468" s="87"/>
      <c r="AS468" s="87"/>
      <c r="AT468" s="87"/>
      <c r="AU468" s="87"/>
      <c r="AV468" s="87"/>
      <c r="AW468" s="87"/>
      <c r="AX468" s="87"/>
      <c r="AY468" s="87"/>
      <c r="AZ468" s="87"/>
      <c r="BA468" s="87"/>
      <c r="BB468" s="87"/>
      <c r="BC468" s="87"/>
      <c r="BD468" s="87"/>
      <c r="BE468" s="87"/>
      <c r="BF468" s="87"/>
      <c r="BG468" s="87"/>
      <c r="BH468" s="87"/>
      <c r="BI468" s="87"/>
      <c r="BJ468" s="87"/>
      <c r="BK468" s="87"/>
      <c r="BL468" s="87"/>
      <c r="BM468" s="87"/>
      <c r="BN468" s="87"/>
      <c r="BO468" s="87"/>
      <c r="BP468" s="87"/>
      <c r="BQ468" s="87"/>
      <c r="BR468" s="87"/>
      <c r="BS468" s="87"/>
      <c r="BT468" s="87"/>
      <c r="BU468" s="87"/>
      <c r="BV468" s="87"/>
      <c r="BW468" s="87"/>
      <c r="BX468" s="87"/>
      <c r="BY468" s="87"/>
      <c r="BZ468" s="87"/>
      <c r="CA468" s="87"/>
      <c r="CB468" s="87"/>
      <c r="CC468" s="87"/>
      <c r="CD468" s="87"/>
      <c r="CE468" s="87"/>
      <c r="CF468" s="87"/>
      <c r="CG468" s="87"/>
      <c r="CH468" s="105"/>
      <c r="CI468" s="87"/>
      <c r="CJ468" s="87">
        <f>-(1/7)*C468</f>
        <v>-0.36428571428571421</v>
      </c>
      <c r="CK468" s="87">
        <f>-(6/7)*C468</f>
        <v>-2.1857142857142855</v>
      </c>
      <c r="CL468" s="105">
        <f>C468</f>
        <v>2.5499999999999998</v>
      </c>
      <c r="CM468" s="87"/>
      <c r="CN468" s="87"/>
      <c r="CO468" s="87"/>
      <c r="CP468" s="87"/>
      <c r="CQ468" s="87"/>
      <c r="CR468" s="87"/>
      <c r="CS468" s="87"/>
      <c r="CT468" s="87"/>
      <c r="CU468" s="87"/>
      <c r="CV468" s="87"/>
      <c r="CW468" s="87"/>
      <c r="CX468" s="87"/>
      <c r="CY468" s="87"/>
      <c r="CZ468" s="87"/>
      <c r="DA468" s="87"/>
      <c r="DB468" s="87"/>
      <c r="DC468" s="87"/>
      <c r="DD468" s="87"/>
      <c r="DE468" s="87"/>
      <c r="DF468" s="87"/>
      <c r="DG468" s="87"/>
      <c r="DH468" s="87"/>
      <c r="DI468" s="87"/>
      <c r="DJ468" s="87"/>
      <c r="DK468" s="87"/>
      <c r="DL468" s="87"/>
      <c r="DM468" s="87"/>
      <c r="DN468" s="87"/>
      <c r="DO468" s="87"/>
      <c r="DP468" s="87"/>
      <c r="DQ468" s="87"/>
      <c r="DR468" s="87"/>
      <c r="DS468" s="87"/>
      <c r="DT468" s="87"/>
      <c r="DU468" s="87"/>
      <c r="DV468" s="87"/>
      <c r="DW468" s="87"/>
      <c r="DX468" s="87"/>
      <c r="DY468" s="87"/>
      <c r="DZ468" s="87"/>
      <c r="EA468" s="87"/>
      <c r="EB468" s="87"/>
      <c r="EC468" s="87"/>
      <c r="ED468" s="87"/>
      <c r="EE468" s="87"/>
      <c r="EF468" s="87"/>
      <c r="EG468" s="87"/>
      <c r="EH468" s="87"/>
      <c r="EI468" s="87"/>
    </row>
    <row r="469" spans="1:139" ht="16.5" hidden="1" thickBot="1" x14ac:dyDescent="0.35">
      <c r="A469" s="315" t="s">
        <v>304</v>
      </c>
      <c r="B469" s="316">
        <v>3</v>
      </c>
      <c r="C469" s="309">
        <f>0.65*46.2</f>
        <v>30.03</v>
      </c>
      <c r="D469" s="310">
        <f>C469/VLOOKUP(B469,'[2]Gas Prod per PADD'!$A$1:$C$6,2,FALSE)</f>
        <v>6.5282608695652177E-3</v>
      </c>
      <c r="E469" s="319">
        <v>45677</v>
      </c>
      <c r="F469" s="320">
        <v>45684</v>
      </c>
      <c r="G469" s="313" t="s">
        <v>674</v>
      </c>
      <c r="H469" s="314" t="s">
        <v>836</v>
      </c>
      <c r="I469" s="84"/>
      <c r="J469" s="85"/>
      <c r="K469" s="85"/>
      <c r="L469" s="85"/>
      <c r="M469" s="85"/>
      <c r="N469" s="85"/>
      <c r="O469" s="85"/>
      <c r="P469" s="85">
        <f t="shared" si="19"/>
        <v>-6.7809677419354841</v>
      </c>
      <c r="Q469" s="85"/>
      <c r="R469" s="85"/>
      <c r="S469" s="85"/>
      <c r="T469" s="85"/>
      <c r="U469" s="85"/>
      <c r="V469" s="84"/>
      <c r="W469" s="84"/>
      <c r="X469" s="84" t="str">
        <f t="shared" si="18"/>
        <v>OK</v>
      </c>
      <c r="Y469" s="87"/>
      <c r="Z469" s="87"/>
      <c r="AA469" s="87"/>
      <c r="AB469" s="87"/>
      <c r="AC469" s="87"/>
      <c r="AD469" s="87"/>
      <c r="AE469" s="87"/>
      <c r="AF469" s="87"/>
      <c r="AG469" s="87"/>
      <c r="AH469" s="87"/>
      <c r="AI469" s="87"/>
      <c r="AJ469" s="87"/>
      <c r="AK469" s="87"/>
      <c r="AL469" s="87"/>
      <c r="AM469" s="87"/>
      <c r="AN469" s="87"/>
      <c r="AO469" s="87"/>
      <c r="AP469" s="87"/>
      <c r="AQ469" s="87"/>
      <c r="AR469" s="87"/>
      <c r="AS469" s="87"/>
      <c r="AT469" s="87"/>
      <c r="AU469" s="87"/>
      <c r="AV469" s="87"/>
      <c r="AW469" s="87"/>
      <c r="AX469" s="87"/>
      <c r="AY469" s="87"/>
      <c r="AZ469" s="87"/>
      <c r="BA469" s="87"/>
      <c r="BB469" s="87"/>
      <c r="BC469" s="87"/>
      <c r="BD469" s="87"/>
      <c r="BE469" s="87"/>
      <c r="BF469" s="87"/>
      <c r="BG469" s="87"/>
      <c r="BH469" s="87"/>
      <c r="BI469" s="87"/>
      <c r="BJ469" s="87"/>
      <c r="BK469" s="87"/>
      <c r="BL469" s="87"/>
      <c r="BM469" s="87"/>
      <c r="BN469" s="87"/>
      <c r="BO469" s="87"/>
      <c r="BP469" s="87"/>
      <c r="BQ469" s="87"/>
      <c r="BR469" s="87"/>
      <c r="BS469" s="87"/>
      <c r="BT469" s="87"/>
      <c r="BU469" s="87"/>
      <c r="BV469" s="87"/>
      <c r="BW469" s="87"/>
      <c r="BX469" s="87"/>
      <c r="BY469" s="87"/>
      <c r="BZ469" s="87"/>
      <c r="CA469" s="87"/>
      <c r="CB469" s="87"/>
      <c r="CC469" s="87"/>
      <c r="CD469" s="87"/>
      <c r="CE469" s="87"/>
      <c r="CF469" s="87"/>
      <c r="CG469" s="87"/>
      <c r="CH469" s="87"/>
      <c r="CI469" s="87"/>
      <c r="CJ469" s="87"/>
      <c r="CK469" s="87">
        <f>-4/7*C469</f>
        <v>-17.16</v>
      </c>
      <c r="CL469" s="87"/>
      <c r="CM469" s="87">
        <f>-CK469</f>
        <v>17.16</v>
      </c>
      <c r="CN469" s="87"/>
      <c r="CO469" s="87"/>
      <c r="CP469" s="87"/>
      <c r="CQ469" s="87"/>
      <c r="CR469" s="87"/>
      <c r="CS469" s="87"/>
      <c r="CT469" s="87"/>
      <c r="CU469" s="87"/>
      <c r="CV469" s="87"/>
      <c r="CW469" s="87"/>
      <c r="CX469" s="87"/>
      <c r="CY469" s="87"/>
      <c r="CZ469" s="87"/>
      <c r="DA469" s="87"/>
      <c r="DB469" s="87"/>
      <c r="DC469" s="87"/>
      <c r="DD469" s="87"/>
      <c r="DE469" s="87"/>
      <c r="DF469" s="87"/>
      <c r="DG469" s="87"/>
      <c r="DH469" s="87"/>
      <c r="DI469" s="87"/>
      <c r="DJ469" s="87"/>
      <c r="DK469" s="87"/>
      <c r="DL469" s="87"/>
      <c r="DM469" s="87"/>
      <c r="DN469" s="87"/>
      <c r="DO469" s="87"/>
      <c r="DP469" s="87"/>
      <c r="DQ469" s="87"/>
      <c r="DR469" s="87"/>
      <c r="DS469" s="87"/>
      <c r="DT469" s="87"/>
      <c r="DU469" s="87"/>
      <c r="DV469" s="87"/>
      <c r="DW469" s="87"/>
      <c r="DX469" s="87"/>
      <c r="DY469" s="87"/>
      <c r="DZ469" s="87"/>
      <c r="EA469" s="87"/>
      <c r="EB469" s="87"/>
      <c r="EC469" s="87"/>
      <c r="ED469" s="87"/>
      <c r="EE469" s="87"/>
      <c r="EF469" s="87"/>
      <c r="EG469" s="87"/>
      <c r="EH469" s="87"/>
      <c r="EI469" s="87"/>
    </row>
    <row r="470" spans="1:139" ht="16.5" hidden="1" thickBot="1" x14ac:dyDescent="0.35">
      <c r="A470" s="315" t="s">
        <v>140</v>
      </c>
      <c r="B470" s="327">
        <v>3</v>
      </c>
      <c r="C470" s="328">
        <f>0.26*275*0.3</f>
        <v>21.45</v>
      </c>
      <c r="D470" s="310">
        <f>C470/VLOOKUP(B470,'[2]Gas Prod per PADD'!$A$1:$C$6,2,FALSE)</f>
        <v>4.6630434782608697E-3</v>
      </c>
      <c r="E470" s="329">
        <v>45677</v>
      </c>
      <c r="F470" s="330">
        <v>45684</v>
      </c>
      <c r="G470" s="313" t="s">
        <v>837</v>
      </c>
      <c r="H470" s="314" t="s">
        <v>829</v>
      </c>
      <c r="I470" s="84"/>
      <c r="J470" s="85"/>
      <c r="K470" s="85"/>
      <c r="L470" s="85"/>
      <c r="M470" s="85"/>
      <c r="N470" s="85"/>
      <c r="O470" s="85"/>
      <c r="P470" s="85">
        <f t="shared" si="19"/>
        <v>-4.8435483870967744</v>
      </c>
      <c r="Q470" s="85"/>
      <c r="R470" s="85"/>
      <c r="S470" s="85"/>
      <c r="T470" s="85"/>
      <c r="U470" s="85"/>
      <c r="V470" s="84"/>
      <c r="W470" s="84"/>
      <c r="X470" s="84" t="str">
        <f t="shared" si="18"/>
        <v>OK</v>
      </c>
      <c r="Y470" s="87"/>
      <c r="Z470" s="87"/>
      <c r="AA470" s="87"/>
      <c r="AB470" s="87"/>
      <c r="AC470" s="105"/>
      <c r="AD470" s="87"/>
      <c r="AE470" s="105"/>
      <c r="AF470" s="87"/>
      <c r="AG470" s="87"/>
      <c r="AH470" s="87"/>
      <c r="AI470" s="87"/>
      <c r="AJ470" s="87"/>
      <c r="AK470" s="87"/>
      <c r="AL470" s="87"/>
      <c r="AM470" s="87"/>
      <c r="AN470" s="87"/>
      <c r="AO470" s="87"/>
      <c r="AP470" s="87"/>
      <c r="AQ470" s="87"/>
      <c r="AR470" s="87"/>
      <c r="AS470" s="87"/>
      <c r="AT470" s="87"/>
      <c r="AU470" s="87"/>
      <c r="AV470" s="87"/>
      <c r="AW470" s="87"/>
      <c r="AX470" s="87"/>
      <c r="AY470" s="87"/>
      <c r="AZ470" s="87"/>
      <c r="BA470" s="87"/>
      <c r="BB470" s="87"/>
      <c r="BC470" s="87"/>
      <c r="BD470" s="87"/>
      <c r="BE470" s="87"/>
      <c r="BF470" s="87"/>
      <c r="BG470" s="87"/>
      <c r="BH470" s="87"/>
      <c r="BI470" s="87"/>
      <c r="BJ470" s="87"/>
      <c r="BK470" s="87"/>
      <c r="BL470" s="87"/>
      <c r="BM470" s="87"/>
      <c r="BN470" s="87"/>
      <c r="BO470" s="87"/>
      <c r="BP470" s="87"/>
      <c r="BQ470" s="87"/>
      <c r="BR470" s="87"/>
      <c r="BS470" s="87"/>
      <c r="BT470" s="87"/>
      <c r="BU470" s="87"/>
      <c r="BV470" s="87"/>
      <c r="BW470" s="87"/>
      <c r="BX470" s="87"/>
      <c r="BY470" s="105"/>
      <c r="BZ470" s="105"/>
      <c r="CA470" s="87"/>
      <c r="CB470" s="87"/>
      <c r="CC470" s="87"/>
      <c r="CD470" s="87"/>
      <c r="CE470" s="87"/>
      <c r="CF470" s="87"/>
      <c r="CG470" s="87"/>
      <c r="CH470" s="87"/>
      <c r="CI470" s="87"/>
      <c r="CJ470" s="87"/>
      <c r="CK470" s="87">
        <f>-4/7*C470</f>
        <v>-12.257142857142856</v>
      </c>
      <c r="CL470" s="87">
        <f>-CK470</f>
        <v>12.257142857142856</v>
      </c>
      <c r="CM470" s="87"/>
      <c r="CN470" s="87"/>
      <c r="CO470" s="87"/>
      <c r="CP470" s="87"/>
      <c r="CQ470" s="87"/>
      <c r="CR470" s="87"/>
      <c r="CS470" s="87"/>
      <c r="CT470" s="87"/>
      <c r="CU470" s="87"/>
      <c r="CV470" s="87"/>
      <c r="CW470" s="87"/>
      <c r="CX470" s="87"/>
      <c r="CY470" s="87"/>
      <c r="CZ470" s="87"/>
      <c r="DA470" s="87"/>
      <c r="DB470" s="87"/>
      <c r="DC470" s="87"/>
      <c r="DD470" s="87"/>
      <c r="DE470" s="87"/>
      <c r="DF470" s="87"/>
      <c r="DG470" s="87"/>
      <c r="DH470" s="87"/>
      <c r="DI470" s="87"/>
      <c r="DJ470" s="87"/>
      <c r="DK470" s="87"/>
      <c r="DL470" s="87"/>
      <c r="DM470" s="87"/>
      <c r="DN470" s="87"/>
      <c r="DO470" s="87"/>
      <c r="DP470" s="87"/>
      <c r="DQ470" s="87"/>
      <c r="DR470" s="87"/>
      <c r="DS470" s="87"/>
      <c r="DT470" s="87"/>
      <c r="DU470" s="87"/>
      <c r="DV470" s="87"/>
      <c r="DW470" s="87"/>
      <c r="DX470" s="87"/>
      <c r="DY470" s="87"/>
      <c r="DZ470" s="87"/>
      <c r="EA470" s="87"/>
      <c r="EB470" s="87"/>
      <c r="EC470" s="87"/>
      <c r="ED470" s="87"/>
      <c r="EE470" s="87"/>
      <c r="EF470" s="87"/>
      <c r="EG470" s="87"/>
      <c r="EH470" s="87"/>
      <c r="EI470" s="87"/>
    </row>
    <row r="471" spans="1:139" ht="16.5" hidden="1" thickBot="1" x14ac:dyDescent="0.35">
      <c r="A471" s="200" t="s">
        <v>371</v>
      </c>
      <c r="B471" s="199">
        <v>2</v>
      </c>
      <c r="C471" s="195">
        <f>0.25*104</f>
        <v>26</v>
      </c>
      <c r="D471" s="217">
        <f>C471/VLOOKUP(B471,'[2]Gas Prod per PADD'!$A$1:$C$6,2,FALSE)</f>
        <v>1.0833333333333334E-2</v>
      </c>
      <c r="E471" s="225">
        <v>45678</v>
      </c>
      <c r="F471" s="276">
        <v>45684</v>
      </c>
      <c r="G471" s="180" t="s">
        <v>815</v>
      </c>
      <c r="H471" s="181" t="s">
        <v>640</v>
      </c>
      <c r="I471" s="170"/>
      <c r="J471" s="291"/>
      <c r="K471" s="291"/>
      <c r="L471" s="291"/>
      <c r="M471" s="291"/>
      <c r="N471" s="291"/>
      <c r="O471" s="291"/>
      <c r="P471" s="85">
        <f t="shared" si="19"/>
        <v>-5.032258064516129</v>
      </c>
      <c r="Q471" s="291"/>
      <c r="R471" s="291"/>
      <c r="S471" s="291"/>
      <c r="T471" s="85"/>
      <c r="U471" s="85"/>
      <c r="V471" s="84"/>
      <c r="W471" s="84"/>
      <c r="X471" s="84" t="str">
        <f t="shared" si="18"/>
        <v>OK</v>
      </c>
      <c r="Y471" s="87"/>
      <c r="Z471" s="87"/>
      <c r="AA471" s="87"/>
      <c r="AB471" s="87"/>
      <c r="AC471" s="87"/>
      <c r="AD471" s="87"/>
      <c r="AE471" s="87"/>
      <c r="AF471" s="87"/>
      <c r="AG471" s="87"/>
      <c r="AH471" s="87"/>
      <c r="AI471" s="87"/>
      <c r="AJ471" s="87"/>
      <c r="AK471" s="87"/>
      <c r="AL471" s="87"/>
      <c r="AM471" s="87"/>
      <c r="AN471" s="87"/>
      <c r="AO471" s="87"/>
      <c r="AP471" s="87"/>
      <c r="AQ471" s="87"/>
      <c r="AR471" s="87"/>
      <c r="AS471" s="87"/>
      <c r="AT471" s="87"/>
      <c r="AU471" s="87"/>
      <c r="AV471" s="87"/>
      <c r="AW471" s="87"/>
      <c r="AX471" s="87"/>
      <c r="AY471" s="87"/>
      <c r="AZ471" s="87"/>
      <c r="BA471" s="87"/>
      <c r="BB471" s="87"/>
      <c r="BC471" s="87"/>
      <c r="BD471" s="87"/>
      <c r="BE471" s="87"/>
      <c r="BF471" s="87"/>
      <c r="BG471" s="87"/>
      <c r="BH471" s="87"/>
      <c r="BI471" s="87"/>
      <c r="BJ471" s="87"/>
      <c r="BK471" s="87"/>
      <c r="BL471" s="87"/>
      <c r="BM471" s="87"/>
      <c r="BN471" s="87"/>
      <c r="BO471" s="87"/>
      <c r="BP471" s="87"/>
      <c r="BQ471" s="87"/>
      <c r="BR471" s="87"/>
      <c r="BS471" s="87"/>
      <c r="BT471" s="87"/>
      <c r="BU471" s="87"/>
      <c r="BV471" s="87"/>
      <c r="BW471" s="87"/>
      <c r="BX471" s="87"/>
      <c r="BY471" s="87"/>
      <c r="BZ471" s="87"/>
      <c r="CA471" s="87"/>
      <c r="CB471" s="87"/>
      <c r="CC471" s="87"/>
      <c r="CD471" s="87"/>
      <c r="CE471" s="87"/>
      <c r="CF471" s="87"/>
      <c r="CG471" s="87"/>
      <c r="CH471" s="87"/>
      <c r="CI471" s="87"/>
      <c r="CJ471" s="87"/>
      <c r="CK471" s="87">
        <f>-3/7*C471</f>
        <v>-11.142857142857142</v>
      </c>
      <c r="CL471" s="87">
        <f>-CK471</f>
        <v>11.142857142857142</v>
      </c>
      <c r="CM471" s="87"/>
      <c r="CN471" s="87"/>
      <c r="CO471" s="87"/>
      <c r="CP471" s="87"/>
      <c r="CQ471" s="87"/>
      <c r="CR471" s="87"/>
      <c r="CS471" s="87"/>
      <c r="CT471" s="87"/>
      <c r="CU471" s="87"/>
      <c r="CV471" s="87"/>
      <c r="CW471" s="87"/>
      <c r="CX471" s="87"/>
      <c r="CY471" s="87"/>
      <c r="CZ471" s="87"/>
      <c r="DA471" s="87"/>
      <c r="DB471" s="87"/>
      <c r="DC471" s="87"/>
      <c r="DD471" s="87"/>
      <c r="DE471" s="87"/>
      <c r="DF471" s="87"/>
      <c r="DG471" s="87"/>
      <c r="DH471" s="87"/>
      <c r="DI471" s="87"/>
      <c r="DJ471" s="87"/>
      <c r="DK471" s="87"/>
      <c r="DL471" s="87"/>
      <c r="DM471" s="87"/>
      <c r="DN471" s="87"/>
      <c r="DO471" s="87"/>
      <c r="DP471" s="87"/>
      <c r="DQ471" s="87"/>
      <c r="DR471" s="87"/>
      <c r="DS471" s="87"/>
      <c r="DT471" s="87"/>
      <c r="DU471" s="87"/>
      <c r="DV471" s="87"/>
      <c r="DW471" s="87"/>
      <c r="DX471" s="87"/>
      <c r="DY471" s="87"/>
      <c r="DZ471" s="87"/>
      <c r="EA471" s="87"/>
      <c r="EB471" s="87"/>
      <c r="EC471" s="87"/>
      <c r="ED471" s="87"/>
      <c r="EE471" s="87"/>
      <c r="EF471" s="87"/>
      <c r="EG471" s="87"/>
      <c r="EH471" s="87"/>
      <c r="EI471" s="87"/>
    </row>
    <row r="472" spans="1:139" ht="16.5" hidden="1" thickBot="1" x14ac:dyDescent="0.35">
      <c r="A472" s="323" t="s">
        <v>451</v>
      </c>
      <c r="B472" s="316">
        <v>3</v>
      </c>
      <c r="C472" s="318">
        <f>70*0.25</f>
        <v>17.5</v>
      </c>
      <c r="D472" s="310">
        <f>C472/VLOOKUP(B472,'[2]Gas Prod per PADD'!$A$1:$C$6,2,FALSE)</f>
        <v>3.8043478260869567E-3</v>
      </c>
      <c r="E472" s="319">
        <v>45678</v>
      </c>
      <c r="F472" s="320">
        <f>E472+6</f>
        <v>45684</v>
      </c>
      <c r="G472" s="321" t="s">
        <v>829</v>
      </c>
      <c r="H472" s="322" t="s">
        <v>838</v>
      </c>
      <c r="I472" s="84"/>
      <c r="J472" s="85"/>
      <c r="K472" s="85"/>
      <c r="L472" s="85"/>
      <c r="M472" s="85"/>
      <c r="N472" s="85"/>
      <c r="O472" s="85"/>
      <c r="P472" s="85">
        <f t="shared" si="19"/>
        <v>-3.3870967741935485</v>
      </c>
      <c r="Q472" s="85"/>
      <c r="R472" s="85"/>
      <c r="S472" s="85"/>
      <c r="T472" s="85"/>
      <c r="U472" s="85"/>
      <c r="V472" s="84"/>
      <c r="W472" s="84"/>
      <c r="X472" s="84" t="str">
        <f t="shared" si="18"/>
        <v>OK</v>
      </c>
      <c r="Y472" s="87"/>
      <c r="Z472" s="87"/>
      <c r="AA472" s="87"/>
      <c r="AB472" s="87"/>
      <c r="AC472" s="87"/>
      <c r="AD472" s="87"/>
      <c r="AE472" s="87"/>
      <c r="AF472" s="87"/>
      <c r="AG472" s="87"/>
      <c r="AH472" s="87"/>
      <c r="AI472" s="87"/>
      <c r="AJ472" s="87"/>
      <c r="AK472" s="87"/>
      <c r="AL472" s="87"/>
      <c r="AM472" s="87"/>
      <c r="AN472" s="87"/>
      <c r="AO472" s="87"/>
      <c r="AP472" s="87"/>
      <c r="AQ472" s="87"/>
      <c r="AR472" s="87"/>
      <c r="AS472" s="87"/>
      <c r="AT472" s="87"/>
      <c r="AU472" s="87"/>
      <c r="AV472" s="87"/>
      <c r="AW472" s="87"/>
      <c r="AX472" s="87"/>
      <c r="AY472" s="87"/>
      <c r="AZ472" s="87"/>
      <c r="BA472" s="87"/>
      <c r="BB472" s="87"/>
      <c r="BC472" s="87"/>
      <c r="BD472" s="87"/>
      <c r="BE472" s="87"/>
      <c r="BF472" s="87"/>
      <c r="BG472" s="87"/>
      <c r="BH472" s="87"/>
      <c r="BI472" s="87"/>
      <c r="BJ472" s="87"/>
      <c r="BK472" s="87"/>
      <c r="BL472" s="87"/>
      <c r="BM472" s="87"/>
      <c r="BN472" s="87"/>
      <c r="BO472" s="87"/>
      <c r="BP472" s="87"/>
      <c r="BQ472" s="87"/>
      <c r="BR472" s="87"/>
      <c r="BS472" s="87"/>
      <c r="BT472" s="87"/>
      <c r="BU472" s="87"/>
      <c r="BV472" s="87"/>
      <c r="BW472" s="87"/>
      <c r="BX472" s="87"/>
      <c r="BY472" s="87"/>
      <c r="BZ472" s="87"/>
      <c r="CA472" s="87"/>
      <c r="CB472" s="87"/>
      <c r="CC472" s="87"/>
      <c r="CD472" s="87"/>
      <c r="CE472" s="87"/>
      <c r="CF472" s="87"/>
      <c r="CG472" s="87"/>
      <c r="CH472" s="87"/>
      <c r="CI472" s="87"/>
      <c r="CJ472" s="87"/>
      <c r="CK472" s="87">
        <f>-3/7*C472</f>
        <v>-7.5</v>
      </c>
      <c r="CL472" s="87">
        <f>-CK472</f>
        <v>7.5</v>
      </c>
      <c r="CM472" s="87"/>
      <c r="CN472" s="87"/>
      <c r="CO472" s="87"/>
      <c r="CP472" s="87"/>
      <c r="CQ472" s="87"/>
      <c r="CR472" s="87"/>
      <c r="CS472" s="87"/>
      <c r="CT472" s="87"/>
      <c r="CU472" s="87"/>
      <c r="CV472" s="87"/>
      <c r="CW472" s="87"/>
      <c r="CX472" s="87"/>
      <c r="CY472" s="87"/>
      <c r="CZ472" s="87"/>
      <c r="DA472" s="87"/>
      <c r="DB472" s="87"/>
      <c r="DC472" s="87"/>
      <c r="DD472" s="87"/>
      <c r="DE472" s="87"/>
      <c r="DF472" s="87"/>
      <c r="DG472" s="87"/>
      <c r="DH472" s="87"/>
      <c r="DI472" s="87"/>
      <c r="DJ472" s="87"/>
      <c r="DK472" s="87"/>
      <c r="DL472" s="87"/>
      <c r="DM472" s="87"/>
      <c r="DN472" s="87"/>
      <c r="DO472" s="87"/>
      <c r="DP472" s="87"/>
      <c r="DQ472" s="87"/>
      <c r="DR472" s="87"/>
      <c r="DS472" s="87"/>
      <c r="DT472" s="87"/>
      <c r="DU472" s="87"/>
      <c r="DV472" s="87"/>
      <c r="DW472" s="87"/>
      <c r="DX472" s="87"/>
      <c r="DY472" s="87"/>
      <c r="DZ472" s="87"/>
      <c r="EA472" s="87"/>
      <c r="EB472" s="87"/>
      <c r="EC472" s="87"/>
      <c r="ED472" s="87"/>
      <c r="EE472" s="87"/>
      <c r="EF472" s="87"/>
      <c r="EG472" s="87"/>
      <c r="EH472" s="87"/>
      <c r="EI472" s="87"/>
    </row>
    <row r="473" spans="1:139" ht="16.5" hidden="1" thickBot="1" x14ac:dyDescent="0.35">
      <c r="A473" s="323" t="s">
        <v>135</v>
      </c>
      <c r="B473" s="316">
        <v>3</v>
      </c>
      <c r="C473" s="318">
        <f>60*0.25</f>
        <v>15</v>
      </c>
      <c r="D473" s="310">
        <f>C473/VLOOKUP(B473,'[2]Gas Prod per PADD'!$A$1:$C$6,2,FALSE)</f>
        <v>3.2608695652173911E-3</v>
      </c>
      <c r="E473" s="319">
        <v>45678</v>
      </c>
      <c r="F473" s="320">
        <f>E473+7</f>
        <v>45685</v>
      </c>
      <c r="G473" s="321" t="s">
        <v>829</v>
      </c>
      <c r="H473" s="322" t="s">
        <v>838</v>
      </c>
      <c r="I473" s="84"/>
      <c r="J473" s="85"/>
      <c r="K473" s="85"/>
      <c r="L473" s="85"/>
      <c r="M473" s="85"/>
      <c r="N473" s="85"/>
      <c r="O473" s="85"/>
      <c r="P473" s="85">
        <f t="shared" si="19"/>
        <v>-3.3870967741935485</v>
      </c>
      <c r="Q473" s="85"/>
      <c r="R473" s="85"/>
      <c r="S473" s="85"/>
      <c r="T473" s="85"/>
      <c r="U473" s="85"/>
      <c r="V473" s="84"/>
      <c r="W473" s="84"/>
      <c r="X473" s="84" t="str">
        <f t="shared" si="18"/>
        <v>OK</v>
      </c>
      <c r="Y473" s="87"/>
      <c r="Z473" s="87"/>
      <c r="AA473" s="87"/>
      <c r="AB473" s="87"/>
      <c r="AC473" s="87"/>
      <c r="AD473" s="87"/>
      <c r="AE473" s="87"/>
      <c r="AF473" s="87"/>
      <c r="AG473" s="87"/>
      <c r="AH473" s="87"/>
      <c r="AI473" s="87"/>
      <c r="AJ473" s="87"/>
      <c r="AK473" s="87"/>
      <c r="AL473" s="87"/>
      <c r="AM473" s="87"/>
      <c r="AN473" s="87"/>
      <c r="AO473" s="87"/>
      <c r="AP473" s="87"/>
      <c r="AQ473" s="87"/>
      <c r="AR473" s="87"/>
      <c r="AS473" s="87"/>
      <c r="AT473" s="87"/>
      <c r="AU473" s="87"/>
      <c r="AV473" s="87"/>
      <c r="AW473" s="87"/>
      <c r="AX473" s="87"/>
      <c r="AY473" s="87"/>
      <c r="AZ473" s="87"/>
      <c r="BA473" s="87"/>
      <c r="BB473" s="87"/>
      <c r="BC473" s="87"/>
      <c r="BD473" s="87"/>
      <c r="BE473" s="87"/>
      <c r="BF473" s="87"/>
      <c r="BG473" s="87"/>
      <c r="BH473" s="87"/>
      <c r="BI473" s="87"/>
      <c r="BJ473" s="87"/>
      <c r="BK473" s="87"/>
      <c r="BL473" s="87"/>
      <c r="BM473" s="87"/>
      <c r="BN473" s="87"/>
      <c r="BO473" s="87"/>
      <c r="BP473" s="87"/>
      <c r="BQ473" s="87"/>
      <c r="BR473" s="87"/>
      <c r="BS473" s="87"/>
      <c r="BT473" s="87"/>
      <c r="BU473" s="87"/>
      <c r="BV473" s="87"/>
      <c r="BW473" s="87"/>
      <c r="BX473" s="87"/>
      <c r="BY473" s="87"/>
      <c r="BZ473" s="87"/>
      <c r="CA473" s="87"/>
      <c r="CB473" s="87"/>
      <c r="CC473" s="87"/>
      <c r="CD473" s="87"/>
      <c r="CE473" s="87"/>
      <c r="CF473" s="87"/>
      <c r="CG473" s="87"/>
      <c r="CH473" s="87"/>
      <c r="CI473" s="87"/>
      <c r="CJ473" s="87"/>
      <c r="CK473" s="87">
        <f>-4/7*C473</f>
        <v>-8.5714285714285712</v>
      </c>
      <c r="CL473" s="87">
        <f>-CK473</f>
        <v>8.5714285714285712</v>
      </c>
      <c r="CM473" s="87"/>
      <c r="CN473" s="87"/>
      <c r="CO473" s="87"/>
      <c r="CP473" s="87"/>
      <c r="CQ473" s="87"/>
      <c r="CR473" s="87"/>
      <c r="CS473" s="87"/>
      <c r="CT473" s="87"/>
      <c r="CU473" s="87"/>
      <c r="CV473" s="87"/>
      <c r="CW473" s="87"/>
      <c r="CX473" s="87"/>
      <c r="CY473" s="87"/>
      <c r="CZ473" s="87"/>
      <c r="DA473" s="87"/>
      <c r="DB473" s="87"/>
      <c r="DC473" s="87"/>
      <c r="DD473" s="87"/>
      <c r="DE473" s="87"/>
      <c r="DF473" s="87"/>
      <c r="DG473" s="87"/>
      <c r="DH473" s="87"/>
      <c r="DI473" s="87"/>
      <c r="DJ473" s="87"/>
      <c r="DK473" s="87"/>
      <c r="DL473" s="87"/>
      <c r="DM473" s="87"/>
      <c r="DN473" s="87"/>
      <c r="DO473" s="87"/>
      <c r="DP473" s="87"/>
      <c r="DQ473" s="87"/>
      <c r="DR473" s="87"/>
      <c r="DS473" s="87"/>
      <c r="DT473" s="87"/>
      <c r="DU473" s="87"/>
      <c r="DV473" s="87"/>
      <c r="DW473" s="87"/>
      <c r="DX473" s="87"/>
      <c r="DY473" s="87"/>
      <c r="DZ473" s="87"/>
      <c r="EA473" s="87"/>
      <c r="EB473" s="87"/>
      <c r="EC473" s="87"/>
      <c r="ED473" s="87"/>
      <c r="EE473" s="87"/>
      <c r="EF473" s="87"/>
      <c r="EG473" s="87"/>
      <c r="EH473" s="87"/>
      <c r="EI473" s="87"/>
    </row>
    <row r="474" spans="1:139" ht="16.5" hidden="1" thickBot="1" x14ac:dyDescent="0.35">
      <c r="A474" s="323" t="s">
        <v>467</v>
      </c>
      <c r="B474" s="316">
        <v>3</v>
      </c>
      <c r="C474" s="318">
        <f>50*0.25</f>
        <v>12.5</v>
      </c>
      <c r="D474" s="310">
        <f>C474/VLOOKUP(B474,'[2]Gas Prod per PADD'!$A$1:$C$6,2,FALSE)</f>
        <v>2.717391304347826E-3</v>
      </c>
      <c r="E474" s="319">
        <v>45678</v>
      </c>
      <c r="F474" s="320">
        <f>E474+7</f>
        <v>45685</v>
      </c>
      <c r="G474" s="321" t="s">
        <v>829</v>
      </c>
      <c r="H474" s="322" t="s">
        <v>838</v>
      </c>
      <c r="I474" s="84"/>
      <c r="J474" s="85"/>
      <c r="K474" s="85"/>
      <c r="L474" s="85"/>
      <c r="M474" s="85"/>
      <c r="N474" s="85"/>
      <c r="O474" s="85"/>
      <c r="P474" s="85">
        <f t="shared" si="19"/>
        <v>-2.8225806451612905</v>
      </c>
      <c r="Q474" s="85"/>
      <c r="R474" s="85"/>
      <c r="S474" s="85"/>
      <c r="T474" s="85"/>
      <c r="U474" s="85"/>
      <c r="V474" s="84"/>
      <c r="W474" s="84"/>
      <c r="X474" s="84" t="str">
        <f t="shared" si="18"/>
        <v>OK</v>
      </c>
      <c r="Y474" s="87"/>
      <c r="Z474" s="87"/>
      <c r="AA474" s="87"/>
      <c r="AB474" s="87"/>
      <c r="AC474" s="87"/>
      <c r="AD474" s="87"/>
      <c r="AE474" s="87"/>
      <c r="AF474" s="87"/>
      <c r="AG474" s="87"/>
      <c r="AH474" s="87"/>
      <c r="AI474" s="87"/>
      <c r="AJ474" s="87"/>
      <c r="AK474" s="87"/>
      <c r="AL474" s="87"/>
      <c r="AM474" s="87"/>
      <c r="AN474" s="87"/>
      <c r="AO474" s="87"/>
      <c r="AP474" s="87"/>
      <c r="AQ474" s="87"/>
      <c r="AR474" s="87"/>
      <c r="AS474" s="87"/>
      <c r="AT474" s="87"/>
      <c r="AU474" s="87"/>
      <c r="AV474" s="87"/>
      <c r="AW474" s="87"/>
      <c r="AX474" s="87"/>
      <c r="AY474" s="87"/>
      <c r="AZ474" s="87"/>
      <c r="BA474" s="87"/>
      <c r="BB474" s="87"/>
      <c r="BC474" s="87"/>
      <c r="BD474" s="87"/>
      <c r="BE474" s="87"/>
      <c r="BF474" s="87"/>
      <c r="BG474" s="87"/>
      <c r="BH474" s="87"/>
      <c r="BI474" s="87"/>
      <c r="BJ474" s="87"/>
      <c r="BK474" s="87"/>
      <c r="BL474" s="87"/>
      <c r="BM474" s="87"/>
      <c r="BN474" s="87"/>
      <c r="BO474" s="87"/>
      <c r="BP474" s="87"/>
      <c r="BQ474" s="87"/>
      <c r="BR474" s="87"/>
      <c r="BS474" s="87"/>
      <c r="BT474" s="87"/>
      <c r="BU474" s="87"/>
      <c r="BV474" s="87"/>
      <c r="BW474" s="87"/>
      <c r="BX474" s="87"/>
      <c r="BY474" s="87"/>
      <c r="BZ474" s="87"/>
      <c r="CA474" s="87"/>
      <c r="CB474" s="87"/>
      <c r="CC474" s="87"/>
      <c r="CD474" s="87"/>
      <c r="CE474" s="87"/>
      <c r="CF474" s="87"/>
      <c r="CG474" s="87"/>
      <c r="CH474" s="87"/>
      <c r="CI474" s="87"/>
      <c r="CJ474" s="87"/>
      <c r="CK474" s="87">
        <f>-4/7*C474</f>
        <v>-7.1428571428571423</v>
      </c>
      <c r="CL474" s="87">
        <f>-CK474</f>
        <v>7.1428571428571423</v>
      </c>
      <c r="CM474" s="87"/>
      <c r="CN474" s="87"/>
      <c r="CO474" s="87"/>
      <c r="CP474" s="87"/>
      <c r="CQ474" s="87"/>
      <c r="CR474" s="87"/>
      <c r="CS474" s="87"/>
      <c r="CT474" s="87"/>
      <c r="CU474" s="87"/>
      <c r="CV474" s="87"/>
      <c r="CW474" s="87"/>
      <c r="CX474" s="87"/>
      <c r="CY474" s="87"/>
      <c r="CZ474" s="87"/>
      <c r="DA474" s="87"/>
      <c r="DB474" s="87"/>
      <c r="DC474" s="87"/>
      <c r="DD474" s="87"/>
      <c r="DE474" s="87"/>
      <c r="DF474" s="87"/>
      <c r="DG474" s="87"/>
      <c r="DH474" s="87"/>
      <c r="DI474" s="87"/>
      <c r="DJ474" s="87"/>
      <c r="DK474" s="87"/>
      <c r="DL474" s="87"/>
      <c r="DM474" s="87"/>
      <c r="DN474" s="87"/>
      <c r="DO474" s="87"/>
      <c r="DP474" s="87"/>
      <c r="DQ474" s="87"/>
      <c r="DR474" s="87"/>
      <c r="DS474" s="87"/>
      <c r="DT474" s="87"/>
      <c r="DU474" s="87"/>
      <c r="DV474" s="87"/>
      <c r="DW474" s="87"/>
      <c r="DX474" s="87"/>
      <c r="DY474" s="87"/>
      <c r="DZ474" s="87"/>
      <c r="EA474" s="87"/>
      <c r="EB474" s="87"/>
      <c r="EC474" s="87"/>
      <c r="ED474" s="87"/>
      <c r="EE474" s="87"/>
      <c r="EF474" s="87"/>
      <c r="EG474" s="87"/>
      <c r="EH474" s="87"/>
      <c r="EI474" s="87"/>
    </row>
    <row r="475" spans="1:139" ht="16.5" hidden="1" thickBot="1" x14ac:dyDescent="0.35">
      <c r="A475" s="200" t="s">
        <v>365</v>
      </c>
      <c r="B475" s="223">
        <v>2</v>
      </c>
      <c r="C475" s="224">
        <f>94*0.25</f>
        <v>23.5</v>
      </c>
      <c r="D475" s="217">
        <f>C475/VLOOKUP(B475,'[2]Gas Prod per PADD'!$A$1:$C$6,2,FALSE)</f>
        <v>9.7916666666666673E-3</v>
      </c>
      <c r="E475" s="289">
        <v>45683</v>
      </c>
      <c r="F475" s="276">
        <v>45685</v>
      </c>
      <c r="G475" s="180" t="s">
        <v>839</v>
      </c>
      <c r="H475" s="221" t="s">
        <v>364</v>
      </c>
      <c r="I475" s="84"/>
      <c r="J475" s="85"/>
      <c r="K475" s="85"/>
      <c r="L475" s="85"/>
      <c r="M475" s="85"/>
      <c r="N475" s="85"/>
      <c r="O475" s="85"/>
      <c r="P475" s="85">
        <f t="shared" si="19"/>
        <v>-1.5161290322580645</v>
      </c>
      <c r="Q475" s="85"/>
      <c r="R475" s="85"/>
      <c r="S475" s="85"/>
      <c r="T475" s="85"/>
      <c r="U475" s="85"/>
      <c r="V475" s="84"/>
      <c r="W475" s="84"/>
      <c r="X475" s="84" t="str">
        <f t="shared" si="18"/>
        <v>OK</v>
      </c>
      <c r="Y475" s="105"/>
      <c r="Z475" s="105"/>
      <c r="AA475" s="87"/>
      <c r="AB475" s="87"/>
      <c r="AC475" s="87"/>
      <c r="AD475" s="87"/>
      <c r="AE475" s="105"/>
      <c r="AF475" s="105"/>
      <c r="AG475" s="105"/>
      <c r="AH475" s="105"/>
      <c r="AI475" s="87"/>
      <c r="AJ475" s="87"/>
      <c r="AK475" s="105"/>
      <c r="AL475" s="87"/>
      <c r="AM475" s="105"/>
      <c r="AN475" s="105"/>
      <c r="AO475" s="87"/>
      <c r="AP475" s="87"/>
      <c r="AQ475" s="105"/>
      <c r="AR475" s="105"/>
      <c r="AS475" s="87"/>
      <c r="AT475" s="105"/>
      <c r="AU475" s="87"/>
      <c r="AV475" s="87"/>
      <c r="AW475" s="105"/>
      <c r="AX475" s="105"/>
      <c r="AY475" s="87"/>
      <c r="AZ475" s="105"/>
      <c r="BA475" s="105"/>
      <c r="BB475" s="105"/>
      <c r="BC475" s="105"/>
      <c r="BD475" s="105"/>
      <c r="BE475" s="87"/>
      <c r="BF475" s="105"/>
      <c r="BG475" s="105"/>
      <c r="BH475" s="105"/>
      <c r="BI475" s="105"/>
      <c r="BJ475" s="87"/>
      <c r="BK475" s="87"/>
      <c r="BL475" s="87"/>
      <c r="BM475" s="87"/>
      <c r="BN475" s="87"/>
      <c r="BO475" s="87"/>
      <c r="BP475" s="87"/>
      <c r="BQ475" s="87"/>
      <c r="BR475" s="87"/>
      <c r="BS475" s="87"/>
      <c r="BT475" s="87"/>
      <c r="BU475" s="87"/>
      <c r="BV475" s="87"/>
      <c r="BW475" s="87"/>
      <c r="BX475" s="87"/>
      <c r="BY475" s="87"/>
      <c r="BZ475" s="87"/>
      <c r="CA475" s="87"/>
      <c r="CB475" s="87"/>
      <c r="CC475" s="87"/>
      <c r="CD475" s="87"/>
      <c r="CE475" s="87"/>
      <c r="CF475" s="87"/>
      <c r="CG475" s="87"/>
      <c r="CH475" s="87"/>
      <c r="CI475" s="87"/>
      <c r="CJ475" s="87"/>
      <c r="CK475" s="87"/>
      <c r="CL475" s="87">
        <f>-2/7*C475</f>
        <v>-6.7142857142857135</v>
      </c>
      <c r="CM475" s="87">
        <f>-CL475</f>
        <v>6.7142857142857135</v>
      </c>
      <c r="CN475" s="87"/>
      <c r="CO475" s="87"/>
      <c r="CP475" s="87"/>
      <c r="CQ475" s="87"/>
      <c r="CR475" s="87"/>
      <c r="CS475" s="87"/>
      <c r="CT475" s="87"/>
      <c r="CU475" s="87"/>
      <c r="CV475" s="87"/>
      <c r="CW475" s="87"/>
      <c r="CX475" s="87"/>
      <c r="CY475" s="87"/>
      <c r="CZ475" s="87"/>
      <c r="DA475" s="87"/>
      <c r="DB475" s="87"/>
      <c r="DC475" s="87"/>
      <c r="DD475" s="87"/>
      <c r="DE475" s="87"/>
      <c r="DF475" s="87"/>
      <c r="DG475" s="87"/>
      <c r="DH475" s="87"/>
      <c r="DI475" s="87"/>
      <c r="DJ475" s="87"/>
      <c r="DK475" s="87"/>
      <c r="DL475" s="87"/>
      <c r="DM475" s="87"/>
      <c r="DN475" s="87"/>
      <c r="DO475" s="87"/>
      <c r="DP475" s="87"/>
      <c r="DQ475" s="87"/>
      <c r="DR475" s="87"/>
      <c r="DS475" s="87"/>
      <c r="DT475" s="87"/>
      <c r="DU475" s="87"/>
      <c r="DV475" s="87"/>
      <c r="DW475" s="87"/>
      <c r="DX475" s="87"/>
      <c r="DY475" s="87"/>
      <c r="DZ475" s="87"/>
      <c r="EA475" s="87"/>
      <c r="EB475" s="87"/>
      <c r="EC475" s="87"/>
      <c r="ED475" s="87"/>
      <c r="EE475" s="87"/>
      <c r="EF475" s="87"/>
      <c r="EG475" s="87"/>
      <c r="EH475" s="87"/>
      <c r="EI475" s="87"/>
    </row>
    <row r="476" spans="1:139" ht="16.5" hidden="1" thickBot="1" x14ac:dyDescent="0.35">
      <c r="A476" s="200" t="s">
        <v>387</v>
      </c>
      <c r="B476" s="194">
        <v>2</v>
      </c>
      <c r="C476" s="195">
        <f>19*0.95</f>
        <v>18.05</v>
      </c>
      <c r="D476" s="217">
        <f>C476/VLOOKUP(B476,'[2]Gas Prod per PADD'!$A$1:$C$6,2,FALSE)</f>
        <v>7.5208333333333334E-3</v>
      </c>
      <c r="E476" s="196">
        <v>45684</v>
      </c>
      <c r="F476" s="281">
        <v>45685</v>
      </c>
      <c r="G476" s="194" t="s">
        <v>840</v>
      </c>
      <c r="H476" s="198"/>
      <c r="I476" s="84"/>
      <c r="J476" s="85"/>
      <c r="K476" s="85"/>
      <c r="L476" s="85"/>
      <c r="M476" s="85"/>
      <c r="N476" s="85"/>
      <c r="O476" s="85"/>
      <c r="P476" s="85">
        <f t="shared" si="19"/>
        <v>-0.58225806451612905</v>
      </c>
      <c r="Q476" s="85"/>
      <c r="R476" s="85"/>
      <c r="S476" s="85"/>
      <c r="T476" s="85"/>
      <c r="U476" s="85"/>
      <c r="V476" s="84"/>
      <c r="W476" s="84"/>
      <c r="X476" s="84" t="str">
        <f t="shared" si="18"/>
        <v>OK</v>
      </c>
      <c r="Y476" s="105"/>
      <c r="Z476" s="105"/>
      <c r="AA476" s="87"/>
      <c r="AB476" s="87"/>
      <c r="AC476" s="87"/>
      <c r="AD476" s="87"/>
      <c r="AE476" s="105"/>
      <c r="AF476" s="105"/>
      <c r="AG476" s="105"/>
      <c r="AH476" s="105"/>
      <c r="AI476" s="87"/>
      <c r="AJ476" s="87"/>
      <c r="AK476" s="105"/>
      <c r="AL476" s="87"/>
      <c r="AM476" s="105"/>
      <c r="AN476" s="105"/>
      <c r="AO476" s="87"/>
      <c r="AP476" s="87"/>
      <c r="AQ476" s="105"/>
      <c r="AR476" s="105"/>
      <c r="AS476" s="87"/>
      <c r="AT476" s="105"/>
      <c r="AU476" s="105"/>
      <c r="AV476" s="87"/>
      <c r="AW476" s="105"/>
      <c r="AX476" s="105"/>
      <c r="AY476" s="87"/>
      <c r="AZ476" s="105"/>
      <c r="BA476" s="105"/>
      <c r="BB476" s="105"/>
      <c r="BC476" s="87"/>
      <c r="BD476" s="87"/>
      <c r="BE476" s="105"/>
      <c r="BF476" s="105"/>
      <c r="BG476" s="105"/>
      <c r="BH476" s="105"/>
      <c r="BI476" s="105"/>
      <c r="BJ476" s="87"/>
      <c r="BK476" s="87"/>
      <c r="BL476" s="87"/>
      <c r="BM476" s="87"/>
      <c r="BN476" s="87"/>
      <c r="BO476" s="87"/>
      <c r="BP476" s="87"/>
      <c r="BQ476" s="87"/>
      <c r="BR476" s="87"/>
      <c r="BS476" s="87"/>
      <c r="BT476" s="87"/>
      <c r="BU476" s="87"/>
      <c r="BV476" s="87"/>
      <c r="BW476" s="87"/>
      <c r="BX476" s="87"/>
      <c r="BY476" s="87"/>
      <c r="BZ476" s="87"/>
      <c r="CA476" s="87"/>
      <c r="CB476" s="87"/>
      <c r="CC476" s="87"/>
      <c r="CD476" s="87"/>
      <c r="CE476" s="87"/>
      <c r="CF476" s="87"/>
      <c r="CG476" s="87"/>
      <c r="CH476" s="87"/>
      <c r="CI476" s="87"/>
      <c r="CJ476" s="87"/>
      <c r="CK476" s="87"/>
      <c r="CL476" s="87">
        <f>-1/7*C476</f>
        <v>-2.5785714285714287</v>
      </c>
      <c r="CM476" s="87">
        <f>-CL476</f>
        <v>2.5785714285714287</v>
      </c>
      <c r="CN476" s="87"/>
      <c r="CO476" s="87"/>
      <c r="CP476" s="87"/>
      <c r="CQ476" s="87"/>
      <c r="CR476" s="87"/>
      <c r="CS476" s="87"/>
      <c r="CT476" s="87"/>
      <c r="CU476" s="87"/>
      <c r="CV476" s="87"/>
      <c r="CW476" s="87"/>
      <c r="CX476" s="87"/>
      <c r="CY476" s="87"/>
      <c r="CZ476" s="87"/>
      <c r="DA476" s="87"/>
      <c r="DB476" s="87"/>
      <c r="DC476" s="87"/>
      <c r="DD476" s="87"/>
      <c r="DE476" s="87"/>
      <c r="DF476" s="87"/>
      <c r="DG476" s="87"/>
      <c r="DH476" s="87"/>
      <c r="DI476" s="87"/>
      <c r="DJ476" s="87"/>
      <c r="DK476" s="87"/>
      <c r="DL476" s="87"/>
      <c r="DM476" s="87"/>
      <c r="DN476" s="87"/>
      <c r="DO476" s="87"/>
      <c r="DP476" s="87"/>
      <c r="DQ476" s="87"/>
      <c r="DR476" s="87"/>
      <c r="DS476" s="87"/>
      <c r="DT476" s="87"/>
      <c r="DU476" s="87"/>
      <c r="DV476" s="87"/>
      <c r="DW476" s="87"/>
      <c r="DX476" s="87"/>
      <c r="DY476" s="87"/>
      <c r="DZ476" s="87"/>
      <c r="EA476" s="87"/>
      <c r="EB476" s="87"/>
      <c r="EC476" s="87"/>
      <c r="ED476" s="87"/>
      <c r="EE476" s="87"/>
      <c r="EF476" s="87"/>
      <c r="EG476" s="87"/>
      <c r="EH476" s="87"/>
      <c r="EI476" s="87"/>
    </row>
    <row r="477" spans="1:139" ht="29.25" hidden="1" thickBot="1" x14ac:dyDescent="0.35">
      <c r="A477" s="222" t="s">
        <v>322</v>
      </c>
      <c r="B477" s="191">
        <v>3</v>
      </c>
      <c r="C477" s="177">
        <f>165*0.25</f>
        <v>41.25</v>
      </c>
      <c r="D477" s="217">
        <f>C477/VLOOKUP(B477,'[2]Gas Prod per PADD'!$A$1:$C$6,2,FALSE)</f>
        <v>8.9673913043478264E-3</v>
      </c>
      <c r="E477" s="251">
        <v>45672</v>
      </c>
      <c r="F477" s="252">
        <v>45686</v>
      </c>
      <c r="G477" s="180" t="s">
        <v>841</v>
      </c>
      <c r="H477" s="181" t="s">
        <v>842</v>
      </c>
      <c r="I477" s="84"/>
      <c r="J477" s="85"/>
      <c r="K477" s="85"/>
      <c r="L477" s="85"/>
      <c r="M477" s="85"/>
      <c r="N477" s="85"/>
      <c r="O477" s="85"/>
      <c r="P477" s="85">
        <f t="shared" si="19"/>
        <v>-18.629032258064516</v>
      </c>
      <c r="Q477" s="85"/>
      <c r="R477" s="85"/>
      <c r="S477" s="85"/>
      <c r="T477" s="85"/>
      <c r="U477" s="85"/>
      <c r="V477" s="84"/>
      <c r="W477" s="84"/>
      <c r="X477" s="84" t="str">
        <f t="shared" si="18"/>
        <v>OK</v>
      </c>
      <c r="Y477" s="87"/>
      <c r="Z477" s="87"/>
      <c r="AA477" s="87"/>
      <c r="AB477" s="87"/>
      <c r="AC477" s="87"/>
      <c r="AD477" s="87"/>
      <c r="AE477" s="87"/>
      <c r="AF477" s="87"/>
      <c r="AG477" s="87"/>
      <c r="AH477" s="87"/>
      <c r="AI477" s="87"/>
      <c r="AJ477" s="87"/>
      <c r="AK477" s="87"/>
      <c r="AL477" s="87"/>
      <c r="AM477" s="87"/>
      <c r="AN477" s="87"/>
      <c r="AO477" s="87"/>
      <c r="AP477" s="87"/>
      <c r="AQ477" s="87"/>
      <c r="AR477" s="87"/>
      <c r="AS477" s="87"/>
      <c r="AT477" s="87"/>
      <c r="AU477" s="87"/>
      <c r="AV477" s="87"/>
      <c r="AW477" s="87"/>
      <c r="AX477" s="87"/>
      <c r="AY477" s="87"/>
      <c r="AZ477" s="87"/>
      <c r="BA477" s="87"/>
      <c r="BB477" s="87"/>
      <c r="BC477" s="87"/>
      <c r="BD477" s="87"/>
      <c r="BE477" s="87"/>
      <c r="BF477" s="87"/>
      <c r="BG477" s="87"/>
      <c r="BH477" s="87"/>
      <c r="BI477" s="87"/>
      <c r="BJ477" s="87"/>
      <c r="BK477" s="87"/>
      <c r="BL477" s="87"/>
      <c r="BM477" s="87"/>
      <c r="BN477" s="87"/>
      <c r="BO477" s="87"/>
      <c r="BP477" s="87"/>
      <c r="BQ477" s="87"/>
      <c r="BR477" s="87"/>
      <c r="BS477" s="87"/>
      <c r="BT477" s="87"/>
      <c r="BU477" s="87"/>
      <c r="BV477" s="87"/>
      <c r="BW477" s="87"/>
      <c r="BX477" s="87"/>
      <c r="BY477" s="87"/>
      <c r="BZ477" s="87"/>
      <c r="CA477" s="87"/>
      <c r="CB477" s="87"/>
      <c r="CC477" s="87"/>
      <c r="CD477" s="87"/>
      <c r="CE477" s="87"/>
      <c r="CF477" s="87"/>
      <c r="CG477" s="87"/>
      <c r="CH477" s="87"/>
      <c r="CI477" s="87"/>
      <c r="CJ477" s="87">
        <f>-2/7*C477</f>
        <v>-11.785714285714285</v>
      </c>
      <c r="CK477" s="87">
        <f>-C477*5/7</f>
        <v>-29.464285714285715</v>
      </c>
      <c r="CL477" s="87"/>
      <c r="CM477" s="87">
        <f t="shared" ref="CM477:CM482" si="20">-CK477</f>
        <v>29.464285714285715</v>
      </c>
      <c r="CN477" s="87">
        <f>-CJ477</f>
        <v>11.785714285714285</v>
      </c>
      <c r="CO477" s="87"/>
      <c r="CP477" s="87"/>
      <c r="CQ477" s="87"/>
      <c r="CR477" s="87"/>
      <c r="CS477" s="87"/>
      <c r="CT477" s="87"/>
      <c r="CU477" s="87"/>
      <c r="CV477" s="87"/>
      <c r="CW477" s="87"/>
      <c r="CX477" s="87"/>
      <c r="CY477" s="87"/>
      <c r="CZ477" s="87"/>
      <c r="DA477" s="87"/>
      <c r="DB477" s="87"/>
      <c r="DC477" s="87"/>
      <c r="DD477" s="87"/>
      <c r="DE477" s="87"/>
      <c r="DF477" s="87"/>
      <c r="DG477" s="87"/>
      <c r="DH477" s="87"/>
      <c r="DI477" s="87"/>
      <c r="DJ477" s="87"/>
      <c r="DK477" s="87"/>
      <c r="DL477" s="87"/>
      <c r="DM477" s="87"/>
      <c r="DN477" s="87"/>
      <c r="DO477" s="87"/>
      <c r="DP477" s="87"/>
      <c r="DQ477" s="87"/>
      <c r="DR477" s="87"/>
      <c r="DS477" s="87"/>
      <c r="DT477" s="87"/>
      <c r="DU477" s="87"/>
      <c r="DV477" s="87"/>
      <c r="DW477" s="87"/>
      <c r="DX477" s="87"/>
      <c r="DY477" s="87"/>
      <c r="DZ477" s="87"/>
      <c r="EA477" s="87"/>
      <c r="EB477" s="87"/>
      <c r="EC477" s="87"/>
      <c r="ED477" s="87"/>
      <c r="EE477" s="87"/>
      <c r="EF477" s="87"/>
      <c r="EG477" s="87"/>
      <c r="EH477" s="87"/>
      <c r="EI477" s="87"/>
    </row>
    <row r="478" spans="1:139" ht="43.5" hidden="1" thickBot="1" x14ac:dyDescent="0.35">
      <c r="A478" s="218" t="s">
        <v>843</v>
      </c>
      <c r="B478" s="194">
        <v>5</v>
      </c>
      <c r="C478" s="195">
        <f>8.5*0.25</f>
        <v>2.125</v>
      </c>
      <c r="D478" s="217">
        <f>C478/VLOOKUP(B478,'[2]Gas Prod per PADD'!$A$1:$C$6,2,FALSE)</f>
        <v>1.5740740740740741E-3</v>
      </c>
      <c r="E478" s="196">
        <v>45677</v>
      </c>
      <c r="F478" s="197">
        <v>45686</v>
      </c>
      <c r="G478" s="331" t="s">
        <v>844</v>
      </c>
      <c r="H478" s="198" t="s">
        <v>625</v>
      </c>
      <c r="I478" s="84"/>
      <c r="J478" s="85"/>
      <c r="K478" s="85"/>
      <c r="L478" s="85"/>
      <c r="M478" s="85"/>
      <c r="N478" s="85"/>
      <c r="O478" s="85"/>
      <c r="P478" s="85">
        <f t="shared" si="19"/>
        <v>-0.61693548387096775</v>
      </c>
      <c r="Q478" s="85"/>
      <c r="R478" s="85"/>
      <c r="S478" s="85"/>
      <c r="T478" s="85"/>
      <c r="U478" s="85"/>
      <c r="V478" s="84"/>
      <c r="W478" s="84"/>
      <c r="X478" s="84" t="str">
        <f t="shared" si="18"/>
        <v>OK</v>
      </c>
      <c r="Y478" s="87"/>
      <c r="Z478" s="87"/>
      <c r="AA478" s="87"/>
      <c r="AB478" s="87"/>
      <c r="AC478" s="87"/>
      <c r="AD478" s="87"/>
      <c r="AE478" s="87"/>
      <c r="AF478" s="87"/>
      <c r="AG478" s="87"/>
      <c r="AH478" s="87"/>
      <c r="AI478" s="87"/>
      <c r="AJ478" s="105"/>
      <c r="AK478" s="105"/>
      <c r="AL478" s="105"/>
      <c r="AM478" s="87"/>
      <c r="AN478" s="87"/>
      <c r="AO478" s="87"/>
      <c r="AP478" s="87"/>
      <c r="AQ478" s="87"/>
      <c r="AR478" s="87"/>
      <c r="AS478" s="87"/>
      <c r="AT478" s="87"/>
      <c r="AU478" s="87"/>
      <c r="AV478" s="87"/>
      <c r="AW478" s="87"/>
      <c r="AX478" s="87"/>
      <c r="AY478" s="87"/>
      <c r="AZ478" s="87"/>
      <c r="BA478" s="87"/>
      <c r="BB478" s="87"/>
      <c r="BC478" s="87"/>
      <c r="BD478" s="87"/>
      <c r="BE478" s="87"/>
      <c r="BF478" s="87"/>
      <c r="BG478" s="87"/>
      <c r="BH478" s="87"/>
      <c r="BI478" s="87"/>
      <c r="BJ478" s="87"/>
      <c r="BK478" s="87"/>
      <c r="BL478" s="87"/>
      <c r="BM478" s="87"/>
      <c r="BN478" s="87"/>
      <c r="BO478" s="87"/>
      <c r="BP478" s="87"/>
      <c r="BQ478" s="87"/>
      <c r="BR478" s="87"/>
      <c r="BS478" s="87"/>
      <c r="BT478" s="87"/>
      <c r="BU478" s="87"/>
      <c r="BV478" s="87"/>
      <c r="BW478" s="87"/>
      <c r="BX478" s="87"/>
      <c r="BY478" s="87"/>
      <c r="BZ478" s="87"/>
      <c r="CA478" s="87"/>
      <c r="CB478" s="87"/>
      <c r="CC478" s="87"/>
      <c r="CD478" s="87"/>
      <c r="CE478" s="87"/>
      <c r="CF478" s="87"/>
      <c r="CG478" s="87"/>
      <c r="CH478" s="87"/>
      <c r="CI478" s="87"/>
      <c r="CJ478" s="87"/>
      <c r="CK478" s="87">
        <f>-4/7*C478</f>
        <v>-1.2142857142857142</v>
      </c>
      <c r="CL478" s="87"/>
      <c r="CM478" s="87">
        <f t="shared" si="20"/>
        <v>1.2142857142857142</v>
      </c>
      <c r="CN478" s="87"/>
      <c r="CO478" s="87"/>
      <c r="CP478" s="87"/>
      <c r="CQ478" s="87"/>
      <c r="CR478" s="87"/>
      <c r="CS478" s="87"/>
      <c r="CT478" s="87"/>
      <c r="CU478" s="87"/>
      <c r="CV478" s="87"/>
      <c r="CW478" s="87"/>
      <c r="CX478" s="87"/>
      <c r="CY478" s="87"/>
      <c r="CZ478" s="87"/>
      <c r="DA478" s="87"/>
      <c r="DB478" s="87"/>
      <c r="DC478" s="87"/>
      <c r="DD478" s="87"/>
      <c r="DE478" s="87"/>
      <c r="DF478" s="87"/>
      <c r="DG478" s="87"/>
      <c r="DH478" s="87"/>
      <c r="DI478" s="87"/>
      <c r="DJ478" s="87"/>
      <c r="DK478" s="87"/>
      <c r="DL478" s="87"/>
      <c r="DM478" s="87"/>
      <c r="DN478" s="87"/>
      <c r="DO478" s="87"/>
      <c r="DP478" s="87"/>
      <c r="DQ478" s="87"/>
      <c r="DR478" s="87"/>
      <c r="DS478" s="87"/>
      <c r="DT478" s="87"/>
      <c r="DU478" s="87"/>
      <c r="DV478" s="87"/>
      <c r="DW478" s="87"/>
      <c r="DX478" s="87"/>
      <c r="DY478" s="87"/>
      <c r="DZ478" s="87"/>
      <c r="EA478" s="87"/>
      <c r="EB478" s="87"/>
      <c r="EC478" s="87"/>
      <c r="ED478" s="87"/>
      <c r="EE478" s="87"/>
      <c r="EF478" s="87"/>
      <c r="EG478" s="75">
        <v>46017</v>
      </c>
      <c r="EH478" s="75">
        <v>46024</v>
      </c>
      <c r="EI478" s="75">
        <v>46031</v>
      </c>
    </row>
    <row r="479" spans="1:139" ht="16.5" hidden="1" thickBot="1" x14ac:dyDescent="0.35">
      <c r="A479" s="315" t="s">
        <v>334</v>
      </c>
      <c r="B479" s="316">
        <v>3</v>
      </c>
      <c r="C479" s="309">
        <f>73*0.25</f>
        <v>18.25</v>
      </c>
      <c r="D479" s="310">
        <f>C479/VLOOKUP(B479,'[2]Gas Prod per PADD'!$A$1:$C$6,2,FALSE)</f>
        <v>3.9673913043478263E-3</v>
      </c>
      <c r="E479" s="311">
        <v>45677</v>
      </c>
      <c r="F479" s="252">
        <v>45686</v>
      </c>
      <c r="G479" s="313" t="s">
        <v>705</v>
      </c>
      <c r="H479" s="332" t="s">
        <v>836</v>
      </c>
      <c r="I479" s="84"/>
      <c r="J479" s="85"/>
      <c r="K479" s="85"/>
      <c r="L479" s="85"/>
      <c r="M479" s="85"/>
      <c r="N479" s="85"/>
      <c r="O479" s="85"/>
      <c r="P479" s="85">
        <f t="shared" si="19"/>
        <v>-5.2983870967741939</v>
      </c>
      <c r="Q479" s="85"/>
      <c r="R479" s="85"/>
      <c r="S479" s="85"/>
      <c r="T479" s="85"/>
      <c r="U479" s="85"/>
      <c r="V479" s="84"/>
      <c r="W479" s="84"/>
      <c r="X479" s="84" t="str">
        <f t="shared" si="18"/>
        <v>OK</v>
      </c>
      <c r="Y479" s="87"/>
      <c r="Z479" s="87"/>
      <c r="AA479" s="87"/>
      <c r="AB479" s="87"/>
      <c r="AC479" s="87"/>
      <c r="AD479" s="87"/>
      <c r="AE479" s="87"/>
      <c r="AF479" s="87"/>
      <c r="AG479" s="87"/>
      <c r="AH479" s="87"/>
      <c r="AI479" s="87"/>
      <c r="AJ479" s="87"/>
      <c r="AK479" s="87"/>
      <c r="AL479" s="87"/>
      <c r="AM479" s="87"/>
      <c r="AN479" s="87"/>
      <c r="AO479" s="87"/>
      <c r="AP479" s="87"/>
      <c r="AQ479" s="87"/>
      <c r="AR479" s="87"/>
      <c r="AS479" s="87"/>
      <c r="AT479" s="87"/>
      <c r="AU479" s="87"/>
      <c r="AV479" s="87"/>
      <c r="AW479" s="87"/>
      <c r="AX479" s="87"/>
      <c r="AY479" s="87"/>
      <c r="AZ479" s="87"/>
      <c r="BA479" s="87"/>
      <c r="BB479" s="87"/>
      <c r="BC479" s="87"/>
      <c r="BD479" s="87"/>
      <c r="BE479" s="87"/>
      <c r="BF479" s="87"/>
      <c r="BG479" s="87"/>
      <c r="BH479" s="87"/>
      <c r="BI479" s="87"/>
      <c r="BJ479" s="87"/>
      <c r="BK479" s="87"/>
      <c r="BL479" s="87"/>
      <c r="BM479" s="87"/>
      <c r="BN479" s="87"/>
      <c r="BO479" s="87"/>
      <c r="BP479" s="87"/>
      <c r="BQ479" s="87"/>
      <c r="BR479" s="87"/>
      <c r="BS479" s="87"/>
      <c r="BT479" s="87"/>
      <c r="BU479" s="87"/>
      <c r="BV479" s="87"/>
      <c r="BW479" s="87"/>
      <c r="BX479" s="87"/>
      <c r="BY479" s="87"/>
      <c r="BZ479" s="87"/>
      <c r="CA479" s="87"/>
      <c r="CB479" s="87"/>
      <c r="CC479" s="87"/>
      <c r="CD479" s="87"/>
      <c r="CE479" s="87"/>
      <c r="CF479" s="87"/>
      <c r="CG479" s="87"/>
      <c r="CH479" s="87"/>
      <c r="CI479" s="87"/>
      <c r="CJ479" s="87"/>
      <c r="CK479" s="87">
        <f>-4/7*C479</f>
        <v>-10.428571428571429</v>
      </c>
      <c r="CL479" s="87"/>
      <c r="CM479" s="87">
        <f t="shared" si="20"/>
        <v>10.428571428571429</v>
      </c>
      <c r="CN479" s="87"/>
      <c r="CO479" s="87"/>
      <c r="CP479" s="87"/>
      <c r="CQ479" s="87"/>
      <c r="CR479" s="87"/>
      <c r="CS479" s="87"/>
      <c r="CT479" s="87"/>
      <c r="CU479" s="87"/>
      <c r="CV479" s="87"/>
      <c r="CW479" s="87"/>
      <c r="CX479" s="87"/>
      <c r="CY479" s="87"/>
      <c r="CZ479" s="87"/>
      <c r="DA479" s="87"/>
      <c r="DB479" s="87"/>
      <c r="DC479" s="87"/>
      <c r="DD479" s="87"/>
      <c r="DE479" s="87"/>
      <c r="DF479" s="87"/>
      <c r="DG479" s="87"/>
      <c r="DH479" s="87"/>
      <c r="DI479" s="87"/>
      <c r="DJ479" s="87"/>
      <c r="DK479" s="87"/>
      <c r="DL479" s="87"/>
      <c r="DM479" s="87"/>
      <c r="DN479" s="87"/>
      <c r="DO479" s="87"/>
      <c r="DP479" s="87"/>
      <c r="DQ479" s="87"/>
      <c r="DR479" s="87"/>
      <c r="DS479" s="87"/>
      <c r="DT479" s="87"/>
      <c r="DU479" s="87"/>
      <c r="DV479" s="87"/>
      <c r="DW479" s="87"/>
      <c r="DX479" s="87"/>
      <c r="DY479" s="87"/>
      <c r="DZ479" s="87"/>
      <c r="EA479" s="87"/>
      <c r="EB479" s="87"/>
      <c r="EC479" s="87"/>
      <c r="ED479" s="87"/>
      <c r="EE479" s="87"/>
      <c r="EF479" s="87"/>
      <c r="EG479" s="87"/>
      <c r="EH479" s="87"/>
      <c r="EI479" s="87"/>
    </row>
    <row r="480" spans="1:139" ht="16.5" hidden="1" thickBot="1" x14ac:dyDescent="0.35">
      <c r="A480" s="323" t="s">
        <v>266</v>
      </c>
      <c r="B480" s="316">
        <v>3</v>
      </c>
      <c r="C480" s="318">
        <f>65*0.25</f>
        <v>16.25</v>
      </c>
      <c r="D480" s="310">
        <f>C480/VLOOKUP(B480,'[2]Gas Prod per PADD'!$A$1:$C$6,2,FALSE)</f>
        <v>3.5326086956521739E-3</v>
      </c>
      <c r="E480" s="319">
        <v>45679</v>
      </c>
      <c r="F480" s="320">
        <f>E480+7</f>
        <v>45686</v>
      </c>
      <c r="G480" s="321" t="s">
        <v>829</v>
      </c>
      <c r="H480" s="322" t="s">
        <v>838</v>
      </c>
      <c r="I480" s="84"/>
      <c r="J480" s="85"/>
      <c r="K480" s="85"/>
      <c r="L480" s="85"/>
      <c r="M480" s="85"/>
      <c r="N480" s="85"/>
      <c r="O480" s="85"/>
      <c r="P480" s="85">
        <f t="shared" si="19"/>
        <v>-3.6693548387096775</v>
      </c>
      <c r="Q480" s="85"/>
      <c r="R480" s="85"/>
      <c r="S480" s="85"/>
      <c r="T480" s="85"/>
      <c r="U480" s="85"/>
      <c r="V480" s="84"/>
      <c r="W480" s="84"/>
      <c r="X480" s="84" t="str">
        <f t="shared" si="18"/>
        <v>OK</v>
      </c>
      <c r="Y480" s="87"/>
      <c r="Z480" s="87"/>
      <c r="AA480" s="87"/>
      <c r="AB480" s="87"/>
      <c r="AC480" s="87"/>
      <c r="AD480" s="87"/>
      <c r="AE480" s="87"/>
      <c r="AF480" s="87"/>
      <c r="AG480" s="87"/>
      <c r="AH480" s="87"/>
      <c r="AI480" s="87"/>
      <c r="AJ480" s="87"/>
      <c r="AK480" s="87"/>
      <c r="AL480" s="87"/>
      <c r="AM480" s="87"/>
      <c r="AN480" s="87"/>
      <c r="AO480" s="87"/>
      <c r="AP480" s="87"/>
      <c r="AQ480" s="87"/>
      <c r="AR480" s="87"/>
      <c r="AS480" s="87"/>
      <c r="AT480" s="87"/>
      <c r="AU480" s="87"/>
      <c r="AV480" s="87"/>
      <c r="AW480" s="87"/>
      <c r="AX480" s="87"/>
      <c r="AY480" s="87"/>
      <c r="AZ480" s="87"/>
      <c r="BA480" s="87"/>
      <c r="BB480" s="87"/>
      <c r="BC480" s="87"/>
      <c r="BD480" s="87"/>
      <c r="BE480" s="87"/>
      <c r="BF480" s="87"/>
      <c r="BG480" s="87"/>
      <c r="BH480" s="87"/>
      <c r="BI480" s="87"/>
      <c r="BJ480" s="87"/>
      <c r="BK480" s="87"/>
      <c r="BL480" s="87"/>
      <c r="BM480" s="87"/>
      <c r="BN480" s="87"/>
      <c r="BO480" s="87"/>
      <c r="BP480" s="87"/>
      <c r="BQ480" s="87"/>
      <c r="BR480" s="87"/>
      <c r="BS480" s="87"/>
      <c r="BT480" s="87"/>
      <c r="BU480" s="87"/>
      <c r="BV480" s="87"/>
      <c r="BW480" s="87"/>
      <c r="BX480" s="87"/>
      <c r="BY480" s="87"/>
      <c r="BZ480" s="87"/>
      <c r="CA480" s="87"/>
      <c r="CB480" s="87"/>
      <c r="CC480" s="87"/>
      <c r="CD480" s="87"/>
      <c r="CE480" s="87"/>
      <c r="CF480" s="87"/>
      <c r="CG480" s="87"/>
      <c r="CH480" s="87"/>
      <c r="CI480" s="87"/>
      <c r="CJ480" s="87"/>
      <c r="CK480" s="87">
        <f>-3/7*C480</f>
        <v>-6.9642857142857135</v>
      </c>
      <c r="CL480" s="87"/>
      <c r="CM480" s="87">
        <f t="shared" si="20"/>
        <v>6.9642857142857135</v>
      </c>
      <c r="CN480" s="87"/>
      <c r="CO480" s="87"/>
      <c r="CP480" s="87"/>
      <c r="CQ480" s="87"/>
      <c r="CR480" s="87"/>
      <c r="CS480" s="87"/>
      <c r="CT480" s="87"/>
      <c r="CU480" s="87"/>
      <c r="CV480" s="87"/>
      <c r="CW480" s="87"/>
      <c r="CX480" s="87"/>
      <c r="CY480" s="87"/>
      <c r="CZ480" s="87"/>
      <c r="DA480" s="87"/>
      <c r="DB480" s="87"/>
      <c r="DC480" s="87"/>
      <c r="DD480" s="87"/>
      <c r="DE480" s="87"/>
      <c r="DF480" s="87"/>
      <c r="DG480" s="87"/>
      <c r="DH480" s="87"/>
      <c r="DI480" s="87"/>
      <c r="DJ480" s="87"/>
      <c r="DK480" s="87"/>
      <c r="DL480" s="87"/>
      <c r="DM480" s="87"/>
      <c r="DN480" s="87"/>
      <c r="DO480" s="87"/>
      <c r="DP480" s="87"/>
      <c r="DQ480" s="87"/>
      <c r="DR480" s="87"/>
      <c r="DS480" s="87"/>
      <c r="DT480" s="87"/>
      <c r="DU480" s="87"/>
      <c r="DV480" s="87"/>
      <c r="DW480" s="87"/>
      <c r="DX480" s="87"/>
      <c r="DY480" s="87"/>
      <c r="DZ480" s="87"/>
      <c r="EA480" s="87"/>
      <c r="EB480" s="87"/>
      <c r="EC480" s="87"/>
      <c r="ED480" s="87"/>
      <c r="EE480" s="87"/>
      <c r="EF480" s="87"/>
      <c r="EG480" s="87"/>
      <c r="EH480" s="87"/>
      <c r="EI480" s="87"/>
    </row>
    <row r="481" spans="1:139" ht="16.5" hidden="1" thickBot="1" x14ac:dyDescent="0.35">
      <c r="A481" s="323" t="s">
        <v>330</v>
      </c>
      <c r="B481" s="316">
        <v>3</v>
      </c>
      <c r="C481" s="318">
        <f>35*0.25</f>
        <v>8.75</v>
      </c>
      <c r="D481" s="310">
        <f>C481/VLOOKUP(B481,'[2]Gas Prod per PADD'!$A$1:$C$6,2,FALSE)</f>
        <v>1.9021739130434783E-3</v>
      </c>
      <c r="E481" s="319">
        <v>45679</v>
      </c>
      <c r="F481" s="320">
        <f>E481+7</f>
        <v>45686</v>
      </c>
      <c r="G481" s="321" t="s">
        <v>829</v>
      </c>
      <c r="H481" s="322" t="s">
        <v>838</v>
      </c>
      <c r="I481" s="84"/>
      <c r="J481" s="85"/>
      <c r="K481" s="85"/>
      <c r="L481" s="85"/>
      <c r="M481" s="85"/>
      <c r="N481" s="85"/>
      <c r="O481" s="85"/>
      <c r="P481" s="85">
        <f t="shared" si="19"/>
        <v>-1.9758064516129032</v>
      </c>
      <c r="Q481" s="85"/>
      <c r="R481" s="85"/>
      <c r="S481" s="85"/>
      <c r="T481" s="85"/>
      <c r="U481" s="85"/>
      <c r="V481" s="84"/>
      <c r="W481" s="84"/>
      <c r="X481" s="84" t="str">
        <f t="shared" si="18"/>
        <v>OK</v>
      </c>
      <c r="Y481" s="87"/>
      <c r="Z481" s="87"/>
      <c r="AA481" s="87"/>
      <c r="AB481" s="87"/>
      <c r="AC481" s="87"/>
      <c r="AD481" s="87"/>
      <c r="AE481" s="87"/>
      <c r="AF481" s="87"/>
      <c r="AG481" s="87"/>
      <c r="AH481" s="87"/>
      <c r="AI481" s="87"/>
      <c r="AJ481" s="87"/>
      <c r="AK481" s="87"/>
      <c r="AL481" s="87"/>
      <c r="AM481" s="87"/>
      <c r="AN481" s="87"/>
      <c r="AO481" s="87"/>
      <c r="AP481" s="87"/>
      <c r="AQ481" s="87"/>
      <c r="AR481" s="87"/>
      <c r="AS481" s="87"/>
      <c r="AT481" s="87"/>
      <c r="AU481" s="87"/>
      <c r="AV481" s="87"/>
      <c r="AW481" s="87"/>
      <c r="AX481" s="87"/>
      <c r="AY481" s="87"/>
      <c r="AZ481" s="87"/>
      <c r="BA481" s="87"/>
      <c r="BB481" s="87"/>
      <c r="BC481" s="87"/>
      <c r="BD481" s="87"/>
      <c r="BE481" s="87"/>
      <c r="BF481" s="87"/>
      <c r="BG481" s="87"/>
      <c r="BH481" s="87"/>
      <c r="BI481" s="87"/>
      <c r="BJ481" s="87"/>
      <c r="BK481" s="87"/>
      <c r="BL481" s="87"/>
      <c r="BM481" s="87"/>
      <c r="BN481" s="87"/>
      <c r="BO481" s="87"/>
      <c r="BP481" s="87"/>
      <c r="BQ481" s="87"/>
      <c r="BR481" s="87"/>
      <c r="BS481" s="87"/>
      <c r="BT481" s="87"/>
      <c r="BU481" s="87"/>
      <c r="BV481" s="87"/>
      <c r="BW481" s="87"/>
      <c r="BX481" s="87"/>
      <c r="BY481" s="87"/>
      <c r="BZ481" s="87"/>
      <c r="CA481" s="87"/>
      <c r="CB481" s="87"/>
      <c r="CC481" s="87"/>
      <c r="CD481" s="87"/>
      <c r="CE481" s="87"/>
      <c r="CF481" s="87"/>
      <c r="CG481" s="87"/>
      <c r="CH481" s="87"/>
      <c r="CI481" s="87"/>
      <c r="CJ481" s="87"/>
      <c r="CK481" s="87">
        <f>-3/7*C481</f>
        <v>-3.75</v>
      </c>
      <c r="CL481" s="87"/>
      <c r="CM481" s="87">
        <f t="shared" si="20"/>
        <v>3.75</v>
      </c>
      <c r="CN481" s="87"/>
      <c r="CO481" s="87"/>
      <c r="CP481" s="87"/>
      <c r="CQ481" s="87"/>
      <c r="CR481" s="87"/>
      <c r="CS481" s="87"/>
      <c r="CT481" s="87"/>
      <c r="CU481" s="87"/>
      <c r="CV481" s="87"/>
      <c r="CW481" s="87"/>
      <c r="CX481" s="87"/>
      <c r="CY481" s="87"/>
      <c r="CZ481" s="87"/>
      <c r="DA481" s="87"/>
      <c r="DB481" s="87"/>
      <c r="DC481" s="87"/>
      <c r="DD481" s="87"/>
      <c r="DE481" s="87"/>
      <c r="DF481" s="87"/>
      <c r="DG481" s="87"/>
      <c r="DH481" s="87"/>
      <c r="DI481" s="87"/>
      <c r="DJ481" s="87"/>
      <c r="DK481" s="87"/>
      <c r="DL481" s="87"/>
      <c r="DM481" s="87"/>
      <c r="DN481" s="87"/>
      <c r="DO481" s="87"/>
      <c r="DP481" s="87"/>
      <c r="DQ481" s="87"/>
      <c r="DR481" s="87"/>
      <c r="DS481" s="87"/>
      <c r="DT481" s="87"/>
      <c r="DU481" s="87"/>
      <c r="DV481" s="87"/>
      <c r="DW481" s="87"/>
      <c r="DX481" s="87"/>
      <c r="DY481" s="87"/>
      <c r="DZ481" s="87"/>
      <c r="EA481" s="87"/>
      <c r="EB481" s="87"/>
      <c r="EC481" s="87"/>
      <c r="ED481" s="87"/>
      <c r="EE481" s="87"/>
      <c r="EF481" s="87"/>
      <c r="EG481" s="87"/>
      <c r="EH481" s="87"/>
      <c r="EI481" s="87"/>
    </row>
    <row r="482" spans="1:139" ht="16.5" hidden="1" thickBot="1" x14ac:dyDescent="0.35">
      <c r="A482" s="323" t="s">
        <v>336</v>
      </c>
      <c r="B482" s="316">
        <v>3</v>
      </c>
      <c r="C482" s="318">
        <f>70*0.25</f>
        <v>17.5</v>
      </c>
      <c r="D482" s="310">
        <f>C482/VLOOKUP(B482,'[2]Gas Prod per PADD'!$A$1:$C$6,2,FALSE)</f>
        <v>3.8043478260869567E-3</v>
      </c>
      <c r="E482" s="319">
        <v>45679</v>
      </c>
      <c r="F482" s="320">
        <f>E482+7</f>
        <v>45686</v>
      </c>
      <c r="G482" s="321" t="s">
        <v>829</v>
      </c>
      <c r="H482" s="322" t="s">
        <v>838</v>
      </c>
      <c r="I482" s="84"/>
      <c r="J482" s="85"/>
      <c r="K482" s="85"/>
      <c r="L482" s="85"/>
      <c r="M482" s="85"/>
      <c r="N482" s="85"/>
      <c r="O482" s="85"/>
      <c r="P482" s="85">
        <f t="shared" si="19"/>
        <v>-3.9516129032258065</v>
      </c>
      <c r="Q482" s="85"/>
      <c r="R482" s="85"/>
      <c r="S482" s="85"/>
      <c r="T482" s="85"/>
      <c r="U482" s="85"/>
      <c r="V482" s="84"/>
      <c r="W482" s="84"/>
      <c r="X482" s="84" t="str">
        <f t="shared" si="18"/>
        <v>OK</v>
      </c>
      <c r="Y482" s="87"/>
      <c r="Z482" s="87"/>
      <c r="AA482" s="87"/>
      <c r="AB482" s="87"/>
      <c r="AC482" s="87"/>
      <c r="AD482" s="87"/>
      <c r="AE482" s="87"/>
      <c r="AF482" s="87"/>
      <c r="AG482" s="87"/>
      <c r="AH482" s="87"/>
      <c r="AI482" s="87"/>
      <c r="AJ482" s="87"/>
      <c r="AK482" s="87"/>
      <c r="AL482" s="87"/>
      <c r="AM482" s="87"/>
      <c r="AN482" s="87"/>
      <c r="AO482" s="87"/>
      <c r="AP482" s="87"/>
      <c r="AQ482" s="87"/>
      <c r="AR482" s="87"/>
      <c r="AS482" s="87"/>
      <c r="AT482" s="87"/>
      <c r="AU482" s="87"/>
      <c r="AV482" s="87"/>
      <c r="AW482" s="87"/>
      <c r="AX482" s="87"/>
      <c r="AY482" s="87"/>
      <c r="AZ482" s="87"/>
      <c r="BA482" s="87"/>
      <c r="BB482" s="87"/>
      <c r="BC482" s="87"/>
      <c r="BD482" s="87"/>
      <c r="BE482" s="87"/>
      <c r="BF482" s="87"/>
      <c r="BG482" s="87"/>
      <c r="BH482" s="87"/>
      <c r="BI482" s="87"/>
      <c r="BJ482" s="87"/>
      <c r="BK482" s="87"/>
      <c r="BL482" s="87"/>
      <c r="BM482" s="87"/>
      <c r="BN482" s="87"/>
      <c r="BO482" s="87"/>
      <c r="BP482" s="87"/>
      <c r="BQ482" s="87"/>
      <c r="BR482" s="87"/>
      <c r="BS482" s="87"/>
      <c r="BT482" s="87"/>
      <c r="BU482" s="87"/>
      <c r="BV482" s="87"/>
      <c r="BW482" s="87"/>
      <c r="BX482" s="87"/>
      <c r="BY482" s="87"/>
      <c r="BZ482" s="87"/>
      <c r="CA482" s="87"/>
      <c r="CB482" s="87"/>
      <c r="CC482" s="87"/>
      <c r="CD482" s="87"/>
      <c r="CE482" s="87"/>
      <c r="CF482" s="87"/>
      <c r="CG482" s="87"/>
      <c r="CH482" s="87"/>
      <c r="CI482" s="87"/>
      <c r="CJ482" s="87"/>
      <c r="CK482" s="87">
        <f>-3/7*C482</f>
        <v>-7.5</v>
      </c>
      <c r="CL482" s="87"/>
      <c r="CM482" s="87">
        <f t="shared" si="20"/>
        <v>7.5</v>
      </c>
      <c r="CN482" s="87"/>
      <c r="CO482" s="87"/>
      <c r="CP482" s="87"/>
      <c r="CQ482" s="87"/>
      <c r="CR482" s="87"/>
      <c r="CS482" s="87"/>
      <c r="CT482" s="87"/>
      <c r="CU482" s="87"/>
      <c r="CV482" s="87"/>
      <c r="CW482" s="87"/>
      <c r="CX482" s="87"/>
      <c r="CY482" s="87"/>
      <c r="CZ482" s="87"/>
      <c r="DA482" s="87"/>
      <c r="DB482" s="87"/>
      <c r="DC482" s="87"/>
      <c r="DD482" s="87"/>
      <c r="DE482" s="87"/>
      <c r="DF482" s="87"/>
      <c r="DG482" s="87"/>
      <c r="DH482" s="87"/>
      <c r="DI482" s="87"/>
      <c r="DJ482" s="87"/>
      <c r="DK482" s="87"/>
      <c r="DL482" s="87"/>
      <c r="DM482" s="87"/>
      <c r="DN482" s="87"/>
      <c r="DO482" s="87"/>
      <c r="DP482" s="87"/>
      <c r="DQ482" s="87"/>
      <c r="DR482" s="87"/>
      <c r="DS482" s="87"/>
      <c r="DT482" s="87"/>
      <c r="DU482" s="87"/>
      <c r="DV482" s="87"/>
      <c r="DW482" s="87"/>
      <c r="DX482" s="87"/>
      <c r="DY482" s="87"/>
      <c r="DZ482" s="87"/>
      <c r="EA482" s="87"/>
      <c r="EB482" s="87"/>
      <c r="EC482" s="87"/>
      <c r="ED482" s="87"/>
      <c r="EE482" s="87"/>
      <c r="EF482" s="87"/>
      <c r="EG482" s="87"/>
      <c r="EH482" s="87"/>
      <c r="EI482" s="87"/>
    </row>
    <row r="483" spans="1:139" ht="16.5" hidden="1" thickBot="1" x14ac:dyDescent="0.35">
      <c r="A483" s="175" t="s">
        <v>256</v>
      </c>
      <c r="B483" s="176">
        <v>1</v>
      </c>
      <c r="C483" s="177">
        <f>22*0.95</f>
        <v>20.9</v>
      </c>
      <c r="D483" s="217">
        <f>C483/VLOOKUP(B483,'[2]Gas Prod per PADD'!$A$1:$C$6,2,FALSE)</f>
        <v>4.3541666666666666E-2</v>
      </c>
      <c r="E483" s="253">
        <v>45659</v>
      </c>
      <c r="F483" s="252">
        <v>45688</v>
      </c>
      <c r="G483" s="180" t="s">
        <v>845</v>
      </c>
      <c r="H483" s="181" t="s">
        <v>846</v>
      </c>
      <c r="I483" s="305"/>
      <c r="J483" s="306"/>
      <c r="K483" s="306"/>
      <c r="L483" s="306"/>
      <c r="M483" s="306"/>
      <c r="N483" s="306"/>
      <c r="O483" s="306"/>
      <c r="P483" s="85">
        <f t="shared" si="19"/>
        <v>-19.551612903225802</v>
      </c>
      <c r="Q483" s="306"/>
      <c r="R483" s="306"/>
      <c r="S483" s="306"/>
      <c r="T483" s="85"/>
      <c r="U483" s="85"/>
      <c r="V483" s="84"/>
      <c r="W483" s="84"/>
      <c r="X483" s="84" t="str">
        <f t="shared" si="18"/>
        <v>OK</v>
      </c>
      <c r="Y483" s="105"/>
      <c r="Z483" s="105"/>
      <c r="AA483" s="87"/>
      <c r="AB483" s="87"/>
      <c r="AC483" s="87"/>
      <c r="AD483" s="87"/>
      <c r="AE483" s="105"/>
      <c r="AF483" s="105"/>
      <c r="AG483" s="105"/>
      <c r="AH483" s="105"/>
      <c r="AI483" s="87"/>
      <c r="AJ483" s="87"/>
      <c r="AK483" s="105"/>
      <c r="AL483" s="87"/>
      <c r="AM483" s="105"/>
      <c r="AN483" s="105"/>
      <c r="AO483" s="87"/>
      <c r="AP483" s="87"/>
      <c r="AQ483" s="105"/>
      <c r="AR483" s="105"/>
      <c r="AS483" s="87"/>
      <c r="AT483" s="105"/>
      <c r="AU483" s="105"/>
      <c r="AV483" s="87"/>
      <c r="AW483" s="105"/>
      <c r="AX483" s="105"/>
      <c r="AY483" s="87"/>
      <c r="AZ483" s="105"/>
      <c r="BA483" s="105"/>
      <c r="BB483" s="105"/>
      <c r="BC483" s="87"/>
      <c r="BD483" s="87"/>
      <c r="BE483" s="105"/>
      <c r="BF483" s="105"/>
      <c r="BG483" s="105"/>
      <c r="BH483" s="105"/>
      <c r="BI483" s="105"/>
      <c r="BJ483" s="87"/>
      <c r="BK483" s="87"/>
      <c r="BL483" s="87"/>
      <c r="BM483" s="87"/>
      <c r="BN483" s="87"/>
      <c r="BO483" s="87"/>
      <c r="BP483" s="87"/>
      <c r="BQ483" s="87"/>
      <c r="BR483" s="87"/>
      <c r="BS483" s="87"/>
      <c r="BT483" s="87"/>
      <c r="BU483" s="87"/>
      <c r="BV483" s="87"/>
      <c r="BW483" s="87"/>
      <c r="BX483" s="87"/>
      <c r="BY483" s="87"/>
      <c r="BZ483" s="87"/>
      <c r="CA483" s="87"/>
      <c r="CB483" s="87"/>
      <c r="CC483" s="87"/>
      <c r="CD483" s="87"/>
      <c r="CE483" s="87"/>
      <c r="CF483" s="87"/>
      <c r="CG483" s="87"/>
      <c r="CH483" s="87">
        <f>(-2/7)*C483</f>
        <v>-5.9714285714285706</v>
      </c>
      <c r="CI483" s="87">
        <f>(C483*-1)-CH483</f>
        <v>-14.928571428571427</v>
      </c>
      <c r="CJ483" s="87"/>
      <c r="CK483" s="87"/>
      <c r="CL483" s="87"/>
      <c r="CM483" s="105">
        <f>C483</f>
        <v>20.9</v>
      </c>
      <c r="CN483" s="105"/>
      <c r="CO483" s="87"/>
      <c r="CP483" s="87"/>
      <c r="CQ483" s="87"/>
      <c r="CR483" s="87"/>
      <c r="CS483" s="87"/>
      <c r="CT483" s="87"/>
      <c r="CU483" s="87"/>
      <c r="CV483" s="87"/>
      <c r="CW483" s="87"/>
      <c r="CX483" s="87"/>
      <c r="CY483" s="87"/>
      <c r="CZ483" s="87"/>
      <c r="DA483" s="87"/>
      <c r="DB483" s="87"/>
      <c r="DC483" s="87"/>
      <c r="DD483" s="87"/>
      <c r="DE483" s="87"/>
      <c r="DF483" s="87"/>
      <c r="DG483" s="87"/>
      <c r="DH483" s="87"/>
      <c r="DI483" s="87"/>
      <c r="DJ483" s="87"/>
      <c r="DK483" s="87"/>
      <c r="DL483" s="87"/>
      <c r="DM483" s="87"/>
      <c r="DN483" s="87"/>
      <c r="DO483" s="87"/>
      <c r="DP483" s="87"/>
      <c r="DQ483" s="87"/>
      <c r="DR483" s="87"/>
      <c r="DS483" s="87"/>
      <c r="DT483" s="87"/>
      <c r="DU483" s="87"/>
      <c r="DV483" s="87"/>
      <c r="DW483" s="87"/>
      <c r="DX483" s="87"/>
      <c r="DY483" s="87"/>
      <c r="DZ483" s="87"/>
      <c r="EA483" s="87"/>
      <c r="EB483" s="87"/>
      <c r="EC483" s="87"/>
      <c r="ED483" s="87"/>
      <c r="EE483" s="87"/>
      <c r="EF483" s="87"/>
      <c r="EG483" s="87"/>
      <c r="EH483" s="87"/>
      <c r="EI483" s="87"/>
    </row>
    <row r="484" spans="1:139" ht="16.5" hidden="1" thickBot="1" x14ac:dyDescent="0.35">
      <c r="A484" s="190" t="s">
        <v>173</v>
      </c>
      <c r="B484" s="176">
        <v>3</v>
      </c>
      <c r="C484" s="195">
        <f>21.5*0.85+(25*0.65)+(22*0.1)</f>
        <v>36.725000000000001</v>
      </c>
      <c r="D484" s="217">
        <f>C484/VLOOKUP(B484,'[2]Gas Prod per PADD'!$A$1:$C$6,2,FALSE)</f>
        <v>7.9836956521739128E-3</v>
      </c>
      <c r="E484" s="197">
        <v>45684</v>
      </c>
      <c r="F484" s="281">
        <v>45688</v>
      </c>
      <c r="G484" s="194" t="s">
        <v>847</v>
      </c>
      <c r="H484" s="181" t="s">
        <v>848</v>
      </c>
      <c r="I484" s="84"/>
      <c r="J484" s="85"/>
      <c r="K484" s="85"/>
      <c r="L484" s="85"/>
      <c r="M484" s="85"/>
      <c r="N484" s="85"/>
      <c r="O484" s="85"/>
      <c r="P484" s="85">
        <f t="shared" si="19"/>
        <v>-4.7387096774193553</v>
      </c>
      <c r="Q484" s="85"/>
      <c r="R484" s="85"/>
      <c r="S484" s="85"/>
      <c r="T484" s="85"/>
      <c r="U484" s="85"/>
      <c r="V484" s="84"/>
      <c r="W484" s="84"/>
      <c r="X484" s="84" t="str">
        <f t="shared" si="18"/>
        <v>OK</v>
      </c>
      <c r="Y484" s="105"/>
      <c r="Z484" s="105"/>
      <c r="AA484" s="87"/>
      <c r="AB484" s="87"/>
      <c r="AC484" s="87"/>
      <c r="AD484" s="87"/>
      <c r="AE484" s="105"/>
      <c r="AF484" s="105"/>
      <c r="AG484" s="105"/>
      <c r="AH484" s="105"/>
      <c r="AI484" s="87"/>
      <c r="AJ484" s="87"/>
      <c r="AK484" s="105"/>
      <c r="AL484" s="87"/>
      <c r="AM484" s="105"/>
      <c r="AN484" s="105"/>
      <c r="AO484" s="87"/>
      <c r="AP484" s="87"/>
      <c r="AQ484" s="105"/>
      <c r="AR484" s="105"/>
      <c r="AS484" s="87"/>
      <c r="AT484" s="105"/>
      <c r="AU484" s="105"/>
      <c r="AV484" s="87"/>
      <c r="AW484" s="105"/>
      <c r="AX484" s="105"/>
      <c r="AY484" s="87"/>
      <c r="AZ484" s="105"/>
      <c r="BA484" s="105"/>
      <c r="BB484" s="105"/>
      <c r="BC484" s="87"/>
      <c r="BD484" s="87"/>
      <c r="BE484" s="105"/>
      <c r="BF484" s="105"/>
      <c r="BG484" s="105"/>
      <c r="BH484" s="105"/>
      <c r="BI484" s="105"/>
      <c r="BJ484" s="87"/>
      <c r="BK484" s="87"/>
      <c r="BL484" s="87"/>
      <c r="BM484" s="87"/>
      <c r="BN484" s="87"/>
      <c r="BO484" s="87"/>
      <c r="BP484" s="87"/>
      <c r="BQ484" s="87"/>
      <c r="BR484" s="87"/>
      <c r="BS484" s="87"/>
      <c r="BT484" s="87"/>
      <c r="BU484" s="87"/>
      <c r="BV484" s="87"/>
      <c r="BW484" s="87"/>
      <c r="BX484" s="87"/>
      <c r="BY484" s="105"/>
      <c r="BZ484" s="87"/>
      <c r="CA484" s="87"/>
      <c r="CB484" s="87"/>
      <c r="CC484" s="87"/>
      <c r="CD484" s="87"/>
      <c r="CE484" s="105"/>
      <c r="CF484" s="87"/>
      <c r="CG484" s="87"/>
      <c r="CH484" s="87"/>
      <c r="CI484" s="87"/>
      <c r="CJ484" s="87"/>
      <c r="CK484" s="87"/>
      <c r="CL484" s="87">
        <f>-C484*(4/7)</f>
        <v>-20.985714285714284</v>
      </c>
      <c r="CM484" s="87">
        <f>-CL484</f>
        <v>20.985714285714284</v>
      </c>
      <c r="CN484" s="87"/>
      <c r="CO484" s="87"/>
      <c r="CP484" s="87"/>
      <c r="CQ484" s="87"/>
      <c r="CR484" s="87"/>
      <c r="CS484" s="87"/>
      <c r="CT484" s="87"/>
      <c r="CU484" s="87"/>
      <c r="CV484" s="87"/>
      <c r="CW484" s="87"/>
      <c r="CX484" s="87"/>
      <c r="CY484" s="87"/>
      <c r="CZ484" s="87"/>
      <c r="DA484" s="87"/>
      <c r="DB484" s="87"/>
      <c r="DC484" s="87"/>
      <c r="DD484" s="87"/>
      <c r="DE484" s="87"/>
      <c r="DF484" s="87"/>
      <c r="DG484" s="87"/>
      <c r="DH484" s="87"/>
      <c r="DI484" s="87"/>
      <c r="DJ484" s="87"/>
      <c r="DK484" s="87"/>
      <c r="DL484" s="87"/>
      <c r="DM484" s="87"/>
      <c r="DN484" s="87"/>
      <c r="DO484" s="87"/>
      <c r="DP484" s="87"/>
      <c r="DQ484" s="87"/>
      <c r="DR484" s="87"/>
      <c r="DS484" s="87"/>
      <c r="DT484" s="87"/>
      <c r="DU484" s="87"/>
      <c r="DV484" s="87"/>
      <c r="DW484" s="87"/>
      <c r="DX484" s="87"/>
      <c r="DY484" s="87"/>
      <c r="DZ484" s="87"/>
      <c r="EA484" s="87"/>
      <c r="EB484" s="87"/>
      <c r="EC484" s="87"/>
      <c r="ED484" s="87"/>
      <c r="EE484" s="87"/>
      <c r="EF484" s="87"/>
      <c r="EG484" s="87"/>
      <c r="EH484" s="87"/>
      <c r="EI484" s="87"/>
    </row>
    <row r="485" spans="1:139" ht="43.5" hidden="1" thickBot="1" x14ac:dyDescent="0.35">
      <c r="A485" s="190" t="s">
        <v>280</v>
      </c>
      <c r="B485" s="191">
        <v>3</v>
      </c>
      <c r="C485" s="177">
        <f>210*0.25*1/3+90*0.3*1/3</f>
        <v>26.5</v>
      </c>
      <c r="D485" s="217">
        <f>C485/VLOOKUP(B485,'[2]Gas Prod per PADD'!$A$1:$C$6,2,FALSE)</f>
        <v>5.7608695652173912E-3</v>
      </c>
      <c r="E485" s="253">
        <v>45536</v>
      </c>
      <c r="F485" s="333">
        <v>45689</v>
      </c>
      <c r="G485" s="180" t="s">
        <v>849</v>
      </c>
      <c r="H485" s="181" t="s">
        <v>850</v>
      </c>
      <c r="I485" s="84"/>
      <c r="J485" s="85"/>
      <c r="K485" s="85"/>
      <c r="L485" s="85"/>
      <c r="M485" s="85"/>
      <c r="N485" s="85"/>
      <c r="O485" s="85"/>
      <c r="P485" s="85">
        <f>-C485</f>
        <v>-26.5</v>
      </c>
      <c r="Q485" s="85">
        <f t="shared" ref="Q485:Q491" si="21">B485*($P$1+1-F485)/28</f>
        <v>0</v>
      </c>
      <c r="R485" s="85"/>
      <c r="S485" s="85"/>
      <c r="T485" s="85"/>
      <c r="U485" s="85"/>
      <c r="V485" s="84"/>
      <c r="W485" s="84"/>
      <c r="X485" s="84" t="str">
        <f t="shared" si="18"/>
        <v>OK</v>
      </c>
      <c r="Y485" s="105"/>
      <c r="Z485" s="105"/>
      <c r="AA485" s="87"/>
      <c r="AB485" s="87"/>
      <c r="AC485" s="87"/>
      <c r="AD485" s="87"/>
      <c r="AE485" s="105"/>
      <c r="AF485" s="105"/>
      <c r="AG485" s="105"/>
      <c r="AH485" s="105"/>
      <c r="AI485" s="87"/>
      <c r="AJ485" s="87"/>
      <c r="AK485" s="105"/>
      <c r="AL485" s="87"/>
      <c r="AM485" s="105"/>
      <c r="AN485" s="105"/>
      <c r="AO485" s="87"/>
      <c r="AP485" s="87"/>
      <c r="AQ485" s="105"/>
      <c r="AR485" s="105"/>
      <c r="AS485" s="87"/>
      <c r="AT485" s="105"/>
      <c r="AU485" s="105"/>
      <c r="AV485" s="87"/>
      <c r="AW485" s="105"/>
      <c r="AX485" s="105"/>
      <c r="AY485" s="87"/>
      <c r="AZ485" s="105"/>
      <c r="BA485" s="105"/>
      <c r="BB485" s="105"/>
      <c r="BC485" s="87"/>
      <c r="BD485" s="87"/>
      <c r="BE485" s="105"/>
      <c r="BF485" s="105"/>
      <c r="BG485" s="105"/>
      <c r="BH485" s="105"/>
      <c r="BI485" s="105"/>
      <c r="BJ485" s="87"/>
      <c r="BK485" s="87"/>
      <c r="BL485" s="87"/>
      <c r="BM485" s="87"/>
      <c r="BN485" s="87"/>
      <c r="BO485" s="105"/>
      <c r="BP485" s="105"/>
      <c r="BQ485" s="105">
        <f>-5/7*C485</f>
        <v>-18.928571428571431</v>
      </c>
      <c r="BR485" s="105">
        <f>-C485-BQ485</f>
        <v>-7.5714285714285694</v>
      </c>
      <c r="BS485" s="105"/>
      <c r="BT485" s="87"/>
      <c r="BU485" s="87"/>
      <c r="BV485" s="87"/>
      <c r="BW485" s="87"/>
      <c r="BX485" s="87"/>
      <c r="BY485" s="87"/>
      <c r="BZ485" s="87"/>
      <c r="CA485" s="87"/>
      <c r="CB485" s="87"/>
      <c r="CC485" s="87"/>
      <c r="CD485" s="87"/>
      <c r="CE485" s="87"/>
      <c r="CF485" s="87"/>
      <c r="CG485" s="87"/>
      <c r="CH485" s="87"/>
      <c r="CI485" s="87"/>
      <c r="CJ485" s="87"/>
      <c r="CK485" s="87"/>
      <c r="CL485" s="87"/>
      <c r="CM485" s="87"/>
      <c r="CN485" s="87"/>
      <c r="CO485" s="87"/>
      <c r="CP485" s="87"/>
      <c r="CQ485" s="87"/>
      <c r="CR485" s="87"/>
      <c r="CS485" s="87"/>
      <c r="CT485" s="87"/>
      <c r="CU485" s="87"/>
      <c r="CV485" s="87"/>
      <c r="CW485" s="87"/>
      <c r="CX485" s="87"/>
      <c r="CY485" s="87"/>
      <c r="CZ485" s="87"/>
      <c r="DA485" s="87"/>
      <c r="DB485" s="87"/>
      <c r="DC485" s="87"/>
      <c r="DD485" s="87"/>
      <c r="DE485" s="87"/>
      <c r="DF485" s="87"/>
      <c r="DG485" s="87"/>
      <c r="DH485" s="87"/>
      <c r="DI485" s="87"/>
      <c r="DJ485" s="87"/>
      <c r="DK485" s="87"/>
      <c r="DL485" s="87"/>
      <c r="DM485" s="87"/>
      <c r="DN485" s="87"/>
      <c r="DO485" s="87"/>
      <c r="DP485" s="87"/>
      <c r="DQ485" s="87"/>
      <c r="DR485" s="87"/>
      <c r="DS485" s="87"/>
      <c r="DT485" s="87"/>
      <c r="DU485" s="87"/>
      <c r="DV485" s="87"/>
      <c r="DW485" s="87"/>
      <c r="DX485" s="87"/>
      <c r="DY485" s="87"/>
      <c r="DZ485" s="87"/>
      <c r="EA485" s="87"/>
      <c r="EB485" s="87"/>
      <c r="EC485" s="87"/>
      <c r="ED485" s="87"/>
      <c r="EE485" s="87"/>
      <c r="EF485" s="87"/>
      <c r="EG485" s="87"/>
      <c r="EH485" s="87"/>
      <c r="EI485" s="87"/>
    </row>
    <row r="486" spans="1:139" ht="16.5" hidden="1" thickBot="1" x14ac:dyDescent="0.35">
      <c r="A486" s="190" t="s">
        <v>280</v>
      </c>
      <c r="B486" s="191">
        <v>3</v>
      </c>
      <c r="C486" s="177">
        <f>(210*0.25*1/3+90*0.3*1/3)*0</f>
        <v>0</v>
      </c>
      <c r="D486" s="217">
        <f>C486/VLOOKUP(B486,'[2]Gas Prod per PADD'!$A$1:$C$6,2,FALSE)</f>
        <v>0</v>
      </c>
      <c r="E486" s="253">
        <v>45536</v>
      </c>
      <c r="F486" s="333">
        <v>45689</v>
      </c>
      <c r="G486" s="180"/>
      <c r="H486" s="181"/>
      <c r="I486" s="84"/>
      <c r="J486" s="85"/>
      <c r="K486" s="85"/>
      <c r="L486" s="85"/>
      <c r="M486" s="85"/>
      <c r="N486" s="85"/>
      <c r="O486" s="85"/>
      <c r="P486" s="85"/>
      <c r="Q486" s="85">
        <f t="shared" si="21"/>
        <v>0</v>
      </c>
      <c r="R486" s="85"/>
      <c r="S486" s="85"/>
      <c r="T486" s="85"/>
      <c r="U486" s="85"/>
      <c r="V486" s="84"/>
      <c r="W486" s="84"/>
      <c r="X486" s="84" t="str">
        <f t="shared" si="18"/>
        <v>Missing</v>
      </c>
      <c r="Y486" s="105"/>
      <c r="Z486" s="105"/>
      <c r="AA486" s="87"/>
      <c r="AB486" s="87"/>
      <c r="AC486" s="87"/>
      <c r="AD486" s="87"/>
      <c r="AE486" s="105"/>
      <c r="AF486" s="105"/>
      <c r="AG486" s="105"/>
      <c r="AH486" s="105"/>
      <c r="AI486" s="87"/>
      <c r="AJ486" s="87"/>
      <c r="AK486" s="105"/>
      <c r="AL486" s="87"/>
      <c r="AM486" s="105"/>
      <c r="AN486" s="105"/>
      <c r="AO486" s="87"/>
      <c r="AP486" s="87"/>
      <c r="AQ486" s="105"/>
      <c r="AR486" s="105"/>
      <c r="AS486" s="87"/>
      <c r="AT486" s="105"/>
      <c r="AU486" s="105"/>
      <c r="AV486" s="87"/>
      <c r="AW486" s="105"/>
      <c r="AX486" s="105"/>
      <c r="AY486" s="87"/>
      <c r="AZ486" s="105"/>
      <c r="BA486" s="105"/>
      <c r="BB486" s="105"/>
      <c r="BC486" s="87"/>
      <c r="BD486" s="87"/>
      <c r="BE486" s="105"/>
      <c r="BF486" s="105"/>
      <c r="BG486" s="105"/>
      <c r="BH486" s="105"/>
      <c r="BI486" s="105"/>
      <c r="BJ486" s="87"/>
      <c r="BK486" s="87"/>
      <c r="BL486" s="87"/>
      <c r="BM486" s="87"/>
      <c r="BN486" s="87"/>
      <c r="BO486" s="87"/>
      <c r="BP486" s="87"/>
      <c r="BQ486" s="87"/>
      <c r="BR486" s="87"/>
      <c r="BS486" s="87"/>
      <c r="BT486" s="87"/>
      <c r="BU486" s="87"/>
      <c r="BV486" s="87"/>
      <c r="BW486" s="87"/>
      <c r="BX486" s="87"/>
      <c r="BY486" s="87"/>
      <c r="BZ486" s="87"/>
      <c r="CA486" s="87"/>
      <c r="CB486" s="87"/>
      <c r="CC486" s="87"/>
      <c r="CD486" s="87"/>
      <c r="CE486" s="87"/>
      <c r="CF486" s="87"/>
      <c r="CG486" s="87"/>
      <c r="CH486" s="87"/>
      <c r="CI486" s="87"/>
      <c r="CJ486" s="87"/>
      <c r="CK486" s="87"/>
      <c r="CL486" s="87"/>
      <c r="CM486" s="87"/>
      <c r="CN486" s="87"/>
      <c r="CO486" s="105"/>
      <c r="CP486" s="87"/>
      <c r="CQ486" s="87"/>
      <c r="CR486" s="87"/>
      <c r="CS486" s="87"/>
      <c r="CT486" s="87"/>
      <c r="CU486" s="87"/>
      <c r="CV486" s="87"/>
      <c r="CW486" s="87"/>
      <c r="CX486" s="87"/>
      <c r="CY486" s="87"/>
      <c r="CZ486" s="87"/>
      <c r="DA486" s="87"/>
      <c r="DB486" s="87"/>
      <c r="DC486" s="87"/>
      <c r="DD486" s="87"/>
      <c r="DE486" s="87"/>
      <c r="DF486" s="87"/>
      <c r="DG486" s="87"/>
      <c r="DH486" s="87"/>
      <c r="DI486" s="87"/>
      <c r="DJ486" s="87"/>
      <c r="DK486" s="87"/>
      <c r="DL486" s="87"/>
      <c r="DM486" s="87"/>
      <c r="DN486" s="87"/>
      <c r="DO486" s="87"/>
      <c r="DP486" s="87"/>
      <c r="DQ486" s="87"/>
      <c r="DR486" s="87"/>
      <c r="DS486" s="87"/>
      <c r="DT486" s="87"/>
      <c r="DU486" s="87"/>
      <c r="DV486" s="87"/>
      <c r="DW486" s="87"/>
      <c r="DX486" s="87"/>
      <c r="DY486" s="87"/>
      <c r="DZ486" s="87"/>
      <c r="EA486" s="87"/>
      <c r="EB486" s="87"/>
      <c r="EC486" s="87"/>
      <c r="ED486" s="87"/>
      <c r="EE486" s="87"/>
      <c r="EF486" s="87"/>
      <c r="EG486" s="87"/>
      <c r="EH486" s="87"/>
      <c r="EI486" s="87"/>
    </row>
    <row r="487" spans="1:139" ht="29.25" hidden="1" thickBot="1" x14ac:dyDescent="0.35">
      <c r="A487" s="307" t="s">
        <v>322</v>
      </c>
      <c r="B487" s="308">
        <v>3</v>
      </c>
      <c r="C487" s="309">
        <f>45*0.25</f>
        <v>11.25</v>
      </c>
      <c r="D487" s="310">
        <f>C487/VLOOKUP(B487,'[2]Gas Prod per PADD'!$A$1:$C$6,2,FALSE)</f>
        <v>2.4456521739130437E-3</v>
      </c>
      <c r="E487" s="311">
        <v>45677</v>
      </c>
      <c r="F487" s="252">
        <v>45689</v>
      </c>
      <c r="G487" s="313" t="s">
        <v>851</v>
      </c>
      <c r="H487" s="314" t="s">
        <v>852</v>
      </c>
      <c r="I487" s="84"/>
      <c r="J487" s="85"/>
      <c r="K487" s="85"/>
      <c r="L487" s="85"/>
      <c r="M487" s="85"/>
      <c r="N487" s="85"/>
      <c r="O487" s="85"/>
      <c r="P487" s="85">
        <f>C487*(E487-$P$1)/31</f>
        <v>-3.9919354838709675</v>
      </c>
      <c r="Q487" s="85">
        <f t="shared" si="21"/>
        <v>0</v>
      </c>
      <c r="R487" s="85"/>
      <c r="S487" s="85"/>
      <c r="T487" s="85"/>
      <c r="U487" s="85"/>
      <c r="V487" s="84"/>
      <c r="W487" s="84"/>
      <c r="X487" s="84" t="str">
        <f t="shared" si="18"/>
        <v>OK</v>
      </c>
      <c r="Y487" s="105"/>
      <c r="Z487" s="105"/>
      <c r="AA487" s="87"/>
      <c r="AB487" s="87"/>
      <c r="AC487" s="87"/>
      <c r="AD487" s="87"/>
      <c r="AE487" s="105"/>
      <c r="AF487" s="105"/>
      <c r="AG487" s="105"/>
      <c r="AH487" s="105"/>
      <c r="AI487" s="87"/>
      <c r="AJ487" s="87"/>
      <c r="AK487" s="105"/>
      <c r="AL487" s="87"/>
      <c r="AM487" s="105"/>
      <c r="AN487" s="105"/>
      <c r="AO487" s="87"/>
      <c r="AP487" s="87"/>
      <c r="AQ487" s="105"/>
      <c r="AR487" s="105"/>
      <c r="AS487" s="87"/>
      <c r="AT487" s="105"/>
      <c r="AU487" s="105"/>
      <c r="AV487" s="87"/>
      <c r="AW487" s="105"/>
      <c r="AX487" s="105"/>
      <c r="AY487" s="87"/>
      <c r="AZ487" s="105"/>
      <c r="BA487" s="105"/>
      <c r="BB487" s="105"/>
      <c r="BC487" s="87"/>
      <c r="BD487" s="87"/>
      <c r="BE487" s="105"/>
      <c r="BF487" s="105"/>
      <c r="BG487" s="105"/>
      <c r="BH487" s="105"/>
      <c r="BI487" s="105"/>
      <c r="BJ487" s="87"/>
      <c r="BK487" s="87"/>
      <c r="BL487" s="87"/>
      <c r="BM487" s="87"/>
      <c r="BN487" s="87"/>
      <c r="BO487" s="87"/>
      <c r="BP487" s="87"/>
      <c r="BQ487" s="87"/>
      <c r="BR487" s="87"/>
      <c r="BS487" s="87"/>
      <c r="BT487" s="87"/>
      <c r="BU487" s="87"/>
      <c r="BV487" s="87"/>
      <c r="BW487" s="87"/>
      <c r="BX487" s="87"/>
      <c r="BY487" s="87"/>
      <c r="BZ487" s="87"/>
      <c r="CA487" s="87"/>
      <c r="CB487" s="87"/>
      <c r="CC487" s="87"/>
      <c r="CD487" s="87"/>
      <c r="CE487" s="87"/>
      <c r="CF487" s="87"/>
      <c r="CG487" s="87"/>
      <c r="CH487" s="87"/>
      <c r="CI487" s="87"/>
      <c r="CJ487" s="87"/>
      <c r="CK487" s="87">
        <f>-1/7*C487</f>
        <v>-1.607142857142857</v>
      </c>
      <c r="CL487" s="87">
        <f>-C487*6/7</f>
        <v>-9.6428571428571423</v>
      </c>
      <c r="CM487" s="87">
        <f>C487*6/7</f>
        <v>9.6428571428571423</v>
      </c>
      <c r="CN487" s="87">
        <f>C487*1/7</f>
        <v>1.6071428571428572</v>
      </c>
      <c r="CO487" s="87"/>
      <c r="CP487" s="87"/>
      <c r="CQ487" s="87"/>
      <c r="CR487" s="87"/>
      <c r="CS487" s="87"/>
      <c r="CT487" s="87"/>
      <c r="CU487" s="87"/>
      <c r="CV487" s="87"/>
      <c r="CW487" s="87"/>
      <c r="CX487" s="87"/>
      <c r="CY487" s="87"/>
      <c r="CZ487" s="87"/>
      <c r="DA487" s="87"/>
      <c r="DB487" s="87"/>
      <c r="DC487" s="87"/>
      <c r="DD487" s="87"/>
      <c r="DE487" s="87"/>
      <c r="DF487" s="87"/>
      <c r="DG487" s="87"/>
      <c r="DH487" s="87"/>
      <c r="DI487" s="87"/>
      <c r="DJ487" s="87"/>
      <c r="DK487" s="87"/>
      <c r="DL487" s="87"/>
      <c r="DM487" s="87"/>
      <c r="DN487" s="87"/>
      <c r="DO487" s="87"/>
      <c r="DP487" s="87"/>
      <c r="DQ487" s="87"/>
      <c r="DR487" s="87"/>
      <c r="DS487" s="87"/>
      <c r="DT487" s="87"/>
      <c r="DU487" s="87"/>
      <c r="DV487" s="87"/>
      <c r="DW487" s="87"/>
      <c r="DX487" s="87"/>
      <c r="DY487" s="87"/>
      <c r="DZ487" s="87"/>
      <c r="EA487" s="87"/>
      <c r="EB487" s="87"/>
      <c r="EC487" s="87"/>
      <c r="ED487" s="87"/>
      <c r="EE487" s="87"/>
      <c r="EF487" s="87"/>
      <c r="EG487" s="87"/>
      <c r="EH487" s="87"/>
      <c r="EI487" s="87"/>
    </row>
    <row r="488" spans="1:139" ht="16.5" hidden="1" thickBot="1" x14ac:dyDescent="0.35">
      <c r="A488" s="315" t="s">
        <v>127</v>
      </c>
      <c r="B488" s="316">
        <v>3</v>
      </c>
      <c r="C488" s="309">
        <f>165*0.25</f>
        <v>41.25</v>
      </c>
      <c r="D488" s="310">
        <f>C488/VLOOKUP(B488,'[2]Gas Prod per PADD'!$A$1:$C$6,2,FALSE)</f>
        <v>8.9673913043478264E-3</v>
      </c>
      <c r="E488" s="311">
        <v>45680</v>
      </c>
      <c r="F488" s="252">
        <v>45689</v>
      </c>
      <c r="G488" s="313" t="s">
        <v>841</v>
      </c>
      <c r="H488" s="314" t="s">
        <v>853</v>
      </c>
      <c r="I488" s="84"/>
      <c r="J488" s="85"/>
      <c r="K488" s="85"/>
      <c r="L488" s="85"/>
      <c r="M488" s="85"/>
      <c r="N488" s="85"/>
      <c r="O488" s="85"/>
      <c r="P488" s="85">
        <f>C488*(E488-$P$1)/31</f>
        <v>-10.64516129032258</v>
      </c>
      <c r="Q488" s="85">
        <f t="shared" si="21"/>
        <v>0</v>
      </c>
      <c r="R488" s="85"/>
      <c r="S488" s="85"/>
      <c r="T488" s="85"/>
      <c r="U488" s="85"/>
      <c r="V488" s="84"/>
      <c r="W488" s="84"/>
      <c r="X488" s="84" t="str">
        <f t="shared" si="18"/>
        <v>OK</v>
      </c>
      <c r="Y488" s="87"/>
      <c r="Z488" s="87"/>
      <c r="AA488" s="87"/>
      <c r="AB488" s="87"/>
      <c r="AC488" s="87"/>
      <c r="AD488" s="87"/>
      <c r="AE488" s="87"/>
      <c r="AF488" s="87"/>
      <c r="AG488" s="87"/>
      <c r="AH488" s="87"/>
      <c r="AI488" s="87"/>
      <c r="AJ488" s="105"/>
      <c r="AK488" s="105"/>
      <c r="AL488" s="105"/>
      <c r="AM488" s="87"/>
      <c r="AN488" s="87"/>
      <c r="AO488" s="87"/>
      <c r="AP488" s="87"/>
      <c r="AQ488" s="87"/>
      <c r="AR488" s="87"/>
      <c r="AS488" s="87"/>
      <c r="AT488" s="87"/>
      <c r="AU488" s="87"/>
      <c r="AV488" s="87"/>
      <c r="AW488" s="87"/>
      <c r="AX488" s="87"/>
      <c r="AY488" s="87"/>
      <c r="AZ488" s="87"/>
      <c r="BA488" s="87"/>
      <c r="BB488" s="87"/>
      <c r="BC488" s="87"/>
      <c r="BD488" s="87"/>
      <c r="BE488" s="87"/>
      <c r="BF488" s="87"/>
      <c r="BG488" s="87"/>
      <c r="BH488" s="87"/>
      <c r="BI488" s="87"/>
      <c r="BJ488" s="87"/>
      <c r="BK488" s="87"/>
      <c r="BL488" s="87"/>
      <c r="BM488" s="87"/>
      <c r="BN488" s="87"/>
      <c r="BO488" s="87"/>
      <c r="BP488" s="87"/>
      <c r="BQ488" s="87"/>
      <c r="BR488" s="87"/>
      <c r="BS488" s="87"/>
      <c r="BT488" s="87"/>
      <c r="BU488" s="87"/>
      <c r="BV488" s="87"/>
      <c r="BW488" s="87"/>
      <c r="BX488" s="87"/>
      <c r="BY488" s="87"/>
      <c r="BZ488" s="87"/>
      <c r="CA488" s="87"/>
      <c r="CB488" s="87"/>
      <c r="CC488" s="87"/>
      <c r="CD488" s="87"/>
      <c r="CE488" s="87"/>
      <c r="CF488" s="87"/>
      <c r="CG488" s="87"/>
      <c r="CH488" s="87"/>
      <c r="CI488" s="87"/>
      <c r="CJ488" s="87"/>
      <c r="CK488" s="87">
        <f>-4/7*C488</f>
        <v>-23.571428571428569</v>
      </c>
      <c r="CL488" s="87">
        <f>-3/7*C488</f>
        <v>-17.678571428571427</v>
      </c>
      <c r="CM488" s="87"/>
      <c r="CN488" s="105">
        <f>C488</f>
        <v>41.25</v>
      </c>
      <c r="CO488" s="87"/>
      <c r="CP488" s="87"/>
      <c r="CQ488" s="87"/>
      <c r="CR488" s="87"/>
      <c r="CS488" s="87"/>
      <c r="CT488" s="87"/>
      <c r="CU488" s="87"/>
      <c r="CV488" s="87"/>
      <c r="CW488" s="87"/>
      <c r="CX488" s="87"/>
      <c r="CY488" s="87"/>
      <c r="CZ488" s="87"/>
      <c r="DA488" s="87"/>
      <c r="DB488" s="87"/>
      <c r="DC488" s="87"/>
      <c r="DD488" s="87"/>
      <c r="DE488" s="87"/>
      <c r="DF488" s="87"/>
      <c r="DG488" s="87"/>
      <c r="DH488" s="87"/>
      <c r="DI488" s="87"/>
      <c r="DJ488" s="87"/>
      <c r="DK488" s="87"/>
      <c r="DL488" s="87"/>
      <c r="DM488" s="87"/>
      <c r="DN488" s="87"/>
      <c r="DO488" s="87"/>
      <c r="DP488" s="87"/>
      <c r="DQ488" s="87"/>
      <c r="DR488" s="87"/>
      <c r="DS488" s="87"/>
      <c r="DT488" s="87"/>
      <c r="DU488" s="87"/>
      <c r="DV488" s="87"/>
      <c r="DW488" s="87"/>
      <c r="DX488" s="87"/>
      <c r="DY488" s="87"/>
      <c r="DZ488" s="87"/>
      <c r="EA488" s="87"/>
      <c r="EB488" s="87"/>
      <c r="EC488" s="87"/>
      <c r="ED488" s="87"/>
      <c r="EE488" s="87"/>
      <c r="EF488" s="87"/>
      <c r="EG488" s="87"/>
      <c r="EH488" s="87"/>
      <c r="EI488" s="87"/>
    </row>
    <row r="489" spans="1:139" ht="16.5" hidden="1" thickBot="1" x14ac:dyDescent="0.35">
      <c r="A489" s="161" t="s">
        <v>289</v>
      </c>
      <c r="B489" s="176">
        <v>3</v>
      </c>
      <c r="C489" s="177">
        <f>67*0.25</f>
        <v>16.75</v>
      </c>
      <c r="D489" s="217">
        <f>C489/VLOOKUP(B489,'[2]Gas Prod per PADD'!$A$1:$C$6,2,FALSE)</f>
        <v>3.6413043478260871E-3</v>
      </c>
      <c r="E489" s="178">
        <v>45688</v>
      </c>
      <c r="F489" s="179">
        <v>45689</v>
      </c>
      <c r="G489" s="180" t="s">
        <v>301</v>
      </c>
      <c r="H489" s="198" t="s">
        <v>364</v>
      </c>
      <c r="I489" s="84"/>
      <c r="J489" s="85"/>
      <c r="K489" s="85"/>
      <c r="L489" s="85"/>
      <c r="M489" s="85"/>
      <c r="N489" s="85"/>
      <c r="O489" s="85"/>
      <c r="P489" s="85">
        <f>C489*(E489-$P$1)/31</f>
        <v>0</v>
      </c>
      <c r="Q489" s="85">
        <f t="shared" si="21"/>
        <v>0</v>
      </c>
      <c r="R489" s="85"/>
      <c r="S489" s="85"/>
      <c r="T489" s="85"/>
      <c r="U489" s="85"/>
      <c r="V489" s="84"/>
      <c r="W489" s="84"/>
      <c r="X489" s="84" t="str">
        <f t="shared" si="18"/>
        <v>OK</v>
      </c>
      <c r="Y489" s="87"/>
      <c r="Z489" s="87"/>
      <c r="AA489" s="87"/>
      <c r="AB489" s="87"/>
      <c r="AC489" s="87"/>
      <c r="AD489" s="87"/>
      <c r="AE489" s="87"/>
      <c r="AF489" s="87"/>
      <c r="AG489" s="87"/>
      <c r="AH489" s="87"/>
      <c r="AI489" s="87"/>
      <c r="AJ489" s="87"/>
      <c r="AK489" s="87"/>
      <c r="AL489" s="87"/>
      <c r="AM489" s="87"/>
      <c r="AN489" s="87"/>
      <c r="AO489" s="87"/>
      <c r="AP489" s="87"/>
      <c r="AQ489" s="87"/>
      <c r="AR489" s="87"/>
      <c r="AS489" s="87"/>
      <c r="AT489" s="87"/>
      <c r="AU489" s="87"/>
      <c r="AV489" s="87"/>
      <c r="AW489" s="87"/>
      <c r="AX489" s="87"/>
      <c r="AY489" s="87"/>
      <c r="AZ489" s="87"/>
      <c r="BA489" s="87"/>
      <c r="BB489" s="87"/>
      <c r="BC489" s="87"/>
      <c r="BD489" s="87"/>
      <c r="BE489" s="87"/>
      <c r="BF489" s="87"/>
      <c r="BG489" s="87"/>
      <c r="BH489" s="87"/>
      <c r="BI489" s="87"/>
      <c r="BJ489" s="87"/>
      <c r="BK489" s="87"/>
      <c r="BL489" s="87"/>
      <c r="BM489" s="87"/>
      <c r="BN489" s="87"/>
      <c r="BO489" s="87"/>
      <c r="BP489" s="87"/>
      <c r="BQ489" s="87"/>
      <c r="BR489" s="87"/>
      <c r="BS489" s="87"/>
      <c r="BT489" s="87"/>
      <c r="BU489" s="87"/>
      <c r="BV489" s="87"/>
      <c r="BW489" s="87"/>
      <c r="BX489" s="87"/>
      <c r="BY489" s="87"/>
      <c r="BZ489" s="87"/>
      <c r="CA489" s="87"/>
      <c r="CB489" s="87"/>
      <c r="CC489" s="87"/>
      <c r="CD489" s="87"/>
      <c r="CE489" s="87"/>
      <c r="CF489" s="87"/>
      <c r="CG489" s="87"/>
      <c r="CH489" s="87"/>
      <c r="CI489" s="87"/>
      <c r="CJ489" s="87"/>
      <c r="CK489" s="87"/>
      <c r="CL489" s="87"/>
      <c r="CM489" s="87">
        <f>-1/7*C489</f>
        <v>-2.3928571428571428</v>
      </c>
      <c r="CN489" s="87">
        <f>-CM489</f>
        <v>2.3928571428571428</v>
      </c>
      <c r="CO489" s="87"/>
      <c r="CP489" s="87"/>
      <c r="CQ489" s="87"/>
      <c r="CR489" s="87"/>
      <c r="CS489" s="87"/>
      <c r="CT489" s="87"/>
      <c r="CU489" s="87"/>
      <c r="CV489" s="87"/>
      <c r="CW489" s="87"/>
      <c r="CX489" s="87"/>
      <c r="CY489" s="87"/>
      <c r="CZ489" s="87"/>
      <c r="DA489" s="87"/>
      <c r="DB489" s="87"/>
      <c r="DC489" s="87"/>
      <c r="DD489" s="87"/>
      <c r="DE489" s="87"/>
      <c r="DF489" s="87"/>
      <c r="DG489" s="87"/>
      <c r="DH489" s="87"/>
      <c r="DI489" s="87"/>
      <c r="DJ489" s="87"/>
      <c r="DK489" s="87"/>
      <c r="DL489" s="87"/>
      <c r="DM489" s="87"/>
      <c r="DN489" s="87"/>
      <c r="DO489" s="87"/>
      <c r="DP489" s="87"/>
      <c r="DQ489" s="87"/>
      <c r="DR489" s="87"/>
      <c r="DS489" s="87"/>
      <c r="DT489" s="87"/>
      <c r="DU489" s="87"/>
      <c r="DV489" s="87"/>
      <c r="DW489" s="87"/>
      <c r="DX489" s="87"/>
      <c r="DY489" s="87"/>
      <c r="DZ489" s="87"/>
      <c r="EA489" s="87"/>
      <c r="EB489" s="87"/>
      <c r="EC489" s="87"/>
      <c r="ED489" s="87"/>
      <c r="EE489" s="87"/>
      <c r="EF489" s="87"/>
      <c r="EG489" s="87"/>
      <c r="EH489" s="87"/>
      <c r="EI489" s="87"/>
    </row>
    <row r="490" spans="1:139" ht="16.5" hidden="1" thickBot="1" x14ac:dyDescent="0.35">
      <c r="A490" s="175" t="s">
        <v>285</v>
      </c>
      <c r="B490" s="191">
        <v>5</v>
      </c>
      <c r="C490" s="177">
        <f>80*0.65</f>
        <v>52</v>
      </c>
      <c r="D490" s="217">
        <f>C490/VLOOKUP(B490,'[2]Gas Prod per PADD'!$A$1:$C$6,2,FALSE)</f>
        <v>3.8518518518518521E-2</v>
      </c>
      <c r="E490" s="334">
        <v>45670</v>
      </c>
      <c r="F490" s="252">
        <v>45694</v>
      </c>
      <c r="G490" s="180" t="s">
        <v>854</v>
      </c>
      <c r="H490" s="181" t="s">
        <v>855</v>
      </c>
      <c r="I490" s="305"/>
      <c r="J490" s="306"/>
      <c r="K490" s="306"/>
      <c r="L490" s="306"/>
      <c r="M490" s="306"/>
      <c r="N490" s="306"/>
      <c r="O490" s="306"/>
      <c r="P490" s="85">
        <f>C490*(E490-$P$1)/31</f>
        <v>-30.193548387096776</v>
      </c>
      <c r="Q490" s="85">
        <f t="shared" si="21"/>
        <v>-0.8928571428571429</v>
      </c>
      <c r="R490" s="306"/>
      <c r="S490" s="306"/>
      <c r="T490" s="85"/>
      <c r="U490" s="85"/>
      <c r="V490" s="84"/>
      <c r="W490" s="84"/>
      <c r="X490" s="84" t="str">
        <f t="shared" si="18"/>
        <v>OK</v>
      </c>
      <c r="Y490" s="105"/>
      <c r="Z490" s="105"/>
      <c r="AA490" s="87"/>
      <c r="AB490" s="87"/>
      <c r="AC490" s="87"/>
      <c r="AD490" s="87"/>
      <c r="AE490" s="105"/>
      <c r="AF490" s="105"/>
      <c r="AG490" s="105"/>
      <c r="AH490" s="105"/>
      <c r="AI490" s="87"/>
      <c r="AJ490" s="87"/>
      <c r="AK490" s="105"/>
      <c r="AL490" s="87"/>
      <c r="AM490" s="105"/>
      <c r="AN490" s="105"/>
      <c r="AO490" s="87"/>
      <c r="AP490" s="87"/>
      <c r="AQ490" s="105"/>
      <c r="AR490" s="105"/>
      <c r="AS490" s="87"/>
      <c r="AT490" s="105"/>
      <c r="AU490" s="105"/>
      <c r="AV490" s="87"/>
      <c r="AW490" s="105"/>
      <c r="AX490" s="105"/>
      <c r="AY490" s="87"/>
      <c r="AZ490" s="105"/>
      <c r="BA490" s="105"/>
      <c r="BB490" s="105"/>
      <c r="BC490" s="87"/>
      <c r="BD490" s="87"/>
      <c r="BE490" s="105"/>
      <c r="BF490" s="105"/>
      <c r="BG490" s="105"/>
      <c r="BH490" s="105"/>
      <c r="BI490" s="105"/>
      <c r="BJ490" s="87"/>
      <c r="BK490" s="87"/>
      <c r="BL490" s="87"/>
      <c r="BM490" s="87"/>
      <c r="BN490" s="87"/>
      <c r="BO490" s="87"/>
      <c r="BP490" s="87"/>
      <c r="BQ490" s="87"/>
      <c r="BR490" s="87"/>
      <c r="BS490" s="87"/>
      <c r="BT490" s="87"/>
      <c r="BU490" s="87"/>
      <c r="BV490" s="87"/>
      <c r="BW490" s="87"/>
      <c r="BX490" s="87"/>
      <c r="BY490" s="87"/>
      <c r="BZ490" s="87"/>
      <c r="CA490" s="87"/>
      <c r="CB490" s="87"/>
      <c r="CC490" s="87"/>
      <c r="CD490" s="87"/>
      <c r="CE490" s="87"/>
      <c r="CF490" s="87"/>
      <c r="CG490" s="87"/>
      <c r="CH490" s="87"/>
      <c r="CI490" s="87"/>
      <c r="CJ490" s="87">
        <f>-4/7*C490</f>
        <v>-29.714285714285712</v>
      </c>
      <c r="CK490" s="87">
        <f>-3/7*C490</f>
        <v>-22.285714285714285</v>
      </c>
      <c r="CL490" s="87"/>
      <c r="CM490" s="87"/>
      <c r="CN490" s="87">
        <f>-CJ490</f>
        <v>29.714285714285712</v>
      </c>
      <c r="CO490" s="87">
        <f>-CK490</f>
        <v>22.285714285714285</v>
      </c>
      <c r="CP490" s="87"/>
      <c r="CQ490" s="87"/>
      <c r="CR490" s="87"/>
      <c r="CS490" s="87"/>
      <c r="CT490" s="87"/>
      <c r="CU490" s="87"/>
      <c r="CV490" s="87"/>
      <c r="CW490" s="87"/>
      <c r="CX490" s="87"/>
      <c r="CY490" s="87"/>
      <c r="CZ490" s="87"/>
      <c r="DA490" s="87"/>
      <c r="DB490" s="87"/>
      <c r="DC490" s="87"/>
      <c r="DD490" s="87"/>
      <c r="DE490" s="87"/>
      <c r="DF490" s="87"/>
      <c r="DG490" s="87"/>
      <c r="DH490" s="87"/>
      <c r="DI490" s="87"/>
      <c r="DJ490" s="87"/>
      <c r="DK490" s="87"/>
      <c r="DL490" s="87"/>
      <c r="DM490" s="87"/>
      <c r="DN490" s="87"/>
      <c r="DO490" s="87"/>
      <c r="DP490" s="87"/>
      <c r="DQ490" s="87"/>
      <c r="DR490" s="87"/>
      <c r="DS490" s="87"/>
      <c r="DT490" s="87"/>
      <c r="DU490" s="87"/>
      <c r="DV490" s="87"/>
      <c r="DW490" s="87"/>
      <c r="DX490" s="87"/>
      <c r="DY490" s="87"/>
      <c r="DZ490" s="87"/>
      <c r="EA490" s="87"/>
      <c r="EB490" s="87"/>
      <c r="EC490" s="87"/>
      <c r="ED490" s="87"/>
      <c r="EE490" s="87"/>
      <c r="EF490" s="87"/>
      <c r="EG490" s="75">
        <v>46017</v>
      </c>
      <c r="EH490" s="75">
        <v>46024</v>
      </c>
      <c r="EI490" s="75">
        <v>46031</v>
      </c>
    </row>
    <row r="491" spans="1:139" ht="16.5" hidden="1" thickBot="1" x14ac:dyDescent="0.35">
      <c r="A491" s="200" t="s">
        <v>387</v>
      </c>
      <c r="B491" s="194">
        <v>2</v>
      </c>
      <c r="C491" s="195">
        <f>38*0.25*0.33</f>
        <v>3.1350000000000002</v>
      </c>
      <c r="D491" s="217">
        <f>C491/VLOOKUP(B491,'[2]Gas Prod per PADD'!$A$1:$C$6,2,FALSE)</f>
        <v>1.3062500000000001E-3</v>
      </c>
      <c r="E491" s="196">
        <v>45681</v>
      </c>
      <c r="F491" s="281">
        <v>45694</v>
      </c>
      <c r="G491" s="194" t="s">
        <v>856</v>
      </c>
      <c r="H491" s="198"/>
      <c r="I491" s="84"/>
      <c r="J491" s="85"/>
      <c r="K491" s="85"/>
      <c r="L491" s="85"/>
      <c r="M491" s="85"/>
      <c r="N491" s="85"/>
      <c r="O491" s="85"/>
      <c r="P491" s="85">
        <f>C491*(E491-$P$1)/31</f>
        <v>-0.7079032258064516</v>
      </c>
      <c r="Q491" s="85">
        <f t="shared" si="21"/>
        <v>-0.35714285714285715</v>
      </c>
      <c r="R491" s="85"/>
      <c r="S491" s="85"/>
      <c r="T491" s="85"/>
      <c r="U491" s="85"/>
      <c r="V491" s="84"/>
      <c r="W491" s="84"/>
      <c r="X491" s="84" t="str">
        <f t="shared" si="18"/>
        <v>OK</v>
      </c>
      <c r="Y491" s="105"/>
      <c r="Z491" s="105"/>
      <c r="AA491" s="87"/>
      <c r="AB491" s="87"/>
      <c r="AC491" s="87"/>
      <c r="AD491" s="87"/>
      <c r="AE491" s="105"/>
      <c r="AF491" s="105"/>
      <c r="AG491" s="105"/>
      <c r="AH491" s="105"/>
      <c r="AI491" s="87"/>
      <c r="AJ491" s="87"/>
      <c r="AK491" s="105"/>
      <c r="AL491" s="87"/>
      <c r="AM491" s="105"/>
      <c r="AN491" s="105"/>
      <c r="AO491" s="87"/>
      <c r="AP491" s="87"/>
      <c r="AQ491" s="105"/>
      <c r="AR491" s="105"/>
      <c r="AS491" s="87"/>
      <c r="AT491" s="105"/>
      <c r="AU491" s="87"/>
      <c r="AV491" s="105"/>
      <c r="AW491" s="105"/>
      <c r="AX491" s="105"/>
      <c r="AY491" s="105"/>
      <c r="AZ491" s="105"/>
      <c r="BA491" s="105"/>
      <c r="BB491" s="105"/>
      <c r="BC491" s="87"/>
      <c r="BD491" s="87"/>
      <c r="BE491" s="87"/>
      <c r="BF491" s="87"/>
      <c r="BG491" s="87"/>
      <c r="BH491" s="87"/>
      <c r="BI491" s="87"/>
      <c r="BJ491" s="87"/>
      <c r="BK491" s="87"/>
      <c r="BL491" s="87"/>
      <c r="BM491" s="87"/>
      <c r="BN491" s="87"/>
      <c r="BO491" s="87"/>
      <c r="BP491" s="87"/>
      <c r="BQ491" s="87"/>
      <c r="BR491" s="87"/>
      <c r="BS491" s="87"/>
      <c r="BT491" s="87"/>
      <c r="BU491" s="87"/>
      <c r="BV491" s="87"/>
      <c r="BW491" s="87"/>
      <c r="BX491" s="87"/>
      <c r="BY491" s="87"/>
      <c r="BZ491" s="87"/>
      <c r="CA491" s="87"/>
      <c r="CB491" s="87"/>
      <c r="CC491" s="87"/>
      <c r="CD491" s="87"/>
      <c r="CE491" s="87"/>
      <c r="CF491" s="87"/>
      <c r="CG491" s="87"/>
      <c r="CH491" s="87"/>
      <c r="CI491" s="87"/>
      <c r="CJ491" s="87"/>
      <c r="CK491" s="87">
        <f>-C491*(1/7)</f>
        <v>-0.44785714285714284</v>
      </c>
      <c r="CL491" s="87">
        <f>-C491*6/7</f>
        <v>-2.6871428571428573</v>
      </c>
      <c r="CM491" s="87">
        <f>C491</f>
        <v>3.1350000000000002</v>
      </c>
      <c r="CN491" s="87"/>
      <c r="CO491" s="87"/>
      <c r="CP491" s="87"/>
      <c r="CQ491" s="87"/>
      <c r="CR491" s="87"/>
      <c r="CS491" s="87"/>
      <c r="CT491" s="87"/>
      <c r="CU491" s="87"/>
      <c r="CV491" s="87"/>
      <c r="CW491" s="87"/>
      <c r="CX491" s="87"/>
      <c r="CY491" s="87"/>
      <c r="CZ491" s="87"/>
      <c r="DA491" s="87"/>
      <c r="DB491" s="87"/>
      <c r="DC491" s="87"/>
      <c r="DD491" s="87"/>
      <c r="DE491" s="87"/>
      <c r="DF491" s="87"/>
      <c r="DG491" s="87"/>
      <c r="DH491" s="87"/>
      <c r="DI491" s="87"/>
      <c r="DJ491" s="87"/>
      <c r="DK491" s="87"/>
      <c r="DL491" s="87"/>
      <c r="DM491" s="87"/>
      <c r="DN491" s="87"/>
      <c r="DO491" s="87"/>
      <c r="DP491" s="87"/>
      <c r="DQ491" s="87"/>
      <c r="DR491" s="87"/>
      <c r="DS491" s="87"/>
      <c r="DT491" s="87"/>
      <c r="DU491" s="87"/>
      <c r="DV491" s="87"/>
      <c r="DW491" s="87"/>
      <c r="DX491" s="87"/>
      <c r="DY491" s="87"/>
      <c r="DZ491" s="87"/>
      <c r="EA491" s="87"/>
      <c r="EB491" s="87"/>
      <c r="EC491" s="87"/>
      <c r="ED491" s="87"/>
      <c r="EE491" s="87"/>
      <c r="EF491" s="87"/>
      <c r="EG491" s="87"/>
      <c r="EH491" s="87"/>
      <c r="EI491" s="87"/>
    </row>
    <row r="492" spans="1:139" ht="29.25" hidden="1" thickBot="1" x14ac:dyDescent="0.35">
      <c r="A492" s="175" t="s">
        <v>285</v>
      </c>
      <c r="B492" s="191">
        <v>5</v>
      </c>
      <c r="C492" s="177">
        <f>104*0.05</f>
        <v>5.2</v>
      </c>
      <c r="D492" s="217">
        <f>C492/VLOOKUP(B492,'[2]Gas Prod per PADD'!$A$1:$C$6,2,FALSE)</f>
        <v>3.851851851851852E-3</v>
      </c>
      <c r="E492" s="334">
        <v>45690</v>
      </c>
      <c r="F492" s="252">
        <v>45694</v>
      </c>
      <c r="G492" s="180" t="s">
        <v>857</v>
      </c>
      <c r="H492" s="181" t="s">
        <v>543</v>
      </c>
      <c r="I492" s="84"/>
      <c r="J492" s="85"/>
      <c r="K492" s="85"/>
      <c r="L492" s="85"/>
      <c r="M492" s="85"/>
      <c r="N492" s="85"/>
      <c r="O492" s="85"/>
      <c r="P492" s="85"/>
      <c r="Q492" s="85">
        <f>C492*(E492-F492)/28</f>
        <v>-0.74285714285714288</v>
      </c>
      <c r="R492" s="85"/>
      <c r="S492" s="85"/>
      <c r="T492" s="85"/>
      <c r="U492" s="85"/>
      <c r="V492" s="84"/>
      <c r="W492" s="84"/>
      <c r="X492" s="84" t="str">
        <f t="shared" si="18"/>
        <v>OK</v>
      </c>
      <c r="Y492" s="86"/>
      <c r="Z492" s="87"/>
      <c r="AA492" s="87"/>
      <c r="AB492" s="87"/>
      <c r="AC492" s="87"/>
      <c r="AD492" s="87"/>
      <c r="AE492" s="87"/>
      <c r="AF492" s="87"/>
      <c r="AG492" s="87"/>
      <c r="AH492" s="87"/>
      <c r="AI492" s="87"/>
      <c r="AJ492" s="87"/>
      <c r="AK492" s="87"/>
      <c r="AL492" s="87"/>
      <c r="AM492" s="87"/>
      <c r="AN492" s="87"/>
      <c r="AO492" s="87"/>
      <c r="AP492" s="87"/>
      <c r="AQ492" s="87"/>
      <c r="AR492" s="87"/>
      <c r="AS492" s="87"/>
      <c r="AT492" s="87"/>
      <c r="AU492" s="87"/>
      <c r="AV492" s="87"/>
      <c r="AW492" s="87"/>
      <c r="AX492" s="87"/>
      <c r="AY492" s="87"/>
      <c r="AZ492" s="87"/>
      <c r="BA492" s="87"/>
      <c r="BB492" s="87"/>
      <c r="BC492" s="87"/>
      <c r="BD492" s="87"/>
      <c r="BE492" s="87"/>
      <c r="BF492" s="87"/>
      <c r="BG492" s="87"/>
      <c r="BH492" s="87"/>
      <c r="BI492" s="87"/>
      <c r="BJ492" s="105"/>
      <c r="BK492" s="87"/>
      <c r="BL492" s="105"/>
      <c r="BM492" s="87"/>
      <c r="BN492" s="87"/>
      <c r="BO492" s="87"/>
      <c r="BP492" s="87"/>
      <c r="BQ492" s="87"/>
      <c r="BR492" s="87"/>
      <c r="BS492" s="87"/>
      <c r="BT492" s="87"/>
      <c r="BU492" s="87"/>
      <c r="BV492" s="87"/>
      <c r="BW492" s="87"/>
      <c r="BX492" s="105"/>
      <c r="BY492" s="105"/>
      <c r="BZ492" s="87"/>
      <c r="CA492" s="87"/>
      <c r="CB492" s="105"/>
      <c r="CC492" s="87"/>
      <c r="CD492" s="87"/>
      <c r="CE492" s="87"/>
      <c r="CF492" s="87"/>
      <c r="CG492" s="87"/>
      <c r="CH492" s="87"/>
      <c r="CI492" s="87"/>
      <c r="CJ492" s="87"/>
      <c r="CK492" s="87"/>
      <c r="CL492" s="87"/>
      <c r="CM492" s="105">
        <f>-C492*4/7</f>
        <v>-2.9714285714285715</v>
      </c>
      <c r="CN492" s="105">
        <f>-CM492</f>
        <v>2.9714285714285715</v>
      </c>
      <c r="CO492" s="105"/>
      <c r="CP492" s="87"/>
      <c r="CQ492" s="87"/>
      <c r="CR492" s="87"/>
      <c r="CS492" s="87"/>
      <c r="CT492" s="87"/>
      <c r="CU492" s="87"/>
      <c r="CV492" s="87"/>
      <c r="CW492" s="87"/>
      <c r="CX492" s="87"/>
      <c r="CY492" s="87"/>
      <c r="CZ492" s="87"/>
      <c r="DA492" s="87"/>
      <c r="DB492" s="87"/>
      <c r="DC492" s="87"/>
      <c r="DD492" s="87"/>
      <c r="DE492" s="87"/>
      <c r="DF492" s="87"/>
      <c r="DG492" s="87"/>
      <c r="DH492" s="87"/>
      <c r="DI492" s="87"/>
      <c r="DJ492" s="87"/>
      <c r="DK492" s="87"/>
      <c r="DL492" s="87"/>
      <c r="DM492" s="87"/>
      <c r="DN492" s="87"/>
      <c r="DO492" s="87"/>
      <c r="DP492" s="87"/>
      <c r="DQ492" s="87"/>
      <c r="DR492" s="87"/>
      <c r="DS492" s="87"/>
      <c r="DT492" s="87"/>
      <c r="DU492" s="87"/>
      <c r="DV492" s="87"/>
      <c r="DW492" s="87"/>
      <c r="DX492" s="87"/>
      <c r="DY492" s="87"/>
      <c r="DZ492" s="87"/>
      <c r="EA492" s="87"/>
      <c r="EB492" s="87"/>
      <c r="EC492" s="87"/>
      <c r="ED492" s="87"/>
      <c r="EE492" s="87"/>
      <c r="EF492" s="87"/>
      <c r="EG492" s="75">
        <v>46017</v>
      </c>
      <c r="EH492" s="75">
        <v>46024</v>
      </c>
      <c r="EI492" s="75">
        <v>46031</v>
      </c>
    </row>
    <row r="493" spans="1:139" ht="16.5" hidden="1" thickBot="1" x14ac:dyDescent="0.35">
      <c r="A493" s="161" t="s">
        <v>168</v>
      </c>
      <c r="B493" s="176">
        <v>2</v>
      </c>
      <c r="C493" s="177">
        <f>(0.85*40)</f>
        <v>34</v>
      </c>
      <c r="D493" s="217">
        <f>C493/VLOOKUP(B493,'[2]Gas Prod per PADD'!$A$1:$C$6,2,FALSE)</f>
        <v>1.4166666666666666E-2</v>
      </c>
      <c r="E493" s="178">
        <v>45691</v>
      </c>
      <c r="F493" s="252">
        <v>45694</v>
      </c>
      <c r="G493" s="180" t="s">
        <v>376</v>
      </c>
      <c r="H493" s="221" t="s">
        <v>543</v>
      </c>
      <c r="I493" s="84"/>
      <c r="J493" s="85"/>
      <c r="K493" s="85"/>
      <c r="L493" s="85"/>
      <c r="M493" s="85"/>
      <c r="N493" s="85"/>
      <c r="O493" s="85"/>
      <c r="P493" s="85"/>
      <c r="Q493" s="85">
        <f>C493*(E493-F493)/28</f>
        <v>-3.6428571428571428</v>
      </c>
      <c r="R493" s="85"/>
      <c r="S493" s="85"/>
      <c r="T493" s="85"/>
      <c r="U493" s="85"/>
      <c r="V493" s="84"/>
      <c r="W493" s="84"/>
      <c r="X493" s="84" t="str">
        <f t="shared" si="18"/>
        <v>OK</v>
      </c>
      <c r="Y493" s="87"/>
      <c r="Z493" s="87"/>
      <c r="AA493" s="87"/>
      <c r="AB493" s="87"/>
      <c r="AC493" s="87"/>
      <c r="AD493" s="87"/>
      <c r="AE493" s="87"/>
      <c r="AF493" s="87"/>
      <c r="AG493" s="87"/>
      <c r="AH493" s="87"/>
      <c r="AI493" s="87"/>
      <c r="AJ493" s="87"/>
      <c r="AK493" s="87"/>
      <c r="AL493" s="87"/>
      <c r="AM493" s="87"/>
      <c r="AN493" s="87"/>
      <c r="AO493" s="87"/>
      <c r="AP493" s="87"/>
      <c r="AQ493" s="87"/>
      <c r="AR493" s="87"/>
      <c r="AS493" s="87"/>
      <c r="AT493" s="87"/>
      <c r="AU493" s="87"/>
      <c r="AV493" s="87"/>
      <c r="AW493" s="87"/>
      <c r="AX493" s="87"/>
      <c r="AY493" s="87"/>
      <c r="AZ493" s="87"/>
      <c r="BA493" s="87"/>
      <c r="BB493" s="87"/>
      <c r="BC493" s="87"/>
      <c r="BD493" s="87"/>
      <c r="BE493" s="87"/>
      <c r="BF493" s="87"/>
      <c r="BG493" s="87"/>
      <c r="BH493" s="87"/>
      <c r="BI493" s="87"/>
      <c r="BJ493" s="87"/>
      <c r="BK493" s="87"/>
      <c r="BL493" s="87"/>
      <c r="BM493" s="87"/>
      <c r="BN493" s="87"/>
      <c r="BO493" s="87"/>
      <c r="BP493" s="87"/>
      <c r="BQ493" s="87"/>
      <c r="BR493" s="87"/>
      <c r="BS493" s="87"/>
      <c r="BT493" s="87"/>
      <c r="BU493" s="87"/>
      <c r="BV493" s="87"/>
      <c r="BW493" s="87"/>
      <c r="BX493" s="87"/>
      <c r="BY493" s="87"/>
      <c r="BZ493" s="87"/>
      <c r="CA493" s="87"/>
      <c r="CB493" s="87"/>
      <c r="CC493" s="87"/>
      <c r="CD493" s="87"/>
      <c r="CE493" s="87"/>
      <c r="CF493" s="87"/>
      <c r="CG493" s="87"/>
      <c r="CH493" s="87"/>
      <c r="CI493" s="87"/>
      <c r="CJ493" s="87"/>
      <c r="CK493" s="87"/>
      <c r="CL493" s="87"/>
      <c r="CM493" s="87">
        <f>-3/7*C493</f>
        <v>-14.571428571428571</v>
      </c>
      <c r="CN493" s="87">
        <f>-CM493</f>
        <v>14.571428571428571</v>
      </c>
      <c r="CO493" s="87"/>
      <c r="CP493" s="87"/>
      <c r="CQ493" s="87"/>
      <c r="CR493" s="87"/>
      <c r="CS493" s="87"/>
      <c r="CT493" s="87"/>
      <c r="CU493" s="87"/>
      <c r="CV493" s="87"/>
      <c r="CW493" s="87"/>
      <c r="CX493" s="87"/>
      <c r="CY493" s="87"/>
      <c r="CZ493" s="87"/>
      <c r="DA493" s="87"/>
      <c r="DB493" s="87"/>
      <c r="DC493" s="87"/>
      <c r="DD493" s="87"/>
      <c r="DE493" s="87"/>
      <c r="DF493" s="87"/>
      <c r="DG493" s="87"/>
      <c r="DH493" s="87"/>
      <c r="DI493" s="87"/>
      <c r="DJ493" s="87"/>
      <c r="DK493" s="87"/>
      <c r="DL493" s="87"/>
      <c r="DM493" s="87"/>
      <c r="DN493" s="87"/>
      <c r="DO493" s="87"/>
      <c r="DP493" s="87"/>
      <c r="DQ493" s="87"/>
      <c r="DR493" s="87"/>
      <c r="DS493" s="87"/>
      <c r="DT493" s="87"/>
      <c r="DU493" s="87"/>
      <c r="DV493" s="87"/>
      <c r="DW493" s="87"/>
      <c r="DX493" s="87"/>
      <c r="DY493" s="87"/>
      <c r="DZ493" s="87"/>
      <c r="EA493" s="87"/>
      <c r="EB493" s="87"/>
      <c r="EC493" s="87"/>
      <c r="ED493" s="87"/>
      <c r="EE493" s="87"/>
      <c r="EF493" s="87"/>
      <c r="EG493" s="87"/>
      <c r="EH493" s="87"/>
      <c r="EI493" s="87"/>
    </row>
    <row r="494" spans="1:139" ht="29.25" hidden="1" thickBot="1" x14ac:dyDescent="0.35">
      <c r="A494" s="219" t="s">
        <v>858</v>
      </c>
      <c r="B494" s="194">
        <v>3</v>
      </c>
      <c r="C494" s="195">
        <f>10*0.85</f>
        <v>8.5</v>
      </c>
      <c r="D494" s="217">
        <f>C494/VLOOKUP(B494,'[2]Gas Prod per PADD'!$A$1:$C$6,2,FALSE)</f>
        <v>1.8478260869565217E-3</v>
      </c>
      <c r="E494" s="178">
        <v>45493</v>
      </c>
      <c r="F494" s="335">
        <v>45695</v>
      </c>
      <c r="G494" s="194" t="s">
        <v>163</v>
      </c>
      <c r="H494" s="336" t="s">
        <v>859</v>
      </c>
      <c r="I494" s="84"/>
      <c r="J494" s="85"/>
      <c r="K494" s="85"/>
      <c r="L494" s="85"/>
      <c r="M494" s="85"/>
      <c r="N494" s="85"/>
      <c r="O494" s="85"/>
      <c r="P494" s="85"/>
      <c r="Q494" s="85">
        <f>B494*($P$1+1-F494)/28</f>
        <v>-0.6428571428571429</v>
      </c>
      <c r="R494" s="85"/>
      <c r="S494" s="85"/>
      <c r="T494" s="85"/>
      <c r="U494" s="85"/>
      <c r="V494" s="84"/>
      <c r="W494" s="84"/>
      <c r="X494" s="84" t="str">
        <f t="shared" si="18"/>
        <v>OK</v>
      </c>
      <c r="Y494" s="86"/>
      <c r="Z494" s="87"/>
      <c r="AA494" s="87"/>
      <c r="AB494" s="87"/>
      <c r="AC494" s="87"/>
      <c r="AD494" s="87"/>
      <c r="AE494" s="87"/>
      <c r="AF494" s="87"/>
      <c r="AG494" s="87"/>
      <c r="AH494" s="87"/>
      <c r="AI494" s="87"/>
      <c r="AJ494" s="87"/>
      <c r="AK494" s="87"/>
      <c r="AL494" s="87"/>
      <c r="AM494" s="87"/>
      <c r="AN494" s="87"/>
      <c r="AO494" s="87"/>
      <c r="AP494" s="87"/>
      <c r="AQ494" s="87"/>
      <c r="AR494" s="87"/>
      <c r="AS494" s="87"/>
      <c r="AT494" s="87"/>
      <c r="AU494" s="87"/>
      <c r="AV494" s="87"/>
      <c r="AW494" s="87"/>
      <c r="AX494" s="87"/>
      <c r="AY494" s="87"/>
      <c r="AZ494" s="87"/>
      <c r="BA494" s="87"/>
      <c r="BB494" s="87"/>
      <c r="BC494" s="87"/>
      <c r="BD494" s="87"/>
      <c r="BE494" s="87"/>
      <c r="BF494" s="87"/>
      <c r="BG494" s="87"/>
      <c r="BH494" s="87"/>
      <c r="BI494" s="87"/>
      <c r="BJ494" s="105"/>
      <c r="BK494" s="87">
        <f>-2/3*C494</f>
        <v>-5.6666666666666661</v>
      </c>
      <c r="BL494" s="105">
        <f>-C494-BK494</f>
        <v>-2.8333333333333339</v>
      </c>
      <c r="BM494" s="87"/>
      <c r="BN494" s="87"/>
      <c r="BO494" s="87"/>
      <c r="BP494" s="105"/>
      <c r="BQ494" s="105"/>
      <c r="BR494" s="105"/>
      <c r="BS494" s="105"/>
      <c r="BT494" s="105"/>
      <c r="BU494" s="87"/>
      <c r="BV494" s="87"/>
      <c r="BW494" s="87"/>
      <c r="BX494" s="87"/>
      <c r="BY494" s="105"/>
      <c r="BZ494" s="87"/>
      <c r="CA494" s="105"/>
      <c r="CB494" s="87"/>
      <c r="CC494" s="87"/>
      <c r="CD494" s="105"/>
      <c r="CE494" s="87"/>
      <c r="CF494" s="105"/>
      <c r="CG494" s="87"/>
      <c r="CH494" s="87"/>
      <c r="CI494" s="87"/>
      <c r="CJ494" s="87"/>
      <c r="CK494" s="87"/>
      <c r="CL494" s="87"/>
      <c r="CM494" s="87"/>
      <c r="CN494" s="87"/>
      <c r="CO494" s="87"/>
      <c r="CP494" s="87"/>
      <c r="CQ494" s="87"/>
      <c r="CR494" s="87"/>
      <c r="CS494" s="87"/>
      <c r="CT494" s="87"/>
      <c r="CU494" s="87"/>
      <c r="CV494" s="87"/>
      <c r="CW494" s="87"/>
      <c r="CX494" s="87"/>
      <c r="CY494" s="87"/>
      <c r="CZ494" s="87"/>
      <c r="DA494" s="87"/>
      <c r="DB494" s="87"/>
      <c r="DC494" s="87"/>
      <c r="DD494" s="87"/>
      <c r="DE494" s="87"/>
      <c r="DF494" s="87"/>
      <c r="DG494" s="87"/>
      <c r="DH494" s="87"/>
      <c r="DI494" s="87"/>
      <c r="DJ494" s="87"/>
      <c r="DK494" s="87"/>
      <c r="DL494" s="87"/>
      <c r="DM494" s="87"/>
      <c r="DN494" s="87"/>
      <c r="DO494" s="87"/>
      <c r="DP494" s="87"/>
      <c r="DQ494" s="87"/>
      <c r="DR494" s="87"/>
      <c r="DS494" s="87"/>
      <c r="DT494" s="87"/>
      <c r="DU494" s="87"/>
      <c r="DV494" s="87"/>
      <c r="DW494" s="87"/>
      <c r="DX494" s="87"/>
      <c r="DY494" s="87"/>
      <c r="DZ494" s="87"/>
      <c r="EA494" s="87"/>
      <c r="EB494" s="87"/>
      <c r="EC494" s="87"/>
      <c r="ED494" s="87"/>
      <c r="EE494" s="87"/>
      <c r="EF494" s="87"/>
      <c r="EG494" s="87"/>
      <c r="EH494" s="87"/>
      <c r="EI494" s="87"/>
    </row>
    <row r="495" spans="1:139" ht="16.5" hidden="1" thickBot="1" x14ac:dyDescent="0.35">
      <c r="A495" s="242" t="s">
        <v>630</v>
      </c>
      <c r="B495" s="199">
        <v>5</v>
      </c>
      <c r="C495" s="195">
        <f>(40*0.1)+(15*0.1)</f>
        <v>5.5</v>
      </c>
      <c r="D495" s="217">
        <f>C495/VLOOKUP(B495,'[2]Gas Prod per PADD'!$A$1:$C$6,2,FALSE)</f>
        <v>4.0740740740740737E-3</v>
      </c>
      <c r="E495" s="337">
        <v>45667</v>
      </c>
      <c r="F495" s="281">
        <v>45695</v>
      </c>
      <c r="G495" s="194" t="s">
        <v>860</v>
      </c>
      <c r="H495" s="198" t="s">
        <v>861</v>
      </c>
      <c r="I495" s="84"/>
      <c r="J495" s="85"/>
      <c r="K495" s="85"/>
      <c r="L495" s="85"/>
      <c r="M495" s="85"/>
      <c r="N495" s="85"/>
      <c r="O495" s="85"/>
      <c r="P495" s="85">
        <f>C495*(E495-$P$1)/31</f>
        <v>-3.725806451612903</v>
      </c>
      <c r="Q495" s="85">
        <f>B495*($P$1+1-F495)/28</f>
        <v>-1.0714285714285714</v>
      </c>
      <c r="R495" s="85"/>
      <c r="S495" s="85"/>
      <c r="T495" s="85"/>
      <c r="U495" s="85"/>
      <c r="V495" s="84"/>
      <c r="W495" s="84"/>
      <c r="X495" s="84" t="str">
        <f t="shared" si="18"/>
        <v>OK</v>
      </c>
      <c r="Y495" s="87"/>
      <c r="Z495" s="87"/>
      <c r="AA495" s="87"/>
      <c r="AB495" s="87"/>
      <c r="AC495" s="87"/>
      <c r="AD495" s="87"/>
      <c r="AE495" s="87"/>
      <c r="AF495" s="87"/>
      <c r="AG495" s="87"/>
      <c r="AH495" s="87"/>
      <c r="AI495" s="87"/>
      <c r="AJ495" s="87"/>
      <c r="AK495" s="87"/>
      <c r="AL495" s="87"/>
      <c r="AM495" s="87"/>
      <c r="AN495" s="87"/>
      <c r="AO495" s="87"/>
      <c r="AP495" s="87"/>
      <c r="AQ495" s="87"/>
      <c r="AR495" s="87"/>
      <c r="AS495" s="87"/>
      <c r="AT495" s="87"/>
      <c r="AU495" s="87"/>
      <c r="AV495" s="87"/>
      <c r="AW495" s="87"/>
      <c r="AX495" s="87"/>
      <c r="AY495" s="87"/>
      <c r="AZ495" s="87"/>
      <c r="BA495" s="87"/>
      <c r="BB495" s="87"/>
      <c r="BC495" s="87"/>
      <c r="BD495" s="87"/>
      <c r="BE495" s="87"/>
      <c r="BF495" s="87"/>
      <c r="BG495" s="87"/>
      <c r="BH495" s="87"/>
      <c r="BI495" s="87"/>
      <c r="BJ495" s="87"/>
      <c r="BK495" s="87"/>
      <c r="BL495" s="87"/>
      <c r="BM495" s="87"/>
      <c r="BN495" s="87"/>
      <c r="BO495" s="87"/>
      <c r="BP495" s="87"/>
      <c r="BQ495" s="87"/>
      <c r="BR495" s="87"/>
      <c r="BS495" s="87"/>
      <c r="BT495" s="87"/>
      <c r="BU495" s="87"/>
      <c r="BV495" s="87"/>
      <c r="BW495" s="87"/>
      <c r="BX495" s="87"/>
      <c r="BY495" s="87"/>
      <c r="BZ495" s="87"/>
      <c r="CA495" s="87"/>
      <c r="CB495" s="87"/>
      <c r="CC495" s="87"/>
      <c r="CD495" s="87"/>
      <c r="CE495" s="87"/>
      <c r="CF495" s="87"/>
      <c r="CG495" s="87"/>
      <c r="CH495" s="87"/>
      <c r="CI495" s="87"/>
      <c r="CJ495" s="105">
        <f>-C495</f>
        <v>-5.5</v>
      </c>
      <c r="CK495" s="87"/>
      <c r="CL495" s="87"/>
      <c r="CM495" s="87"/>
      <c r="CN495" s="105">
        <f>-CJ495</f>
        <v>5.5</v>
      </c>
      <c r="CO495" s="87"/>
      <c r="CP495" s="87"/>
      <c r="CQ495" s="87"/>
      <c r="CR495" s="87"/>
      <c r="CS495" s="87"/>
      <c r="CT495" s="87"/>
      <c r="CU495" s="87"/>
      <c r="CV495" s="87"/>
      <c r="CW495" s="87"/>
      <c r="CX495" s="87"/>
      <c r="CY495" s="87"/>
      <c r="CZ495" s="87"/>
      <c r="DA495" s="87"/>
      <c r="DB495" s="87"/>
      <c r="DC495" s="87"/>
      <c r="DD495" s="87"/>
      <c r="DE495" s="87"/>
      <c r="DF495" s="87"/>
      <c r="DG495" s="87"/>
      <c r="DH495" s="87"/>
      <c r="DI495" s="87"/>
      <c r="DJ495" s="87"/>
      <c r="DK495" s="87"/>
      <c r="DL495" s="87"/>
      <c r="DM495" s="87"/>
      <c r="DN495" s="87"/>
      <c r="DO495" s="87"/>
      <c r="DP495" s="87"/>
      <c r="DQ495" s="87"/>
      <c r="DR495" s="87"/>
      <c r="DS495" s="87"/>
      <c r="DT495" s="87"/>
      <c r="DU495" s="87"/>
      <c r="DV495" s="87"/>
      <c r="DW495" s="87"/>
      <c r="DX495" s="87"/>
      <c r="DY495" s="87"/>
      <c r="DZ495" s="87"/>
      <c r="EA495" s="87"/>
      <c r="EB495" s="87"/>
      <c r="EC495" s="87"/>
      <c r="ED495" s="87"/>
      <c r="EE495" s="87"/>
      <c r="EF495" s="87"/>
      <c r="EG495" s="75">
        <v>46017</v>
      </c>
      <c r="EH495" s="75">
        <v>46024</v>
      </c>
      <c r="EI495" s="75">
        <v>46031</v>
      </c>
    </row>
    <row r="496" spans="1:139" ht="16.5" hidden="1" thickBot="1" x14ac:dyDescent="0.35">
      <c r="A496" s="161" t="s">
        <v>289</v>
      </c>
      <c r="B496" s="176">
        <v>3</v>
      </c>
      <c r="C496" s="177">
        <f>67*0.25</f>
        <v>16.75</v>
      </c>
      <c r="D496" s="217">
        <f>C496/VLOOKUP(B496,'[2]Gas Prod per PADD'!$A$1:$C$6,2,FALSE)</f>
        <v>3.6413043478260871E-3</v>
      </c>
      <c r="E496" s="178">
        <v>45688</v>
      </c>
      <c r="F496" s="179">
        <f>E496+7</f>
        <v>45695</v>
      </c>
      <c r="G496" s="180" t="s">
        <v>301</v>
      </c>
      <c r="H496" s="198" t="s">
        <v>640</v>
      </c>
      <c r="I496" s="84"/>
      <c r="J496" s="85"/>
      <c r="K496" s="85"/>
      <c r="L496" s="85"/>
      <c r="M496" s="85"/>
      <c r="N496" s="85"/>
      <c r="O496" s="85"/>
      <c r="P496" s="85">
        <f>C496*(E496-$P$1)/31</f>
        <v>0</v>
      </c>
      <c r="Q496" s="85">
        <f>B496*($P$1+1-F496)/28</f>
        <v>-0.6428571428571429</v>
      </c>
      <c r="R496" s="85"/>
      <c r="S496" s="85"/>
      <c r="T496" s="85"/>
      <c r="U496" s="85"/>
      <c r="V496" s="84"/>
      <c r="W496" s="84"/>
      <c r="X496" s="84" t="str">
        <f t="shared" si="18"/>
        <v>OK</v>
      </c>
      <c r="Y496" s="87"/>
      <c r="Z496" s="87"/>
      <c r="AA496" s="87"/>
      <c r="AB496" s="87"/>
      <c r="AC496" s="87"/>
      <c r="AD496" s="87"/>
      <c r="AE496" s="87"/>
      <c r="AF496" s="87"/>
      <c r="AG496" s="87"/>
      <c r="AH496" s="87"/>
      <c r="AI496" s="87"/>
      <c r="AJ496" s="87"/>
      <c r="AK496" s="87"/>
      <c r="AL496" s="87"/>
      <c r="AM496" s="87"/>
      <c r="AN496" s="87"/>
      <c r="AO496" s="87"/>
      <c r="AP496" s="87"/>
      <c r="AQ496" s="87"/>
      <c r="AR496" s="87"/>
      <c r="AS496" s="87"/>
      <c r="AT496" s="87"/>
      <c r="AU496" s="87"/>
      <c r="AV496" s="87"/>
      <c r="AW496" s="87"/>
      <c r="AX496" s="87"/>
      <c r="AY496" s="87"/>
      <c r="AZ496" s="87"/>
      <c r="BA496" s="87"/>
      <c r="BB496" s="87"/>
      <c r="BC496" s="87"/>
      <c r="BD496" s="87"/>
      <c r="BE496" s="87"/>
      <c r="BF496" s="87"/>
      <c r="BG496" s="87"/>
      <c r="BH496" s="87"/>
      <c r="BI496" s="87"/>
      <c r="BJ496" s="87"/>
      <c r="BK496" s="87"/>
      <c r="BL496" s="87"/>
      <c r="BM496" s="87"/>
      <c r="BN496" s="87"/>
      <c r="BO496" s="87"/>
      <c r="BP496" s="87"/>
      <c r="BQ496" s="87"/>
      <c r="BR496" s="87"/>
      <c r="BS496" s="87"/>
      <c r="BT496" s="87"/>
      <c r="BU496" s="87"/>
      <c r="BV496" s="87"/>
      <c r="BW496" s="87"/>
      <c r="BX496" s="87"/>
      <c r="BY496" s="87"/>
      <c r="BZ496" s="87"/>
      <c r="CA496" s="87"/>
      <c r="CB496" s="87"/>
      <c r="CC496" s="87"/>
      <c r="CD496" s="87"/>
      <c r="CE496" s="87"/>
      <c r="CF496" s="87"/>
      <c r="CG496" s="87"/>
      <c r="CH496" s="105"/>
      <c r="CI496" s="87"/>
      <c r="CJ496" s="87"/>
      <c r="CK496" s="87"/>
      <c r="CL496" s="87">
        <f>-1/7*C496</f>
        <v>-2.3928571428571428</v>
      </c>
      <c r="CM496" s="87">
        <f>-6/7*C496</f>
        <v>-14.357142857142856</v>
      </c>
      <c r="CN496" s="87">
        <f>-CL496</f>
        <v>2.3928571428571428</v>
      </c>
      <c r="CO496" s="87">
        <f>-CM496</f>
        <v>14.357142857142856</v>
      </c>
      <c r="CP496" s="87"/>
      <c r="CQ496" s="87"/>
      <c r="CR496" s="87"/>
      <c r="CS496" s="87"/>
      <c r="CT496" s="87"/>
      <c r="CU496" s="87"/>
      <c r="CV496" s="87"/>
      <c r="CW496" s="87"/>
      <c r="CX496" s="87"/>
      <c r="CY496" s="87"/>
      <c r="CZ496" s="87"/>
      <c r="DA496" s="87"/>
      <c r="DB496" s="87"/>
      <c r="DC496" s="87"/>
      <c r="DD496" s="87"/>
      <c r="DE496" s="87"/>
      <c r="DF496" s="87"/>
      <c r="DG496" s="87"/>
      <c r="DH496" s="87"/>
      <c r="DI496" s="87"/>
      <c r="DJ496" s="87"/>
      <c r="DK496" s="87"/>
      <c r="DL496" s="87"/>
      <c r="DM496" s="87"/>
      <c r="DN496" s="87"/>
      <c r="DO496" s="87"/>
      <c r="DP496" s="87"/>
      <c r="DQ496" s="87"/>
      <c r="DR496" s="87"/>
      <c r="DS496" s="87"/>
      <c r="DT496" s="87"/>
      <c r="DU496" s="87"/>
      <c r="DV496" s="87"/>
      <c r="DW496" s="87"/>
      <c r="DX496" s="87"/>
      <c r="DY496" s="87"/>
      <c r="DZ496" s="87"/>
      <c r="EA496" s="87"/>
      <c r="EB496" s="87"/>
      <c r="EC496" s="87"/>
      <c r="ED496" s="87"/>
      <c r="EE496" s="87"/>
      <c r="EF496" s="87"/>
      <c r="EG496" s="87"/>
      <c r="EH496" s="87"/>
      <c r="EI496" s="87"/>
    </row>
    <row r="497" spans="1:139" ht="16.5" hidden="1" thickBot="1" x14ac:dyDescent="0.35">
      <c r="A497" s="222" t="s">
        <v>243</v>
      </c>
      <c r="B497" s="191">
        <v>3</v>
      </c>
      <c r="C497" s="177">
        <f>30*0.65</f>
        <v>19.5</v>
      </c>
      <c r="D497" s="217">
        <f>C497/VLOOKUP(B497,'[2]Gas Prod per PADD'!$A$1:$C$6,2,FALSE)</f>
        <v>4.239130434782609E-3</v>
      </c>
      <c r="E497" s="178">
        <v>45691</v>
      </c>
      <c r="F497" s="252">
        <v>45695</v>
      </c>
      <c r="G497" s="180" t="s">
        <v>862</v>
      </c>
      <c r="H497" s="181" t="s">
        <v>538</v>
      </c>
      <c r="I497" s="84"/>
      <c r="J497" s="85"/>
      <c r="K497" s="85"/>
      <c r="L497" s="85"/>
      <c r="M497" s="85"/>
      <c r="N497" s="85"/>
      <c r="O497" s="85"/>
      <c r="P497" s="85"/>
      <c r="Q497" s="85">
        <f>C497*(E497-F497)/28</f>
        <v>-2.7857142857142856</v>
      </c>
      <c r="R497" s="85"/>
      <c r="S497" s="85"/>
      <c r="T497" s="85"/>
      <c r="U497" s="85"/>
      <c r="V497" s="84"/>
      <c r="W497" s="84"/>
      <c r="X497" s="84" t="str">
        <f t="shared" si="18"/>
        <v>OK</v>
      </c>
      <c r="Y497" s="105"/>
      <c r="Z497" s="105"/>
      <c r="AA497" s="87"/>
      <c r="AB497" s="87"/>
      <c r="AC497" s="87"/>
      <c r="AD497" s="87"/>
      <c r="AE497" s="105"/>
      <c r="AF497" s="105"/>
      <c r="AG497" s="105"/>
      <c r="AH497" s="105"/>
      <c r="AI497" s="87"/>
      <c r="AJ497" s="87"/>
      <c r="AK497" s="87"/>
      <c r="AL497" s="87"/>
      <c r="AM497" s="87"/>
      <c r="AN497" s="87"/>
      <c r="AO497" s="87"/>
      <c r="AP497" s="87"/>
      <c r="AQ497" s="87"/>
      <c r="AR497" s="105"/>
      <c r="AS497" s="105"/>
      <c r="AT497" s="105"/>
      <c r="AU497" s="87"/>
      <c r="AV497" s="87"/>
      <c r="AW497" s="87"/>
      <c r="AX497" s="87"/>
      <c r="AY497" s="87"/>
      <c r="AZ497" s="87"/>
      <c r="BA497" s="87"/>
      <c r="BB497" s="87"/>
      <c r="BC497" s="87"/>
      <c r="BD497" s="87"/>
      <c r="BE497" s="87"/>
      <c r="BF497" s="87"/>
      <c r="BG497" s="87"/>
      <c r="BH497" s="87"/>
      <c r="BI497" s="87"/>
      <c r="BJ497" s="87"/>
      <c r="BK497" s="87"/>
      <c r="BL497" s="87"/>
      <c r="BM497" s="87"/>
      <c r="BN497" s="87"/>
      <c r="BO497" s="87"/>
      <c r="BP497" s="87"/>
      <c r="BQ497" s="87"/>
      <c r="BR497" s="87"/>
      <c r="BS497" s="87"/>
      <c r="BT497" s="87"/>
      <c r="BU497" s="87"/>
      <c r="BV497" s="87"/>
      <c r="BW497" s="87"/>
      <c r="BX497" s="87"/>
      <c r="BY497" s="87"/>
      <c r="BZ497" s="87"/>
      <c r="CA497" s="87"/>
      <c r="CB497" s="87"/>
      <c r="CC497" s="87"/>
      <c r="CD497" s="87"/>
      <c r="CE497" s="87"/>
      <c r="CF497" s="87"/>
      <c r="CG497" s="87"/>
      <c r="CH497" s="87"/>
      <c r="CI497" s="87"/>
      <c r="CJ497" s="87"/>
      <c r="CK497" s="87"/>
      <c r="CL497" s="87"/>
      <c r="CM497" s="87">
        <f>-4/7*C497</f>
        <v>-11.142857142857142</v>
      </c>
      <c r="CN497" s="87">
        <f>-CM497</f>
        <v>11.142857142857142</v>
      </c>
      <c r="CO497" s="87"/>
      <c r="CP497" s="87"/>
      <c r="CQ497" s="87"/>
      <c r="CR497" s="87"/>
      <c r="CS497" s="87"/>
      <c r="CT497" s="87"/>
      <c r="CU497" s="87"/>
      <c r="CV497" s="87"/>
      <c r="CW497" s="87"/>
      <c r="CX497" s="87"/>
      <c r="CY497" s="87"/>
      <c r="CZ497" s="87"/>
      <c r="DA497" s="87"/>
      <c r="DB497" s="87"/>
      <c r="DC497" s="87"/>
      <c r="DD497" s="87"/>
      <c r="DE497" s="87"/>
      <c r="DF497" s="87"/>
      <c r="DG497" s="87"/>
      <c r="DH497" s="87"/>
      <c r="DI497" s="87"/>
      <c r="DJ497" s="87"/>
      <c r="DK497" s="87"/>
      <c r="DL497" s="87"/>
      <c r="DM497" s="87"/>
      <c r="DN497" s="87"/>
      <c r="DO497" s="87"/>
      <c r="DP497" s="87"/>
      <c r="DQ497" s="87"/>
      <c r="DR497" s="87"/>
      <c r="DS497" s="87"/>
      <c r="DT497" s="87"/>
      <c r="DU497" s="87"/>
      <c r="DV497" s="87"/>
      <c r="DW497" s="87"/>
      <c r="DX497" s="87"/>
      <c r="DY497" s="87"/>
      <c r="DZ497" s="87"/>
      <c r="EA497" s="87"/>
      <c r="EB497" s="87"/>
      <c r="EC497" s="87"/>
      <c r="ED497" s="87"/>
      <c r="EE497" s="87"/>
      <c r="EF497" s="87"/>
      <c r="EG497" s="87"/>
      <c r="EH497" s="87"/>
      <c r="EI497" s="87"/>
    </row>
    <row r="498" spans="1:139" ht="16.5" hidden="1" thickBot="1" x14ac:dyDescent="0.35">
      <c r="A498" s="113" t="s">
        <v>82</v>
      </c>
      <c r="B498" s="199">
        <v>4</v>
      </c>
      <c r="C498" s="195">
        <f>15*0.05</f>
        <v>0.75</v>
      </c>
      <c r="D498" s="217">
        <f>C498/VLOOKUP(B498,'[2]Gas Prod per PADD'!$A$1:$C$6,2,FALSE)</f>
        <v>2.2058823529411764E-3</v>
      </c>
      <c r="E498" s="281">
        <v>45693</v>
      </c>
      <c r="F498" s="281">
        <v>45695</v>
      </c>
      <c r="G498" s="194" t="s">
        <v>863</v>
      </c>
      <c r="H498" s="198" t="s">
        <v>864</v>
      </c>
      <c r="I498" s="84"/>
      <c r="J498" s="85"/>
      <c r="K498" s="85"/>
      <c r="L498" s="85"/>
      <c r="M498" s="85"/>
      <c r="N498" s="85"/>
      <c r="O498" s="85"/>
      <c r="P498" s="85"/>
      <c r="Q498" s="85">
        <f>C498*(E498-F498)/28</f>
        <v>-5.3571428571428568E-2</v>
      </c>
      <c r="R498" s="85"/>
      <c r="S498" s="85"/>
      <c r="T498" s="85"/>
      <c r="U498" s="85"/>
      <c r="V498" s="84"/>
      <c r="W498" s="84"/>
      <c r="X498" s="84" t="str">
        <f t="shared" si="18"/>
        <v>OK</v>
      </c>
      <c r="Y498" s="105"/>
      <c r="Z498" s="105"/>
      <c r="AA498" s="87"/>
      <c r="AB498" s="87"/>
      <c r="AC498" s="87"/>
      <c r="AD498" s="87"/>
      <c r="AE498" s="105"/>
      <c r="AF498" s="105"/>
      <c r="AG498" s="105"/>
      <c r="AH498" s="105"/>
      <c r="AI498" s="87"/>
      <c r="AJ498" s="87"/>
      <c r="AK498" s="105"/>
      <c r="AL498" s="87"/>
      <c r="AM498" s="105"/>
      <c r="AN498" s="105"/>
      <c r="AO498" s="87"/>
      <c r="AP498" s="87"/>
      <c r="AQ498" s="105"/>
      <c r="AR498" s="105"/>
      <c r="AS498" s="87"/>
      <c r="AT498" s="105"/>
      <c r="AU498" s="105"/>
      <c r="AV498" s="87"/>
      <c r="AW498" s="105"/>
      <c r="AX498" s="105"/>
      <c r="AY498" s="87"/>
      <c r="AZ498" s="105"/>
      <c r="BA498" s="105"/>
      <c r="BB498" s="105"/>
      <c r="BC498" s="87"/>
      <c r="BD498" s="87"/>
      <c r="BE498" s="105"/>
      <c r="BF498" s="105"/>
      <c r="BG498" s="105"/>
      <c r="BH498" s="105"/>
      <c r="BI498" s="105"/>
      <c r="BJ498" s="87"/>
      <c r="BK498" s="87"/>
      <c r="BL498" s="87"/>
      <c r="BM498" s="87"/>
      <c r="BN498" s="87"/>
      <c r="BO498" s="105"/>
      <c r="BP498" s="105"/>
      <c r="BQ498" s="105"/>
      <c r="BR498" s="87"/>
      <c r="BS498" s="87"/>
      <c r="BT498" s="87"/>
      <c r="BU498" s="87"/>
      <c r="BV498" s="87"/>
      <c r="BW498" s="87"/>
      <c r="BX498" s="105"/>
      <c r="BY498" s="87"/>
      <c r="BZ498" s="87"/>
      <c r="CA498" s="87"/>
      <c r="CB498" s="87"/>
      <c r="CC498" s="87"/>
      <c r="CD498" s="87"/>
      <c r="CE498" s="87"/>
      <c r="CF498" s="87"/>
      <c r="CG498" s="87"/>
      <c r="CH498" s="87"/>
      <c r="CI498" s="87"/>
      <c r="CJ498" s="87"/>
      <c r="CK498" s="87"/>
      <c r="CL498" s="87"/>
      <c r="CM498" s="278">
        <f>-C498*(2/7)</f>
        <v>-0.21428571428571427</v>
      </c>
      <c r="CN498" s="278">
        <f>C498*(2/7)</f>
        <v>0.21428571428571427</v>
      </c>
      <c r="CO498" s="87"/>
      <c r="CP498" s="87"/>
      <c r="CQ498" s="87"/>
      <c r="CR498" s="87"/>
      <c r="CS498" s="87"/>
      <c r="CT498" s="87"/>
      <c r="CU498" s="87"/>
      <c r="CV498" s="87"/>
      <c r="CW498" s="87"/>
      <c r="CX498" s="87"/>
      <c r="CY498" s="87"/>
      <c r="CZ498" s="87"/>
      <c r="DA498" s="87"/>
      <c r="DB498" s="87"/>
      <c r="DC498" s="87"/>
      <c r="DD498" s="87"/>
      <c r="DE498" s="87"/>
      <c r="DF498" s="87"/>
      <c r="DG498" s="87"/>
      <c r="DH498" s="87"/>
      <c r="DI498" s="87"/>
      <c r="DJ498" s="87"/>
      <c r="DK498" s="87"/>
      <c r="DL498" s="87"/>
      <c r="DM498" s="87"/>
      <c r="DN498" s="87"/>
      <c r="DO498" s="87"/>
      <c r="DP498" s="87"/>
      <c r="DQ498" s="87"/>
      <c r="DR498" s="87"/>
      <c r="DS498" s="87"/>
      <c r="DT498" s="87"/>
      <c r="DU498" s="87"/>
      <c r="DV498" s="87"/>
      <c r="DW498" s="87"/>
      <c r="DX498" s="87"/>
      <c r="DY498" s="87"/>
      <c r="DZ498" s="87"/>
      <c r="EA498" s="87"/>
      <c r="EB498" s="87"/>
      <c r="EC498" s="87"/>
      <c r="ED498" s="87"/>
      <c r="EE498" s="87"/>
      <c r="EF498" s="87"/>
      <c r="EG498" s="87"/>
      <c r="EH498" s="87"/>
      <c r="EI498" s="87"/>
    </row>
    <row r="499" spans="1:139" ht="16.5" hidden="1" thickBot="1" x14ac:dyDescent="0.35">
      <c r="A499" s="200" t="s">
        <v>365</v>
      </c>
      <c r="B499" s="223">
        <v>2</v>
      </c>
      <c r="C499" s="224">
        <f>15*0.85</f>
        <v>12.75</v>
      </c>
      <c r="D499" s="217">
        <f>C499/VLOOKUP(B499,'[2]Gas Prod per PADD'!$A$1:$C$6,2,FALSE)</f>
        <v>5.3125000000000004E-3</v>
      </c>
      <c r="E499" s="225">
        <v>45667</v>
      </c>
      <c r="F499" s="226">
        <v>45696</v>
      </c>
      <c r="G499" s="180" t="s">
        <v>197</v>
      </c>
      <c r="H499" s="221" t="s">
        <v>865</v>
      </c>
      <c r="I499" s="84"/>
      <c r="J499" s="85"/>
      <c r="K499" s="85"/>
      <c r="L499" s="85"/>
      <c r="M499" s="85"/>
      <c r="N499" s="85"/>
      <c r="O499" s="85"/>
      <c r="P499" s="85">
        <f>C499*(E499-$P$1)/31</f>
        <v>-8.637096774193548</v>
      </c>
      <c r="Q499" s="85">
        <f>B499*($P$1+1-F499)/28</f>
        <v>-0.5</v>
      </c>
      <c r="R499" s="85"/>
      <c r="S499" s="85"/>
      <c r="T499" s="85"/>
      <c r="U499" s="85"/>
      <c r="V499" s="84"/>
      <c r="W499" s="84"/>
      <c r="X499" s="84" t="str">
        <f t="shared" si="18"/>
        <v>OK</v>
      </c>
      <c r="Y499" s="105"/>
      <c r="Z499" s="105"/>
      <c r="AA499" s="87"/>
      <c r="AB499" s="87"/>
      <c r="AC499" s="87"/>
      <c r="AD499" s="87"/>
      <c r="AE499" s="105"/>
      <c r="AF499" s="105"/>
      <c r="AG499" s="105"/>
      <c r="AH499" s="105"/>
      <c r="AI499" s="87"/>
      <c r="AJ499" s="87"/>
      <c r="AK499" s="87"/>
      <c r="AL499" s="87"/>
      <c r="AM499" s="87"/>
      <c r="AN499" s="87"/>
      <c r="AO499" s="87"/>
      <c r="AP499" s="87"/>
      <c r="AQ499" s="87"/>
      <c r="AR499" s="87"/>
      <c r="AS499" s="87"/>
      <c r="AT499" s="87"/>
      <c r="AU499" s="87"/>
      <c r="AV499" s="87"/>
      <c r="AW499" s="87"/>
      <c r="AX499" s="87"/>
      <c r="AY499" s="87"/>
      <c r="AZ499" s="87"/>
      <c r="BA499" s="87"/>
      <c r="BB499" s="87"/>
      <c r="BC499" s="87"/>
      <c r="BD499" s="87"/>
      <c r="BE499" s="87"/>
      <c r="BF499" s="87"/>
      <c r="BG499" s="87"/>
      <c r="BH499" s="87"/>
      <c r="BI499" s="87"/>
      <c r="BJ499" s="87"/>
      <c r="BK499" s="87"/>
      <c r="BL499" s="87"/>
      <c r="BM499" s="87"/>
      <c r="BN499" s="87"/>
      <c r="BO499" s="87"/>
      <c r="BP499" s="87"/>
      <c r="BQ499" s="87"/>
      <c r="BR499" s="87"/>
      <c r="BS499" s="87"/>
      <c r="BT499" s="278"/>
      <c r="BU499" s="278"/>
      <c r="BV499" s="278"/>
      <c r="BW499" s="278"/>
      <c r="BX499" s="278"/>
      <c r="BY499" s="278"/>
      <c r="BZ499" s="87"/>
      <c r="CA499" s="87"/>
      <c r="CB499" s="87"/>
      <c r="CC499" s="87"/>
      <c r="CD499" s="87"/>
      <c r="CE499" s="87"/>
      <c r="CF499" s="87"/>
      <c r="CG499" s="87"/>
      <c r="CH499" s="87"/>
      <c r="CI499" s="87"/>
      <c r="CJ499" s="87">
        <f>-0.8*C499</f>
        <v>-10.200000000000001</v>
      </c>
      <c r="CK499" s="87">
        <f>-0.2*C499</f>
        <v>-2.5500000000000003</v>
      </c>
      <c r="CL499" s="87"/>
      <c r="CM499" s="87"/>
      <c r="CN499" s="87">
        <f>-CJ499</f>
        <v>10.200000000000001</v>
      </c>
      <c r="CO499" s="87">
        <f>-CK499</f>
        <v>2.5500000000000003</v>
      </c>
      <c r="CP499" s="87"/>
      <c r="CQ499" s="87"/>
      <c r="CR499" s="87"/>
      <c r="CS499" s="87"/>
      <c r="CT499" s="87"/>
      <c r="CU499" s="87"/>
      <c r="CV499" s="87"/>
      <c r="CW499" s="87"/>
      <c r="CX499" s="87"/>
      <c r="CY499" s="87"/>
      <c r="CZ499" s="87"/>
      <c r="DA499" s="87"/>
      <c r="DB499" s="87"/>
      <c r="DC499" s="87"/>
      <c r="DD499" s="87"/>
      <c r="DE499" s="87"/>
      <c r="DF499" s="87"/>
      <c r="DG499" s="87"/>
      <c r="DH499" s="87"/>
      <c r="DI499" s="87"/>
      <c r="DJ499" s="87"/>
      <c r="DK499" s="87"/>
      <c r="DL499" s="87"/>
      <c r="DM499" s="87"/>
      <c r="DN499" s="87"/>
      <c r="DO499" s="87"/>
      <c r="DP499" s="87"/>
      <c r="DQ499" s="87"/>
      <c r="DR499" s="87"/>
      <c r="DS499" s="87"/>
      <c r="DT499" s="87"/>
      <c r="DU499" s="87"/>
      <c r="DV499" s="87"/>
      <c r="DW499" s="87"/>
      <c r="DX499" s="87"/>
      <c r="DY499" s="87"/>
      <c r="DZ499" s="87"/>
      <c r="EA499" s="87"/>
      <c r="EB499" s="87"/>
      <c r="EC499" s="87"/>
      <c r="ED499" s="87"/>
      <c r="EE499" s="87"/>
      <c r="EF499" s="87"/>
      <c r="EG499" s="87"/>
      <c r="EH499" s="87"/>
      <c r="EI499" s="87"/>
    </row>
    <row r="500" spans="1:139" ht="29.25" hidden="1" thickBot="1" x14ac:dyDescent="0.35">
      <c r="A500" s="190" t="s">
        <v>158</v>
      </c>
      <c r="B500" s="194">
        <v>3</v>
      </c>
      <c r="C500" s="195">
        <f>0.05*64</f>
        <v>3.2</v>
      </c>
      <c r="D500" s="217">
        <f>C500/VLOOKUP(B500,'[2]Gas Prod per PADD'!$A$1:$C$6,2,FALSE)</f>
        <v>6.9565217391304353E-4</v>
      </c>
      <c r="E500" s="196">
        <v>45673</v>
      </c>
      <c r="F500" s="281">
        <v>45697</v>
      </c>
      <c r="G500" s="180" t="s">
        <v>701</v>
      </c>
      <c r="H500" s="181" t="s">
        <v>543</v>
      </c>
      <c r="I500" s="84"/>
      <c r="J500" s="85"/>
      <c r="K500" s="85"/>
      <c r="L500" s="85"/>
      <c r="M500" s="85"/>
      <c r="N500" s="85"/>
      <c r="O500" s="85"/>
      <c r="P500" s="85">
        <f>C500*(E500-$P$1)/31</f>
        <v>-1.5483870967741935</v>
      </c>
      <c r="Q500" s="85">
        <f>B500*($P$1+1-F500)/28</f>
        <v>-0.8571428571428571</v>
      </c>
      <c r="R500" s="85"/>
      <c r="S500" s="85"/>
      <c r="T500" s="85"/>
      <c r="U500" s="85"/>
      <c r="V500" s="84"/>
      <c r="W500" s="84"/>
      <c r="X500" s="84" t="str">
        <f t="shared" si="18"/>
        <v>OK</v>
      </c>
      <c r="Y500" s="87"/>
      <c r="Z500" s="87"/>
      <c r="AA500" s="87"/>
      <c r="AB500" s="87"/>
      <c r="AC500" s="105"/>
      <c r="AD500" s="87"/>
      <c r="AE500" s="105"/>
      <c r="AF500" s="87"/>
      <c r="AG500" s="87"/>
      <c r="AH500" s="87"/>
      <c r="AI500" s="87"/>
      <c r="AJ500" s="87"/>
      <c r="AK500" s="87"/>
      <c r="AL500" s="87"/>
      <c r="AM500" s="87"/>
      <c r="AN500" s="87"/>
      <c r="AO500" s="87"/>
      <c r="AP500" s="87"/>
      <c r="AQ500" s="87"/>
      <c r="AR500" s="87"/>
      <c r="AS500" s="87"/>
      <c r="AT500" s="87"/>
      <c r="AU500" s="87"/>
      <c r="AV500" s="87"/>
      <c r="AW500" s="87"/>
      <c r="AX500" s="87"/>
      <c r="AY500" s="87"/>
      <c r="AZ500" s="87"/>
      <c r="BA500" s="87"/>
      <c r="BB500" s="87"/>
      <c r="BC500" s="87"/>
      <c r="BD500" s="87"/>
      <c r="BE500" s="87"/>
      <c r="BF500" s="87"/>
      <c r="BG500" s="87"/>
      <c r="BH500" s="87"/>
      <c r="BI500" s="87"/>
      <c r="BJ500" s="87"/>
      <c r="BK500" s="87"/>
      <c r="BL500" s="87"/>
      <c r="BM500" s="87"/>
      <c r="BN500" s="87"/>
      <c r="BO500" s="87"/>
      <c r="BP500" s="87"/>
      <c r="BQ500" s="87"/>
      <c r="BR500" s="87"/>
      <c r="BS500" s="87"/>
      <c r="BT500" s="87"/>
      <c r="BU500" s="87"/>
      <c r="BV500" s="87"/>
      <c r="BW500" s="87"/>
      <c r="BX500" s="87"/>
      <c r="BY500" s="105"/>
      <c r="BZ500" s="105"/>
      <c r="CA500" s="87"/>
      <c r="CB500" s="87"/>
      <c r="CC500" s="87"/>
      <c r="CD500" s="87"/>
      <c r="CE500" s="87"/>
      <c r="CF500" s="87"/>
      <c r="CG500" s="87"/>
      <c r="CH500" s="87"/>
      <c r="CI500" s="87"/>
      <c r="CJ500" s="87">
        <f>-1/7*C500</f>
        <v>-0.45714285714285713</v>
      </c>
      <c r="CK500" s="87">
        <f>-6/7*C500</f>
        <v>-2.7428571428571429</v>
      </c>
      <c r="CL500" s="87"/>
      <c r="CM500" s="87"/>
      <c r="CN500" s="87"/>
      <c r="CO500" s="87"/>
      <c r="CP500" s="87"/>
      <c r="CQ500" s="87"/>
      <c r="CR500" s="87">
        <f>-SUM(CJ500:CK500)</f>
        <v>3.2</v>
      </c>
      <c r="CS500" s="87"/>
      <c r="CT500" s="87"/>
      <c r="CU500" s="87"/>
      <c r="CV500" s="87"/>
      <c r="CW500" s="87"/>
      <c r="CX500" s="87"/>
      <c r="CY500" s="87"/>
      <c r="CZ500" s="87"/>
      <c r="DA500" s="87"/>
      <c r="DB500" s="87"/>
      <c r="DC500" s="87"/>
      <c r="DD500" s="87"/>
      <c r="DE500" s="87"/>
      <c r="DF500" s="87"/>
      <c r="DG500" s="87"/>
      <c r="DH500" s="87"/>
      <c r="DI500" s="87"/>
      <c r="DJ500" s="87"/>
      <c r="DK500" s="87"/>
      <c r="DL500" s="87"/>
      <c r="DM500" s="87"/>
      <c r="DN500" s="87"/>
      <c r="DO500" s="87"/>
      <c r="DP500" s="87"/>
      <c r="DQ500" s="87"/>
      <c r="DR500" s="87"/>
      <c r="DS500" s="87"/>
      <c r="DT500" s="87"/>
      <c r="DU500" s="87"/>
      <c r="DV500" s="87"/>
      <c r="DW500" s="87"/>
      <c r="DX500" s="87"/>
      <c r="DY500" s="87"/>
      <c r="DZ500" s="87"/>
      <c r="EA500" s="87"/>
      <c r="EB500" s="87"/>
      <c r="EC500" s="87"/>
      <c r="ED500" s="87"/>
      <c r="EE500" s="87"/>
      <c r="EF500" s="87"/>
      <c r="EG500" s="87"/>
      <c r="EH500" s="87"/>
      <c r="EI500" s="87"/>
    </row>
    <row r="501" spans="1:139" ht="29.25" hidden="1" thickBot="1" x14ac:dyDescent="0.35">
      <c r="A501" s="222" t="s">
        <v>243</v>
      </c>
      <c r="B501" s="191">
        <v>3</v>
      </c>
      <c r="C501" s="177">
        <f>7*0.85</f>
        <v>5.95</v>
      </c>
      <c r="D501" s="217">
        <f>C501/VLOOKUP(B501,'[2]Gas Prod per PADD'!$A$1:$C$6,2,FALSE)</f>
        <v>1.2934782608695653E-3</v>
      </c>
      <c r="E501" s="178">
        <v>45673</v>
      </c>
      <c r="F501" s="252">
        <v>45698</v>
      </c>
      <c r="G501" s="180" t="s">
        <v>163</v>
      </c>
      <c r="H501" s="181" t="s">
        <v>866</v>
      </c>
      <c r="I501" s="84" t="s">
        <v>867</v>
      </c>
      <c r="J501" s="85"/>
      <c r="K501" s="85"/>
      <c r="L501" s="85"/>
      <c r="M501" s="85"/>
      <c r="N501" s="85"/>
      <c r="O501" s="85"/>
      <c r="P501" s="85">
        <f>C501*(E501-$P$1)/31</f>
        <v>-2.879032258064516</v>
      </c>
      <c r="Q501" s="85">
        <f>B501*($P$1+1-F501)/28</f>
        <v>-0.9642857142857143</v>
      </c>
      <c r="R501" s="85"/>
      <c r="S501" s="85"/>
      <c r="T501" s="85"/>
      <c r="U501" s="85"/>
      <c r="V501" s="84"/>
      <c r="W501" s="84"/>
      <c r="X501" s="84" t="str">
        <f t="shared" si="18"/>
        <v>OK</v>
      </c>
      <c r="Y501" s="105"/>
      <c r="Z501" s="105"/>
      <c r="AA501" s="87"/>
      <c r="AB501" s="87"/>
      <c r="AC501" s="87"/>
      <c r="AD501" s="87"/>
      <c r="AE501" s="105"/>
      <c r="AF501" s="105"/>
      <c r="AG501" s="105"/>
      <c r="AH501" s="105"/>
      <c r="AI501" s="87"/>
      <c r="AJ501" s="87"/>
      <c r="AK501" s="87"/>
      <c r="AL501" s="87"/>
      <c r="AM501" s="87"/>
      <c r="AN501" s="87"/>
      <c r="AO501" s="87"/>
      <c r="AP501" s="87"/>
      <c r="AQ501" s="87"/>
      <c r="AR501" s="105"/>
      <c r="AS501" s="105"/>
      <c r="AT501" s="105"/>
      <c r="AU501" s="87"/>
      <c r="AV501" s="87"/>
      <c r="AW501" s="87"/>
      <c r="AX501" s="87"/>
      <c r="AY501" s="87"/>
      <c r="AZ501" s="87"/>
      <c r="BA501" s="87"/>
      <c r="BB501" s="87"/>
      <c r="BC501" s="87"/>
      <c r="BD501" s="87"/>
      <c r="BE501" s="87"/>
      <c r="BF501" s="87"/>
      <c r="BG501" s="87"/>
      <c r="BH501" s="87"/>
      <c r="BI501" s="87"/>
      <c r="BJ501" s="87"/>
      <c r="BK501" s="87"/>
      <c r="BL501" s="87"/>
      <c r="BM501" s="87"/>
      <c r="BN501" s="87"/>
      <c r="BO501" s="87"/>
      <c r="BP501" s="87"/>
      <c r="BQ501" s="87"/>
      <c r="BR501" s="87"/>
      <c r="BS501" s="87"/>
      <c r="BT501" s="87"/>
      <c r="BU501" s="87"/>
      <c r="BV501" s="87"/>
      <c r="BW501" s="87"/>
      <c r="BX501" s="87"/>
      <c r="BY501" s="87"/>
      <c r="BZ501" s="87"/>
      <c r="CA501" s="87"/>
      <c r="CB501" s="87"/>
      <c r="CC501" s="87"/>
      <c r="CD501" s="87"/>
      <c r="CE501" s="87"/>
      <c r="CF501" s="87"/>
      <c r="CG501" s="87"/>
      <c r="CH501" s="87"/>
      <c r="CI501" s="87"/>
      <c r="CJ501" s="87">
        <f>-1/6*C501</f>
        <v>-0.9916666666666667</v>
      </c>
      <c r="CK501" s="87">
        <f>-6/7*C501</f>
        <v>-5.0999999999999996</v>
      </c>
      <c r="CL501" s="87"/>
      <c r="CM501" s="87"/>
      <c r="CN501" s="87">
        <f>C501*(4/7)</f>
        <v>3.4</v>
      </c>
      <c r="CO501" s="87">
        <f>C501*(3/7)</f>
        <v>2.5499999999999998</v>
      </c>
      <c r="CP501" s="87"/>
      <c r="CQ501" s="87"/>
      <c r="CR501" s="87"/>
      <c r="CS501" s="87"/>
      <c r="CT501" s="87"/>
      <c r="CU501" s="87"/>
      <c r="CV501" s="87"/>
      <c r="CW501" s="87"/>
      <c r="CX501" s="87"/>
      <c r="CY501" s="87"/>
      <c r="CZ501" s="87"/>
      <c r="DA501" s="87"/>
      <c r="DB501" s="87"/>
      <c r="DC501" s="87"/>
      <c r="DD501" s="87"/>
      <c r="DE501" s="87"/>
      <c r="DF501" s="87"/>
      <c r="DG501" s="87"/>
      <c r="DH501" s="87"/>
      <c r="DI501" s="87"/>
      <c r="DJ501" s="87"/>
      <c r="DK501" s="87"/>
      <c r="DL501" s="87"/>
      <c r="DM501" s="87"/>
      <c r="DN501" s="87"/>
      <c r="DO501" s="87"/>
      <c r="DP501" s="87"/>
      <c r="DQ501" s="87"/>
      <c r="DR501" s="87"/>
      <c r="DS501" s="87"/>
      <c r="DT501" s="87"/>
      <c r="DU501" s="87"/>
      <c r="DV501" s="87"/>
      <c r="DW501" s="87"/>
      <c r="DX501" s="87"/>
      <c r="DY501" s="87"/>
      <c r="DZ501" s="87"/>
      <c r="EA501" s="87"/>
      <c r="EB501" s="87"/>
      <c r="EC501" s="87"/>
      <c r="ED501" s="87"/>
      <c r="EE501" s="87"/>
      <c r="EF501" s="87"/>
      <c r="EG501" s="87"/>
      <c r="EH501" s="87"/>
      <c r="EI501" s="87"/>
    </row>
    <row r="502" spans="1:139" ht="16.5" hidden="1" thickBot="1" x14ac:dyDescent="0.35">
      <c r="A502" s="175" t="s">
        <v>352</v>
      </c>
      <c r="B502" s="191">
        <v>5</v>
      </c>
      <c r="C502" s="177">
        <f>13*0.85</f>
        <v>11.049999999999999</v>
      </c>
      <c r="D502" s="217">
        <f>C502/VLOOKUP(B502,'[2]Gas Prod per PADD'!$A$1:$C$6,2,FALSE)</f>
        <v>8.1851851851851842E-3</v>
      </c>
      <c r="E502" s="220">
        <v>45682</v>
      </c>
      <c r="F502" s="252">
        <v>45698</v>
      </c>
      <c r="G502" s="180" t="s">
        <v>868</v>
      </c>
      <c r="H502" s="198" t="s">
        <v>538</v>
      </c>
      <c r="I502" s="84"/>
      <c r="J502" s="85"/>
      <c r="K502" s="85"/>
      <c r="L502" s="85"/>
      <c r="M502" s="85"/>
      <c r="N502" s="85"/>
      <c r="O502" s="85"/>
      <c r="P502" s="85">
        <f>C502*(E502-$P$1)/31</f>
        <v>-2.1387096774193548</v>
      </c>
      <c r="Q502" s="85">
        <f>B502*($P$1+1-F502)/28</f>
        <v>-1.6071428571428572</v>
      </c>
      <c r="R502" s="85"/>
      <c r="S502" s="85"/>
      <c r="T502" s="85"/>
      <c r="U502" s="85"/>
      <c r="V502" s="84"/>
      <c r="W502" s="84"/>
      <c r="X502" s="84" t="str">
        <f t="shared" si="18"/>
        <v>OK</v>
      </c>
      <c r="Y502" s="87"/>
      <c r="Z502" s="87"/>
      <c r="AA502" s="87"/>
      <c r="AB502" s="87"/>
      <c r="AC502" s="87"/>
      <c r="AD502" s="87"/>
      <c r="AE502" s="87"/>
      <c r="AF502" s="87"/>
      <c r="AG502" s="87"/>
      <c r="AH502" s="87"/>
      <c r="AI502" s="87"/>
      <c r="AJ502" s="87"/>
      <c r="AK502" s="87"/>
      <c r="AL502" s="87"/>
      <c r="AM502" s="87"/>
      <c r="AN502" s="87"/>
      <c r="AO502" s="87"/>
      <c r="AP502" s="87"/>
      <c r="AQ502" s="87"/>
      <c r="AR502" s="87"/>
      <c r="AS502" s="87"/>
      <c r="AT502" s="87"/>
      <c r="AU502" s="87"/>
      <c r="AV502" s="87"/>
      <c r="AW502" s="87"/>
      <c r="AX502" s="87"/>
      <c r="AY502" s="87"/>
      <c r="AZ502" s="87"/>
      <c r="BA502" s="87"/>
      <c r="BB502" s="87"/>
      <c r="BC502" s="87"/>
      <c r="BD502" s="87"/>
      <c r="BE502" s="87"/>
      <c r="BF502" s="87"/>
      <c r="BG502" s="87"/>
      <c r="BH502" s="87"/>
      <c r="BI502" s="87"/>
      <c r="BJ502" s="87"/>
      <c r="BK502" s="87"/>
      <c r="BL502" s="87"/>
      <c r="BM502" s="87"/>
      <c r="BN502" s="87"/>
      <c r="BO502" s="87"/>
      <c r="BP502" s="87"/>
      <c r="BQ502" s="87"/>
      <c r="BR502" s="87"/>
      <c r="BS502" s="87"/>
      <c r="BT502" s="87"/>
      <c r="BU502" s="87"/>
      <c r="BV502" s="87"/>
      <c r="BW502" s="87"/>
      <c r="BX502" s="87"/>
      <c r="BY502" s="87"/>
      <c r="BZ502" s="87"/>
      <c r="CA502" s="87"/>
      <c r="CB502" s="87"/>
      <c r="CC502" s="87"/>
      <c r="CD502" s="87"/>
      <c r="CE502" s="87"/>
      <c r="CF502" s="87"/>
      <c r="CG502" s="87"/>
      <c r="CH502" s="87"/>
      <c r="CI502" s="87"/>
      <c r="CJ502" s="87"/>
      <c r="CK502" s="87"/>
      <c r="CL502" s="87">
        <f>-6/7*C502</f>
        <v>-9.4714285714285698</v>
      </c>
      <c r="CM502" s="87">
        <f>-1/7*C502</f>
        <v>-1.5785714285714283</v>
      </c>
      <c r="CN502" s="87">
        <f>4/7*C502</f>
        <v>6.3142857142857132</v>
      </c>
      <c r="CO502" s="87">
        <f>3/7*C502</f>
        <v>4.7357142857142849</v>
      </c>
      <c r="CP502" s="87"/>
      <c r="CQ502" s="87"/>
      <c r="CR502" s="87"/>
      <c r="CS502" s="87"/>
      <c r="CT502" s="87"/>
      <c r="CU502" s="87"/>
      <c r="CV502" s="87"/>
      <c r="CW502" s="87"/>
      <c r="CX502" s="87"/>
      <c r="CY502" s="87"/>
      <c r="CZ502" s="87"/>
      <c r="DA502" s="87"/>
      <c r="DB502" s="87"/>
      <c r="DC502" s="87"/>
      <c r="DD502" s="87"/>
      <c r="DE502" s="87"/>
      <c r="DF502" s="87"/>
      <c r="DG502" s="87"/>
      <c r="DH502" s="87"/>
      <c r="DI502" s="87"/>
      <c r="DJ502" s="87"/>
      <c r="DK502" s="87"/>
      <c r="DL502" s="87"/>
      <c r="DM502" s="87"/>
      <c r="DN502" s="87"/>
      <c r="DO502" s="87"/>
      <c r="DP502" s="87"/>
      <c r="DQ502" s="87"/>
      <c r="DR502" s="87"/>
      <c r="DS502" s="87"/>
      <c r="DT502" s="87"/>
      <c r="DU502" s="87"/>
      <c r="DV502" s="87"/>
      <c r="DW502" s="87"/>
      <c r="DX502" s="87"/>
      <c r="DY502" s="87"/>
      <c r="DZ502" s="87"/>
      <c r="EA502" s="87"/>
      <c r="EB502" s="87"/>
      <c r="EC502" s="87"/>
      <c r="ED502" s="87"/>
      <c r="EE502" s="87"/>
      <c r="EF502" s="87"/>
      <c r="EG502" s="75">
        <v>46017</v>
      </c>
      <c r="EH502" s="75">
        <v>46024</v>
      </c>
      <c r="EI502" s="75">
        <v>46031</v>
      </c>
    </row>
    <row r="503" spans="1:139" ht="16.5" hidden="1" thickBot="1" x14ac:dyDescent="0.35">
      <c r="A503" s="175" t="s">
        <v>156</v>
      </c>
      <c r="B503" s="194">
        <v>2</v>
      </c>
      <c r="C503" s="195">
        <f>110*0.25</f>
        <v>27.5</v>
      </c>
      <c r="D503" s="217">
        <f>C503/VLOOKUP(B503,'[2]Gas Prod per PADD'!$A$1:$C$6,2,FALSE)</f>
        <v>1.1458333333333333E-2</v>
      </c>
      <c r="E503" s="196">
        <v>45695</v>
      </c>
      <c r="F503" s="281">
        <f>E503+4</f>
        <v>45699</v>
      </c>
      <c r="G503" s="194" t="s">
        <v>869</v>
      </c>
      <c r="H503" s="275" t="s">
        <v>543</v>
      </c>
      <c r="I503" s="84"/>
      <c r="J503" s="85"/>
      <c r="K503" s="85"/>
      <c r="L503" s="85"/>
      <c r="M503" s="85"/>
      <c r="N503" s="85"/>
      <c r="O503" s="85"/>
      <c r="P503" s="85"/>
      <c r="Q503" s="85">
        <f>C503*(E503-F503)/28</f>
        <v>-3.9285714285714284</v>
      </c>
      <c r="R503" s="85"/>
      <c r="S503" s="85"/>
      <c r="T503" s="85"/>
      <c r="U503" s="85"/>
      <c r="V503" s="84"/>
      <c r="W503" s="84"/>
      <c r="X503" s="84" t="str">
        <f t="shared" si="18"/>
        <v>OK</v>
      </c>
      <c r="Y503" s="87"/>
      <c r="Z503" s="87"/>
      <c r="AA503" s="87"/>
      <c r="AB503" s="87"/>
      <c r="AC503" s="87"/>
      <c r="AD503" s="87"/>
      <c r="AE503" s="87"/>
      <c r="AF503" s="87"/>
      <c r="AG503" s="87"/>
      <c r="AH503" s="87"/>
      <c r="AI503" s="87"/>
      <c r="AJ503" s="87"/>
      <c r="AK503" s="87"/>
      <c r="AL503" s="87"/>
      <c r="AM503" s="87"/>
      <c r="AN503" s="87"/>
      <c r="AO503" s="87"/>
      <c r="AP503" s="87"/>
      <c r="AQ503" s="87"/>
      <c r="AR503" s="87"/>
      <c r="AS503" s="87"/>
      <c r="AT503" s="87"/>
      <c r="AU503" s="87"/>
      <c r="AV503" s="87"/>
      <c r="AW503" s="87"/>
      <c r="AX503" s="87"/>
      <c r="AY503" s="87"/>
      <c r="AZ503" s="87"/>
      <c r="BA503" s="87"/>
      <c r="BB503" s="87"/>
      <c r="BC503" s="87"/>
      <c r="BD503" s="87"/>
      <c r="BE503" s="87"/>
      <c r="BF503" s="87"/>
      <c r="BG503" s="87"/>
      <c r="BH503" s="87"/>
      <c r="BI503" s="87"/>
      <c r="BJ503" s="87"/>
      <c r="BK503" s="87"/>
      <c r="BL503" s="87"/>
      <c r="BM503" s="87"/>
      <c r="BN503" s="87"/>
      <c r="BO503" s="87"/>
      <c r="BP503" s="87"/>
      <c r="BQ503" s="87"/>
      <c r="BR503" s="87"/>
      <c r="BS503" s="87"/>
      <c r="BT503" s="87"/>
      <c r="BU503" s="87"/>
      <c r="BV503" s="87"/>
      <c r="BW503" s="87"/>
      <c r="BX503" s="105"/>
      <c r="BY503" s="87"/>
      <c r="BZ503" s="87"/>
      <c r="CA503" s="105"/>
      <c r="CB503" s="87"/>
      <c r="CC503" s="87"/>
      <c r="CD503" s="87"/>
      <c r="CE503" s="87"/>
      <c r="CF503" s="87"/>
      <c r="CG503" s="87"/>
      <c r="CH503" s="87"/>
      <c r="CI503" s="87"/>
      <c r="CJ503" s="87"/>
      <c r="CK503" s="87"/>
      <c r="CL503" s="87"/>
      <c r="CM503" s="87">
        <f>-C503*(1/7)</f>
        <v>-3.9285714285714284</v>
      </c>
      <c r="CN503" s="87"/>
      <c r="CO503" s="87">
        <f>-CM503</f>
        <v>3.9285714285714284</v>
      </c>
      <c r="CP503" s="87"/>
      <c r="CQ503" s="87"/>
      <c r="CR503" s="87"/>
      <c r="CS503" s="87"/>
      <c r="CT503" s="87"/>
      <c r="CU503" s="87"/>
      <c r="CV503" s="87"/>
      <c r="CW503" s="87"/>
      <c r="CX503" s="87"/>
      <c r="CY503" s="87"/>
      <c r="CZ503" s="87"/>
      <c r="DA503" s="87"/>
      <c r="DB503" s="87"/>
      <c r="DC503" s="87"/>
      <c r="DD503" s="87"/>
      <c r="DE503" s="87"/>
      <c r="DF503" s="87"/>
      <c r="DG503" s="87"/>
      <c r="DH503" s="87"/>
      <c r="DI503" s="87"/>
      <c r="DJ503" s="87"/>
      <c r="DK503" s="87"/>
      <c r="DL503" s="87"/>
      <c r="DM503" s="87"/>
      <c r="DN503" s="87"/>
      <c r="DO503" s="87"/>
      <c r="DP503" s="87"/>
      <c r="DQ503" s="87"/>
      <c r="DR503" s="87"/>
      <c r="DS503" s="87"/>
      <c r="DT503" s="87"/>
      <c r="DU503" s="87"/>
      <c r="DV503" s="87"/>
      <c r="DW503" s="87"/>
      <c r="DX503" s="87"/>
      <c r="DY503" s="87"/>
      <c r="DZ503" s="87"/>
      <c r="EA503" s="87"/>
      <c r="EB503" s="87"/>
      <c r="EC503" s="87"/>
      <c r="ED503" s="87"/>
      <c r="EE503" s="87"/>
      <c r="EF503" s="87"/>
      <c r="EG503" s="87"/>
      <c r="EH503" s="87"/>
      <c r="EI503" s="87"/>
    </row>
    <row r="504" spans="1:139" ht="16.5" hidden="1" thickBot="1" x14ac:dyDescent="0.35">
      <c r="A504" s="175" t="s">
        <v>352</v>
      </c>
      <c r="B504" s="191">
        <v>5</v>
      </c>
      <c r="C504" s="177">
        <f>32*0.05</f>
        <v>1.6</v>
      </c>
      <c r="D504" s="217">
        <f>C504/VLOOKUP(B504,'[2]Gas Prod per PADD'!$A$1:$C$6,2,FALSE)</f>
        <v>1.1851851851851852E-3</v>
      </c>
      <c r="E504" s="220">
        <v>45694</v>
      </c>
      <c r="F504" s="252">
        <v>45700</v>
      </c>
      <c r="G504" s="180" t="s">
        <v>870</v>
      </c>
      <c r="H504" s="198" t="s">
        <v>640</v>
      </c>
      <c r="I504" s="84"/>
      <c r="J504" s="85"/>
      <c r="K504" s="85"/>
      <c r="L504" s="85"/>
      <c r="M504" s="85"/>
      <c r="N504" s="85"/>
      <c r="O504" s="85"/>
      <c r="P504" s="85"/>
      <c r="Q504" s="85">
        <f>C504*(E504-F504)/28</f>
        <v>-0.34285714285714292</v>
      </c>
      <c r="R504" s="85"/>
      <c r="S504" s="85"/>
      <c r="T504" s="85"/>
      <c r="U504" s="85"/>
      <c r="V504" s="84"/>
      <c r="W504" s="84"/>
      <c r="X504" s="84" t="str">
        <f t="shared" si="18"/>
        <v>OK</v>
      </c>
      <c r="Y504" s="86"/>
      <c r="Z504" s="87"/>
      <c r="AA504" s="87"/>
      <c r="AB504" s="87"/>
      <c r="AC504" s="87"/>
      <c r="AD504" s="87"/>
      <c r="AE504" s="87"/>
      <c r="AF504" s="87"/>
      <c r="AG504" s="87"/>
      <c r="AH504" s="87"/>
      <c r="AI504" s="87"/>
      <c r="AJ504" s="87"/>
      <c r="AK504" s="87"/>
      <c r="AL504" s="87"/>
      <c r="AM504" s="87"/>
      <c r="AN504" s="87"/>
      <c r="AO504" s="87"/>
      <c r="AP504" s="87"/>
      <c r="AQ504" s="87"/>
      <c r="AR504" s="87"/>
      <c r="AS504" s="87"/>
      <c r="AT504" s="87"/>
      <c r="AU504" s="87"/>
      <c r="AV504" s="87"/>
      <c r="AW504" s="87"/>
      <c r="AX504" s="87"/>
      <c r="AY504" s="87"/>
      <c r="AZ504" s="87"/>
      <c r="BA504" s="87"/>
      <c r="BB504" s="87"/>
      <c r="BC504" s="87"/>
      <c r="BD504" s="87"/>
      <c r="BE504" s="87"/>
      <c r="BF504" s="87"/>
      <c r="BG504" s="87"/>
      <c r="BH504" s="87"/>
      <c r="BI504" s="87"/>
      <c r="BJ504" s="105"/>
      <c r="BK504" s="87"/>
      <c r="BL504" s="105"/>
      <c r="BM504" s="87"/>
      <c r="BN504" s="87"/>
      <c r="BO504" s="87"/>
      <c r="BP504" s="87"/>
      <c r="BQ504" s="87"/>
      <c r="BR504" s="87"/>
      <c r="BS504" s="87"/>
      <c r="BT504" s="87"/>
      <c r="BU504" s="87"/>
      <c r="BV504" s="87"/>
      <c r="BW504" s="87"/>
      <c r="BX504" s="105"/>
      <c r="BY504" s="105"/>
      <c r="BZ504" s="87"/>
      <c r="CA504" s="87"/>
      <c r="CB504" s="105"/>
      <c r="CC504" s="87"/>
      <c r="CD504" s="87"/>
      <c r="CE504" s="87"/>
      <c r="CF504" s="87"/>
      <c r="CG504" s="87"/>
      <c r="CH504" s="87"/>
      <c r="CI504" s="87"/>
      <c r="CJ504" s="87"/>
      <c r="CK504" s="87"/>
      <c r="CL504" s="87"/>
      <c r="CM504" s="87">
        <f>-1/7*C504</f>
        <v>-0.22857142857142856</v>
      </c>
      <c r="CN504" s="87">
        <f>-4/7*C504</f>
        <v>-0.91428571428571426</v>
      </c>
      <c r="CO504" s="87">
        <f>-(CN504+CM504)</f>
        <v>1.1428571428571428</v>
      </c>
      <c r="CP504" s="87"/>
      <c r="CQ504" s="87"/>
      <c r="CR504" s="87"/>
      <c r="CS504" s="87"/>
      <c r="CT504" s="87"/>
      <c r="CU504" s="87"/>
      <c r="CV504" s="87"/>
      <c r="CW504" s="87"/>
      <c r="CX504" s="87"/>
      <c r="CY504" s="87"/>
      <c r="CZ504" s="87"/>
      <c r="DA504" s="87"/>
      <c r="DB504" s="87"/>
      <c r="DC504" s="87"/>
      <c r="DD504" s="87"/>
      <c r="DE504" s="87"/>
      <c r="DF504" s="87"/>
      <c r="DG504" s="87"/>
      <c r="DH504" s="87"/>
      <c r="DI504" s="87"/>
      <c r="DJ504" s="87"/>
      <c r="DK504" s="87"/>
      <c r="DL504" s="87"/>
      <c r="DM504" s="87"/>
      <c r="DN504" s="87"/>
      <c r="DO504" s="87"/>
      <c r="DP504" s="87"/>
      <c r="DQ504" s="87"/>
      <c r="DR504" s="87"/>
      <c r="DS504" s="87"/>
      <c r="DT504" s="87"/>
      <c r="DU504" s="87"/>
      <c r="DV504" s="87"/>
      <c r="DW504" s="87"/>
      <c r="DX504" s="87"/>
      <c r="DY504" s="87"/>
      <c r="DZ504" s="87"/>
      <c r="EA504" s="87"/>
      <c r="EB504" s="87"/>
      <c r="EC504" s="87"/>
      <c r="ED504" s="87"/>
      <c r="EE504" s="87"/>
      <c r="EF504" s="87"/>
      <c r="EG504" s="75">
        <v>46017</v>
      </c>
      <c r="EH504" s="75">
        <v>46024</v>
      </c>
      <c r="EI504" s="75">
        <v>46031</v>
      </c>
    </row>
    <row r="505" spans="1:139" ht="16.5" hidden="1" thickBot="1" x14ac:dyDescent="0.35">
      <c r="A505" s="200" t="s">
        <v>371</v>
      </c>
      <c r="B505" s="199">
        <v>2</v>
      </c>
      <c r="C505" s="195">
        <f>0.25*104</f>
        <v>26</v>
      </c>
      <c r="D505" s="217">
        <f>C505/VLOOKUP(B505,'[2]Gas Prod per PADD'!$A$1:$C$6,2,FALSE)</f>
        <v>1.0833333333333334E-2</v>
      </c>
      <c r="E505" s="225">
        <v>45697</v>
      </c>
      <c r="F505" s="276">
        <v>45700</v>
      </c>
      <c r="G505" s="180" t="s">
        <v>815</v>
      </c>
      <c r="H505" s="181" t="s">
        <v>364</v>
      </c>
      <c r="I505" s="170"/>
      <c r="J505" s="291"/>
      <c r="K505" s="291"/>
      <c r="L505" s="291"/>
      <c r="M505" s="291"/>
      <c r="N505" s="291"/>
      <c r="O505" s="291"/>
      <c r="P505" s="291"/>
      <c r="Q505" s="85">
        <f>C505*(E505-F505)/28</f>
        <v>-2.7857142857142856</v>
      </c>
      <c r="R505" s="291"/>
      <c r="S505" s="291"/>
      <c r="T505" s="85"/>
      <c r="U505" s="85"/>
      <c r="V505" s="84"/>
      <c r="W505" s="84"/>
      <c r="X505" s="84" t="str">
        <f t="shared" si="18"/>
        <v>OK</v>
      </c>
      <c r="Y505" s="87"/>
      <c r="Z505" s="87"/>
      <c r="AA505" s="87"/>
      <c r="AB505" s="87"/>
      <c r="AC505" s="87"/>
      <c r="AD505" s="87"/>
      <c r="AE505" s="87"/>
      <c r="AF505" s="87"/>
      <c r="AG505" s="87"/>
      <c r="AH505" s="87"/>
      <c r="AI505" s="87"/>
      <c r="AJ505" s="87"/>
      <c r="AK505" s="87"/>
      <c r="AL505" s="87"/>
      <c r="AM505" s="87"/>
      <c r="AN505" s="87"/>
      <c r="AO505" s="87"/>
      <c r="AP505" s="87"/>
      <c r="AQ505" s="87"/>
      <c r="AR505" s="87"/>
      <c r="AS505" s="87"/>
      <c r="AT505" s="87"/>
      <c r="AU505" s="87"/>
      <c r="AV505" s="87"/>
      <c r="AW505" s="87"/>
      <c r="AX505" s="87"/>
      <c r="AY505" s="87"/>
      <c r="AZ505" s="87"/>
      <c r="BA505" s="87"/>
      <c r="BB505" s="87"/>
      <c r="BC505" s="87"/>
      <c r="BD505" s="87"/>
      <c r="BE505" s="87"/>
      <c r="BF505" s="87"/>
      <c r="BG505" s="87"/>
      <c r="BH505" s="87"/>
      <c r="BI505" s="87"/>
      <c r="BJ505" s="87"/>
      <c r="BK505" s="87"/>
      <c r="BL505" s="87"/>
      <c r="BM505" s="87"/>
      <c r="BN505" s="87"/>
      <c r="BO505" s="87"/>
      <c r="BP505" s="87"/>
      <c r="BQ505" s="87"/>
      <c r="BR505" s="87"/>
      <c r="BS505" s="87"/>
      <c r="BT505" s="87"/>
      <c r="BU505" s="87"/>
      <c r="BV505" s="87"/>
      <c r="BW505" s="87"/>
      <c r="BX505" s="87"/>
      <c r="BY505" s="87"/>
      <c r="BZ505" s="87"/>
      <c r="CA505" s="87"/>
      <c r="CB505" s="87"/>
      <c r="CC505" s="87"/>
      <c r="CD505" s="87"/>
      <c r="CE505" s="87"/>
      <c r="CF505" s="87"/>
      <c r="CG505" s="87"/>
      <c r="CH505" s="87"/>
      <c r="CI505" s="87"/>
      <c r="CJ505" s="87"/>
      <c r="CK505" s="87"/>
      <c r="CL505" s="87"/>
      <c r="CM505" s="87"/>
      <c r="CN505" s="87">
        <f>-4/7*C505</f>
        <v>-14.857142857142856</v>
      </c>
      <c r="CO505" s="87">
        <f>-CN505</f>
        <v>14.857142857142856</v>
      </c>
      <c r="CP505" s="87"/>
      <c r="CQ505" s="87"/>
      <c r="CR505" s="87"/>
      <c r="CS505" s="87"/>
      <c r="CT505" s="87"/>
      <c r="CU505" s="87"/>
      <c r="CV505" s="87"/>
      <c r="CW505" s="87"/>
      <c r="CX505" s="87"/>
      <c r="CY505" s="87"/>
      <c r="CZ505" s="87"/>
      <c r="DA505" s="87"/>
      <c r="DB505" s="87"/>
      <c r="DC505" s="87"/>
      <c r="DD505" s="87"/>
      <c r="DE505" s="87"/>
      <c r="DF505" s="87"/>
      <c r="DG505" s="87"/>
      <c r="DH505" s="87"/>
      <c r="DI505" s="87"/>
      <c r="DJ505" s="87"/>
      <c r="DK505" s="87"/>
      <c r="DL505" s="87"/>
      <c r="DM505" s="87"/>
      <c r="DN505" s="87"/>
      <c r="DO505" s="87"/>
      <c r="DP505" s="87"/>
      <c r="DQ505" s="87"/>
      <c r="DR505" s="87"/>
      <c r="DS505" s="87"/>
      <c r="DT505" s="87"/>
      <c r="DU505" s="87"/>
      <c r="DV505" s="87"/>
      <c r="DW505" s="87"/>
      <c r="DX505" s="87"/>
      <c r="DY505" s="87"/>
      <c r="DZ505" s="87"/>
      <c r="EA505" s="87"/>
      <c r="EB505" s="87"/>
      <c r="EC505" s="87"/>
      <c r="ED505" s="87"/>
      <c r="EE505" s="87"/>
      <c r="EF505" s="87"/>
      <c r="EG505" s="87"/>
      <c r="EH505" s="87"/>
      <c r="EI505" s="87"/>
    </row>
    <row r="506" spans="1:139" ht="16.5" hidden="1" thickBot="1" x14ac:dyDescent="0.35">
      <c r="A506" s="175" t="s">
        <v>384</v>
      </c>
      <c r="B506" s="176">
        <v>2</v>
      </c>
      <c r="C506" s="177">
        <f>(12*0.25)</f>
        <v>3</v>
      </c>
      <c r="D506" s="217">
        <f>C506/VLOOKUP(B506,'[2]Gas Prod per PADD'!$A$1:$C$6,2,FALSE)</f>
        <v>1.25E-3</v>
      </c>
      <c r="E506" s="252">
        <v>45699</v>
      </c>
      <c r="F506" s="252">
        <v>45700</v>
      </c>
      <c r="G506" s="180" t="s">
        <v>871</v>
      </c>
      <c r="H506" s="221" t="s">
        <v>784</v>
      </c>
      <c r="I506" s="84" t="s">
        <v>872</v>
      </c>
      <c r="J506" s="85"/>
      <c r="K506" s="85"/>
      <c r="L506" s="85"/>
      <c r="M506" s="85"/>
      <c r="N506" s="85"/>
      <c r="O506" s="85"/>
      <c r="P506" s="85"/>
      <c r="Q506" s="85">
        <f>C506*(E506-F506)/28</f>
        <v>-0.10714285714285714</v>
      </c>
      <c r="R506" s="85"/>
      <c r="S506" s="85"/>
      <c r="T506" s="85"/>
      <c r="U506" s="85"/>
      <c r="V506" s="84"/>
      <c r="W506" s="84"/>
      <c r="X506" s="84" t="str">
        <f t="shared" si="18"/>
        <v>OK</v>
      </c>
      <c r="Y506" s="86"/>
      <c r="Z506" s="87"/>
      <c r="AA506" s="87"/>
      <c r="AB506" s="87"/>
      <c r="AC506" s="87"/>
      <c r="AD506" s="87"/>
      <c r="AE506" s="87"/>
      <c r="AF506" s="87"/>
      <c r="AG506" s="87"/>
      <c r="AH506" s="87"/>
      <c r="AI506" s="87"/>
      <c r="AJ506" s="87"/>
      <c r="AK506" s="87"/>
      <c r="AL506" s="87"/>
      <c r="AM506" s="87"/>
      <c r="AN506" s="87"/>
      <c r="AO506" s="87"/>
      <c r="AP506" s="87"/>
      <c r="AQ506" s="87"/>
      <c r="AR506" s="87"/>
      <c r="AS506" s="87"/>
      <c r="AT506" s="87"/>
      <c r="AU506" s="87"/>
      <c r="AV506" s="87"/>
      <c r="AW506" s="87"/>
      <c r="AX506" s="87"/>
      <c r="AY506" s="87"/>
      <c r="AZ506" s="87"/>
      <c r="BA506" s="87"/>
      <c r="BB506" s="87"/>
      <c r="BC506" s="87"/>
      <c r="BD506" s="87"/>
      <c r="BE506" s="87"/>
      <c r="BF506" s="87"/>
      <c r="BG506" s="87"/>
      <c r="BH506" s="87"/>
      <c r="BI506" s="87"/>
      <c r="BJ506" s="105"/>
      <c r="BK506" s="87"/>
      <c r="BL506" s="105"/>
      <c r="BM506" s="105"/>
      <c r="BN506" s="105"/>
      <c r="BO506" s="105"/>
      <c r="BP506" s="105"/>
      <c r="BQ506" s="87"/>
      <c r="BR506" s="87"/>
      <c r="BS506" s="87"/>
      <c r="BT506" s="87"/>
      <c r="BU506" s="87"/>
      <c r="BV506" s="87"/>
      <c r="BW506" s="87"/>
      <c r="BX506" s="87"/>
      <c r="BY506" s="87"/>
      <c r="BZ506" s="87"/>
      <c r="CA506" s="87"/>
      <c r="CB506" s="87"/>
      <c r="CC506" s="87"/>
      <c r="CD506" s="87"/>
      <c r="CE506" s="87"/>
      <c r="CF506" s="87"/>
      <c r="CG506" s="87"/>
      <c r="CH506" s="87"/>
      <c r="CI506" s="87"/>
      <c r="CJ506" s="87"/>
      <c r="CK506" s="87"/>
      <c r="CL506" s="87"/>
      <c r="CM506" s="87"/>
      <c r="CN506" s="295">
        <f>-C506*(1/7)</f>
        <v>-0.42857142857142855</v>
      </c>
      <c r="CO506" s="295">
        <f>-CN506</f>
        <v>0.42857142857142855</v>
      </c>
      <c r="CP506" s="87"/>
      <c r="CQ506" s="87"/>
      <c r="CR506" s="87"/>
      <c r="CS506" s="87"/>
      <c r="CT506" s="87"/>
      <c r="CU506" s="87"/>
      <c r="CV506" s="87"/>
      <c r="CW506" s="87"/>
      <c r="CX506" s="87"/>
      <c r="CY506" s="87"/>
      <c r="CZ506" s="87"/>
      <c r="DA506" s="87"/>
      <c r="DB506" s="87"/>
      <c r="DC506" s="87"/>
      <c r="DD506" s="87"/>
      <c r="DE506" s="87"/>
      <c r="DF506" s="87"/>
      <c r="DG506" s="87"/>
      <c r="DH506" s="87"/>
      <c r="DI506" s="87"/>
      <c r="DJ506" s="87"/>
      <c r="DK506" s="87"/>
      <c r="DL506" s="87"/>
      <c r="DM506" s="87"/>
      <c r="DN506" s="87"/>
      <c r="DO506" s="87"/>
      <c r="DP506" s="87"/>
      <c r="DQ506" s="87"/>
      <c r="DR506" s="87"/>
      <c r="DS506" s="87"/>
      <c r="DT506" s="87"/>
      <c r="DU506" s="87"/>
      <c r="DV506" s="87"/>
      <c r="DW506" s="87"/>
      <c r="DX506" s="87"/>
      <c r="DY506" s="87"/>
      <c r="DZ506" s="87"/>
      <c r="EA506" s="87"/>
      <c r="EB506" s="87"/>
      <c r="EC506" s="87"/>
      <c r="ED506" s="87"/>
      <c r="EE506" s="87"/>
      <c r="EF506" s="87"/>
      <c r="EG506" s="87"/>
      <c r="EH506" s="87"/>
      <c r="EI506" s="87"/>
    </row>
    <row r="507" spans="1:139" ht="16.5" hidden="1" thickBot="1" x14ac:dyDescent="0.35">
      <c r="A507" s="175" t="s">
        <v>285</v>
      </c>
      <c r="B507" s="191">
        <v>5</v>
      </c>
      <c r="C507" s="177">
        <f>60*0.05</f>
        <v>3</v>
      </c>
      <c r="D507" s="217">
        <f>C507/VLOOKUP(B507,'[2]Gas Prod per PADD'!$A$1:$C$6,2,FALSE)</f>
        <v>2.2222222222222222E-3</v>
      </c>
      <c r="E507" s="220">
        <v>45696</v>
      </c>
      <c r="F507" s="252">
        <v>45702</v>
      </c>
      <c r="G507" s="180" t="s">
        <v>873</v>
      </c>
      <c r="H507" s="181" t="s">
        <v>640</v>
      </c>
      <c r="I507" s="84"/>
      <c r="J507" s="85"/>
      <c r="K507" s="85"/>
      <c r="L507" s="85"/>
      <c r="M507" s="85"/>
      <c r="N507" s="85"/>
      <c r="O507" s="85"/>
      <c r="P507" s="85"/>
      <c r="Q507" s="85">
        <f>C507*(E507-F507)/28</f>
        <v>-0.6428571428571429</v>
      </c>
      <c r="R507" s="85"/>
      <c r="S507" s="85"/>
      <c r="T507" s="85"/>
      <c r="U507" s="85"/>
      <c r="V507" s="84"/>
      <c r="W507" s="84"/>
      <c r="X507" s="84" t="str">
        <f t="shared" si="18"/>
        <v>OK</v>
      </c>
      <c r="Y507" s="86"/>
      <c r="Z507" s="87"/>
      <c r="AA507" s="87"/>
      <c r="AB507" s="87"/>
      <c r="AC507" s="87"/>
      <c r="AD507" s="87"/>
      <c r="AE507" s="87"/>
      <c r="AF507" s="87"/>
      <c r="AG507" s="87"/>
      <c r="AH507" s="87"/>
      <c r="AI507" s="87"/>
      <c r="AJ507" s="87"/>
      <c r="AK507" s="87"/>
      <c r="AL507" s="87"/>
      <c r="AM507" s="87"/>
      <c r="AN507" s="87"/>
      <c r="AO507" s="87"/>
      <c r="AP507" s="87"/>
      <c r="AQ507" s="87"/>
      <c r="AR507" s="87"/>
      <c r="AS507" s="87"/>
      <c r="AT507" s="87"/>
      <c r="AU507" s="87"/>
      <c r="AV507" s="87"/>
      <c r="AW507" s="87"/>
      <c r="AX507" s="87"/>
      <c r="AY507" s="87"/>
      <c r="AZ507" s="87"/>
      <c r="BA507" s="87"/>
      <c r="BB507" s="87"/>
      <c r="BC507" s="87"/>
      <c r="BD507" s="87"/>
      <c r="BE507" s="87"/>
      <c r="BF507" s="87"/>
      <c r="BG507" s="87"/>
      <c r="BH507" s="87"/>
      <c r="BI507" s="87"/>
      <c r="BJ507" s="105"/>
      <c r="BK507" s="87"/>
      <c r="BL507" s="105"/>
      <c r="BM507" s="87"/>
      <c r="BN507" s="87"/>
      <c r="BO507" s="87"/>
      <c r="BP507" s="87"/>
      <c r="BQ507" s="87"/>
      <c r="BR507" s="87"/>
      <c r="BS507" s="87"/>
      <c r="BT507" s="87"/>
      <c r="BU507" s="87"/>
      <c r="BV507" s="87"/>
      <c r="BW507" s="87"/>
      <c r="BX507" s="105"/>
      <c r="BY507" s="105"/>
      <c r="BZ507" s="87"/>
      <c r="CA507" s="87"/>
      <c r="CB507" s="105"/>
      <c r="CC507" s="87"/>
      <c r="CD507" s="87"/>
      <c r="CE507" s="87"/>
      <c r="CF507" s="87"/>
      <c r="CG507" s="87"/>
      <c r="CH507" s="87"/>
      <c r="CI507" s="87"/>
      <c r="CJ507" s="87"/>
      <c r="CK507" s="87"/>
      <c r="CL507" s="87"/>
      <c r="CM507" s="105"/>
      <c r="CN507" s="105">
        <f>-6/7*C507</f>
        <v>-2.5714285714285712</v>
      </c>
      <c r="CO507" s="105">
        <f>-CN507</f>
        <v>2.5714285714285712</v>
      </c>
      <c r="CP507" s="87"/>
      <c r="CQ507" s="87"/>
      <c r="CR507" s="87"/>
      <c r="CS507" s="87"/>
      <c r="CT507" s="87"/>
      <c r="CU507" s="87"/>
      <c r="CV507" s="87"/>
      <c r="CW507" s="87"/>
      <c r="CX507" s="87"/>
      <c r="CY507" s="87"/>
      <c r="CZ507" s="87"/>
      <c r="DA507" s="87"/>
      <c r="DB507" s="87"/>
      <c r="DC507" s="87"/>
      <c r="DD507" s="87"/>
      <c r="DE507" s="87"/>
      <c r="DF507" s="87"/>
      <c r="DG507" s="87"/>
      <c r="DH507" s="87"/>
      <c r="DI507" s="87"/>
      <c r="DJ507" s="87"/>
      <c r="DK507" s="87"/>
      <c r="DL507" s="87"/>
      <c r="DM507" s="87"/>
      <c r="DN507" s="87"/>
      <c r="DO507" s="87"/>
      <c r="DP507" s="87"/>
      <c r="DQ507" s="87"/>
      <c r="DR507" s="87"/>
      <c r="DS507" s="87"/>
      <c r="DT507" s="87"/>
      <c r="DU507" s="87"/>
      <c r="DV507" s="87"/>
      <c r="DW507" s="87"/>
      <c r="DX507" s="87"/>
      <c r="DY507" s="87"/>
      <c r="DZ507" s="87"/>
      <c r="EA507" s="87"/>
      <c r="EB507" s="87"/>
      <c r="EC507" s="87"/>
      <c r="ED507" s="87"/>
      <c r="EE507" s="87"/>
      <c r="EF507" s="87"/>
      <c r="EG507" s="75">
        <v>46017</v>
      </c>
      <c r="EH507" s="75">
        <v>46024</v>
      </c>
      <c r="EI507" s="75">
        <v>46031</v>
      </c>
    </row>
    <row r="508" spans="1:139" ht="16.5" hidden="1" thickBot="1" x14ac:dyDescent="0.35">
      <c r="A508" s="190" t="s">
        <v>140</v>
      </c>
      <c r="B508" s="279">
        <v>3</v>
      </c>
      <c r="C508" s="338">
        <f>0.25*275*0.5</f>
        <v>34.375</v>
      </c>
      <c r="D508" s="234">
        <f>C508/VLOOKUP(B508,'[2]Gas Prod per PADD'!$A$1:$C$6,2,FALSE)</f>
        <v>7.472826086956522E-3</v>
      </c>
      <c r="E508" s="225">
        <v>45684</v>
      </c>
      <c r="F508" s="226">
        <v>45704</v>
      </c>
      <c r="G508" s="180" t="s">
        <v>837</v>
      </c>
      <c r="H508" s="181" t="s">
        <v>874</v>
      </c>
      <c r="I508" s="84"/>
      <c r="J508" s="85"/>
      <c r="K508" s="85"/>
      <c r="L508" s="85"/>
      <c r="M508" s="85"/>
      <c r="N508" s="85"/>
      <c r="O508" s="85"/>
      <c r="P508" s="85">
        <f>C508*(E508-$P$1)/31</f>
        <v>-4.435483870967742</v>
      </c>
      <c r="Q508" s="85">
        <f>B508*($P$1+1-F508)/28</f>
        <v>-1.6071428571428572</v>
      </c>
      <c r="R508" s="85"/>
      <c r="S508" s="85"/>
      <c r="T508" s="85"/>
      <c r="U508" s="85"/>
      <c r="V508" s="84"/>
      <c r="W508" s="84"/>
      <c r="X508" s="84" t="str">
        <f t="shared" si="18"/>
        <v>OK</v>
      </c>
      <c r="Y508" s="87"/>
      <c r="Z508" s="87"/>
      <c r="AA508" s="87"/>
      <c r="AB508" s="87"/>
      <c r="AC508" s="87"/>
      <c r="AD508" s="87"/>
      <c r="AE508" s="87"/>
      <c r="AF508" s="87"/>
      <c r="AG508" s="87"/>
      <c r="AH508" s="87"/>
      <c r="AI508" s="87"/>
      <c r="AJ508" s="87"/>
      <c r="AK508" s="87"/>
      <c r="AL508" s="87"/>
      <c r="AM508" s="87"/>
      <c r="AN508" s="87"/>
      <c r="AO508" s="87"/>
      <c r="AP508" s="87"/>
      <c r="AQ508" s="87"/>
      <c r="AR508" s="87"/>
      <c r="AS508" s="87"/>
      <c r="AT508" s="87"/>
      <c r="AU508" s="87"/>
      <c r="AV508" s="87"/>
      <c r="AW508" s="87"/>
      <c r="AX508" s="87"/>
      <c r="AY508" s="87"/>
      <c r="AZ508" s="87"/>
      <c r="BA508" s="87"/>
      <c r="BB508" s="87"/>
      <c r="BC508" s="87"/>
      <c r="BD508" s="87"/>
      <c r="BE508" s="87"/>
      <c r="BF508" s="87"/>
      <c r="BG508" s="87"/>
      <c r="BH508" s="87"/>
      <c r="BI508" s="87"/>
      <c r="BJ508" s="87"/>
      <c r="BK508" s="87"/>
      <c r="BL508" s="87"/>
      <c r="BM508" s="87"/>
      <c r="BN508" s="87"/>
      <c r="BO508" s="87"/>
      <c r="BP508" s="87"/>
      <c r="BQ508" s="87"/>
      <c r="BR508" s="87"/>
      <c r="BS508" s="87"/>
      <c r="BT508" s="87"/>
      <c r="BU508" s="87"/>
      <c r="BV508" s="87"/>
      <c r="BW508" s="87"/>
      <c r="BX508" s="87"/>
      <c r="BY508" s="87"/>
      <c r="BZ508" s="87"/>
      <c r="CA508" s="87"/>
      <c r="CB508" s="87"/>
      <c r="CC508" s="87"/>
      <c r="CD508" s="87"/>
      <c r="CE508" s="87"/>
      <c r="CF508" s="87"/>
      <c r="CG508" s="87"/>
      <c r="CH508" s="87"/>
      <c r="CI508" s="87"/>
      <c r="CJ508" s="87"/>
      <c r="CK508" s="87"/>
      <c r="CL508" s="87">
        <f>-4/7*C508</f>
        <v>-19.642857142857142</v>
      </c>
      <c r="CM508" s="87">
        <f>-3/7*C508</f>
        <v>-14.732142857142856</v>
      </c>
      <c r="CN508" s="87"/>
      <c r="CO508" s="105">
        <f>C508</f>
        <v>34.375</v>
      </c>
      <c r="CP508" s="87"/>
      <c r="CQ508" s="87"/>
      <c r="CR508" s="87"/>
      <c r="CS508" s="87"/>
      <c r="CT508" s="87"/>
      <c r="CU508" s="87"/>
      <c r="CV508" s="87"/>
      <c r="CW508" s="87"/>
      <c r="CX508" s="87"/>
      <c r="CY508" s="87"/>
      <c r="CZ508" s="87"/>
      <c r="DA508" s="87"/>
      <c r="DB508" s="87"/>
      <c r="DC508" s="87"/>
      <c r="DD508" s="87"/>
      <c r="DE508" s="87"/>
      <c r="DF508" s="87"/>
      <c r="DG508" s="87"/>
      <c r="DH508" s="87"/>
      <c r="DI508" s="87"/>
      <c r="DJ508" s="87"/>
      <c r="DK508" s="87"/>
      <c r="DL508" s="87"/>
      <c r="DM508" s="87"/>
      <c r="DN508" s="87"/>
      <c r="DO508" s="87"/>
      <c r="DP508" s="87"/>
      <c r="DQ508" s="87"/>
      <c r="DR508" s="87"/>
      <c r="DS508" s="87"/>
      <c r="DT508" s="87"/>
      <c r="DU508" s="87"/>
      <c r="DV508" s="87"/>
      <c r="DW508" s="87"/>
      <c r="DX508" s="87"/>
      <c r="DY508" s="87"/>
      <c r="DZ508" s="87"/>
      <c r="EA508" s="87"/>
      <c r="EB508" s="87"/>
      <c r="EC508" s="87"/>
      <c r="ED508" s="87"/>
      <c r="EE508" s="87"/>
      <c r="EF508" s="87"/>
      <c r="EG508" s="87"/>
      <c r="EH508" s="87"/>
      <c r="EI508" s="87"/>
    </row>
    <row r="509" spans="1:139" ht="16.5" hidden="1" thickBot="1" x14ac:dyDescent="0.35">
      <c r="A509" s="175" t="s">
        <v>285</v>
      </c>
      <c r="B509" s="191">
        <v>5</v>
      </c>
      <c r="C509" s="177">
        <f>80*0.65</f>
        <v>52</v>
      </c>
      <c r="D509" s="217">
        <f>C509/VLOOKUP(B509,'[2]Gas Prod per PADD'!$A$1:$C$6,2,FALSE)</f>
        <v>3.8518518518518521E-2</v>
      </c>
      <c r="E509" s="334">
        <v>45702</v>
      </c>
      <c r="F509" s="252">
        <v>45704</v>
      </c>
      <c r="G509" s="180" t="s">
        <v>854</v>
      </c>
      <c r="H509" s="181" t="s">
        <v>875</v>
      </c>
      <c r="I509" s="84"/>
      <c r="J509" s="85"/>
      <c r="K509" s="85"/>
      <c r="L509" s="85"/>
      <c r="M509" s="85"/>
      <c r="N509" s="85"/>
      <c r="O509" s="85"/>
      <c r="P509" s="85"/>
      <c r="Q509" s="85">
        <f>C509*(E509-F509)/28</f>
        <v>-3.7142857142857144</v>
      </c>
      <c r="R509" s="85"/>
      <c r="S509" s="85"/>
      <c r="T509" s="85"/>
      <c r="U509" s="85"/>
      <c r="V509" s="84"/>
      <c r="W509" s="84"/>
      <c r="X509" s="84" t="str">
        <f t="shared" si="18"/>
        <v>OK</v>
      </c>
      <c r="Y509" s="87"/>
      <c r="Z509" s="87"/>
      <c r="AA509" s="87"/>
      <c r="AB509" s="87"/>
      <c r="AC509" s="87"/>
      <c r="AD509" s="87"/>
      <c r="AE509" s="87"/>
      <c r="AF509" s="87"/>
      <c r="AG509" s="87"/>
      <c r="AH509" s="87"/>
      <c r="AI509" s="87"/>
      <c r="AJ509" s="105"/>
      <c r="AK509" s="105"/>
      <c r="AL509" s="105"/>
      <c r="AM509" s="87"/>
      <c r="AN509" s="87"/>
      <c r="AO509" s="87"/>
      <c r="AP509" s="87"/>
      <c r="AQ509" s="87"/>
      <c r="AR509" s="87"/>
      <c r="AS509" s="87"/>
      <c r="AT509" s="87"/>
      <c r="AU509" s="87"/>
      <c r="AV509" s="87"/>
      <c r="AW509" s="87"/>
      <c r="AX509" s="87"/>
      <c r="AY509" s="87"/>
      <c r="AZ509" s="87"/>
      <c r="BA509" s="87"/>
      <c r="BB509" s="87"/>
      <c r="BC509" s="87"/>
      <c r="BD509" s="87"/>
      <c r="BE509" s="87"/>
      <c r="BF509" s="87"/>
      <c r="BG509" s="87"/>
      <c r="BH509" s="87"/>
      <c r="BI509" s="87"/>
      <c r="BJ509" s="87"/>
      <c r="BK509" s="87"/>
      <c r="BL509" s="87"/>
      <c r="BM509" s="87"/>
      <c r="BN509" s="87"/>
      <c r="BO509" s="87"/>
      <c r="BP509" s="87"/>
      <c r="BQ509" s="87"/>
      <c r="BR509" s="87"/>
      <c r="BS509" s="87"/>
      <c r="BT509" s="87"/>
      <c r="BU509" s="87"/>
      <c r="BV509" s="87"/>
      <c r="BW509" s="87"/>
      <c r="BX509" s="87"/>
      <c r="BY509" s="87"/>
      <c r="BZ509" s="87"/>
      <c r="CA509" s="87"/>
      <c r="CB509" s="87"/>
      <c r="CC509" s="87"/>
      <c r="CD509" s="87"/>
      <c r="CE509" s="87"/>
      <c r="CF509" s="87"/>
      <c r="CG509" s="87"/>
      <c r="CH509" s="87"/>
      <c r="CI509" s="87"/>
      <c r="CJ509" s="87"/>
      <c r="CK509" s="87"/>
      <c r="CL509" s="87"/>
      <c r="CM509" s="87"/>
      <c r="CN509" s="105">
        <f>-C511*(2/7)</f>
        <v>-2</v>
      </c>
      <c r="CO509" s="105">
        <f>-CN509</f>
        <v>2</v>
      </c>
      <c r="CP509" s="87"/>
      <c r="CQ509" s="87"/>
      <c r="CR509" s="87"/>
      <c r="CS509" s="87"/>
      <c r="CT509" s="87"/>
      <c r="CU509" s="87"/>
      <c r="CV509" s="87"/>
      <c r="CW509" s="87"/>
      <c r="CX509" s="87"/>
      <c r="CY509" s="87"/>
      <c r="CZ509" s="87"/>
      <c r="DA509" s="87"/>
      <c r="DB509" s="87"/>
      <c r="DC509" s="87"/>
      <c r="DD509" s="87"/>
      <c r="DE509" s="87"/>
      <c r="DF509" s="87"/>
      <c r="DG509" s="87"/>
      <c r="DH509" s="87"/>
      <c r="DI509" s="87"/>
      <c r="DJ509" s="87"/>
      <c r="DK509" s="87"/>
      <c r="DL509" s="87"/>
      <c r="DM509" s="87"/>
      <c r="DN509" s="87"/>
      <c r="DO509" s="87"/>
      <c r="DP509" s="87"/>
      <c r="DQ509" s="87"/>
      <c r="DR509" s="87"/>
      <c r="DS509" s="87"/>
      <c r="DT509" s="87"/>
      <c r="DU509" s="87"/>
      <c r="DV509" s="87"/>
      <c r="DW509" s="87"/>
      <c r="DX509" s="87"/>
      <c r="DY509" s="87"/>
      <c r="DZ509" s="87"/>
      <c r="EA509" s="87"/>
      <c r="EB509" s="87"/>
      <c r="EC509" s="87"/>
      <c r="ED509" s="87"/>
      <c r="EE509" s="87"/>
      <c r="EF509" s="87"/>
      <c r="EG509" s="75">
        <v>46017</v>
      </c>
      <c r="EH509" s="75">
        <v>46024</v>
      </c>
      <c r="EI509" s="75">
        <v>46031</v>
      </c>
    </row>
    <row r="510" spans="1:139" ht="16.5" hidden="1" thickBot="1" x14ac:dyDescent="0.35">
      <c r="A510" s="190" t="s">
        <v>149</v>
      </c>
      <c r="B510" s="176">
        <v>3</v>
      </c>
      <c r="C510" s="177">
        <f>0.15*42</f>
        <v>6.3</v>
      </c>
      <c r="D510" s="217">
        <f>C510/VLOOKUP(B510,'[2]Gas Prod per PADD'!$A$1:$C$6,2,FALSE)</f>
        <v>1.3695652173913043E-3</v>
      </c>
      <c r="E510" s="178">
        <v>45660</v>
      </c>
      <c r="F510" s="252">
        <v>45705</v>
      </c>
      <c r="G510" s="180" t="s">
        <v>876</v>
      </c>
      <c r="H510" s="181" t="s">
        <v>877</v>
      </c>
      <c r="I510" s="84"/>
      <c r="J510" s="85"/>
      <c r="K510" s="85"/>
      <c r="L510" s="85"/>
      <c r="M510" s="85"/>
      <c r="N510" s="85"/>
      <c r="O510" s="85"/>
      <c r="P510" s="85">
        <f>C510*(E510-$P$1)/31</f>
        <v>-5.6903225806451614</v>
      </c>
      <c r="Q510" s="85">
        <f>B510*($P$1+1-F510)/28</f>
        <v>-1.7142857142857142</v>
      </c>
      <c r="R510" s="85"/>
      <c r="S510" s="85"/>
      <c r="T510" s="85"/>
      <c r="U510" s="85"/>
      <c r="V510" s="84"/>
      <c r="W510" s="84"/>
      <c r="X510" s="84" t="str">
        <f t="shared" si="18"/>
        <v>OK</v>
      </c>
      <c r="Y510" s="105"/>
      <c r="Z510" s="105"/>
      <c r="AA510" s="87"/>
      <c r="AB510" s="87"/>
      <c r="AC510" s="87"/>
      <c r="AD510" s="87"/>
      <c r="AE510" s="105"/>
      <c r="AF510" s="105"/>
      <c r="AG510" s="105"/>
      <c r="AH510" s="105"/>
      <c r="AI510" s="87"/>
      <c r="AJ510" s="87"/>
      <c r="AK510" s="105"/>
      <c r="AL510" s="87"/>
      <c r="AM510" s="105"/>
      <c r="AN510" s="105"/>
      <c r="AO510" s="87"/>
      <c r="AP510" s="87"/>
      <c r="AQ510" s="105"/>
      <c r="AR510" s="105"/>
      <c r="AS510" s="87"/>
      <c r="AT510" s="105"/>
      <c r="AU510" s="105"/>
      <c r="AV510" s="87"/>
      <c r="AW510" s="105"/>
      <c r="AX510" s="105"/>
      <c r="AY510" s="87"/>
      <c r="AZ510" s="105"/>
      <c r="BA510" s="105"/>
      <c r="BB510" s="105"/>
      <c r="BC510" s="87"/>
      <c r="BD510" s="87"/>
      <c r="BE510" s="105"/>
      <c r="BF510" s="105"/>
      <c r="BG510" s="105"/>
      <c r="BH510" s="105"/>
      <c r="BI510" s="105"/>
      <c r="BJ510" s="87"/>
      <c r="BK510" s="87"/>
      <c r="BL510" s="87"/>
      <c r="BM510" s="87"/>
      <c r="BN510" s="87"/>
      <c r="BO510" s="105"/>
      <c r="BP510" s="105"/>
      <c r="BQ510" s="105"/>
      <c r="BR510" s="105"/>
      <c r="BS510" s="105"/>
      <c r="BT510" s="87"/>
      <c r="BU510" s="87"/>
      <c r="BV510" s="87"/>
      <c r="BW510" s="87"/>
      <c r="BX510" s="87"/>
      <c r="BY510" s="87"/>
      <c r="BZ510" s="87"/>
      <c r="CA510" s="87"/>
      <c r="CB510" s="87"/>
      <c r="CC510" s="87"/>
      <c r="CD510" s="87"/>
      <c r="CE510" s="87"/>
      <c r="CF510" s="87"/>
      <c r="CG510" s="87"/>
      <c r="CH510" s="87"/>
      <c r="CI510" s="87">
        <f>-0.8*C510</f>
        <v>-5.04</v>
      </c>
      <c r="CJ510" s="87">
        <f>(-1*C510)-CI510</f>
        <v>-1.2599999999999998</v>
      </c>
      <c r="CK510" s="87"/>
      <c r="CL510" s="87"/>
      <c r="CM510" s="87"/>
      <c r="CN510" s="87"/>
      <c r="CO510" s="87">
        <f>C510/2</f>
        <v>3.15</v>
      </c>
      <c r="CP510" s="87">
        <f>C510/2</f>
        <v>3.15</v>
      </c>
      <c r="CQ510" s="87"/>
      <c r="CR510" s="87"/>
      <c r="CS510" s="87"/>
      <c r="CT510" s="87"/>
      <c r="CU510" s="87"/>
      <c r="CV510" s="87"/>
      <c r="CW510" s="87"/>
      <c r="CX510" s="87"/>
      <c r="CY510" s="87"/>
      <c r="CZ510" s="87"/>
      <c r="DA510" s="87"/>
      <c r="DB510" s="87"/>
      <c r="DC510" s="87"/>
      <c r="DD510" s="87"/>
      <c r="DE510" s="87"/>
      <c r="DF510" s="87"/>
      <c r="DG510" s="87"/>
      <c r="DH510" s="87"/>
      <c r="DI510" s="87"/>
      <c r="DJ510" s="87"/>
      <c r="DK510" s="87"/>
      <c r="DL510" s="87"/>
      <c r="DM510" s="87"/>
      <c r="DN510" s="87"/>
      <c r="DO510" s="87"/>
      <c r="DP510" s="87"/>
      <c r="DQ510" s="87"/>
      <c r="DR510" s="87"/>
      <c r="DS510" s="87"/>
      <c r="DT510" s="87"/>
      <c r="DU510" s="87"/>
      <c r="DV510" s="87"/>
      <c r="DW510" s="87"/>
      <c r="DX510" s="87"/>
      <c r="DY510" s="87"/>
      <c r="DZ510" s="87"/>
      <c r="EA510" s="87"/>
      <c r="EB510" s="87"/>
      <c r="EC510" s="87"/>
      <c r="ED510" s="87"/>
      <c r="EE510" s="87"/>
      <c r="EF510" s="87"/>
      <c r="EG510" s="87"/>
      <c r="EH510" s="87"/>
      <c r="EI510" s="87"/>
    </row>
    <row r="511" spans="1:139" ht="16.5" hidden="1" thickBot="1" x14ac:dyDescent="0.35">
      <c r="A511" s="242" t="s">
        <v>630</v>
      </c>
      <c r="B511" s="199">
        <v>5</v>
      </c>
      <c r="C511" s="195">
        <f>(40*0.1)+(30*0.1)</f>
        <v>7</v>
      </c>
      <c r="D511" s="217">
        <f>C511/VLOOKUP(B511,'[2]Gas Prod per PADD'!$A$1:$C$6,2,FALSE)</f>
        <v>5.185185185185185E-3</v>
      </c>
      <c r="E511" s="337">
        <v>45667</v>
      </c>
      <c r="F511" s="281">
        <v>45705</v>
      </c>
      <c r="G511" s="194" t="s">
        <v>878</v>
      </c>
      <c r="H511" s="198" t="s">
        <v>879</v>
      </c>
      <c r="I511" s="84" t="s">
        <v>880</v>
      </c>
      <c r="J511" s="85"/>
      <c r="K511" s="85"/>
      <c r="L511" s="85"/>
      <c r="M511" s="85"/>
      <c r="N511" s="85"/>
      <c r="O511" s="85"/>
      <c r="P511" s="85">
        <f>C511*(E511-$P$1)/31</f>
        <v>-4.741935483870968</v>
      </c>
      <c r="Q511" s="85">
        <f>B511*($P$1+1-F511)/28</f>
        <v>-2.8571428571428572</v>
      </c>
      <c r="R511" s="85"/>
      <c r="S511" s="85"/>
      <c r="T511" s="85"/>
      <c r="U511" s="85"/>
      <c r="V511" s="84"/>
      <c r="W511" s="84"/>
      <c r="X511" s="84" t="str">
        <f t="shared" si="18"/>
        <v>OK</v>
      </c>
      <c r="Y511" s="105"/>
      <c r="Z511" s="105"/>
      <c r="AA511" s="87"/>
      <c r="AB511" s="87"/>
      <c r="AC511" s="87"/>
      <c r="AD511" s="87"/>
      <c r="AE511" s="105"/>
      <c r="AF511" s="105"/>
      <c r="AG511" s="105"/>
      <c r="AH511" s="105"/>
      <c r="AI511" s="87"/>
      <c r="AJ511" s="87"/>
      <c r="AK511" s="87"/>
      <c r="AL511" s="87"/>
      <c r="AM511" s="87"/>
      <c r="AN511" s="87"/>
      <c r="AO511" s="87"/>
      <c r="AP511" s="87"/>
      <c r="AQ511" s="87"/>
      <c r="AR511" s="87"/>
      <c r="AS511" s="87"/>
      <c r="AT511" s="87"/>
      <c r="AU511" s="87"/>
      <c r="AV511" s="87"/>
      <c r="AW511" s="87"/>
      <c r="AX511" s="87"/>
      <c r="AY511" s="87"/>
      <c r="AZ511" s="87"/>
      <c r="BA511" s="87"/>
      <c r="BB511" s="87"/>
      <c r="BC511" s="87"/>
      <c r="BD511" s="87"/>
      <c r="BE511" s="87"/>
      <c r="BF511" s="87"/>
      <c r="BG511" s="87"/>
      <c r="BH511" s="87"/>
      <c r="BI511" s="87"/>
      <c r="BJ511" s="87"/>
      <c r="BK511" s="87"/>
      <c r="BL511" s="87"/>
      <c r="BM511" s="87"/>
      <c r="BN511" s="87"/>
      <c r="BO511" s="87"/>
      <c r="BP511" s="87"/>
      <c r="BQ511" s="87"/>
      <c r="BR511" s="87"/>
      <c r="BS511" s="87"/>
      <c r="BT511" s="278"/>
      <c r="BU511" s="278"/>
      <c r="BV511" s="278"/>
      <c r="BW511" s="278"/>
      <c r="BX511" s="278"/>
      <c r="BY511" s="278"/>
      <c r="BZ511" s="87"/>
      <c r="CA511" s="87"/>
      <c r="CB511" s="87"/>
      <c r="CC511" s="87"/>
      <c r="CD511" s="87"/>
      <c r="CE511" s="87"/>
      <c r="CF511" s="87"/>
      <c r="CG511" s="87"/>
      <c r="CH511" s="87"/>
      <c r="CI511" s="87">
        <f>-1/7*C511</f>
        <v>-1</v>
      </c>
      <c r="CJ511" s="87">
        <f>-6/7*C511</f>
        <v>-6</v>
      </c>
      <c r="CK511" s="87"/>
      <c r="CL511" s="87"/>
      <c r="CM511" s="87"/>
      <c r="CN511" s="87"/>
      <c r="CO511" s="87">
        <f>5/7*C511</f>
        <v>5</v>
      </c>
      <c r="CP511" s="87">
        <f>C511*2/7</f>
        <v>2</v>
      </c>
      <c r="CQ511" s="87"/>
      <c r="CR511" s="87"/>
      <c r="CS511" s="87"/>
      <c r="CT511" s="87"/>
      <c r="CU511" s="87"/>
      <c r="CV511" s="87"/>
      <c r="CW511" s="87"/>
      <c r="CX511" s="87"/>
      <c r="CY511" s="87"/>
      <c r="CZ511" s="87"/>
      <c r="DA511" s="87"/>
      <c r="DB511" s="87"/>
      <c r="DC511" s="87"/>
      <c r="DD511" s="87"/>
      <c r="DE511" s="87"/>
      <c r="DF511" s="87"/>
      <c r="DG511" s="87"/>
      <c r="DH511" s="87"/>
      <c r="DI511" s="87"/>
      <c r="DJ511" s="87"/>
      <c r="DK511" s="87"/>
      <c r="DL511" s="87"/>
      <c r="DM511" s="87"/>
      <c r="DN511" s="87"/>
      <c r="DO511" s="87"/>
      <c r="DP511" s="87"/>
      <c r="DQ511" s="87"/>
      <c r="DR511" s="87"/>
      <c r="DS511" s="87"/>
      <c r="DT511" s="87"/>
      <c r="DU511" s="87"/>
      <c r="DV511" s="87"/>
      <c r="DW511" s="87"/>
      <c r="DX511" s="87"/>
      <c r="DY511" s="87"/>
      <c r="DZ511" s="87"/>
      <c r="EA511" s="87"/>
      <c r="EB511" s="87"/>
      <c r="EC511" s="87"/>
      <c r="ED511" s="87"/>
      <c r="EE511" s="87"/>
      <c r="EF511" s="87"/>
      <c r="EG511" s="75">
        <v>46017</v>
      </c>
      <c r="EH511" s="75">
        <v>46024</v>
      </c>
      <c r="EI511" s="75">
        <v>46031</v>
      </c>
    </row>
    <row r="512" spans="1:139" ht="16.5" hidden="1" thickBot="1" x14ac:dyDescent="0.35">
      <c r="A512" s="242" t="s">
        <v>630</v>
      </c>
      <c r="B512" s="199">
        <v>5</v>
      </c>
      <c r="C512" s="177">
        <f>(18*0.85)</f>
        <v>15.299999999999999</v>
      </c>
      <c r="D512" s="217">
        <f>C512/VLOOKUP(B512,'[2]Gas Prod per PADD'!$A$1:$C$6,2,FALSE)</f>
        <v>1.1333333333333332E-2</v>
      </c>
      <c r="E512" s="337">
        <v>45667</v>
      </c>
      <c r="F512" s="252">
        <v>45706</v>
      </c>
      <c r="G512" s="180" t="s">
        <v>881</v>
      </c>
      <c r="H512" s="221" t="s">
        <v>882</v>
      </c>
      <c r="I512" s="84"/>
      <c r="J512" s="85"/>
      <c r="K512" s="85"/>
      <c r="L512" s="85"/>
      <c r="M512" s="85"/>
      <c r="N512" s="85"/>
      <c r="O512" s="85"/>
      <c r="P512" s="85">
        <f>C512*(E512-$P$1)/31</f>
        <v>-10.364516129032257</v>
      </c>
      <c r="Q512" s="85">
        <f>B512*($P$1+1-F512)/28</f>
        <v>-3.0357142857142856</v>
      </c>
      <c r="R512" s="85"/>
      <c r="S512" s="85"/>
      <c r="T512" s="85"/>
      <c r="U512" s="85"/>
      <c r="V512" s="84"/>
      <c r="W512" s="84"/>
      <c r="X512" s="84" t="str">
        <f t="shared" si="18"/>
        <v>OK</v>
      </c>
      <c r="Y512" s="86"/>
      <c r="Z512" s="87"/>
      <c r="AA512" s="87"/>
      <c r="AB512" s="87"/>
      <c r="AC512" s="87"/>
      <c r="AD512" s="87"/>
      <c r="AE512" s="87"/>
      <c r="AF512" s="87"/>
      <c r="AG512" s="87"/>
      <c r="AH512" s="87"/>
      <c r="AI512" s="87"/>
      <c r="AJ512" s="87"/>
      <c r="AK512" s="87"/>
      <c r="AL512" s="87"/>
      <c r="AM512" s="87"/>
      <c r="AN512" s="87"/>
      <c r="AO512" s="87"/>
      <c r="AP512" s="87"/>
      <c r="AQ512" s="87"/>
      <c r="AR512" s="87"/>
      <c r="AS512" s="87"/>
      <c r="AT512" s="87"/>
      <c r="AU512" s="87"/>
      <c r="AV512" s="87"/>
      <c r="AW512" s="87"/>
      <c r="AX512" s="87"/>
      <c r="AY512" s="87"/>
      <c r="AZ512" s="87"/>
      <c r="BA512" s="87"/>
      <c r="BB512" s="87"/>
      <c r="BC512" s="87"/>
      <c r="BD512" s="87"/>
      <c r="BE512" s="87"/>
      <c r="BF512" s="87"/>
      <c r="BG512" s="87"/>
      <c r="BH512" s="87"/>
      <c r="BI512" s="87"/>
      <c r="BJ512" s="105"/>
      <c r="BK512" s="87"/>
      <c r="BL512" s="105"/>
      <c r="BM512" s="105"/>
      <c r="BN512" s="105"/>
      <c r="BO512" s="105"/>
      <c r="BP512" s="105"/>
      <c r="BQ512" s="87"/>
      <c r="BR512" s="87"/>
      <c r="BS512" s="87"/>
      <c r="BT512" s="87"/>
      <c r="BU512" s="87"/>
      <c r="BV512" s="87"/>
      <c r="BW512" s="87"/>
      <c r="BX512" s="87"/>
      <c r="BY512" s="87"/>
      <c r="BZ512" s="87"/>
      <c r="CA512" s="87"/>
      <c r="CB512" s="87"/>
      <c r="CC512" s="87"/>
      <c r="CD512" s="87"/>
      <c r="CE512" s="87"/>
      <c r="CF512" s="87"/>
      <c r="CG512" s="87"/>
      <c r="CH512" s="87"/>
      <c r="CI512" s="87"/>
      <c r="CJ512" s="87">
        <f>-6/7*C512</f>
        <v>-13.114285714285712</v>
      </c>
      <c r="CK512" s="87"/>
      <c r="CL512" s="87"/>
      <c r="CM512" s="87"/>
      <c r="CN512" s="295"/>
      <c r="CO512" s="87">
        <f>3/7*C512</f>
        <v>6.5571428571428561</v>
      </c>
      <c r="CP512" s="87">
        <f>C512*4/7</f>
        <v>8.742857142857142</v>
      </c>
      <c r="CQ512" s="87"/>
      <c r="CR512" s="87"/>
      <c r="CS512" s="87"/>
      <c r="CT512" s="87"/>
      <c r="CU512" s="87"/>
      <c r="CV512" s="87"/>
      <c r="CW512" s="87"/>
      <c r="CX512" s="87"/>
      <c r="CY512" s="87"/>
      <c r="CZ512" s="87"/>
      <c r="DA512" s="87"/>
      <c r="DB512" s="87"/>
      <c r="DC512" s="87"/>
      <c r="DD512" s="87"/>
      <c r="DE512" s="87"/>
      <c r="DF512" s="87"/>
      <c r="DG512" s="87"/>
      <c r="DH512" s="87"/>
      <c r="DI512" s="87"/>
      <c r="DJ512" s="87"/>
      <c r="DK512" s="87"/>
      <c r="DL512" s="87"/>
      <c r="DM512" s="87"/>
      <c r="DN512" s="87"/>
      <c r="DO512" s="87"/>
      <c r="DP512" s="87"/>
      <c r="DQ512" s="87"/>
      <c r="DR512" s="87"/>
      <c r="DS512" s="87"/>
      <c r="DT512" s="87"/>
      <c r="DU512" s="87"/>
      <c r="DV512" s="87"/>
      <c r="DW512" s="87"/>
      <c r="DX512" s="87"/>
      <c r="DY512" s="87"/>
      <c r="DZ512" s="87"/>
      <c r="EA512" s="87"/>
      <c r="EB512" s="87"/>
      <c r="EC512" s="87"/>
      <c r="ED512" s="87"/>
      <c r="EE512" s="87"/>
      <c r="EF512" s="87"/>
      <c r="EG512" s="75">
        <v>46017</v>
      </c>
      <c r="EH512" s="75">
        <v>46024</v>
      </c>
      <c r="EI512" s="75">
        <v>46031</v>
      </c>
    </row>
    <row r="513" spans="1:139" ht="57.75" hidden="1" thickBot="1" x14ac:dyDescent="0.35">
      <c r="A513" s="200" t="s">
        <v>231</v>
      </c>
      <c r="B513" s="223">
        <v>2</v>
      </c>
      <c r="C513" s="224">
        <f>(120*0.25)+(38*0.65)+(30*0.25)+(9*0.85)</f>
        <v>69.850000000000009</v>
      </c>
      <c r="D513" s="217">
        <f>C513/VLOOKUP(B513,'[2]Gas Prod per PADD'!$A$1:$C$6,2,FALSE)</f>
        <v>2.9104166666666671E-2</v>
      </c>
      <c r="E513" s="225">
        <v>45695</v>
      </c>
      <c r="F513" s="226">
        <v>45706</v>
      </c>
      <c r="G513" s="180" t="s">
        <v>883</v>
      </c>
      <c r="H513" s="221" t="s">
        <v>884</v>
      </c>
      <c r="I513" s="84"/>
      <c r="J513" s="85"/>
      <c r="K513" s="85"/>
      <c r="L513" s="85"/>
      <c r="M513" s="85"/>
      <c r="N513" s="85"/>
      <c r="O513" s="85"/>
      <c r="P513" s="85"/>
      <c r="Q513" s="85">
        <f>C513*(E513-F513)/28</f>
        <v>-27.441071428571433</v>
      </c>
      <c r="R513" s="85"/>
      <c r="S513" s="85"/>
      <c r="T513" s="85"/>
      <c r="U513" s="85"/>
      <c r="V513" s="84"/>
      <c r="W513" s="84"/>
      <c r="X513" s="84" t="str">
        <f t="shared" si="18"/>
        <v>OK</v>
      </c>
      <c r="Y513" s="105"/>
      <c r="Z513" s="105"/>
      <c r="AA513" s="87"/>
      <c r="AB513" s="87"/>
      <c r="AC513" s="87"/>
      <c r="AD513" s="87"/>
      <c r="AE513" s="105"/>
      <c r="AF513" s="105"/>
      <c r="AG513" s="105"/>
      <c r="AH513" s="105"/>
      <c r="AI513" s="87"/>
      <c r="AJ513" s="87"/>
      <c r="AK513" s="105"/>
      <c r="AL513" s="87"/>
      <c r="AM513" s="105"/>
      <c r="AN513" s="105"/>
      <c r="AO513" s="87"/>
      <c r="AP513" s="87"/>
      <c r="AQ513" s="105"/>
      <c r="AR513" s="105"/>
      <c r="AS513" s="87"/>
      <c r="AT513" s="105"/>
      <c r="AU513" s="105"/>
      <c r="AV513" s="87"/>
      <c r="AW513" s="105"/>
      <c r="AX513" s="105"/>
      <c r="AY513" s="87"/>
      <c r="AZ513" s="105"/>
      <c r="BA513" s="105"/>
      <c r="BB513" s="105"/>
      <c r="BC513" s="87"/>
      <c r="BD513" s="87"/>
      <c r="BE513" s="105"/>
      <c r="BF513" s="105"/>
      <c r="BG513" s="105"/>
      <c r="BH513" s="105"/>
      <c r="BI513" s="105"/>
      <c r="BJ513" s="87"/>
      <c r="BK513" s="87"/>
      <c r="BL513" s="87"/>
      <c r="BM513" s="87"/>
      <c r="BN513" s="87"/>
      <c r="BO513" s="87"/>
      <c r="BP513" s="87"/>
      <c r="BQ513" s="87"/>
      <c r="BR513" s="87"/>
      <c r="BS513" s="87"/>
      <c r="BT513" s="87"/>
      <c r="BU513" s="87"/>
      <c r="BV513" s="87"/>
      <c r="BW513" s="87"/>
      <c r="BX513" s="87"/>
      <c r="BY513" s="87"/>
      <c r="BZ513" s="87"/>
      <c r="CA513" s="87"/>
      <c r="CB513" s="87"/>
      <c r="CC513" s="87"/>
      <c r="CD513" s="87"/>
      <c r="CE513" s="87"/>
      <c r="CF513" s="87"/>
      <c r="CG513" s="87"/>
      <c r="CH513" s="87"/>
      <c r="CI513" s="87"/>
      <c r="CJ513" s="87"/>
      <c r="CK513" s="87"/>
      <c r="CL513" s="87"/>
      <c r="CM513" s="87">
        <f>-1/7*C513</f>
        <v>-9.9785714285714295</v>
      </c>
      <c r="CN513" s="87">
        <f>-6/7*C513</f>
        <v>-59.871428571428574</v>
      </c>
      <c r="CO513" s="105">
        <f>C513</f>
        <v>69.850000000000009</v>
      </c>
      <c r="CP513" s="87"/>
      <c r="CQ513" s="87"/>
      <c r="CR513" s="87"/>
      <c r="CS513" s="87"/>
      <c r="CT513" s="87"/>
      <c r="CU513" s="87"/>
      <c r="CV513" s="87"/>
      <c r="CW513" s="87"/>
      <c r="CX513" s="87"/>
      <c r="CY513" s="87"/>
      <c r="CZ513" s="87"/>
      <c r="DA513" s="87"/>
      <c r="DB513" s="87"/>
      <c r="DC513" s="87"/>
      <c r="DD513" s="87"/>
      <c r="DE513" s="87"/>
      <c r="DF513" s="87"/>
      <c r="DG513" s="87"/>
      <c r="DH513" s="87"/>
      <c r="DI513" s="87"/>
      <c r="DJ513" s="87"/>
      <c r="DK513" s="87"/>
      <c r="DL513" s="87"/>
      <c r="DM513" s="87"/>
      <c r="DN513" s="87"/>
      <c r="DO513" s="87"/>
      <c r="DP513" s="87"/>
      <c r="DQ513" s="87"/>
      <c r="DR513" s="87"/>
      <c r="DS513" s="87"/>
      <c r="DT513" s="87"/>
      <c r="DU513" s="87"/>
      <c r="DV513" s="87"/>
      <c r="DW513" s="87"/>
      <c r="DX513" s="87"/>
      <c r="DY513" s="87"/>
      <c r="DZ513" s="87"/>
      <c r="EA513" s="87"/>
      <c r="EB513" s="87"/>
      <c r="EC513" s="87"/>
      <c r="ED513" s="87"/>
      <c r="EE513" s="87"/>
      <c r="EF513" s="87"/>
      <c r="EG513" s="87"/>
      <c r="EH513" s="87"/>
      <c r="EI513" s="87"/>
    </row>
    <row r="514" spans="1:139" ht="16.5" hidden="1" thickBot="1" x14ac:dyDescent="0.35">
      <c r="A514" s="190" t="s">
        <v>173</v>
      </c>
      <c r="B514" s="176">
        <v>3</v>
      </c>
      <c r="C514" s="195">
        <f>21.5*0.85+(74*0.3*0.25)+(25*0.65*0.3)</f>
        <v>28.7</v>
      </c>
      <c r="D514" s="217">
        <f>C514/VLOOKUP(B514,'[2]Gas Prod per PADD'!$A$1:$C$6,2,FALSE)</f>
        <v>6.2391304347826082E-3</v>
      </c>
      <c r="E514" s="178">
        <v>45695</v>
      </c>
      <c r="F514" s="252">
        <f>E514+11</f>
        <v>45706</v>
      </c>
      <c r="G514" s="194" t="s">
        <v>885</v>
      </c>
      <c r="H514" s="221" t="s">
        <v>364</v>
      </c>
      <c r="I514" s="84"/>
      <c r="J514" s="85"/>
      <c r="K514" s="85"/>
      <c r="L514" s="85"/>
      <c r="M514" s="85"/>
      <c r="N514" s="85"/>
      <c r="O514" s="85"/>
      <c r="P514" s="85"/>
      <c r="Q514" s="85">
        <f>C514*(E514-F514)/28</f>
        <v>-11.275</v>
      </c>
      <c r="R514" s="85"/>
      <c r="S514" s="85"/>
      <c r="T514" s="85"/>
      <c r="U514" s="85"/>
      <c r="V514" s="84"/>
      <c r="W514" s="84"/>
      <c r="X514" s="84" t="str">
        <f t="shared" ref="X514:X550" si="22">IF(COUNTA(Y514:EI514)=0,"Missing","OK")</f>
        <v>OK</v>
      </c>
      <c r="Y514" s="87"/>
      <c r="Z514" s="87"/>
      <c r="AA514" s="87"/>
      <c r="AB514" s="87"/>
      <c r="AC514" s="87"/>
      <c r="AD514" s="87"/>
      <c r="AE514" s="87"/>
      <c r="AF514" s="87"/>
      <c r="AG514" s="87"/>
      <c r="AH514" s="87"/>
      <c r="AI514" s="87"/>
      <c r="AJ514" s="87"/>
      <c r="AK514" s="87"/>
      <c r="AL514" s="87"/>
      <c r="AM514" s="87"/>
      <c r="AN514" s="87"/>
      <c r="AO514" s="87"/>
      <c r="AP514" s="87"/>
      <c r="AQ514" s="87"/>
      <c r="AR514" s="87"/>
      <c r="AS514" s="87"/>
      <c r="AT514" s="87"/>
      <c r="AU514" s="87"/>
      <c r="AV514" s="87"/>
      <c r="AW514" s="87"/>
      <c r="AX514" s="87"/>
      <c r="AY514" s="87"/>
      <c r="AZ514" s="87"/>
      <c r="BA514" s="87"/>
      <c r="BB514" s="87"/>
      <c r="BC514" s="87"/>
      <c r="BD514" s="87"/>
      <c r="BE514" s="87"/>
      <c r="BF514" s="87"/>
      <c r="BG514" s="87"/>
      <c r="BH514" s="87"/>
      <c r="BI514" s="87"/>
      <c r="BJ514" s="87"/>
      <c r="BK514" s="87"/>
      <c r="BL514" s="87"/>
      <c r="BM514" s="87"/>
      <c r="BN514" s="87"/>
      <c r="BO514" s="87"/>
      <c r="BP514" s="87"/>
      <c r="BQ514" s="87"/>
      <c r="BR514" s="87"/>
      <c r="BS514" s="87"/>
      <c r="BT514" s="87"/>
      <c r="BU514" s="87"/>
      <c r="BV514" s="87"/>
      <c r="BW514" s="87"/>
      <c r="BX514" s="87"/>
      <c r="BY514" s="87"/>
      <c r="BZ514" s="87"/>
      <c r="CA514" s="87"/>
      <c r="CB514" s="87"/>
      <c r="CC514" s="87"/>
      <c r="CD514" s="87"/>
      <c r="CE514" s="87"/>
      <c r="CF514" s="87"/>
      <c r="CG514" s="87"/>
      <c r="CH514" s="87"/>
      <c r="CI514" s="87"/>
      <c r="CJ514" s="87"/>
      <c r="CK514" s="87"/>
      <c r="CL514" s="87"/>
      <c r="CM514" s="87">
        <f>-(1/7)*C514</f>
        <v>-4.0999999999999996</v>
      </c>
      <c r="CN514" s="87">
        <f>-(6/7)*C514</f>
        <v>-24.599999999999998</v>
      </c>
      <c r="CO514" s="339">
        <f>C514</f>
        <v>28.7</v>
      </c>
      <c r="CP514" s="339"/>
      <c r="CQ514" s="87"/>
      <c r="CR514" s="87"/>
      <c r="CS514" s="87"/>
      <c r="CT514" s="87"/>
      <c r="CU514" s="87"/>
      <c r="CV514" s="87"/>
      <c r="CW514" s="87"/>
      <c r="CX514" s="87"/>
      <c r="CY514" s="87"/>
      <c r="CZ514" s="87"/>
      <c r="DA514" s="87"/>
      <c r="DB514" s="87"/>
      <c r="DC514" s="87"/>
      <c r="DD514" s="87"/>
      <c r="DE514" s="87"/>
      <c r="DF514" s="87"/>
      <c r="DG514" s="87"/>
      <c r="DH514" s="87"/>
      <c r="DI514" s="87"/>
      <c r="DJ514" s="87"/>
      <c r="DK514" s="87"/>
      <c r="DL514" s="87"/>
      <c r="DM514" s="87"/>
      <c r="DN514" s="87"/>
      <c r="DO514" s="87"/>
      <c r="DP514" s="87"/>
      <c r="DQ514" s="87"/>
      <c r="DR514" s="87"/>
      <c r="DS514" s="87"/>
      <c r="DT514" s="87"/>
      <c r="DU514" s="87"/>
      <c r="DV514" s="87"/>
      <c r="DW514" s="87"/>
      <c r="DX514" s="87"/>
      <c r="DY514" s="87"/>
      <c r="DZ514" s="87"/>
      <c r="EA514" s="87"/>
      <c r="EB514" s="87"/>
      <c r="EC514" s="87"/>
      <c r="ED514" s="87"/>
      <c r="EE514" s="87"/>
      <c r="EF514" s="87"/>
      <c r="EG514" s="87"/>
      <c r="EH514" s="87"/>
      <c r="EI514" s="87"/>
    </row>
    <row r="515" spans="1:139" ht="16.5" hidden="1" thickBot="1" x14ac:dyDescent="0.35">
      <c r="A515" s="222" t="s">
        <v>339</v>
      </c>
      <c r="B515" s="191">
        <v>3</v>
      </c>
      <c r="C515" s="177">
        <f>50*0.25</f>
        <v>12.5</v>
      </c>
      <c r="D515" s="217">
        <v>2.717391304347826E-3</v>
      </c>
      <c r="E515" s="178">
        <v>45705</v>
      </c>
      <c r="F515" s="252">
        <v>45706</v>
      </c>
      <c r="G515" s="180" t="s">
        <v>351</v>
      </c>
      <c r="H515" s="181" t="s">
        <v>364</v>
      </c>
      <c r="I515" s="84"/>
      <c r="J515" s="85"/>
      <c r="K515" s="85"/>
      <c r="L515" s="85"/>
      <c r="M515" s="85"/>
      <c r="N515" s="85"/>
      <c r="O515" s="85"/>
      <c r="P515" s="85"/>
      <c r="Q515" s="85">
        <f>C515*(E515-F515)/28</f>
        <v>-0.44642857142857145</v>
      </c>
      <c r="R515" s="85"/>
      <c r="S515" s="85"/>
      <c r="T515" s="85"/>
      <c r="U515" s="85"/>
      <c r="V515" s="84"/>
      <c r="W515" s="84"/>
      <c r="X515" s="84" t="str">
        <f t="shared" si="22"/>
        <v>OK</v>
      </c>
      <c r="Y515" s="87"/>
      <c r="Z515" s="87"/>
      <c r="AA515" s="87"/>
      <c r="AB515" s="87"/>
      <c r="AC515" s="87"/>
      <c r="AD515" s="87"/>
      <c r="AE515" s="87"/>
      <c r="AF515" s="87"/>
      <c r="AG515" s="87"/>
      <c r="AH515" s="87"/>
      <c r="AI515" s="87"/>
      <c r="AJ515" s="87"/>
      <c r="AK515" s="87"/>
      <c r="AL515" s="87"/>
      <c r="AM515" s="87"/>
      <c r="AN515" s="87"/>
      <c r="AO515" s="87"/>
      <c r="AP515" s="87"/>
      <c r="AQ515" s="87"/>
      <c r="AR515" s="87"/>
      <c r="AS515" s="87"/>
      <c r="AT515" s="87"/>
      <c r="AU515" s="87"/>
      <c r="AV515" s="87"/>
      <c r="AW515" s="87"/>
      <c r="AX515" s="87"/>
      <c r="AY515" s="87"/>
      <c r="AZ515" s="87"/>
      <c r="BA515" s="87"/>
      <c r="BB515" s="87"/>
      <c r="BC515" s="87"/>
      <c r="BD515" s="87"/>
      <c r="BE515" s="87"/>
      <c r="BF515" s="87"/>
      <c r="BG515" s="87"/>
      <c r="BH515" s="87"/>
      <c r="BI515" s="87"/>
      <c r="BJ515" s="87"/>
      <c r="BK515" s="87"/>
      <c r="BL515" s="87"/>
      <c r="BM515" s="87"/>
      <c r="BN515" s="87"/>
      <c r="BO515" s="87"/>
      <c r="BP515" s="87"/>
      <c r="BQ515" s="87"/>
      <c r="BR515" s="87"/>
      <c r="BS515" s="87"/>
      <c r="BT515" s="87"/>
      <c r="BU515" s="87"/>
      <c r="BV515" s="87"/>
      <c r="BW515" s="87"/>
      <c r="BX515" s="87"/>
      <c r="BY515" s="87"/>
      <c r="BZ515" s="87"/>
      <c r="CA515" s="87"/>
      <c r="CB515" s="87"/>
      <c r="CC515" s="87"/>
      <c r="CD515" s="87"/>
      <c r="CE515" s="87"/>
      <c r="CF515" s="87"/>
      <c r="CG515" s="87"/>
      <c r="CH515" s="87"/>
      <c r="CI515" s="87"/>
      <c r="CJ515" s="87"/>
      <c r="CK515" s="87"/>
      <c r="CL515" s="87"/>
      <c r="CM515" s="87"/>
      <c r="CN515" s="87"/>
      <c r="CO515" s="87">
        <f>-1/7*C515</f>
        <v>-1.7857142857142856</v>
      </c>
      <c r="CP515" s="87">
        <f>-CO515</f>
        <v>1.7857142857142856</v>
      </c>
      <c r="CQ515" s="87"/>
      <c r="CR515" s="87"/>
      <c r="CS515" s="87"/>
      <c r="CT515" s="87"/>
      <c r="CU515" s="87"/>
      <c r="CV515" s="87"/>
      <c r="CW515" s="87"/>
      <c r="CX515" s="87"/>
      <c r="CY515" s="87"/>
      <c r="CZ515" s="87"/>
      <c r="DA515" s="87"/>
      <c r="DB515" s="87"/>
      <c r="DC515" s="87"/>
      <c r="DD515" s="87"/>
      <c r="DE515" s="87"/>
      <c r="DF515" s="87"/>
      <c r="DG515" s="87"/>
      <c r="DH515" s="87"/>
      <c r="DI515" s="87"/>
      <c r="DJ515" s="87"/>
      <c r="DK515" s="87"/>
      <c r="DL515" s="87"/>
      <c r="DM515" s="87"/>
      <c r="DN515" s="87"/>
      <c r="DO515" s="87"/>
      <c r="DP515" s="87"/>
      <c r="DQ515" s="87"/>
      <c r="DR515" s="87"/>
      <c r="DS515" s="87"/>
      <c r="DT515" s="87"/>
      <c r="DU515" s="87"/>
      <c r="DV515" s="87"/>
      <c r="DW515" s="87"/>
      <c r="DX515" s="87"/>
      <c r="DY515" s="87"/>
      <c r="DZ515" s="87"/>
      <c r="EA515" s="87"/>
      <c r="EB515" s="87"/>
      <c r="EC515" s="87"/>
      <c r="ED515" s="87"/>
      <c r="EE515" s="87"/>
      <c r="EF515" s="87"/>
      <c r="EG515" s="87"/>
      <c r="EH515" s="87"/>
      <c r="EI515" s="87"/>
    </row>
    <row r="516" spans="1:139" ht="16.5" hidden="1" thickBot="1" x14ac:dyDescent="0.35">
      <c r="A516" s="113" t="s">
        <v>186</v>
      </c>
      <c r="B516" s="199">
        <v>4</v>
      </c>
      <c r="C516" s="195">
        <f>0.25*39</f>
        <v>9.75</v>
      </c>
      <c r="D516" s="217">
        <f>C516/VLOOKUP(B516,'[2]Gas Prod per PADD'!$A$1:$C$6,2,FALSE)</f>
        <v>2.8676470588235293E-2</v>
      </c>
      <c r="E516" s="196">
        <v>45705</v>
      </c>
      <c r="F516" s="281">
        <v>45707</v>
      </c>
      <c r="G516" s="194" t="s">
        <v>800</v>
      </c>
      <c r="H516" s="230" t="s">
        <v>886</v>
      </c>
      <c r="I516" s="73"/>
      <c r="J516" s="229"/>
      <c r="K516" s="229"/>
      <c r="L516" s="229"/>
      <c r="M516" s="229"/>
      <c r="N516" s="229"/>
      <c r="O516" s="229"/>
      <c r="P516" s="229"/>
      <c r="Q516" s="85">
        <f>C516*(E516-F516)/28</f>
        <v>-0.6964285714285714</v>
      </c>
      <c r="R516" s="229"/>
      <c r="S516" s="229"/>
      <c r="T516" s="85"/>
      <c r="U516" s="85"/>
      <c r="V516" s="84"/>
      <c r="W516" s="84"/>
      <c r="X516" s="84" t="str">
        <f t="shared" si="22"/>
        <v>OK</v>
      </c>
      <c r="Y516" s="74"/>
      <c r="Z516" s="74"/>
      <c r="AA516" s="74"/>
      <c r="AB516" s="74"/>
      <c r="AC516" s="74"/>
      <c r="AD516" s="74"/>
      <c r="AE516" s="74"/>
      <c r="AF516" s="74"/>
      <c r="AG516" s="75"/>
      <c r="AH516" s="74"/>
      <c r="AI516" s="74"/>
      <c r="AJ516" s="74"/>
      <c r="AK516" s="74"/>
      <c r="AL516" s="74"/>
      <c r="AM516" s="74"/>
      <c r="AN516" s="74"/>
      <c r="AO516" s="74"/>
      <c r="AP516" s="74"/>
      <c r="AQ516" s="74"/>
      <c r="AR516" s="75"/>
      <c r="AS516" s="74"/>
      <c r="AT516" s="74"/>
      <c r="AU516" s="74"/>
      <c r="AV516" s="87"/>
      <c r="AW516" s="87"/>
      <c r="AX516" s="87"/>
      <c r="AY516" s="87"/>
      <c r="AZ516" s="87"/>
      <c r="BA516" s="87"/>
      <c r="BB516" s="87"/>
      <c r="BC516" s="87"/>
      <c r="BD516" s="87"/>
      <c r="BE516" s="87"/>
      <c r="BF516" s="74"/>
      <c r="BG516" s="74"/>
      <c r="BH516" s="74"/>
      <c r="BI516" s="74"/>
      <c r="BJ516" s="74"/>
      <c r="BK516" s="74"/>
      <c r="BL516" s="74"/>
      <c r="BM516" s="74"/>
      <c r="BN516" s="74"/>
      <c r="BO516" s="74"/>
      <c r="BP516" s="74"/>
      <c r="BQ516" s="74"/>
      <c r="BR516" s="74"/>
      <c r="BS516" s="74"/>
      <c r="BT516" s="74"/>
      <c r="BU516" s="74"/>
      <c r="BV516" s="74"/>
      <c r="BW516" s="74"/>
      <c r="BX516" s="74"/>
      <c r="BY516" s="74"/>
      <c r="BZ516" s="74"/>
      <c r="CA516" s="74"/>
      <c r="CB516" s="74"/>
      <c r="CC516" s="74"/>
      <c r="CD516" s="74"/>
      <c r="CE516" s="74"/>
      <c r="CF516" s="74"/>
      <c r="CG516" s="74"/>
      <c r="CH516" s="87"/>
      <c r="CI516" s="87"/>
      <c r="CJ516" s="87"/>
      <c r="CK516" s="87"/>
      <c r="CL516" s="87"/>
      <c r="CM516" s="87"/>
      <c r="CN516" s="87"/>
      <c r="CO516" s="87">
        <f>-2/7*C516</f>
        <v>-2.7857142857142856</v>
      </c>
      <c r="CP516" s="87">
        <f>-CO516</f>
        <v>2.7857142857142856</v>
      </c>
      <c r="CQ516" s="87"/>
      <c r="CR516" s="87"/>
      <c r="CS516" s="87"/>
      <c r="CT516" s="87"/>
      <c r="CU516" s="87"/>
      <c r="CV516" s="87"/>
      <c r="CW516" s="87"/>
      <c r="CX516" s="87"/>
      <c r="CY516" s="87"/>
      <c r="CZ516" s="87"/>
      <c r="DA516" s="87"/>
      <c r="DB516" s="87"/>
      <c r="DC516" s="87"/>
      <c r="DD516" s="87"/>
      <c r="DE516" s="87"/>
      <c r="DF516" s="87"/>
      <c r="DG516" s="87"/>
      <c r="DH516" s="87"/>
      <c r="DI516" s="87"/>
      <c r="DJ516" s="87"/>
      <c r="DK516" s="87"/>
      <c r="DL516" s="87"/>
      <c r="DM516" s="87"/>
      <c r="DN516" s="87"/>
      <c r="DO516" s="87"/>
      <c r="DP516" s="87"/>
      <c r="DQ516" s="87"/>
      <c r="DR516" s="87"/>
      <c r="DS516" s="87"/>
      <c r="DT516" s="87"/>
      <c r="DU516" s="87"/>
      <c r="DV516" s="87"/>
      <c r="DW516" s="87"/>
      <c r="DX516" s="87"/>
      <c r="DY516" s="87"/>
      <c r="DZ516" s="87"/>
      <c r="EA516" s="87"/>
      <c r="EB516" s="87"/>
      <c r="EC516" s="87"/>
      <c r="ED516" s="87"/>
      <c r="EE516" s="87"/>
      <c r="EF516" s="87"/>
      <c r="EG516" s="87"/>
      <c r="EH516" s="87"/>
      <c r="EI516" s="87"/>
    </row>
    <row r="517" spans="1:139" ht="57.75" hidden="1" thickBot="1" x14ac:dyDescent="0.35">
      <c r="A517" s="190" t="s">
        <v>146</v>
      </c>
      <c r="B517" s="176">
        <v>3</v>
      </c>
      <c r="C517" s="177">
        <f>55*0.65+255*0.1+17*0.1+30*0.05+58*0.85</f>
        <v>113.75</v>
      </c>
      <c r="D517" s="217">
        <f>C517/VLOOKUP(B517,'[2]Gas Prod per PADD'!$A$1:$C$6,2,FALSE)</f>
        <v>2.4728260869565217E-2</v>
      </c>
      <c r="E517" s="178">
        <v>45670</v>
      </c>
      <c r="F517" s="252">
        <v>45709</v>
      </c>
      <c r="G517" s="180" t="s">
        <v>887</v>
      </c>
      <c r="H517" s="181" t="s">
        <v>888</v>
      </c>
      <c r="I517" s="84" t="s">
        <v>889</v>
      </c>
      <c r="J517" s="85"/>
      <c r="K517" s="85"/>
      <c r="L517" s="85"/>
      <c r="M517" s="85"/>
      <c r="N517" s="85"/>
      <c r="O517" s="85"/>
      <c r="P517" s="85">
        <f>C517*(E517-$P$1)/31</f>
        <v>-66.048387096774192</v>
      </c>
      <c r="Q517" s="85">
        <f>B517*($P$1+1-F517)/28</f>
        <v>-2.1428571428571428</v>
      </c>
      <c r="R517" s="85"/>
      <c r="S517" s="85"/>
      <c r="T517" s="85"/>
      <c r="U517" s="85"/>
      <c r="V517" s="84"/>
      <c r="W517" s="84"/>
      <c r="X517" s="84" t="str">
        <f t="shared" si="22"/>
        <v>OK</v>
      </c>
      <c r="Y517" s="105"/>
      <c r="Z517" s="105"/>
      <c r="AA517" s="87"/>
      <c r="AB517" s="87"/>
      <c r="AC517" s="87"/>
      <c r="AD517" s="87"/>
      <c r="AE517" s="105"/>
      <c r="AF517" s="105"/>
      <c r="AG517" s="105"/>
      <c r="AH517" s="105"/>
      <c r="AI517" s="87"/>
      <c r="AJ517" s="87"/>
      <c r="AK517" s="105"/>
      <c r="AL517" s="87"/>
      <c r="AM517" s="105"/>
      <c r="AN517" s="105"/>
      <c r="AO517" s="87"/>
      <c r="AP517" s="87"/>
      <c r="AQ517" s="105"/>
      <c r="AR517" s="105"/>
      <c r="AS517" s="87"/>
      <c r="AT517" s="105"/>
      <c r="AU517" s="87"/>
      <c r="AV517" s="87"/>
      <c r="AW517" s="105"/>
      <c r="AX517" s="105"/>
      <c r="AY517" s="87"/>
      <c r="AZ517" s="87"/>
      <c r="BA517" s="105"/>
      <c r="BB517" s="105"/>
      <c r="BC517" s="87"/>
      <c r="BD517" s="87"/>
      <c r="BE517" s="87"/>
      <c r="BF517" s="87"/>
      <c r="BG517" s="87"/>
      <c r="BH517" s="87"/>
      <c r="BI517" s="87"/>
      <c r="BJ517" s="87"/>
      <c r="BK517" s="87"/>
      <c r="BL517" s="87"/>
      <c r="BM517" s="87"/>
      <c r="BN517" s="87"/>
      <c r="BO517" s="87"/>
      <c r="BP517" s="87"/>
      <c r="BQ517" s="87"/>
      <c r="BR517" s="87"/>
      <c r="BS517" s="87"/>
      <c r="BT517" s="87"/>
      <c r="BU517" s="87"/>
      <c r="BV517" s="87"/>
      <c r="BW517" s="87"/>
      <c r="BX517" s="87"/>
      <c r="BY517" s="87"/>
      <c r="BZ517" s="87"/>
      <c r="CA517" s="87"/>
      <c r="CB517" s="87"/>
      <c r="CC517" s="87"/>
      <c r="CD517" s="87"/>
      <c r="CE517" s="87"/>
      <c r="CF517" s="87"/>
      <c r="CG517" s="87"/>
      <c r="CH517" s="87"/>
      <c r="CI517" s="87"/>
      <c r="CJ517" s="87">
        <f>-C517*4/7</f>
        <v>-65</v>
      </c>
      <c r="CK517" s="87">
        <f>-C517*3/7</f>
        <v>-48.75</v>
      </c>
      <c r="CL517" s="87"/>
      <c r="CM517" s="87"/>
      <c r="CN517" s="87"/>
      <c r="CO517" s="87"/>
      <c r="CP517" s="87">
        <f>-CK517</f>
        <v>48.75</v>
      </c>
      <c r="CQ517" s="87">
        <f>-CJ517</f>
        <v>65</v>
      </c>
      <c r="CR517" s="87"/>
      <c r="CS517" s="87"/>
      <c r="CT517" s="87"/>
      <c r="CU517" s="87"/>
      <c r="CV517" s="87"/>
      <c r="CW517" s="87"/>
      <c r="CX517" s="87"/>
      <c r="CY517" s="87"/>
      <c r="CZ517" s="87"/>
      <c r="DA517" s="87"/>
      <c r="DB517" s="87"/>
      <c r="DC517" s="87"/>
      <c r="DD517" s="87"/>
      <c r="DE517" s="87"/>
      <c r="DF517" s="87"/>
      <c r="DG517" s="87"/>
      <c r="DH517" s="87"/>
      <c r="DI517" s="87"/>
      <c r="DJ517" s="87"/>
      <c r="DK517" s="87"/>
      <c r="DL517" s="87"/>
      <c r="DM517" s="87"/>
      <c r="DN517" s="87"/>
      <c r="DO517" s="87"/>
      <c r="DP517" s="87"/>
      <c r="DQ517" s="87"/>
      <c r="DR517" s="87"/>
      <c r="DS517" s="87"/>
      <c r="DT517" s="87"/>
      <c r="DU517" s="87"/>
      <c r="DV517" s="87"/>
      <c r="DW517" s="87"/>
      <c r="DX517" s="87"/>
      <c r="DY517" s="87"/>
      <c r="DZ517" s="87"/>
      <c r="EA517" s="87"/>
      <c r="EB517" s="87"/>
      <c r="EC517" s="87"/>
      <c r="ED517" s="87"/>
      <c r="EE517" s="87"/>
      <c r="EF517" s="87"/>
      <c r="EG517" s="87"/>
      <c r="EH517" s="87"/>
      <c r="EI517" s="87"/>
    </row>
    <row r="518" spans="1:139" ht="16.5" hidden="1" thickBot="1" x14ac:dyDescent="0.35">
      <c r="A518" s="222" t="s">
        <v>248</v>
      </c>
      <c r="B518" s="223">
        <v>3</v>
      </c>
      <c r="C518" s="224">
        <f>29*0.85+(30*0.05)+(40*0.1)+(15*0.65)</f>
        <v>39.9</v>
      </c>
      <c r="D518" s="217">
        <f>C518/VLOOKUP(B518,'[2]Gas Prod per PADD'!$A$1:$C$6,2,FALSE)</f>
        <v>8.673913043478261E-3</v>
      </c>
      <c r="E518" s="196">
        <v>45694</v>
      </c>
      <c r="F518" s="197">
        <v>45709</v>
      </c>
      <c r="G518" s="194" t="s">
        <v>890</v>
      </c>
      <c r="H518" s="230" t="s">
        <v>891</v>
      </c>
      <c r="I518" s="84"/>
      <c r="J518" s="85"/>
      <c r="K518" s="85"/>
      <c r="L518" s="85"/>
      <c r="M518" s="85"/>
      <c r="N518" s="85"/>
      <c r="O518" s="85"/>
      <c r="P518" s="85"/>
      <c r="Q518" s="85">
        <f>C518*(E518-F518)/28</f>
        <v>-21.375</v>
      </c>
      <c r="R518" s="85"/>
      <c r="S518" s="85"/>
      <c r="T518" s="85"/>
      <c r="U518" s="85"/>
      <c r="V518" s="84"/>
      <c r="W518" s="84"/>
      <c r="X518" s="84" t="str">
        <f t="shared" si="22"/>
        <v>OK</v>
      </c>
      <c r="Y518" s="87">
        <v>-14.114285714285714</v>
      </c>
      <c r="Z518" s="87">
        <v>14.114285714285714</v>
      </c>
      <c r="AA518" s="87">
        <v>35.285714285714285</v>
      </c>
      <c r="AB518" s="87"/>
      <c r="AC518" s="87"/>
      <c r="AD518" s="87"/>
      <c r="AE518" s="87"/>
      <c r="AF518" s="87"/>
      <c r="AG518" s="87"/>
      <c r="AH518" s="87"/>
      <c r="AI518" s="87"/>
      <c r="AJ518" s="87"/>
      <c r="AK518" s="87"/>
      <c r="AL518" s="87"/>
      <c r="AM518" s="87"/>
      <c r="AN518" s="87"/>
      <c r="AO518" s="87"/>
      <c r="AP518" s="87"/>
      <c r="AQ518" s="87"/>
      <c r="AR518" s="87"/>
      <c r="AS518" s="87"/>
      <c r="AT518" s="87"/>
      <c r="AU518" s="87"/>
      <c r="AV518" s="87"/>
      <c r="AW518" s="87"/>
      <c r="AX518" s="87"/>
      <c r="AY518" s="87"/>
      <c r="AZ518" s="87"/>
      <c r="BA518" s="87"/>
      <c r="BB518" s="87"/>
      <c r="BC518" s="87"/>
      <c r="BD518" s="87"/>
      <c r="BE518" s="87"/>
      <c r="BF518" s="87"/>
      <c r="BG518" s="87"/>
      <c r="BH518" s="87"/>
      <c r="BI518" s="87"/>
      <c r="BJ518" s="87"/>
      <c r="BK518" s="87"/>
      <c r="BL518" s="87"/>
      <c r="BM518" s="87"/>
      <c r="BN518" s="87"/>
      <c r="BO518" s="87"/>
      <c r="BP518" s="87"/>
      <c r="BQ518" s="87"/>
      <c r="BR518" s="87"/>
      <c r="BS518" s="87"/>
      <c r="BT518" s="87"/>
      <c r="BU518" s="87"/>
      <c r="BV518" s="87"/>
      <c r="BW518" s="87"/>
      <c r="BX518" s="87"/>
      <c r="BY518" s="87"/>
      <c r="BZ518" s="87"/>
      <c r="CA518" s="87"/>
      <c r="CB518" s="87"/>
      <c r="CC518" s="87"/>
      <c r="CD518" s="87"/>
      <c r="CE518" s="87"/>
      <c r="CF518" s="87"/>
      <c r="CG518" s="87"/>
      <c r="CH518" s="87"/>
      <c r="CI518" s="87"/>
      <c r="CJ518" s="87"/>
      <c r="CK518" s="87"/>
      <c r="CL518" s="87"/>
      <c r="CM518" s="87">
        <f>-2/7*C518</f>
        <v>-11.399999999999999</v>
      </c>
      <c r="CN518" s="87">
        <f>-5/7*C518</f>
        <v>-28.5</v>
      </c>
      <c r="CO518" s="87"/>
      <c r="CP518" s="87">
        <f>-CM518</f>
        <v>11.399999999999999</v>
      </c>
      <c r="CQ518" s="87">
        <f>-CN518</f>
        <v>28.5</v>
      </c>
      <c r="CR518" s="87"/>
      <c r="CS518" s="87"/>
      <c r="CT518" s="87"/>
      <c r="CU518" s="87"/>
      <c r="CV518" s="87"/>
      <c r="CW518" s="87"/>
      <c r="CX518" s="87"/>
      <c r="CY518" s="87"/>
      <c r="CZ518" s="87"/>
      <c r="DA518" s="87"/>
      <c r="DB518" s="87"/>
      <c r="DC518" s="87"/>
      <c r="DD518" s="87"/>
      <c r="DE518" s="87"/>
      <c r="DF518" s="87"/>
      <c r="DG518" s="87"/>
      <c r="DH518" s="87"/>
      <c r="DI518" s="87"/>
      <c r="DJ518" s="87"/>
      <c r="DK518" s="87"/>
      <c r="DL518" s="87"/>
      <c r="DM518" s="87"/>
      <c r="DN518" s="87"/>
      <c r="DO518" s="87"/>
      <c r="DP518" s="87"/>
      <c r="DQ518" s="87"/>
      <c r="DR518" s="87"/>
      <c r="DS518" s="87"/>
      <c r="DT518" s="87"/>
      <c r="DU518" s="87"/>
      <c r="DV518" s="87"/>
      <c r="DW518" s="87"/>
      <c r="DX518" s="87"/>
      <c r="DY518" s="87"/>
      <c r="DZ518" s="87"/>
      <c r="EA518" s="87"/>
      <c r="EB518" s="87"/>
      <c r="EC518" s="87"/>
      <c r="ED518" s="87"/>
      <c r="EE518" s="87"/>
      <c r="EF518" s="87"/>
      <c r="EG518" s="87"/>
      <c r="EH518" s="87"/>
      <c r="EI518" s="87"/>
    </row>
    <row r="519" spans="1:139" ht="16.5" hidden="1" thickBot="1" x14ac:dyDescent="0.35">
      <c r="A519" s="190" t="s">
        <v>149</v>
      </c>
      <c r="B519" s="176">
        <v>3</v>
      </c>
      <c r="C519" s="177">
        <f>27*0.05</f>
        <v>1.35</v>
      </c>
      <c r="D519" s="217">
        <f>C519/VLOOKUP(B519,'[2]Gas Prod per PADD'!$A$1:$C$6,2,FALSE)</f>
        <v>2.9347826086956522E-4</v>
      </c>
      <c r="E519" s="178">
        <v>45705</v>
      </c>
      <c r="F519" s="252">
        <v>45709</v>
      </c>
      <c r="G519" s="180" t="s">
        <v>892</v>
      </c>
      <c r="H519" s="181" t="s">
        <v>893</v>
      </c>
      <c r="I519" s="84"/>
      <c r="J519" s="85"/>
      <c r="K519" s="85"/>
      <c r="L519" s="85"/>
      <c r="M519" s="85"/>
      <c r="N519" s="85"/>
      <c r="O519" s="85"/>
      <c r="P519" s="85"/>
      <c r="Q519" s="85">
        <f>C519*(E519-F519)/28</f>
        <v>-0.19285714285714287</v>
      </c>
      <c r="R519" s="85"/>
      <c r="S519" s="85"/>
      <c r="T519" s="85"/>
      <c r="U519" s="85"/>
      <c r="V519" s="84"/>
      <c r="W519" s="84"/>
      <c r="X519" s="84" t="str">
        <f t="shared" si="22"/>
        <v>OK</v>
      </c>
      <c r="Y519" s="86"/>
      <c r="Z519" s="87"/>
      <c r="AA519" s="87"/>
      <c r="AB519" s="87"/>
      <c r="AC519" s="87"/>
      <c r="AD519" s="87"/>
      <c r="AE519" s="87"/>
      <c r="AF519" s="87"/>
      <c r="AG519" s="87"/>
      <c r="AH519" s="87"/>
      <c r="AI519" s="87"/>
      <c r="AJ519" s="87"/>
      <c r="AK519" s="87"/>
      <c r="AL519" s="87"/>
      <c r="AM519" s="87"/>
      <c r="AN519" s="87"/>
      <c r="AO519" s="87"/>
      <c r="AP519" s="87"/>
      <c r="AQ519" s="87"/>
      <c r="AR519" s="87"/>
      <c r="AS519" s="87"/>
      <c r="AT519" s="87"/>
      <c r="AU519" s="87"/>
      <c r="AV519" s="87"/>
      <c r="AW519" s="87"/>
      <c r="AX519" s="87"/>
      <c r="AY519" s="87"/>
      <c r="AZ519" s="87"/>
      <c r="BA519" s="87"/>
      <c r="BB519" s="87"/>
      <c r="BC519" s="87"/>
      <c r="BD519" s="87"/>
      <c r="BE519" s="87"/>
      <c r="BF519" s="87"/>
      <c r="BG519" s="87"/>
      <c r="BH519" s="87"/>
      <c r="BI519" s="87"/>
      <c r="BJ519" s="105"/>
      <c r="BK519" s="87"/>
      <c r="BL519" s="105"/>
      <c r="BM519" s="105"/>
      <c r="BN519" s="105"/>
      <c r="BO519" s="105"/>
      <c r="BP519" s="105"/>
      <c r="BQ519" s="87"/>
      <c r="BR519" s="87"/>
      <c r="BS519" s="87"/>
      <c r="BT519" s="87"/>
      <c r="BU519" s="87"/>
      <c r="BV519" s="87"/>
      <c r="BW519" s="87"/>
      <c r="BX519" s="87"/>
      <c r="BY519" s="87"/>
      <c r="BZ519" s="87"/>
      <c r="CA519" s="87"/>
      <c r="CB519" s="87"/>
      <c r="CC519" s="87"/>
      <c r="CD519" s="87"/>
      <c r="CE519" s="87"/>
      <c r="CF519" s="87"/>
      <c r="CG519" s="87"/>
      <c r="CH519" s="87"/>
      <c r="CI519" s="87"/>
      <c r="CJ519" s="87"/>
      <c r="CK519" s="87"/>
      <c r="CL519" s="87"/>
      <c r="CM519" s="87"/>
      <c r="CN519" s="295"/>
      <c r="CO519" s="87">
        <f>-4/7*C519</f>
        <v>-0.77142857142857146</v>
      </c>
      <c r="CP519" s="87">
        <f>-CO519</f>
        <v>0.77142857142857146</v>
      </c>
      <c r="CQ519" s="87"/>
      <c r="CR519" s="87"/>
      <c r="CS519" s="87"/>
      <c r="CT519" s="87"/>
      <c r="CU519" s="87"/>
      <c r="CV519" s="87"/>
      <c r="CW519" s="87"/>
      <c r="CX519" s="87"/>
      <c r="CY519" s="87"/>
      <c r="CZ519" s="87"/>
      <c r="DA519" s="87"/>
      <c r="DB519" s="87"/>
      <c r="DC519" s="87"/>
      <c r="DD519" s="87"/>
      <c r="DE519" s="87"/>
      <c r="DF519" s="87"/>
      <c r="DG519" s="87"/>
      <c r="DH519" s="87"/>
      <c r="DI519" s="87"/>
      <c r="DJ519" s="87"/>
      <c r="DK519" s="87"/>
      <c r="DL519" s="87"/>
      <c r="DM519" s="87"/>
      <c r="DN519" s="87"/>
      <c r="DO519" s="87"/>
      <c r="DP519" s="87"/>
      <c r="DQ519" s="87"/>
      <c r="DR519" s="87"/>
      <c r="DS519" s="87"/>
      <c r="DT519" s="87"/>
      <c r="DU519" s="87"/>
      <c r="DV519" s="87"/>
      <c r="DW519" s="87"/>
      <c r="DX519" s="87"/>
      <c r="DY519" s="87"/>
      <c r="DZ519" s="87"/>
      <c r="EA519" s="87"/>
      <c r="EB519" s="87"/>
      <c r="EC519" s="87"/>
      <c r="ED519" s="87"/>
      <c r="EE519" s="87"/>
      <c r="EF519" s="87"/>
      <c r="EG519" s="87"/>
      <c r="EH519" s="87"/>
      <c r="EI519" s="87"/>
    </row>
    <row r="520" spans="1:139" ht="16.5" hidden="1" thickBot="1" x14ac:dyDescent="0.35">
      <c r="A520" s="222" t="s">
        <v>659</v>
      </c>
      <c r="B520" s="191">
        <v>3</v>
      </c>
      <c r="C520" s="177">
        <f>0.85*23</f>
        <v>19.55</v>
      </c>
      <c r="D520" s="234">
        <f>C520/VLOOKUP(B520,'[2]Gas Prod per PADD'!$A$1:$C$6,2,FALSE)</f>
        <v>4.2500000000000003E-3</v>
      </c>
      <c r="E520" s="178">
        <v>45708</v>
      </c>
      <c r="F520" s="252">
        <v>45709</v>
      </c>
      <c r="G520" s="180" t="s">
        <v>825</v>
      </c>
      <c r="H520" s="181" t="s">
        <v>364</v>
      </c>
      <c r="I520" s="84"/>
      <c r="J520" s="85"/>
      <c r="K520" s="85"/>
      <c r="L520" s="85"/>
      <c r="M520" s="85"/>
      <c r="N520" s="85"/>
      <c r="O520" s="85"/>
      <c r="P520" s="85"/>
      <c r="Q520" s="85">
        <f>C520*(E520-F520)/28</f>
        <v>-0.69821428571428579</v>
      </c>
      <c r="R520" s="85"/>
      <c r="S520" s="85"/>
      <c r="T520" s="85"/>
      <c r="U520" s="85"/>
      <c r="V520" s="84"/>
      <c r="W520" s="84"/>
      <c r="X520" s="84" t="str">
        <f t="shared" si="22"/>
        <v>OK</v>
      </c>
      <c r="Y520" s="87"/>
      <c r="Z520" s="87"/>
      <c r="AA520" s="87"/>
      <c r="AB520" s="87"/>
      <c r="AC520" s="87"/>
      <c r="AD520" s="87"/>
      <c r="AE520" s="87"/>
      <c r="AF520" s="87"/>
      <c r="AG520" s="87"/>
      <c r="AH520" s="87"/>
      <c r="AI520" s="87"/>
      <c r="AJ520" s="87"/>
      <c r="AK520" s="87"/>
      <c r="AL520" s="87"/>
      <c r="AM520" s="87"/>
      <c r="AN520" s="87"/>
      <c r="AO520" s="87"/>
      <c r="AP520" s="87"/>
      <c r="AQ520" s="87"/>
      <c r="AR520" s="87"/>
      <c r="AS520" s="87"/>
      <c r="AT520" s="87"/>
      <c r="AU520" s="87"/>
      <c r="AV520" s="87"/>
      <c r="AW520" s="87"/>
      <c r="AX520" s="87"/>
      <c r="AY520" s="87"/>
      <c r="AZ520" s="87"/>
      <c r="BA520" s="87"/>
      <c r="BB520" s="87"/>
      <c r="BC520" s="87"/>
      <c r="BD520" s="87"/>
      <c r="BE520" s="87"/>
      <c r="BF520" s="87"/>
      <c r="BG520" s="87"/>
      <c r="BH520" s="87"/>
      <c r="BI520" s="87"/>
      <c r="BJ520" s="87"/>
      <c r="BK520" s="87"/>
      <c r="BL520" s="87"/>
      <c r="BM520" s="87"/>
      <c r="BN520" s="87"/>
      <c r="BO520" s="87"/>
      <c r="BP520" s="87"/>
      <c r="BQ520" s="87"/>
      <c r="BR520" s="87"/>
      <c r="BS520" s="87"/>
      <c r="BT520" s="87"/>
      <c r="BU520" s="87"/>
      <c r="BV520" s="87"/>
      <c r="BW520" s="87"/>
      <c r="BX520" s="87"/>
      <c r="BY520" s="87"/>
      <c r="BZ520" s="87"/>
      <c r="CA520" s="87"/>
      <c r="CB520" s="87"/>
      <c r="CC520" s="87"/>
      <c r="CD520" s="87"/>
      <c r="CE520" s="87"/>
      <c r="CF520" s="87"/>
      <c r="CG520" s="87"/>
      <c r="CH520" s="87"/>
      <c r="CI520" s="87"/>
      <c r="CJ520" s="87"/>
      <c r="CK520" s="87"/>
      <c r="CL520" s="87"/>
      <c r="CM520" s="87"/>
      <c r="CN520" s="87"/>
      <c r="CO520" s="87">
        <f>-1/7*C520</f>
        <v>-2.7928571428571427</v>
      </c>
      <c r="CP520" s="87">
        <f>-CO520</f>
        <v>2.7928571428571427</v>
      </c>
      <c r="CQ520" s="87"/>
      <c r="CR520" s="87"/>
      <c r="CS520" s="87"/>
      <c r="CT520" s="87"/>
      <c r="CU520" s="87"/>
      <c r="CV520" s="87"/>
      <c r="CW520" s="87"/>
      <c r="CX520" s="87"/>
      <c r="CY520" s="87"/>
      <c r="CZ520" s="87"/>
      <c r="DA520" s="87"/>
      <c r="DB520" s="87"/>
      <c r="DC520" s="87"/>
      <c r="DD520" s="87"/>
      <c r="DE520" s="87"/>
      <c r="DF520" s="87"/>
      <c r="DG520" s="87"/>
      <c r="DH520" s="87"/>
      <c r="DI520" s="87"/>
      <c r="DJ520" s="87"/>
      <c r="DK520" s="87"/>
      <c r="DL520" s="87"/>
      <c r="DM520" s="87"/>
      <c r="DN520" s="87"/>
      <c r="DO520" s="87"/>
      <c r="DP520" s="87"/>
      <c r="DQ520" s="87"/>
      <c r="DR520" s="87"/>
      <c r="DS520" s="87"/>
      <c r="DT520" s="87"/>
      <c r="DU520" s="87"/>
      <c r="DV520" s="87"/>
      <c r="DW520" s="87"/>
      <c r="DX520" s="87"/>
      <c r="DY520" s="87"/>
      <c r="DZ520" s="87"/>
      <c r="EA520" s="87"/>
      <c r="EB520" s="87"/>
      <c r="EC520" s="87"/>
      <c r="ED520" s="87"/>
      <c r="EE520" s="87"/>
      <c r="EF520" s="87"/>
      <c r="EG520" s="87"/>
      <c r="EH520" s="87"/>
      <c r="EI520" s="87"/>
    </row>
    <row r="521" spans="1:139" ht="16.5" hidden="1" thickBot="1" x14ac:dyDescent="0.35">
      <c r="A521" s="76" t="s">
        <v>207</v>
      </c>
      <c r="B521" s="182">
        <v>5</v>
      </c>
      <c r="C521" s="183">
        <f>20*0.85</f>
        <v>17</v>
      </c>
      <c r="D521" s="340">
        <f>C521/VLOOKUP(B521,'[2]Gas Prod per PADD'!$A$1:$C$6,2,FALSE)</f>
        <v>1.2592592592592593E-2</v>
      </c>
      <c r="E521" s="220">
        <v>45708</v>
      </c>
      <c r="F521" s="252">
        <v>45710</v>
      </c>
      <c r="G521" s="180" t="s">
        <v>894</v>
      </c>
      <c r="H521" s="198" t="s">
        <v>482</v>
      </c>
      <c r="I521" s="305"/>
      <c r="J521" s="306"/>
      <c r="K521" s="306"/>
      <c r="L521" s="306"/>
      <c r="M521" s="306"/>
      <c r="N521" s="306"/>
      <c r="O521" s="306"/>
      <c r="P521" s="306"/>
      <c r="Q521" s="85">
        <f>C521*(E521-F521)/28</f>
        <v>-1.2142857142857142</v>
      </c>
      <c r="R521" s="306"/>
      <c r="S521" s="306"/>
      <c r="T521" s="85"/>
      <c r="U521" s="85"/>
      <c r="V521" s="84"/>
      <c r="W521" s="84"/>
      <c r="X521" s="84" t="str">
        <f t="shared" si="22"/>
        <v>OK</v>
      </c>
      <c r="Y521" s="105"/>
      <c r="Z521" s="105"/>
      <c r="AA521" s="87"/>
      <c r="AB521" s="87"/>
      <c r="AC521" s="87"/>
      <c r="AD521" s="87"/>
      <c r="AE521" s="105"/>
      <c r="AF521" s="105"/>
      <c r="AG521" s="105"/>
      <c r="AH521" s="105"/>
      <c r="AI521" s="87"/>
      <c r="AJ521" s="87"/>
      <c r="AK521" s="105"/>
      <c r="AL521" s="87"/>
      <c r="AM521" s="105"/>
      <c r="AN521" s="105"/>
      <c r="AO521" s="87"/>
      <c r="AP521" s="87"/>
      <c r="AQ521" s="105"/>
      <c r="AR521" s="105"/>
      <c r="AS521" s="87"/>
      <c r="AT521" s="105"/>
      <c r="AU521" s="105"/>
      <c r="AV521" s="87"/>
      <c r="AW521" s="105"/>
      <c r="AX521" s="105"/>
      <c r="AY521" s="87"/>
      <c r="AZ521" s="105"/>
      <c r="BA521" s="105"/>
      <c r="BB521" s="105"/>
      <c r="BC521" s="87"/>
      <c r="BD521" s="87"/>
      <c r="BE521" s="105"/>
      <c r="BF521" s="105"/>
      <c r="BG521" s="105"/>
      <c r="BH521" s="105"/>
      <c r="BI521" s="105"/>
      <c r="BJ521" s="87"/>
      <c r="BK521" s="87"/>
      <c r="BL521" s="87"/>
      <c r="BM521" s="87"/>
      <c r="BN521" s="87"/>
      <c r="BO521" s="87"/>
      <c r="BP521" s="87"/>
      <c r="BQ521" s="87"/>
      <c r="BR521" s="87"/>
      <c r="BS521" s="87"/>
      <c r="BT521" s="87"/>
      <c r="BU521" s="87"/>
      <c r="BV521" s="87"/>
      <c r="BW521" s="87"/>
      <c r="BX521" s="87"/>
      <c r="BY521" s="87"/>
      <c r="BZ521" s="87"/>
      <c r="CA521" s="87"/>
      <c r="CB521" s="87"/>
      <c r="CC521" s="87"/>
      <c r="CD521" s="87"/>
      <c r="CE521" s="87"/>
      <c r="CF521" s="87"/>
      <c r="CG521" s="87"/>
      <c r="CH521" s="87"/>
      <c r="CI521" s="87"/>
      <c r="CJ521" s="87"/>
      <c r="CK521" s="87"/>
      <c r="CL521" s="87"/>
      <c r="CM521" s="87"/>
      <c r="CN521" s="87"/>
      <c r="CO521" s="87">
        <f>-1/7*C521</f>
        <v>-2.4285714285714284</v>
      </c>
      <c r="CP521" s="87">
        <f>-CO521</f>
        <v>2.4285714285714284</v>
      </c>
      <c r="CQ521" s="87"/>
      <c r="CR521" s="87"/>
      <c r="CS521" s="87"/>
      <c r="CT521" s="87"/>
      <c r="CU521" s="87"/>
      <c r="CV521" s="87"/>
      <c r="CW521" s="87"/>
      <c r="CX521" s="87"/>
      <c r="CY521" s="87"/>
      <c r="CZ521" s="87"/>
      <c r="DA521" s="87"/>
      <c r="DB521" s="87"/>
      <c r="DC521" s="87"/>
      <c r="DD521" s="87"/>
      <c r="DE521" s="87"/>
      <c r="DF521" s="87"/>
      <c r="DG521" s="87"/>
      <c r="DH521" s="87"/>
      <c r="DI521" s="87"/>
      <c r="DJ521" s="87"/>
      <c r="DK521" s="87"/>
      <c r="DL521" s="87"/>
      <c r="DM521" s="87"/>
      <c r="DN521" s="87"/>
      <c r="DO521" s="87"/>
      <c r="DP521" s="87"/>
      <c r="DQ521" s="87"/>
      <c r="DR521" s="87"/>
      <c r="DS521" s="87"/>
      <c r="DT521" s="87"/>
      <c r="DU521" s="87"/>
      <c r="DV521" s="87"/>
      <c r="DW521" s="87"/>
      <c r="DX521" s="87"/>
      <c r="DY521" s="87"/>
      <c r="DZ521" s="87"/>
      <c r="EA521" s="87"/>
      <c r="EB521" s="87"/>
      <c r="EC521" s="87"/>
      <c r="ED521" s="87"/>
      <c r="EE521" s="87"/>
      <c r="EF521" s="87"/>
      <c r="EG521" s="75">
        <v>46017</v>
      </c>
      <c r="EH521" s="75">
        <v>46024</v>
      </c>
      <c r="EI521" s="75">
        <v>46031</v>
      </c>
    </row>
    <row r="522" spans="1:139" ht="16.5" hidden="1" thickBot="1" x14ac:dyDescent="0.35">
      <c r="A522" s="113" t="s">
        <v>502</v>
      </c>
      <c r="B522" s="194">
        <v>3</v>
      </c>
      <c r="C522" s="195">
        <f>24*0.85+(124*0.1*0.3)</f>
        <v>24.119999999999997</v>
      </c>
      <c r="D522" s="217">
        <f>C522/VLOOKUP(B522,'[2]Gas Prod per PADD'!$A$1:$C$6,2,FALSE)</f>
        <v>5.2434782608695649E-3</v>
      </c>
      <c r="E522" s="196">
        <v>45708</v>
      </c>
      <c r="F522" s="281">
        <v>45710</v>
      </c>
      <c r="G522" s="194" t="s">
        <v>648</v>
      </c>
      <c r="H522" s="198" t="s">
        <v>433</v>
      </c>
      <c r="I522" s="84"/>
      <c r="J522" s="85"/>
      <c r="K522" s="85"/>
      <c r="L522" s="85"/>
      <c r="M522" s="85"/>
      <c r="N522" s="85"/>
      <c r="O522" s="85"/>
      <c r="P522" s="85"/>
      <c r="Q522" s="85">
        <f>C522*(E522-F522)/28</f>
        <v>-1.7228571428571426</v>
      </c>
      <c r="R522" s="85"/>
      <c r="S522" s="85"/>
      <c r="T522" s="85"/>
      <c r="U522" s="85"/>
      <c r="V522" s="84"/>
      <c r="W522" s="84"/>
      <c r="X522" s="84" t="str">
        <f t="shared" si="22"/>
        <v>OK</v>
      </c>
      <c r="Y522" s="87"/>
      <c r="Z522" s="87"/>
      <c r="AA522" s="87"/>
      <c r="AB522" s="87"/>
      <c r="AC522" s="87"/>
      <c r="AD522" s="87"/>
      <c r="AE522" s="87"/>
      <c r="AF522" s="87"/>
      <c r="AG522" s="87"/>
      <c r="AH522" s="87"/>
      <c r="AI522" s="87"/>
      <c r="AJ522" s="87"/>
      <c r="AK522" s="87"/>
      <c r="AL522" s="87"/>
      <c r="AM522" s="87"/>
      <c r="AN522" s="87"/>
      <c r="AO522" s="87"/>
      <c r="AP522" s="87"/>
      <c r="AQ522" s="87"/>
      <c r="AR522" s="87"/>
      <c r="AS522" s="87"/>
      <c r="AT522" s="87"/>
      <c r="AU522" s="87"/>
      <c r="AV522" s="87"/>
      <c r="AW522" s="87"/>
      <c r="AX522" s="87"/>
      <c r="AY522" s="87"/>
      <c r="AZ522" s="87"/>
      <c r="BA522" s="87"/>
      <c r="BB522" s="87"/>
      <c r="BC522" s="87"/>
      <c r="BD522" s="87"/>
      <c r="BE522" s="87"/>
      <c r="BF522" s="87"/>
      <c r="BG522" s="87"/>
      <c r="BH522" s="87"/>
      <c r="BI522" s="87"/>
      <c r="BJ522" s="87"/>
      <c r="BK522" s="87"/>
      <c r="BL522" s="87"/>
      <c r="BM522" s="87"/>
      <c r="BN522" s="87"/>
      <c r="BO522" s="87"/>
      <c r="BP522" s="87"/>
      <c r="BQ522" s="87"/>
      <c r="BR522" s="87"/>
      <c r="BS522" s="87"/>
      <c r="BT522" s="87"/>
      <c r="BU522" s="87"/>
      <c r="BV522" s="87"/>
      <c r="BW522" s="87"/>
      <c r="BX522" s="87"/>
      <c r="BY522" s="87"/>
      <c r="BZ522" s="87"/>
      <c r="CA522" s="87"/>
      <c r="CB522" s="87"/>
      <c r="CC522" s="87"/>
      <c r="CD522" s="87"/>
      <c r="CE522" s="87"/>
      <c r="CF522" s="87"/>
      <c r="CG522" s="87"/>
      <c r="CH522" s="87"/>
      <c r="CI522" s="87"/>
      <c r="CJ522" s="87"/>
      <c r="CK522" s="87"/>
      <c r="CL522" s="87"/>
      <c r="CM522" s="87"/>
      <c r="CN522" s="87"/>
      <c r="CO522" s="87">
        <f>-2/7*C522</f>
        <v>-6.8914285714285706</v>
      </c>
      <c r="CP522" s="87">
        <f>-CO522</f>
        <v>6.8914285714285706</v>
      </c>
      <c r="CQ522" s="87"/>
      <c r="CR522" s="87"/>
      <c r="CS522" s="87"/>
      <c r="CT522" s="87"/>
      <c r="CU522" s="87"/>
      <c r="CV522" s="87"/>
      <c r="CW522" s="87"/>
      <c r="CX522" s="87"/>
      <c r="CY522" s="87"/>
      <c r="CZ522" s="87"/>
      <c r="DA522" s="87"/>
      <c r="DB522" s="87"/>
      <c r="DC522" s="87"/>
      <c r="DD522" s="87"/>
      <c r="DE522" s="87"/>
      <c r="DF522" s="87"/>
      <c r="DG522" s="87"/>
      <c r="DH522" s="87"/>
      <c r="DI522" s="87"/>
      <c r="DJ522" s="87"/>
      <c r="DK522" s="87"/>
      <c r="DL522" s="87"/>
      <c r="DM522" s="87"/>
      <c r="DN522" s="87"/>
      <c r="DO522" s="87"/>
      <c r="DP522" s="87"/>
      <c r="DQ522" s="87"/>
      <c r="DR522" s="87"/>
      <c r="DS522" s="87"/>
      <c r="DT522" s="87"/>
      <c r="DU522" s="87"/>
      <c r="DV522" s="87"/>
      <c r="DW522" s="87"/>
      <c r="DX522" s="87"/>
      <c r="DY522" s="87"/>
      <c r="DZ522" s="87"/>
      <c r="EA522" s="87"/>
      <c r="EB522" s="87"/>
      <c r="EC522" s="87"/>
      <c r="ED522" s="87"/>
      <c r="EE522" s="87"/>
      <c r="EF522" s="87"/>
      <c r="EG522" s="87"/>
      <c r="EH522" s="87"/>
      <c r="EI522" s="87"/>
    </row>
    <row r="523" spans="1:139" ht="29.25" hidden="1" thickBot="1" x14ac:dyDescent="0.35">
      <c r="A523" s="200" t="s">
        <v>123</v>
      </c>
      <c r="B523" s="223">
        <v>1</v>
      </c>
      <c r="C523" s="177">
        <f>0.05*24</f>
        <v>1.2000000000000002</v>
      </c>
      <c r="D523" s="217">
        <f>C523/VLOOKUP(B523,'[2]Gas Prod per PADD'!$A$1:$C$6,2,FALSE)</f>
        <v>2.5000000000000005E-3</v>
      </c>
      <c r="E523" s="196">
        <v>45675</v>
      </c>
      <c r="F523" s="281">
        <f>E523+36</f>
        <v>45711</v>
      </c>
      <c r="G523" s="180" t="s">
        <v>895</v>
      </c>
      <c r="H523" s="181" t="s">
        <v>600</v>
      </c>
      <c r="I523" s="216"/>
      <c r="J523" s="85"/>
      <c r="K523" s="85"/>
      <c r="L523" s="85"/>
      <c r="M523" s="85"/>
      <c r="N523" s="85"/>
      <c r="O523" s="85"/>
      <c r="P523" s="85">
        <f>C523*(E523-$P$1)/31</f>
        <v>-0.50322580645161297</v>
      </c>
      <c r="Q523" s="85">
        <f>B523*($P$1+1-F523)/28</f>
        <v>-0.7857142857142857</v>
      </c>
      <c r="R523" s="85"/>
      <c r="S523" s="85"/>
      <c r="T523" s="85"/>
      <c r="U523" s="85"/>
      <c r="V523" s="84"/>
      <c r="W523" s="84"/>
      <c r="X523" s="84" t="str">
        <f t="shared" si="22"/>
        <v>OK</v>
      </c>
      <c r="Y523" s="105"/>
      <c r="Z523" s="105"/>
      <c r="AA523" s="87"/>
      <c r="AB523" s="87"/>
      <c r="AC523" s="87"/>
      <c r="AD523" s="87"/>
      <c r="AE523" s="105"/>
      <c r="AF523" s="105"/>
      <c r="AG523" s="105"/>
      <c r="AH523" s="105"/>
      <c r="AI523" s="87"/>
      <c r="AJ523" s="87"/>
      <c r="AK523" s="105"/>
      <c r="AL523" s="87"/>
      <c r="AM523" s="87"/>
      <c r="AN523" s="87"/>
      <c r="AO523" s="87"/>
      <c r="AP523" s="87"/>
      <c r="AQ523" s="105"/>
      <c r="AR523" s="105"/>
      <c r="AS523" s="87"/>
      <c r="AT523" s="87"/>
      <c r="AU523" s="87"/>
      <c r="AV523" s="87"/>
      <c r="AW523" s="87"/>
      <c r="AX523" s="87"/>
      <c r="AY523" s="87"/>
      <c r="AZ523" s="87"/>
      <c r="BA523" s="87"/>
      <c r="BB523" s="87"/>
      <c r="BC523" s="87"/>
      <c r="BD523" s="87"/>
      <c r="BE523" s="87"/>
      <c r="BF523" s="87"/>
      <c r="BG523" s="87"/>
      <c r="BH523" s="87"/>
      <c r="BI523" s="87"/>
      <c r="BJ523" s="87"/>
      <c r="BK523" s="87"/>
      <c r="BL523" s="87"/>
      <c r="BM523" s="87"/>
      <c r="BN523" s="87"/>
      <c r="BO523" s="87"/>
      <c r="BP523" s="87"/>
      <c r="BQ523" s="87"/>
      <c r="BR523" s="87"/>
      <c r="BS523" s="87"/>
      <c r="BT523" s="87"/>
      <c r="BU523" s="87"/>
      <c r="BV523" s="87"/>
      <c r="BW523" s="87"/>
      <c r="BX523" s="87"/>
      <c r="BY523" s="87"/>
      <c r="BZ523" s="87"/>
      <c r="CA523" s="87"/>
      <c r="CB523" s="87"/>
      <c r="CC523" s="87"/>
      <c r="CD523" s="87"/>
      <c r="CE523" s="87"/>
      <c r="CF523" s="87"/>
      <c r="CG523" s="87"/>
      <c r="CH523" s="87"/>
      <c r="CI523" s="87"/>
      <c r="CJ523" s="87"/>
      <c r="CK523" s="87">
        <f>-5/7*C523</f>
        <v>-0.85714285714285732</v>
      </c>
      <c r="CL523" s="87">
        <f>-2/7*C523</f>
        <v>-0.34285714285714292</v>
      </c>
      <c r="CM523" s="87"/>
      <c r="CN523" s="87"/>
      <c r="CO523" s="87"/>
      <c r="CP523" s="87">
        <f>-CL523</f>
        <v>0.34285714285714292</v>
      </c>
      <c r="CQ523" s="87">
        <f>-CK523</f>
        <v>0.85714285714285732</v>
      </c>
      <c r="CR523" s="87"/>
      <c r="CS523" s="87"/>
      <c r="CT523" s="87"/>
      <c r="CU523" s="87"/>
      <c r="CV523" s="87"/>
      <c r="CW523" s="87"/>
      <c r="CX523" s="87"/>
      <c r="CY523" s="87"/>
      <c r="CZ523" s="87"/>
      <c r="DA523" s="87"/>
      <c r="DB523" s="87"/>
      <c r="DC523" s="87"/>
      <c r="DD523" s="87"/>
      <c r="DE523" s="87"/>
      <c r="DF523" s="87"/>
      <c r="DG523" s="87"/>
      <c r="DH523" s="87"/>
      <c r="DI523" s="87"/>
      <c r="DJ523" s="87"/>
      <c r="DK523" s="87"/>
      <c r="DL523" s="87"/>
      <c r="DM523" s="87"/>
      <c r="DN523" s="87"/>
      <c r="DO523" s="87"/>
      <c r="DP523" s="87"/>
      <c r="DQ523" s="87"/>
      <c r="DR523" s="87"/>
      <c r="DS523" s="87"/>
      <c r="DT523" s="87"/>
      <c r="DU523" s="87"/>
      <c r="DV523" s="87"/>
      <c r="DW523" s="87"/>
      <c r="DX523" s="87"/>
      <c r="DY523" s="87"/>
      <c r="DZ523" s="87"/>
      <c r="EA523" s="87"/>
      <c r="EB523" s="87"/>
      <c r="EC523" s="87"/>
      <c r="ED523" s="87"/>
      <c r="EE523" s="87"/>
      <c r="EF523" s="87"/>
      <c r="EG523" s="87"/>
      <c r="EH523" s="87"/>
      <c r="EI523" s="87"/>
    </row>
    <row r="524" spans="1:139" ht="29.25" hidden="1" thickBot="1" x14ac:dyDescent="0.35">
      <c r="A524" s="190" t="s">
        <v>173</v>
      </c>
      <c r="B524" s="176">
        <v>3</v>
      </c>
      <c r="C524" s="195">
        <v>0</v>
      </c>
      <c r="D524" s="217">
        <f>C524/VLOOKUP(B524,'[2]Gas Prod per PADD'!$A$1:$C$6,2,FALSE)</f>
        <v>0</v>
      </c>
      <c r="E524" s="197">
        <v>45691</v>
      </c>
      <c r="F524" s="197">
        <v>45711</v>
      </c>
      <c r="G524" s="180" t="s">
        <v>896</v>
      </c>
      <c r="H524" s="181" t="s">
        <v>897</v>
      </c>
      <c r="I524" s="84"/>
      <c r="J524" s="85"/>
      <c r="K524" s="85"/>
      <c r="L524" s="85"/>
      <c r="M524" s="85"/>
      <c r="N524" s="85"/>
      <c r="O524" s="85"/>
      <c r="P524" s="85"/>
      <c r="Q524" s="85">
        <f>C524*(E524-F524)/28</f>
        <v>0</v>
      </c>
      <c r="R524" s="85"/>
      <c r="S524" s="85"/>
      <c r="T524" s="85"/>
      <c r="U524" s="85"/>
      <c r="V524" s="84"/>
      <c r="W524" s="84"/>
      <c r="X524" s="84" t="str">
        <f t="shared" si="22"/>
        <v>OK</v>
      </c>
      <c r="Y524" s="105"/>
      <c r="Z524" s="105"/>
      <c r="AA524" s="87"/>
      <c r="AB524" s="87"/>
      <c r="AC524" s="87"/>
      <c r="AD524" s="87"/>
      <c r="AE524" s="105"/>
      <c r="AF524" s="105"/>
      <c r="AG524" s="105"/>
      <c r="AH524" s="105"/>
      <c r="AI524" s="87"/>
      <c r="AJ524" s="87"/>
      <c r="AK524" s="105"/>
      <c r="AL524" s="87"/>
      <c r="AM524" s="105"/>
      <c r="AN524" s="105"/>
      <c r="AO524" s="87"/>
      <c r="AP524" s="87"/>
      <c r="AQ524" s="105"/>
      <c r="AR524" s="105"/>
      <c r="AS524" s="87"/>
      <c r="AT524" s="105"/>
      <c r="AU524" s="87"/>
      <c r="AV524" s="87"/>
      <c r="AW524" s="105"/>
      <c r="AX524" s="105"/>
      <c r="AY524" s="105"/>
      <c r="AZ524" s="105"/>
      <c r="BA524" s="105"/>
      <c r="BB524" s="105"/>
      <c r="BC524" s="105"/>
      <c r="BD524" s="87"/>
      <c r="BE524" s="87"/>
      <c r="BF524" s="87"/>
      <c r="BG524" s="105"/>
      <c r="BH524" s="105"/>
      <c r="BI524" s="105"/>
      <c r="BJ524" s="87"/>
      <c r="BK524" s="87"/>
      <c r="BL524" s="87"/>
      <c r="BM524" s="87"/>
      <c r="BN524" s="87"/>
      <c r="BO524" s="87"/>
      <c r="BP524" s="87"/>
      <c r="BQ524" s="87"/>
      <c r="BR524" s="87"/>
      <c r="BS524" s="87"/>
      <c r="BT524" s="87"/>
      <c r="BU524" s="87"/>
      <c r="BV524" s="87"/>
      <c r="BW524" s="87"/>
      <c r="BX524" s="87"/>
      <c r="BY524" s="87"/>
      <c r="BZ524" s="87"/>
      <c r="CA524" s="87"/>
      <c r="CB524" s="87"/>
      <c r="CC524" s="87"/>
      <c r="CD524" s="87"/>
      <c r="CE524" s="87"/>
      <c r="CF524" s="87"/>
      <c r="CG524" s="87"/>
      <c r="CH524" s="87"/>
      <c r="CI524" s="87"/>
      <c r="CJ524" s="87"/>
      <c r="CK524" s="87"/>
      <c r="CL524" s="87"/>
      <c r="CM524" s="87">
        <f>-4/7*C524</f>
        <v>0</v>
      </c>
      <c r="CN524" s="87">
        <f>-3/7*C524</f>
        <v>0</v>
      </c>
      <c r="CO524" s="87"/>
      <c r="CP524" s="87">
        <f>-CM524</f>
        <v>0</v>
      </c>
      <c r="CQ524" s="87">
        <f>-CN524</f>
        <v>0</v>
      </c>
      <c r="CR524" s="87"/>
      <c r="CS524" s="87"/>
      <c r="CT524" s="87"/>
      <c r="CU524" s="87"/>
      <c r="CV524" s="87"/>
      <c r="CW524" s="87"/>
      <c r="CX524" s="87"/>
      <c r="CY524" s="87"/>
      <c r="CZ524" s="87"/>
      <c r="DA524" s="87"/>
      <c r="DB524" s="87"/>
      <c r="DC524" s="87"/>
      <c r="DD524" s="87"/>
      <c r="DE524" s="87"/>
      <c r="DF524" s="87"/>
      <c r="DG524" s="87"/>
      <c r="DH524" s="87"/>
      <c r="DI524" s="87"/>
      <c r="DJ524" s="87"/>
      <c r="DK524" s="87"/>
      <c r="DL524" s="87"/>
      <c r="DM524" s="87"/>
      <c r="DN524" s="87"/>
      <c r="DO524" s="87"/>
      <c r="DP524" s="87"/>
      <c r="DQ524" s="87"/>
      <c r="DR524" s="87"/>
      <c r="DS524" s="87"/>
      <c r="DT524" s="87"/>
      <c r="DU524" s="87"/>
      <c r="DV524" s="87"/>
      <c r="DW524" s="87"/>
      <c r="DX524" s="87"/>
      <c r="DY524" s="87"/>
      <c r="DZ524" s="87"/>
      <c r="EA524" s="87"/>
      <c r="EB524" s="87"/>
      <c r="EC524" s="87"/>
      <c r="ED524" s="87"/>
      <c r="EE524" s="87"/>
      <c r="EF524" s="87"/>
      <c r="EG524" s="87"/>
      <c r="EH524" s="87"/>
      <c r="EI524" s="87"/>
    </row>
    <row r="525" spans="1:139" ht="16.5" hidden="1" thickBot="1" x14ac:dyDescent="0.35">
      <c r="A525" s="200" t="s">
        <v>123</v>
      </c>
      <c r="B525" s="223">
        <v>1</v>
      </c>
      <c r="C525" s="177">
        <f>53*0.65*0.7</f>
        <v>24.115000000000002</v>
      </c>
      <c r="D525" s="217">
        <f>C525/VLOOKUP(B525,'[2]Gas Prod per PADD'!$A$1:$C$6,2,FALSE)</f>
        <v>5.0239583333333337E-2</v>
      </c>
      <c r="E525" s="196">
        <v>45709</v>
      </c>
      <c r="F525" s="281">
        <v>45711</v>
      </c>
      <c r="G525" s="180" t="s">
        <v>898</v>
      </c>
      <c r="H525" s="181" t="s">
        <v>364</v>
      </c>
      <c r="I525" s="84"/>
      <c r="J525" s="85"/>
      <c r="K525" s="85"/>
      <c r="L525" s="85"/>
      <c r="M525" s="85"/>
      <c r="N525" s="85"/>
      <c r="O525" s="85"/>
      <c r="P525" s="85"/>
      <c r="Q525" s="85">
        <f>C525*(E525-F525)/28</f>
        <v>-1.7225000000000001</v>
      </c>
      <c r="R525" s="85"/>
      <c r="S525" s="85"/>
      <c r="T525" s="85"/>
      <c r="U525" s="85"/>
      <c r="V525" s="84"/>
      <c r="W525" s="84"/>
      <c r="X525" s="84" t="str">
        <f t="shared" si="22"/>
        <v>OK</v>
      </c>
      <c r="Y525" s="87"/>
      <c r="Z525" s="87"/>
      <c r="AA525" s="87"/>
      <c r="AB525" s="87"/>
      <c r="AC525" s="87"/>
      <c r="AD525" s="87"/>
      <c r="AE525" s="87"/>
      <c r="AF525" s="87"/>
      <c r="AG525" s="87"/>
      <c r="AH525" s="87"/>
      <c r="AI525" s="87"/>
      <c r="AJ525" s="87"/>
      <c r="AK525" s="87"/>
      <c r="AL525" s="87"/>
      <c r="AM525" s="87"/>
      <c r="AN525" s="87"/>
      <c r="AO525" s="87"/>
      <c r="AP525" s="87"/>
      <c r="AQ525" s="87"/>
      <c r="AR525" s="87"/>
      <c r="AS525" s="87"/>
      <c r="AT525" s="87"/>
      <c r="AU525" s="87"/>
      <c r="AV525" s="87"/>
      <c r="AW525" s="87"/>
      <c r="AX525" s="87"/>
      <c r="AY525" s="87"/>
      <c r="AZ525" s="87"/>
      <c r="BA525" s="87"/>
      <c r="BB525" s="87"/>
      <c r="BC525" s="87"/>
      <c r="BD525" s="87"/>
      <c r="BE525" s="87"/>
      <c r="BF525" s="87"/>
      <c r="BG525" s="87"/>
      <c r="BH525" s="87"/>
      <c r="BI525" s="87"/>
      <c r="BJ525" s="87"/>
      <c r="BK525" s="87"/>
      <c r="BL525" s="87"/>
      <c r="BM525" s="87"/>
      <c r="BN525" s="87"/>
      <c r="BO525" s="87"/>
      <c r="BP525" s="87"/>
      <c r="BQ525" s="87"/>
      <c r="BR525" s="87"/>
      <c r="BS525" s="87"/>
      <c r="BT525" s="87"/>
      <c r="BU525" s="87"/>
      <c r="BV525" s="87"/>
      <c r="BW525" s="87"/>
      <c r="BX525" s="87"/>
      <c r="BY525" s="87"/>
      <c r="BZ525" s="87"/>
      <c r="CA525" s="87"/>
      <c r="CB525" s="87"/>
      <c r="CC525" s="87"/>
      <c r="CD525" s="87"/>
      <c r="CE525" s="87"/>
      <c r="CF525" s="87"/>
      <c r="CG525" s="87"/>
      <c r="CH525" s="87"/>
      <c r="CI525" s="87"/>
      <c r="CJ525" s="87"/>
      <c r="CK525" s="87"/>
      <c r="CL525" s="87"/>
      <c r="CM525" s="87"/>
      <c r="CN525" s="87"/>
      <c r="CO525" s="87">
        <f>-1/7*C525</f>
        <v>-3.4450000000000003</v>
      </c>
      <c r="CP525" s="87">
        <f>-CO525</f>
        <v>3.4450000000000003</v>
      </c>
      <c r="CQ525" s="87"/>
      <c r="CR525" s="87"/>
      <c r="CS525" s="87"/>
      <c r="CT525" s="87"/>
      <c r="CU525" s="87"/>
      <c r="CV525" s="87"/>
      <c r="CW525" s="87"/>
      <c r="CX525" s="87"/>
      <c r="CY525" s="87"/>
      <c r="CZ525" s="87"/>
      <c r="DA525" s="87"/>
      <c r="DB525" s="87"/>
      <c r="DC525" s="87"/>
      <c r="DD525" s="87"/>
      <c r="DE525" s="87"/>
      <c r="DF525" s="87"/>
      <c r="DG525" s="87"/>
      <c r="DH525" s="87"/>
      <c r="DI525" s="87"/>
      <c r="DJ525" s="87"/>
      <c r="DK525" s="87"/>
      <c r="DL525" s="87"/>
      <c r="DM525" s="87"/>
      <c r="DN525" s="87"/>
      <c r="DO525" s="87"/>
      <c r="DP525" s="87"/>
      <c r="DQ525" s="87"/>
      <c r="DR525" s="87"/>
      <c r="DS525" s="87"/>
      <c r="DT525" s="87"/>
      <c r="DU525" s="87"/>
      <c r="DV525" s="87"/>
      <c r="DW525" s="87"/>
      <c r="DX525" s="87"/>
      <c r="DY525" s="87"/>
      <c r="DZ525" s="87"/>
      <c r="EA525" s="87"/>
      <c r="EB525" s="87"/>
      <c r="EC525" s="87"/>
      <c r="ED525" s="87"/>
      <c r="EE525" s="87"/>
      <c r="EF525" s="87"/>
      <c r="EG525" s="87"/>
      <c r="EH525" s="87"/>
      <c r="EI525" s="87"/>
    </row>
    <row r="526" spans="1:139" ht="57.75" hidden="1" thickBot="1" x14ac:dyDescent="0.35">
      <c r="A526" s="190" t="s">
        <v>210</v>
      </c>
      <c r="B526" s="176">
        <v>3</v>
      </c>
      <c r="C526" s="177">
        <f>185*0.25+84*0.25+(78*0.2*0.65)</f>
        <v>77.39</v>
      </c>
      <c r="D526" s="217">
        <f>C526/VLOOKUP(B526,'[2]Gas Prod per PADD'!$A$1:$C$6,2,FALSE)</f>
        <v>1.6823913043478262E-2</v>
      </c>
      <c r="E526" s="251">
        <v>45667</v>
      </c>
      <c r="F526" s="252">
        <v>45712</v>
      </c>
      <c r="G526" s="180" t="s">
        <v>899</v>
      </c>
      <c r="H526" s="181" t="s">
        <v>900</v>
      </c>
      <c r="I526" s="84"/>
      <c r="J526" s="85"/>
      <c r="K526" s="85"/>
      <c r="L526" s="85"/>
      <c r="M526" s="85"/>
      <c r="N526" s="85"/>
      <c r="O526" s="85"/>
      <c r="P526" s="85">
        <f>C526*(E526-$P$1)/31</f>
        <v>-52.425483870967746</v>
      </c>
      <c r="Q526" s="85">
        <f>B526*($P$1+1-F526)/28</f>
        <v>-2.4642857142857144</v>
      </c>
      <c r="R526" s="85"/>
      <c r="S526" s="85"/>
      <c r="T526" s="85"/>
      <c r="U526" s="85"/>
      <c r="V526" s="84"/>
      <c r="W526" s="84"/>
      <c r="X526" s="84" t="str">
        <f t="shared" si="22"/>
        <v>OK</v>
      </c>
      <c r="Y526" s="105"/>
      <c r="Z526" s="105"/>
      <c r="AA526" s="87"/>
      <c r="AB526" s="87"/>
      <c r="AC526" s="87"/>
      <c r="AD526" s="87"/>
      <c r="AE526" s="105"/>
      <c r="AF526" s="105"/>
      <c r="AG526" s="105"/>
      <c r="AH526" s="105"/>
      <c r="AI526" s="87"/>
      <c r="AJ526" s="87"/>
      <c r="AK526" s="105"/>
      <c r="AL526" s="87"/>
      <c r="AM526" s="105"/>
      <c r="AN526" s="105"/>
      <c r="AO526" s="87"/>
      <c r="AP526" s="87"/>
      <c r="AQ526" s="105"/>
      <c r="AR526" s="105"/>
      <c r="AS526" s="87"/>
      <c r="AT526" s="105"/>
      <c r="AU526" s="87"/>
      <c r="AV526" s="87"/>
      <c r="AW526" s="87"/>
      <c r="AX526" s="87"/>
      <c r="AY526" s="87"/>
      <c r="AZ526" s="87"/>
      <c r="BA526" s="87"/>
      <c r="BB526" s="87"/>
      <c r="BC526" s="87"/>
      <c r="BD526" s="87"/>
      <c r="BE526" s="87"/>
      <c r="BF526" s="87"/>
      <c r="BG526" s="87"/>
      <c r="BH526" s="87"/>
      <c r="BI526" s="87"/>
      <c r="BJ526" s="87"/>
      <c r="BK526" s="87"/>
      <c r="BL526" s="87"/>
      <c r="BM526" s="87"/>
      <c r="BN526" s="87"/>
      <c r="BO526" s="87"/>
      <c r="BP526" s="87"/>
      <c r="BQ526" s="87"/>
      <c r="BR526" s="87"/>
      <c r="BS526" s="87"/>
      <c r="BT526" s="87"/>
      <c r="BU526" s="87"/>
      <c r="BV526" s="87"/>
      <c r="BW526" s="87"/>
      <c r="BX526" s="87"/>
      <c r="BY526" s="87"/>
      <c r="BZ526" s="87"/>
      <c r="CA526" s="87"/>
      <c r="CB526" s="87"/>
      <c r="CC526" s="87"/>
      <c r="CD526" s="87"/>
      <c r="CE526" s="87"/>
      <c r="CF526" s="87"/>
      <c r="CG526" s="87"/>
      <c r="CH526" s="87"/>
      <c r="CI526" s="87"/>
      <c r="CJ526" s="87">
        <f>-C526*0.8</f>
        <v>-61.912000000000006</v>
      </c>
      <c r="CK526" s="87">
        <f>-C526*0.2</f>
        <v>-15.478000000000002</v>
      </c>
      <c r="CL526" s="87"/>
      <c r="CM526" s="87"/>
      <c r="CN526" s="87"/>
      <c r="CO526" s="87"/>
      <c r="CP526" s="339">
        <f>-CK526</f>
        <v>15.478000000000002</v>
      </c>
      <c r="CQ526" s="339">
        <f>-CJ526</f>
        <v>61.912000000000006</v>
      </c>
      <c r="CR526" s="87"/>
      <c r="CS526" s="87"/>
      <c r="CT526" s="87"/>
      <c r="CU526" s="87"/>
      <c r="CV526" s="87"/>
      <c r="CW526" s="87"/>
      <c r="CX526" s="87"/>
      <c r="CY526" s="87"/>
      <c r="CZ526" s="87"/>
      <c r="DA526" s="87"/>
      <c r="DB526" s="87"/>
      <c r="DC526" s="87"/>
      <c r="DD526" s="87"/>
      <c r="DE526" s="87"/>
      <c r="DF526" s="87"/>
      <c r="DG526" s="87"/>
      <c r="DH526" s="87"/>
      <c r="DI526" s="87"/>
      <c r="DJ526" s="87"/>
      <c r="DK526" s="87"/>
      <c r="DL526" s="87"/>
      <c r="DM526" s="87"/>
      <c r="DN526" s="87"/>
      <c r="DO526" s="87"/>
      <c r="DP526" s="87"/>
      <c r="DQ526" s="87"/>
      <c r="DR526" s="87"/>
      <c r="DS526" s="87"/>
      <c r="DT526" s="87"/>
      <c r="DU526" s="87"/>
      <c r="DV526" s="87"/>
      <c r="DW526" s="87"/>
      <c r="DX526" s="87"/>
      <c r="DY526" s="87"/>
      <c r="DZ526" s="87"/>
      <c r="EA526" s="87"/>
      <c r="EB526" s="87"/>
      <c r="EC526" s="87"/>
      <c r="ED526" s="87"/>
      <c r="EE526" s="87"/>
      <c r="EF526" s="87"/>
      <c r="EG526" s="87"/>
      <c r="EH526" s="87"/>
      <c r="EI526" s="87"/>
    </row>
    <row r="527" spans="1:139" ht="16.5" hidden="1" thickBot="1" x14ac:dyDescent="0.35">
      <c r="A527" s="190" t="s">
        <v>287</v>
      </c>
      <c r="B527" s="176">
        <v>3</v>
      </c>
      <c r="C527" s="177">
        <f>75*0.25</f>
        <v>18.75</v>
      </c>
      <c r="D527" s="217">
        <f>C527/VLOOKUP(B527,'[2]Gas Prod per PADD'!$A$1:$C$6,2,FALSE)</f>
        <v>4.076086956521739E-3</v>
      </c>
      <c r="E527" s="178">
        <v>45711</v>
      </c>
      <c r="F527" s="252">
        <v>45712</v>
      </c>
      <c r="G527" s="180" t="s">
        <v>901</v>
      </c>
      <c r="H527" s="181" t="s">
        <v>364</v>
      </c>
      <c r="I527" s="84"/>
      <c r="J527" s="85"/>
      <c r="K527" s="85"/>
      <c r="L527" s="85"/>
      <c r="M527" s="85"/>
      <c r="N527" s="85"/>
      <c r="O527" s="85"/>
      <c r="P527" s="85"/>
      <c r="Q527" s="85">
        <f>C527*(E527-F527)/28</f>
        <v>-0.6696428571428571</v>
      </c>
      <c r="R527" s="85"/>
      <c r="S527" s="85"/>
      <c r="T527" s="85"/>
      <c r="U527" s="85"/>
      <c r="V527" s="84"/>
      <c r="W527" s="84"/>
      <c r="X527" s="84" t="str">
        <f t="shared" si="22"/>
        <v>OK</v>
      </c>
      <c r="Y527" s="87"/>
      <c r="Z527" s="87"/>
      <c r="AA527" s="87"/>
      <c r="AB527" s="87"/>
      <c r="AC527" s="87"/>
      <c r="AD527" s="87"/>
      <c r="AE527" s="87"/>
      <c r="AF527" s="87"/>
      <c r="AG527" s="87"/>
      <c r="AH527" s="87"/>
      <c r="AI527" s="87"/>
      <c r="AJ527" s="87"/>
      <c r="AK527" s="87"/>
      <c r="AL527" s="87"/>
      <c r="AM527" s="87"/>
      <c r="AN527" s="87"/>
      <c r="AO527" s="87"/>
      <c r="AP527" s="87"/>
      <c r="AQ527" s="87"/>
      <c r="AR527" s="87"/>
      <c r="AS527" s="87"/>
      <c r="AT527" s="87"/>
      <c r="AU527" s="87"/>
      <c r="AV527" s="87"/>
      <c r="AW527" s="87"/>
      <c r="AX527" s="87"/>
      <c r="AY527" s="87"/>
      <c r="AZ527" s="87"/>
      <c r="BA527" s="87"/>
      <c r="BB527" s="87"/>
      <c r="BC527" s="87"/>
      <c r="BD527" s="87"/>
      <c r="BE527" s="87"/>
      <c r="BF527" s="87"/>
      <c r="BG527" s="87"/>
      <c r="BH527" s="87"/>
      <c r="BI527" s="87"/>
      <c r="BJ527" s="87"/>
      <c r="BK527" s="87"/>
      <c r="BL527" s="87"/>
      <c r="BM527" s="87"/>
      <c r="BN527" s="87"/>
      <c r="BO527" s="87"/>
      <c r="BP527" s="87"/>
      <c r="BQ527" s="87"/>
      <c r="BR527" s="87"/>
      <c r="BS527" s="87"/>
      <c r="BT527" s="87"/>
      <c r="BU527" s="87"/>
      <c r="BV527" s="87"/>
      <c r="BW527" s="87"/>
      <c r="BX527" s="87"/>
      <c r="BY527" s="87"/>
      <c r="BZ527" s="87"/>
      <c r="CA527" s="87"/>
      <c r="CB527" s="87"/>
      <c r="CC527" s="87"/>
      <c r="CD527" s="87"/>
      <c r="CE527" s="87"/>
      <c r="CF527" s="87"/>
      <c r="CG527" s="87"/>
      <c r="CH527" s="87"/>
      <c r="CI527" s="87"/>
      <c r="CJ527" s="87"/>
      <c r="CK527" s="87"/>
      <c r="CL527" s="87"/>
      <c r="CM527" s="87"/>
      <c r="CN527" s="87"/>
      <c r="CO527" s="87"/>
      <c r="CP527" s="87">
        <f>-1/7*C527</f>
        <v>-2.6785714285714284</v>
      </c>
      <c r="CQ527" s="87">
        <f>-CP527</f>
        <v>2.6785714285714284</v>
      </c>
      <c r="CR527" s="87"/>
      <c r="CS527" s="87"/>
      <c r="CT527" s="87"/>
      <c r="CU527" s="87"/>
      <c r="CV527" s="87"/>
      <c r="CW527" s="87"/>
      <c r="CX527" s="87"/>
      <c r="CY527" s="87"/>
      <c r="CZ527" s="87"/>
      <c r="DA527" s="87"/>
      <c r="DB527" s="87"/>
      <c r="DC527" s="87"/>
      <c r="DD527" s="87"/>
      <c r="DE527" s="87"/>
      <c r="DF527" s="87"/>
      <c r="DG527" s="87"/>
      <c r="DH527" s="87"/>
      <c r="DI527" s="87"/>
      <c r="DJ527" s="87"/>
      <c r="DK527" s="87"/>
      <c r="DL527" s="87"/>
      <c r="DM527" s="87"/>
      <c r="DN527" s="87"/>
      <c r="DO527" s="87"/>
      <c r="DP527" s="87"/>
      <c r="DQ527" s="87"/>
      <c r="DR527" s="87"/>
      <c r="DS527" s="87"/>
      <c r="DT527" s="87"/>
      <c r="DU527" s="87"/>
      <c r="DV527" s="87"/>
      <c r="DW527" s="87"/>
      <c r="DX527" s="87"/>
      <c r="DY527" s="87"/>
      <c r="DZ527" s="87"/>
      <c r="EA527" s="87"/>
      <c r="EB527" s="87"/>
      <c r="EC527" s="87"/>
      <c r="ED527" s="87"/>
      <c r="EE527" s="87"/>
      <c r="EF527" s="87"/>
      <c r="EG527" s="87"/>
      <c r="EH527" s="87"/>
      <c r="EI527" s="87"/>
    </row>
    <row r="528" spans="1:139" ht="16.5" hidden="1" thickBot="1" x14ac:dyDescent="0.35">
      <c r="A528" s="190" t="s">
        <v>152</v>
      </c>
      <c r="B528" s="176">
        <v>3</v>
      </c>
      <c r="C528" s="177">
        <f>190*0.25</f>
        <v>47.5</v>
      </c>
      <c r="D528" s="217">
        <f>C528/VLOOKUP(B528,'[2]Gas Prod per PADD'!$A$1:$C$6,2,FALSE)</f>
        <v>1.0326086956521738E-2</v>
      </c>
      <c r="E528" s="178">
        <v>45692</v>
      </c>
      <c r="F528" s="252">
        <v>45713</v>
      </c>
      <c r="G528" s="180" t="s">
        <v>902</v>
      </c>
      <c r="H528" s="181" t="s">
        <v>903</v>
      </c>
      <c r="I528" s="84"/>
      <c r="J528" s="85"/>
      <c r="K528" s="85"/>
      <c r="L528" s="85"/>
      <c r="M528" s="85"/>
      <c r="N528" s="85"/>
      <c r="O528" s="85"/>
      <c r="P528" s="85"/>
      <c r="Q528" s="85">
        <f>C528*(E528-F528)/28</f>
        <v>-35.625</v>
      </c>
      <c r="R528" s="85"/>
      <c r="S528" s="85"/>
      <c r="T528" s="85"/>
      <c r="U528" s="85"/>
      <c r="V528" s="84"/>
      <c r="W528" s="84"/>
      <c r="X528" s="84" t="str">
        <f t="shared" si="22"/>
        <v>OK</v>
      </c>
      <c r="Y528" s="105"/>
      <c r="Z528" s="105"/>
      <c r="AA528" s="87"/>
      <c r="AB528" s="87"/>
      <c r="AC528" s="87"/>
      <c r="AD528" s="87"/>
      <c r="AE528" s="105"/>
      <c r="AF528" s="105"/>
      <c r="AG528" s="105"/>
      <c r="AH528" s="105"/>
      <c r="AI528" s="87"/>
      <c r="AJ528" s="87"/>
      <c r="AK528" s="105"/>
      <c r="AL528" s="87"/>
      <c r="AM528" s="105"/>
      <c r="AN528" s="105"/>
      <c r="AO528" s="87"/>
      <c r="AP528" s="87"/>
      <c r="AQ528" s="105"/>
      <c r="AR528" s="105"/>
      <c r="AS528" s="87"/>
      <c r="AT528" s="105"/>
      <c r="AU528" s="105"/>
      <c r="AV528" s="87"/>
      <c r="AW528" s="105"/>
      <c r="AX528" s="105"/>
      <c r="AY528" s="87"/>
      <c r="AZ528" s="105"/>
      <c r="BA528" s="105"/>
      <c r="BB528" s="105"/>
      <c r="BC528" s="87"/>
      <c r="BD528" s="87"/>
      <c r="BE528" s="105"/>
      <c r="BF528" s="105"/>
      <c r="BG528" s="105"/>
      <c r="BH528" s="105"/>
      <c r="BI528" s="105"/>
      <c r="BJ528" s="87"/>
      <c r="BK528" s="87"/>
      <c r="BL528" s="87"/>
      <c r="BM528" s="87"/>
      <c r="BN528" s="87"/>
      <c r="BO528" s="105"/>
      <c r="BP528" s="105"/>
      <c r="BQ528" s="105"/>
      <c r="BR528" s="105"/>
      <c r="BS528" s="105"/>
      <c r="BT528" s="87"/>
      <c r="BU528" s="87"/>
      <c r="BV528" s="87"/>
      <c r="BW528" s="87"/>
      <c r="BX528" s="87"/>
      <c r="BY528" s="87"/>
      <c r="BZ528" s="87"/>
      <c r="CA528" s="87"/>
      <c r="CB528" s="87"/>
      <c r="CC528" s="87"/>
      <c r="CD528" s="87"/>
      <c r="CE528" s="87"/>
      <c r="CF528" s="87"/>
      <c r="CG528" s="87"/>
      <c r="CH528" s="87"/>
      <c r="CI528" s="87"/>
      <c r="CJ528" s="87"/>
      <c r="CK528" s="87"/>
      <c r="CL528" s="87"/>
      <c r="CM528" s="87">
        <f>-C528</f>
        <v>-47.5</v>
      </c>
      <c r="CN528" s="87"/>
      <c r="CO528" s="87"/>
      <c r="CP528" s="87"/>
      <c r="CQ528" s="87">
        <f>1/7*C528</f>
        <v>6.7857142857142856</v>
      </c>
      <c r="CR528" s="87">
        <f>6/7*C528</f>
        <v>40.714285714285715</v>
      </c>
      <c r="CS528" s="87"/>
      <c r="CT528" s="87"/>
      <c r="CU528" s="87"/>
      <c r="CV528" s="87"/>
      <c r="CW528" s="87"/>
      <c r="CX528" s="87"/>
      <c r="CY528" s="87"/>
      <c r="CZ528" s="87"/>
      <c r="DA528" s="87"/>
      <c r="DB528" s="87"/>
      <c r="DC528" s="87"/>
      <c r="DD528" s="87"/>
      <c r="DE528" s="87"/>
      <c r="DF528" s="87"/>
      <c r="DG528" s="87"/>
      <c r="DH528" s="87"/>
      <c r="DI528" s="87"/>
      <c r="DJ528" s="87"/>
      <c r="DK528" s="87"/>
      <c r="DL528" s="87"/>
      <c r="DM528" s="87"/>
      <c r="DN528" s="87"/>
      <c r="DO528" s="87"/>
      <c r="DP528" s="87"/>
      <c r="DQ528" s="87"/>
      <c r="DR528" s="87"/>
      <c r="DS528" s="87"/>
      <c r="DT528" s="87"/>
      <c r="DU528" s="87"/>
      <c r="DV528" s="87"/>
      <c r="DW528" s="87"/>
      <c r="DX528" s="87"/>
      <c r="DY528" s="87"/>
      <c r="DZ528" s="87"/>
      <c r="EA528" s="87"/>
      <c r="EB528" s="87"/>
      <c r="EC528" s="87"/>
      <c r="ED528" s="87"/>
      <c r="EE528" s="87"/>
      <c r="EF528" s="87"/>
      <c r="EG528" s="87"/>
      <c r="EH528" s="87"/>
      <c r="EI528" s="87"/>
    </row>
    <row r="529" spans="1:139" ht="16.5" hidden="1" thickBot="1" x14ac:dyDescent="0.35">
      <c r="A529" s="113" t="s">
        <v>502</v>
      </c>
      <c r="B529" s="194">
        <v>3</v>
      </c>
      <c r="C529" s="195">
        <f>27*0.65+(124*0.3*0.1)</f>
        <v>21.27</v>
      </c>
      <c r="D529" s="217">
        <f>C529/VLOOKUP(B529,'[2]Gas Prod per PADD'!$A$1:$C$6,2,FALSE)</f>
        <v>4.6239130434782604E-3</v>
      </c>
      <c r="E529" s="196">
        <v>45708</v>
      </c>
      <c r="F529" s="281">
        <v>45714</v>
      </c>
      <c r="G529" s="194" t="s">
        <v>904</v>
      </c>
      <c r="H529" s="198" t="s">
        <v>905</v>
      </c>
      <c r="I529" s="84"/>
      <c r="J529" s="85"/>
      <c r="K529" s="85"/>
      <c r="L529" s="85"/>
      <c r="M529" s="85"/>
      <c r="N529" s="85"/>
      <c r="O529" s="85"/>
      <c r="P529" s="85"/>
      <c r="Q529" s="85">
        <f>C529*(E529-F529)/28</f>
        <v>-4.5578571428571433</v>
      </c>
      <c r="R529" s="85"/>
      <c r="S529" s="85"/>
      <c r="T529" s="85"/>
      <c r="U529" s="85"/>
      <c r="V529" s="84"/>
      <c r="W529" s="84"/>
      <c r="X529" s="84" t="str">
        <f t="shared" si="22"/>
        <v>OK</v>
      </c>
      <c r="Y529" s="87"/>
      <c r="Z529" s="87"/>
      <c r="AA529" s="87"/>
      <c r="AB529" s="87"/>
      <c r="AC529" s="87"/>
      <c r="AD529" s="87"/>
      <c r="AE529" s="87"/>
      <c r="AF529" s="87"/>
      <c r="AG529" s="87"/>
      <c r="AH529" s="87"/>
      <c r="AI529" s="87"/>
      <c r="AJ529" s="87"/>
      <c r="AK529" s="87"/>
      <c r="AL529" s="87"/>
      <c r="AM529" s="87"/>
      <c r="AN529" s="87"/>
      <c r="AO529" s="87"/>
      <c r="AP529" s="87"/>
      <c r="AQ529" s="87"/>
      <c r="AR529" s="87"/>
      <c r="AS529" s="87"/>
      <c r="AT529" s="87"/>
      <c r="AU529" s="87"/>
      <c r="AV529" s="87"/>
      <c r="AW529" s="87"/>
      <c r="AX529" s="87"/>
      <c r="AY529" s="87"/>
      <c r="AZ529" s="87"/>
      <c r="BA529" s="87"/>
      <c r="BB529" s="87"/>
      <c r="BC529" s="87"/>
      <c r="BD529" s="87"/>
      <c r="BE529" s="87"/>
      <c r="BF529" s="87"/>
      <c r="BG529" s="87"/>
      <c r="BH529" s="87"/>
      <c r="BI529" s="87"/>
      <c r="BJ529" s="87"/>
      <c r="BK529" s="87"/>
      <c r="BL529" s="87"/>
      <c r="BM529" s="87"/>
      <c r="BN529" s="87"/>
      <c r="BO529" s="87"/>
      <c r="BP529" s="87"/>
      <c r="BQ529" s="87"/>
      <c r="BR529" s="87"/>
      <c r="BS529" s="87"/>
      <c r="BT529" s="87"/>
      <c r="BU529" s="87"/>
      <c r="BV529" s="87"/>
      <c r="BW529" s="87"/>
      <c r="BX529" s="87"/>
      <c r="BY529" s="87"/>
      <c r="BZ529" s="87"/>
      <c r="CA529" s="87"/>
      <c r="CB529" s="87"/>
      <c r="CC529" s="87"/>
      <c r="CD529" s="87"/>
      <c r="CE529" s="87"/>
      <c r="CF529" s="87"/>
      <c r="CG529" s="87"/>
      <c r="CH529" s="87"/>
      <c r="CI529" s="87"/>
      <c r="CJ529" s="87"/>
      <c r="CK529" s="87"/>
      <c r="CL529" s="87"/>
      <c r="CM529" s="87"/>
      <c r="CN529" s="87"/>
      <c r="CO529" s="87">
        <f>-2/7*C529</f>
        <v>-6.0771428571428565</v>
      </c>
      <c r="CP529" s="87">
        <f>-4/7*C529</f>
        <v>-12.154285714285713</v>
      </c>
      <c r="CQ529" s="87">
        <f>-CP529</f>
        <v>12.154285714285713</v>
      </c>
      <c r="CR529" s="87">
        <f>-CO529</f>
        <v>6.0771428571428565</v>
      </c>
      <c r="CS529" s="87"/>
      <c r="CT529" s="87"/>
      <c r="CU529" s="87"/>
      <c r="CV529" s="87"/>
      <c r="CW529" s="87"/>
      <c r="CX529" s="87"/>
      <c r="CY529" s="87"/>
      <c r="CZ529" s="87"/>
      <c r="DA529" s="87"/>
      <c r="DB529" s="87"/>
      <c r="DC529" s="87"/>
      <c r="DD529" s="87"/>
      <c r="DE529" s="87"/>
      <c r="DF529" s="87"/>
      <c r="DG529" s="87"/>
      <c r="DH529" s="87"/>
      <c r="DI529" s="87"/>
      <c r="DJ529" s="87"/>
      <c r="DK529" s="87"/>
      <c r="DL529" s="87"/>
      <c r="DM529" s="87"/>
      <c r="DN529" s="87"/>
      <c r="DO529" s="87"/>
      <c r="DP529" s="87"/>
      <c r="DQ529" s="87"/>
      <c r="DR529" s="87"/>
      <c r="DS529" s="87"/>
      <c r="DT529" s="87"/>
      <c r="DU529" s="87"/>
      <c r="DV529" s="87"/>
      <c r="DW529" s="87"/>
      <c r="DX529" s="87"/>
      <c r="DY529" s="87"/>
      <c r="DZ529" s="87"/>
      <c r="EA529" s="87"/>
      <c r="EB529" s="87"/>
      <c r="EC529" s="87"/>
      <c r="ED529" s="87"/>
      <c r="EE529" s="87"/>
      <c r="EF529" s="87"/>
      <c r="EG529" s="87"/>
      <c r="EH529" s="87"/>
      <c r="EI529" s="87"/>
    </row>
    <row r="530" spans="1:139" ht="16.5" hidden="1" thickBot="1" x14ac:dyDescent="0.35">
      <c r="A530" s="190" t="s">
        <v>194</v>
      </c>
      <c r="B530" s="194">
        <v>3</v>
      </c>
      <c r="C530" s="195">
        <f>19*0.85</f>
        <v>16.149999999999999</v>
      </c>
      <c r="D530" s="217">
        <f>C530/VLOOKUP(B530,'[2]Gas Prod per PADD'!$A$1:$C$6,2,FALSE)</f>
        <v>3.5108695652173909E-3</v>
      </c>
      <c r="E530" s="196">
        <v>45712</v>
      </c>
      <c r="F530" s="197">
        <v>45714</v>
      </c>
      <c r="G530" s="194" t="s">
        <v>309</v>
      </c>
      <c r="H530" s="198" t="s">
        <v>666</v>
      </c>
      <c r="I530" s="84"/>
      <c r="J530" s="85"/>
      <c r="K530" s="85"/>
      <c r="L530" s="85"/>
      <c r="M530" s="85"/>
      <c r="N530" s="85"/>
      <c r="O530" s="85"/>
      <c r="P530" s="85"/>
      <c r="Q530" s="85">
        <f>C530*(E530-F530)/28</f>
        <v>-1.1535714285714285</v>
      </c>
      <c r="R530" s="85"/>
      <c r="S530" s="85"/>
      <c r="T530" s="85"/>
      <c r="U530" s="85"/>
      <c r="V530" s="84"/>
      <c r="W530" s="84"/>
      <c r="X530" s="84" t="str">
        <f t="shared" si="22"/>
        <v>OK</v>
      </c>
      <c r="Y530" s="105"/>
      <c r="Z530" s="105"/>
      <c r="AA530" s="87"/>
      <c r="AB530" s="87"/>
      <c r="AC530" s="87"/>
      <c r="AD530" s="87"/>
      <c r="AE530" s="105"/>
      <c r="AF530" s="105"/>
      <c r="AG530" s="105"/>
      <c r="AH530" s="105"/>
      <c r="AI530" s="87"/>
      <c r="AJ530" s="87"/>
      <c r="AK530" s="105"/>
      <c r="AL530" s="87"/>
      <c r="AM530" s="105"/>
      <c r="AN530" s="105"/>
      <c r="AO530" s="87"/>
      <c r="AP530" s="87"/>
      <c r="AQ530" s="105"/>
      <c r="AR530" s="105"/>
      <c r="AS530" s="87"/>
      <c r="AT530" s="105"/>
      <c r="AU530" s="105"/>
      <c r="AV530" s="87"/>
      <c r="AW530" s="105"/>
      <c r="AX530" s="105"/>
      <c r="AY530" s="87"/>
      <c r="AZ530" s="105"/>
      <c r="BA530" s="105"/>
      <c r="BB530" s="105"/>
      <c r="BC530" s="87"/>
      <c r="BD530" s="87"/>
      <c r="BE530" s="105"/>
      <c r="BF530" s="105"/>
      <c r="BG530" s="105"/>
      <c r="BH530" s="105"/>
      <c r="BI530" s="105"/>
      <c r="BJ530" s="87"/>
      <c r="BK530" s="87"/>
      <c r="BL530" s="87"/>
      <c r="BM530" s="87"/>
      <c r="BN530" s="87"/>
      <c r="BO530" s="105"/>
      <c r="BP530" s="105"/>
      <c r="BQ530" s="105"/>
      <c r="BR530" s="105"/>
      <c r="BS530" s="105"/>
      <c r="BT530" s="87"/>
      <c r="BU530" s="87"/>
      <c r="BV530" s="87"/>
      <c r="BW530" s="87"/>
      <c r="BX530" s="87"/>
      <c r="BY530" s="87"/>
      <c r="BZ530" s="87"/>
      <c r="CA530" s="87"/>
      <c r="CB530" s="87"/>
      <c r="CC530" s="87"/>
      <c r="CD530" s="87"/>
      <c r="CE530" s="87"/>
      <c r="CF530" s="87"/>
      <c r="CG530" s="87"/>
      <c r="CH530" s="87"/>
      <c r="CI530" s="87"/>
      <c r="CJ530" s="87"/>
      <c r="CK530" s="87"/>
      <c r="CL530" s="87"/>
      <c r="CM530" s="87"/>
      <c r="CN530" s="87"/>
      <c r="CO530" s="87"/>
      <c r="CP530" s="87">
        <f>-2/7*C530</f>
        <v>-4.6142857142857139</v>
      </c>
      <c r="CQ530" s="87">
        <f>-CP530</f>
        <v>4.6142857142857139</v>
      </c>
      <c r="CR530" s="87"/>
      <c r="CS530" s="87"/>
      <c r="CT530" s="87"/>
      <c r="CU530" s="87"/>
      <c r="CV530" s="87"/>
      <c r="CW530" s="87"/>
      <c r="CX530" s="87"/>
      <c r="CY530" s="87"/>
      <c r="CZ530" s="87"/>
      <c r="DA530" s="87"/>
      <c r="DB530" s="87"/>
      <c r="DC530" s="87"/>
      <c r="DD530" s="87"/>
      <c r="DE530" s="87"/>
      <c r="DF530" s="87"/>
      <c r="DG530" s="87"/>
      <c r="DH530" s="87"/>
      <c r="DI530" s="87"/>
      <c r="DJ530" s="87"/>
      <c r="DK530" s="87"/>
      <c r="DL530" s="87"/>
      <c r="DM530" s="87"/>
      <c r="DN530" s="87"/>
      <c r="DO530" s="87"/>
      <c r="DP530" s="87"/>
      <c r="DQ530" s="87"/>
      <c r="DR530" s="87"/>
      <c r="DS530" s="87"/>
      <c r="DT530" s="87"/>
      <c r="DU530" s="87"/>
      <c r="DV530" s="87"/>
      <c r="DW530" s="87"/>
      <c r="DX530" s="87"/>
      <c r="DY530" s="87"/>
      <c r="DZ530" s="87"/>
      <c r="EA530" s="87"/>
      <c r="EB530" s="87"/>
      <c r="EC530" s="87"/>
      <c r="ED530" s="87"/>
      <c r="EE530" s="87"/>
      <c r="EF530" s="87"/>
      <c r="EG530" s="87"/>
      <c r="EH530" s="87"/>
      <c r="EI530" s="87"/>
    </row>
    <row r="531" spans="1:139" ht="16.5" hidden="1" thickBot="1" x14ac:dyDescent="0.35">
      <c r="A531" s="88" t="s">
        <v>336</v>
      </c>
      <c r="B531" s="199">
        <v>3</v>
      </c>
      <c r="C531" s="195">
        <f>21*0.25</f>
        <v>5.25</v>
      </c>
      <c r="D531" s="217">
        <f>C531/VLOOKUP(B531,'[2]Gas Prod per PADD'!$A$1:$C$6,2,FALSE)</f>
        <v>1.141304347826087E-3</v>
      </c>
      <c r="E531" s="196">
        <v>45681</v>
      </c>
      <c r="F531" s="281">
        <v>45715</v>
      </c>
      <c r="G531" s="180" t="s">
        <v>337</v>
      </c>
      <c r="H531" s="221" t="s">
        <v>906</v>
      </c>
      <c r="I531" s="84"/>
      <c r="J531" s="85"/>
      <c r="K531" s="85"/>
      <c r="L531" s="85"/>
      <c r="M531" s="85"/>
      <c r="N531" s="85"/>
      <c r="O531" s="85"/>
      <c r="P531" s="85">
        <f>C531*(E531-$P$1)/31</f>
        <v>-1.185483870967742</v>
      </c>
      <c r="Q531" s="85">
        <f>B531*($P$1+1-F531)/28</f>
        <v>-2.7857142857142856</v>
      </c>
      <c r="R531" s="85"/>
      <c r="S531" s="85"/>
      <c r="T531" s="85"/>
      <c r="U531" s="85"/>
      <c r="V531" s="84"/>
      <c r="W531" s="84"/>
      <c r="X531" s="84" t="str">
        <f t="shared" si="22"/>
        <v>OK</v>
      </c>
      <c r="Y531" s="105"/>
      <c r="Z531" s="105"/>
      <c r="AA531" s="87"/>
      <c r="AB531" s="87"/>
      <c r="AC531" s="87"/>
      <c r="AD531" s="87"/>
      <c r="AE531" s="105"/>
      <c r="AF531" s="105"/>
      <c r="AG531" s="105"/>
      <c r="AH531" s="105"/>
      <c r="AI531" s="87"/>
      <c r="AJ531" s="87"/>
      <c r="AK531" s="87"/>
      <c r="AL531" s="87"/>
      <c r="AM531" s="87"/>
      <c r="AN531" s="87"/>
      <c r="AO531" s="87"/>
      <c r="AP531" s="87"/>
      <c r="AQ531" s="87"/>
      <c r="AR531" s="87"/>
      <c r="AS531" s="87"/>
      <c r="AT531" s="87"/>
      <c r="AU531" s="87"/>
      <c r="AV531" s="87"/>
      <c r="AW531" s="87"/>
      <c r="AX531" s="87"/>
      <c r="AY531" s="87"/>
      <c r="AZ531" s="87"/>
      <c r="BA531" s="87"/>
      <c r="BB531" s="87"/>
      <c r="BC531" s="87"/>
      <c r="BD531" s="87"/>
      <c r="BE531" s="87"/>
      <c r="BF531" s="87"/>
      <c r="BG531" s="87"/>
      <c r="BH531" s="87"/>
      <c r="BI531" s="87"/>
      <c r="BJ531" s="87"/>
      <c r="BK531" s="87"/>
      <c r="BL531" s="87"/>
      <c r="BM531" s="87"/>
      <c r="BN531" s="87"/>
      <c r="BO531" s="87"/>
      <c r="BP531" s="87"/>
      <c r="BQ531" s="87"/>
      <c r="BR531" s="87"/>
      <c r="BS531" s="87"/>
      <c r="BT531" s="87"/>
      <c r="BU531" s="87"/>
      <c r="BV531" s="87"/>
      <c r="BW531" s="87"/>
      <c r="BX531" s="87"/>
      <c r="BY531" s="87"/>
      <c r="BZ531" s="87"/>
      <c r="CA531" s="87"/>
      <c r="CB531" s="87"/>
      <c r="CC531" s="87"/>
      <c r="CD531" s="87"/>
      <c r="CE531" s="87"/>
      <c r="CF531" s="87"/>
      <c r="CG531" s="87"/>
      <c r="CH531" s="87"/>
      <c r="CI531" s="87"/>
      <c r="CJ531" s="87"/>
      <c r="CK531" s="87"/>
      <c r="CL531" s="105">
        <f>-C531</f>
        <v>-5.25</v>
      </c>
      <c r="CM531" s="105"/>
      <c r="CN531" s="105"/>
      <c r="CO531" s="105"/>
      <c r="CP531" s="105">
        <f>-CL531</f>
        <v>5.25</v>
      </c>
      <c r="CQ531" s="87"/>
      <c r="CR531" s="87"/>
      <c r="CS531" s="87"/>
      <c r="CT531" s="87"/>
      <c r="CU531" s="87"/>
      <c r="CV531" s="87"/>
      <c r="CW531" s="87"/>
      <c r="CX531" s="87"/>
      <c r="CY531" s="87"/>
      <c r="CZ531" s="87"/>
      <c r="DA531" s="87"/>
      <c r="DB531" s="87"/>
      <c r="DC531" s="87"/>
      <c r="DD531" s="87"/>
      <c r="DE531" s="87"/>
      <c r="DF531" s="87"/>
      <c r="DG531" s="87"/>
      <c r="DH531" s="87"/>
      <c r="DI531" s="87"/>
      <c r="DJ531" s="87"/>
      <c r="DK531" s="87"/>
      <c r="DL531" s="87"/>
      <c r="DM531" s="87"/>
      <c r="DN531" s="87"/>
      <c r="DO531" s="87"/>
      <c r="DP531" s="87"/>
      <c r="DQ531" s="87"/>
      <c r="DR531" s="87"/>
      <c r="DS531" s="87"/>
      <c r="DT531" s="87"/>
      <c r="DU531" s="87"/>
      <c r="DV531" s="87"/>
      <c r="DW531" s="87"/>
      <c r="DX531" s="87"/>
      <c r="DY531" s="87"/>
      <c r="DZ531" s="87"/>
      <c r="EA531" s="87"/>
      <c r="EB531" s="87"/>
      <c r="EC531" s="87"/>
      <c r="ED531" s="87"/>
      <c r="EE531" s="87"/>
      <c r="EF531" s="87"/>
      <c r="EG531" s="87"/>
      <c r="EH531" s="87"/>
      <c r="EI531" s="87"/>
    </row>
    <row r="532" spans="1:139" ht="16.5" hidden="1" thickBot="1" x14ac:dyDescent="0.35">
      <c r="A532" s="190" t="s">
        <v>140</v>
      </c>
      <c r="B532" s="279">
        <v>3</v>
      </c>
      <c r="C532" s="338">
        <f>0.25*275*0.5</f>
        <v>34.375</v>
      </c>
      <c r="D532" s="234">
        <f>C532/VLOOKUP(B532,'[2]Gas Prod per PADD'!$A$1:$C$6,2,FALSE)</f>
        <v>7.472826086956522E-3</v>
      </c>
      <c r="E532" s="334">
        <v>45713</v>
      </c>
      <c r="F532" s="252">
        <v>45715</v>
      </c>
      <c r="G532" s="180" t="s">
        <v>837</v>
      </c>
      <c r="H532" s="181" t="s">
        <v>907</v>
      </c>
      <c r="I532" s="84" t="s">
        <v>908</v>
      </c>
      <c r="J532" s="85"/>
      <c r="K532" s="85"/>
      <c r="L532" s="85"/>
      <c r="M532" s="85"/>
      <c r="N532" s="85"/>
      <c r="O532" s="85"/>
      <c r="P532" s="85"/>
      <c r="Q532" s="85">
        <f>C532*(E532-F532)/28</f>
        <v>-2.4553571428571428</v>
      </c>
      <c r="R532" s="85"/>
      <c r="S532" s="85"/>
      <c r="T532" s="85"/>
      <c r="U532" s="85"/>
      <c r="V532" s="84"/>
      <c r="W532" s="84"/>
      <c r="X532" s="84" t="str">
        <f t="shared" si="22"/>
        <v>OK</v>
      </c>
      <c r="Y532" s="87"/>
      <c r="Z532" s="87"/>
      <c r="AA532" s="87"/>
      <c r="AB532" s="87"/>
      <c r="AC532" s="87"/>
      <c r="AD532" s="87"/>
      <c r="AE532" s="87"/>
      <c r="AF532" s="87"/>
      <c r="AG532" s="87"/>
      <c r="AH532" s="87"/>
      <c r="AI532" s="87"/>
      <c r="AJ532" s="105"/>
      <c r="AK532" s="105"/>
      <c r="AL532" s="105"/>
      <c r="AM532" s="87"/>
      <c r="AN532" s="87"/>
      <c r="AO532" s="87"/>
      <c r="AP532" s="87"/>
      <c r="AQ532" s="87"/>
      <c r="AR532" s="87"/>
      <c r="AS532" s="87"/>
      <c r="AT532" s="87"/>
      <c r="AU532" s="87"/>
      <c r="AV532" s="87"/>
      <c r="AW532" s="87"/>
      <c r="AX532" s="87"/>
      <c r="AY532" s="87"/>
      <c r="AZ532" s="87"/>
      <c r="BA532" s="87"/>
      <c r="BB532" s="87"/>
      <c r="BC532" s="87"/>
      <c r="BD532" s="87"/>
      <c r="BE532" s="87"/>
      <c r="BF532" s="87"/>
      <c r="BG532" s="87"/>
      <c r="BH532" s="87"/>
      <c r="BI532" s="87"/>
      <c r="BJ532" s="87"/>
      <c r="BK532" s="87"/>
      <c r="BL532" s="87"/>
      <c r="BM532" s="87"/>
      <c r="BN532" s="87"/>
      <c r="BO532" s="87"/>
      <c r="BP532" s="87"/>
      <c r="BQ532" s="87"/>
      <c r="BR532" s="87"/>
      <c r="BS532" s="87"/>
      <c r="BT532" s="87"/>
      <c r="BU532" s="87"/>
      <c r="BV532" s="87"/>
      <c r="BW532" s="87"/>
      <c r="BX532" s="87"/>
      <c r="BY532" s="87"/>
      <c r="BZ532" s="87"/>
      <c r="CA532" s="87"/>
      <c r="CB532" s="87"/>
      <c r="CC532" s="87"/>
      <c r="CD532" s="87"/>
      <c r="CE532" s="87"/>
      <c r="CF532" s="87"/>
      <c r="CG532" s="87"/>
      <c r="CH532" s="87"/>
      <c r="CI532" s="87"/>
      <c r="CJ532" s="87"/>
      <c r="CK532" s="87"/>
      <c r="CL532" s="87"/>
      <c r="CM532" s="87"/>
      <c r="CN532" s="105"/>
      <c r="CO532" s="105"/>
      <c r="CP532" s="87">
        <f>-C532*(2/7)</f>
        <v>-9.8214285714285712</v>
      </c>
      <c r="CQ532" s="87">
        <f>-CP532</f>
        <v>9.8214285714285712</v>
      </c>
      <c r="CR532" s="87"/>
      <c r="CS532" s="87"/>
      <c r="CT532" s="87"/>
      <c r="CU532" s="87"/>
      <c r="CV532" s="87"/>
      <c r="CW532" s="87"/>
      <c r="CX532" s="87"/>
      <c r="CY532" s="87"/>
      <c r="CZ532" s="87"/>
      <c r="DA532" s="87"/>
      <c r="DB532" s="87"/>
      <c r="DC532" s="87"/>
      <c r="DD532" s="87"/>
      <c r="DE532" s="87"/>
      <c r="DF532" s="87"/>
      <c r="DG532" s="87"/>
      <c r="DH532" s="87"/>
      <c r="DI532" s="87"/>
      <c r="DJ532" s="87"/>
      <c r="DK532" s="87"/>
      <c r="DL532" s="87"/>
      <c r="DM532" s="87"/>
      <c r="DN532" s="87"/>
      <c r="DO532" s="87"/>
      <c r="DP532" s="87"/>
      <c r="DQ532" s="87"/>
      <c r="DR532" s="87"/>
      <c r="DS532" s="87"/>
      <c r="DT532" s="87"/>
      <c r="DU532" s="87"/>
      <c r="DV532" s="87"/>
      <c r="DW532" s="87"/>
      <c r="DX532" s="87"/>
      <c r="DY532" s="87"/>
      <c r="DZ532" s="87"/>
      <c r="EA532" s="87"/>
      <c r="EB532" s="87"/>
      <c r="EC532" s="87"/>
      <c r="ED532" s="87"/>
      <c r="EE532" s="87"/>
      <c r="EF532" s="87"/>
      <c r="EG532" s="87"/>
      <c r="EH532" s="87"/>
      <c r="EI532" s="87"/>
    </row>
    <row r="533" spans="1:139" ht="72" hidden="1" thickBot="1" x14ac:dyDescent="0.35">
      <c r="A533" s="161" t="s">
        <v>123</v>
      </c>
      <c r="B533" s="199">
        <v>1</v>
      </c>
      <c r="C533" s="195">
        <f>12*0.95+30</f>
        <v>41.4</v>
      </c>
      <c r="D533" s="217">
        <f>C533/VLOOKUP(B533,'[2]Gas Prod per PADD'!$A$1:$C$6,2,FALSE)</f>
        <v>8.6249999999999993E-2</v>
      </c>
      <c r="E533" s="287">
        <v>45680</v>
      </c>
      <c r="F533" s="290">
        <v>45716</v>
      </c>
      <c r="G533" s="180" t="s">
        <v>909</v>
      </c>
      <c r="H533" s="181" t="s">
        <v>910</v>
      </c>
      <c r="I533" s="341" t="s">
        <v>911</v>
      </c>
      <c r="J533" s="342"/>
      <c r="K533" s="342"/>
      <c r="L533" s="342"/>
      <c r="M533" s="342"/>
      <c r="N533" s="342"/>
      <c r="O533" s="342"/>
      <c r="P533" s="85">
        <f>C533*(E533-$P$1)/31</f>
        <v>-10.683870967741935</v>
      </c>
      <c r="Q533" s="85">
        <f>B533*($P$1+1-F533)/28</f>
        <v>-0.9642857142857143</v>
      </c>
      <c r="R533" s="342"/>
      <c r="S533" s="342"/>
      <c r="T533" s="85"/>
      <c r="U533" s="85"/>
      <c r="V533" s="84"/>
      <c r="W533" s="84"/>
      <c r="X533" s="84" t="str">
        <f t="shared" si="22"/>
        <v>OK</v>
      </c>
      <c r="Y533" s="105"/>
      <c r="Z533" s="105"/>
      <c r="AA533" s="87"/>
      <c r="AB533" s="87"/>
      <c r="AC533" s="87"/>
      <c r="AD533" s="87"/>
      <c r="AE533" s="105"/>
      <c r="AF533" s="105"/>
      <c r="AG533" s="105"/>
      <c r="AH533" s="105"/>
      <c r="AI533" s="87"/>
      <c r="AJ533" s="87"/>
      <c r="AK533" s="105"/>
      <c r="AL533" s="87"/>
      <c r="AM533" s="105"/>
      <c r="AN533" s="105"/>
      <c r="AO533" s="87"/>
      <c r="AP533" s="87"/>
      <c r="AQ533" s="105"/>
      <c r="AR533" s="105"/>
      <c r="AS533" s="87"/>
      <c r="AT533" s="105"/>
      <c r="AU533" s="105"/>
      <c r="AV533" s="87"/>
      <c r="AW533" s="105"/>
      <c r="AX533" s="105"/>
      <c r="AY533" s="87"/>
      <c r="AZ533" s="105"/>
      <c r="BA533" s="105"/>
      <c r="BB533" s="105"/>
      <c r="BC533" s="87"/>
      <c r="BD533" s="87"/>
      <c r="BE533" s="105"/>
      <c r="BF533" s="105"/>
      <c r="BG533" s="105"/>
      <c r="BH533" s="105"/>
      <c r="BI533" s="105"/>
      <c r="BJ533" s="87"/>
      <c r="BK533" s="87"/>
      <c r="BL533" s="87"/>
      <c r="BM533" s="87"/>
      <c r="BN533" s="87"/>
      <c r="BO533" s="105"/>
      <c r="BP533" s="105"/>
      <c r="BQ533" s="105"/>
      <c r="BR533" s="87"/>
      <c r="BS533" s="87"/>
      <c r="BT533" s="87"/>
      <c r="BU533" s="87"/>
      <c r="BV533" s="87"/>
      <c r="BW533" s="87"/>
      <c r="BX533" s="105"/>
      <c r="BY533" s="87"/>
      <c r="BZ533" s="87"/>
      <c r="CA533" s="87"/>
      <c r="CB533" s="87"/>
      <c r="CC533" s="87"/>
      <c r="CD533" s="87"/>
      <c r="CE533" s="87"/>
      <c r="CF533" s="87"/>
      <c r="CG533" s="87"/>
      <c r="CH533" s="87"/>
      <c r="CI533" s="87"/>
      <c r="CJ533" s="87"/>
      <c r="CK533" s="105"/>
      <c r="CL533" s="87">
        <f>-C533*1/7</f>
        <v>-5.9142857142857137</v>
      </c>
      <c r="CM533" s="87">
        <f>-C533*6/7</f>
        <v>-35.48571428571428</v>
      </c>
      <c r="CN533" s="87"/>
      <c r="CO533" s="87"/>
      <c r="CP533" s="343">
        <f>-CM533</f>
        <v>35.48571428571428</v>
      </c>
      <c r="CQ533" s="343">
        <f>-CL533</f>
        <v>5.9142857142857137</v>
      </c>
      <c r="CR533" s="105"/>
      <c r="CS533" s="87"/>
      <c r="CT533" s="87"/>
      <c r="CU533" s="87"/>
      <c r="CV533" s="87"/>
      <c r="CW533" s="87"/>
      <c r="CX533" s="87"/>
      <c r="CY533" s="87"/>
      <c r="CZ533" s="87"/>
      <c r="DA533" s="87"/>
      <c r="DB533" s="87"/>
      <c r="DC533" s="87"/>
      <c r="DD533" s="87"/>
      <c r="DE533" s="87"/>
      <c r="DF533" s="87"/>
      <c r="DG533" s="87"/>
      <c r="DH533" s="87"/>
      <c r="DI533" s="87"/>
      <c r="DJ533" s="87"/>
      <c r="DK533" s="87"/>
      <c r="DL533" s="87"/>
      <c r="DM533" s="87"/>
      <c r="DN533" s="87"/>
      <c r="DO533" s="87"/>
      <c r="DP533" s="87"/>
      <c r="DQ533" s="87"/>
      <c r="DR533" s="87"/>
      <c r="DS533" s="87"/>
      <c r="DT533" s="87"/>
      <c r="DU533" s="87"/>
      <c r="DV533" s="87"/>
      <c r="DW533" s="87"/>
      <c r="DX533" s="87"/>
      <c r="DY533" s="87"/>
      <c r="DZ533" s="87"/>
      <c r="EA533" s="87"/>
      <c r="EB533" s="87"/>
      <c r="EC533" s="87"/>
      <c r="ED533" s="87"/>
      <c r="EE533" s="87"/>
      <c r="EF533" s="87"/>
      <c r="EG533" s="87"/>
      <c r="EH533" s="87"/>
      <c r="EI533" s="87"/>
    </row>
    <row r="534" spans="1:139" ht="29.25" hidden="1" thickBot="1" x14ac:dyDescent="0.35">
      <c r="A534" s="190" t="s">
        <v>152</v>
      </c>
      <c r="B534" s="176">
        <v>3</v>
      </c>
      <c r="C534" s="177">
        <f>0.65*150</f>
        <v>97.5</v>
      </c>
      <c r="D534" s="217">
        <f>C534/VLOOKUP(B534,'[2]Gas Prod per PADD'!$A$1:$C$6,2,FALSE)</f>
        <v>2.1195652173913043E-2</v>
      </c>
      <c r="E534" s="178">
        <v>45715</v>
      </c>
      <c r="F534" s="252">
        <v>45716</v>
      </c>
      <c r="G534" s="180" t="s">
        <v>912</v>
      </c>
      <c r="H534" s="181" t="s">
        <v>913</v>
      </c>
      <c r="I534" s="84"/>
      <c r="J534" s="85"/>
      <c r="K534" s="85"/>
      <c r="L534" s="85"/>
      <c r="M534" s="85"/>
      <c r="N534" s="85"/>
      <c r="O534" s="85"/>
      <c r="P534" s="85"/>
      <c r="Q534" s="85">
        <f>C534*(E534-F534)/28</f>
        <v>-3.4821428571428572</v>
      </c>
      <c r="R534" s="85"/>
      <c r="S534" s="85"/>
      <c r="T534" s="85"/>
      <c r="U534" s="85"/>
      <c r="V534" s="84"/>
      <c r="W534" s="84"/>
      <c r="X534" s="84" t="str">
        <f t="shared" si="22"/>
        <v>OK</v>
      </c>
      <c r="Y534" s="87"/>
      <c r="Z534" s="87"/>
      <c r="AA534" s="87"/>
      <c r="AB534" s="87"/>
      <c r="AC534" s="87"/>
      <c r="AD534" s="87"/>
      <c r="AE534" s="87"/>
      <c r="AF534" s="87"/>
      <c r="AG534" s="87"/>
      <c r="AH534" s="87"/>
      <c r="AI534" s="87"/>
      <c r="AJ534" s="87"/>
      <c r="AK534" s="87"/>
      <c r="AL534" s="87"/>
      <c r="AM534" s="87"/>
      <c r="AN534" s="87"/>
      <c r="AO534" s="87"/>
      <c r="AP534" s="87"/>
      <c r="AQ534" s="87"/>
      <c r="AR534" s="87"/>
      <c r="AS534" s="87"/>
      <c r="AT534" s="87"/>
      <c r="AU534" s="87"/>
      <c r="AV534" s="87"/>
      <c r="AW534" s="87"/>
      <c r="AX534" s="87"/>
      <c r="AY534" s="87"/>
      <c r="AZ534" s="87"/>
      <c r="BA534" s="87"/>
      <c r="BB534" s="87"/>
      <c r="BC534" s="87"/>
      <c r="BD534" s="87"/>
      <c r="BE534" s="87"/>
      <c r="BF534" s="87"/>
      <c r="BG534" s="87"/>
      <c r="BH534" s="87"/>
      <c r="BI534" s="87"/>
      <c r="BJ534" s="87"/>
      <c r="BK534" s="87"/>
      <c r="BL534" s="87"/>
      <c r="BM534" s="87"/>
      <c r="BN534" s="87"/>
      <c r="BO534" s="87"/>
      <c r="BP534" s="87"/>
      <c r="BQ534" s="87"/>
      <c r="BR534" s="87"/>
      <c r="BS534" s="87"/>
      <c r="BT534" s="87"/>
      <c r="BU534" s="87"/>
      <c r="BV534" s="87"/>
      <c r="BW534" s="87"/>
      <c r="BX534" s="87"/>
      <c r="BY534" s="87"/>
      <c r="BZ534" s="87"/>
      <c r="CA534" s="87"/>
      <c r="CB534" s="87"/>
      <c r="CC534" s="87"/>
      <c r="CD534" s="87"/>
      <c r="CE534" s="87"/>
      <c r="CF534" s="87"/>
      <c r="CG534" s="87"/>
      <c r="CH534" s="87"/>
      <c r="CI534" s="87"/>
      <c r="CJ534" s="87"/>
      <c r="CK534" s="87"/>
      <c r="CL534" s="87"/>
      <c r="CM534" s="87"/>
      <c r="CN534" s="87"/>
      <c r="CO534" s="87"/>
      <c r="CP534" s="87">
        <f>-1/7*C534</f>
        <v>-13.928571428571427</v>
      </c>
      <c r="CQ534" s="87">
        <f>-CP534</f>
        <v>13.928571428571427</v>
      </c>
      <c r="CR534" s="87"/>
      <c r="CS534" s="87"/>
      <c r="CT534" s="87"/>
      <c r="CU534" s="87"/>
      <c r="CV534" s="87"/>
      <c r="CW534" s="87"/>
      <c r="CX534" s="87"/>
      <c r="CY534" s="87"/>
      <c r="CZ534" s="87"/>
      <c r="DA534" s="87"/>
      <c r="DB534" s="87"/>
      <c r="DC534" s="87"/>
      <c r="DD534" s="87"/>
      <c r="DE534" s="87"/>
      <c r="DF534" s="87"/>
      <c r="DG534" s="87"/>
      <c r="DH534" s="87"/>
      <c r="DI534" s="87"/>
      <c r="DJ534" s="87"/>
      <c r="DK534" s="87"/>
      <c r="DL534" s="87"/>
      <c r="DM534" s="87"/>
      <c r="DN534" s="87"/>
      <c r="DO534" s="87"/>
      <c r="DP534" s="87"/>
      <c r="DQ534" s="87"/>
      <c r="DR534" s="87"/>
      <c r="DS534" s="87"/>
      <c r="DT534" s="87"/>
      <c r="DU534" s="87"/>
      <c r="DV534" s="87"/>
      <c r="DW534" s="87"/>
      <c r="DX534" s="87"/>
      <c r="DY534" s="87"/>
      <c r="DZ534" s="87"/>
      <c r="EA534" s="87"/>
      <c r="EB534" s="87"/>
      <c r="EC534" s="87"/>
      <c r="ED534" s="87"/>
      <c r="EE534" s="87"/>
      <c r="EF534" s="87"/>
      <c r="EG534" s="87"/>
      <c r="EH534" s="87"/>
      <c r="EI534" s="87"/>
    </row>
    <row r="535" spans="1:139" ht="29.25" hidden="1" thickBot="1" x14ac:dyDescent="0.35">
      <c r="A535" s="175" t="s">
        <v>914</v>
      </c>
      <c r="B535" s="191">
        <v>5</v>
      </c>
      <c r="C535" s="177">
        <f>25*0.25</f>
        <v>6.25</v>
      </c>
      <c r="D535" s="217">
        <f>C535/VLOOKUP(B535,'[2]Gas Prod per PADD'!$A$1:$C$6,2,FALSE)</f>
        <v>4.6296296296296294E-3</v>
      </c>
      <c r="E535" s="334">
        <v>45708</v>
      </c>
      <c r="F535" s="252">
        <v>45717</v>
      </c>
      <c r="G535" s="180" t="s">
        <v>915</v>
      </c>
      <c r="H535" s="181" t="s">
        <v>916</v>
      </c>
      <c r="I535" s="305"/>
      <c r="J535" s="306"/>
      <c r="K535" s="306"/>
      <c r="L535" s="306"/>
      <c r="M535" s="306"/>
      <c r="N535" s="306"/>
      <c r="O535" s="306"/>
      <c r="P535" s="306"/>
      <c r="Q535" s="85">
        <f>C535*(E535-$Q$1)/28</f>
        <v>-1.7857142857142858</v>
      </c>
      <c r="R535" s="85">
        <f>C535*($Q$1+1-F535)/31</f>
        <v>0</v>
      </c>
      <c r="S535" s="306"/>
      <c r="T535" s="85"/>
      <c r="U535" s="85"/>
      <c r="V535" s="84"/>
      <c r="W535" s="84"/>
      <c r="X535" s="84" t="str">
        <f t="shared" si="22"/>
        <v>OK</v>
      </c>
      <c r="Y535" s="105"/>
      <c r="Z535" s="105"/>
      <c r="AA535" s="87"/>
      <c r="AB535" s="87"/>
      <c r="AC535" s="87"/>
      <c r="AD535" s="87"/>
      <c r="AE535" s="105"/>
      <c r="AF535" s="105"/>
      <c r="AG535" s="105"/>
      <c r="AH535" s="105"/>
      <c r="AI535" s="87"/>
      <c r="AJ535" s="87"/>
      <c r="AK535" s="105"/>
      <c r="AL535" s="87"/>
      <c r="AM535" s="105"/>
      <c r="AN535" s="105"/>
      <c r="AO535" s="87"/>
      <c r="AP535" s="87"/>
      <c r="AQ535" s="105"/>
      <c r="AR535" s="105"/>
      <c r="AS535" s="87"/>
      <c r="AT535" s="105"/>
      <c r="AU535" s="105"/>
      <c r="AV535" s="87"/>
      <c r="AW535" s="105"/>
      <c r="AX535" s="105"/>
      <c r="AY535" s="87"/>
      <c r="AZ535" s="105"/>
      <c r="BA535" s="105"/>
      <c r="BB535" s="105"/>
      <c r="BC535" s="87"/>
      <c r="BD535" s="87"/>
      <c r="BE535" s="105"/>
      <c r="BF535" s="105"/>
      <c r="BG535" s="105"/>
      <c r="BH535" s="105"/>
      <c r="BI535" s="105"/>
      <c r="BJ535" s="87"/>
      <c r="BK535" s="87"/>
      <c r="BL535" s="87"/>
      <c r="BM535" s="87"/>
      <c r="BN535" s="87"/>
      <c r="BO535" s="87"/>
      <c r="BP535" s="87"/>
      <c r="BQ535" s="87"/>
      <c r="BR535" s="87"/>
      <c r="BS535" s="87"/>
      <c r="BT535" s="87"/>
      <c r="BU535" s="87"/>
      <c r="BV535" s="87"/>
      <c r="BW535" s="87"/>
      <c r="BX535" s="87"/>
      <c r="BY535" s="87"/>
      <c r="BZ535" s="87"/>
      <c r="CA535" s="87"/>
      <c r="CB535" s="87"/>
      <c r="CC535" s="87"/>
      <c r="CD535" s="87"/>
      <c r="CE535" s="87"/>
      <c r="CF535" s="87"/>
      <c r="CG535" s="87"/>
      <c r="CH535" s="87"/>
      <c r="CI535" s="87"/>
      <c r="CJ535" s="87"/>
      <c r="CK535" s="87"/>
      <c r="CL535" s="87"/>
      <c r="CM535" s="87"/>
      <c r="CN535" s="105"/>
      <c r="CO535" s="87">
        <f>-1/7*C535</f>
        <v>-0.89285714285714279</v>
      </c>
      <c r="CP535" s="87">
        <f>-6/7*C535</f>
        <v>-5.3571428571428568</v>
      </c>
      <c r="CQ535" s="105">
        <f>C535</f>
        <v>6.25</v>
      </c>
      <c r="CR535" s="87"/>
      <c r="CS535" s="87"/>
      <c r="CT535" s="87"/>
      <c r="CU535" s="87"/>
      <c r="CV535" s="87"/>
      <c r="CW535" s="87"/>
      <c r="CX535" s="87"/>
      <c r="CY535" s="87"/>
      <c r="CZ535" s="87"/>
      <c r="DA535" s="87"/>
      <c r="DB535" s="87"/>
      <c r="DC535" s="87"/>
      <c r="DD535" s="87"/>
      <c r="DE535" s="87"/>
      <c r="DF535" s="87"/>
      <c r="DG535" s="87"/>
      <c r="DH535" s="87"/>
      <c r="DI535" s="87"/>
      <c r="DJ535" s="87"/>
      <c r="DK535" s="87"/>
      <c r="DL535" s="87"/>
      <c r="DM535" s="87"/>
      <c r="DN535" s="87"/>
      <c r="DO535" s="87"/>
      <c r="DP535" s="87"/>
      <c r="DQ535" s="87"/>
      <c r="DR535" s="87"/>
      <c r="DS535" s="87"/>
      <c r="DT535" s="87"/>
      <c r="DU535" s="87"/>
      <c r="DV535" s="87"/>
      <c r="DW535" s="87"/>
      <c r="DX535" s="87"/>
      <c r="DY535" s="87"/>
      <c r="DZ535" s="87"/>
      <c r="EA535" s="87"/>
      <c r="EB535" s="87"/>
      <c r="EC535" s="87"/>
      <c r="ED535" s="87"/>
      <c r="EE535" s="87"/>
      <c r="EF535" s="87"/>
      <c r="EG535" s="75">
        <v>46017</v>
      </c>
      <c r="EH535" s="75">
        <v>46024</v>
      </c>
      <c r="EI535" s="75">
        <v>46031</v>
      </c>
    </row>
    <row r="536" spans="1:139" ht="16.5" hidden="1" thickBot="1" x14ac:dyDescent="0.35">
      <c r="A536" s="218" t="s">
        <v>780</v>
      </c>
      <c r="B536" s="194">
        <v>2</v>
      </c>
      <c r="C536" s="195">
        <f>0.25*91.2</f>
        <v>22.8</v>
      </c>
      <c r="D536" s="217">
        <f>C536/VLOOKUP(B536,'[2]Gas Prod per PADD'!$A$1:$C$6,2,FALSE)</f>
        <v>9.4999999999999998E-3</v>
      </c>
      <c r="E536" s="251">
        <v>45716</v>
      </c>
      <c r="F536" s="252">
        <v>45717</v>
      </c>
      <c r="G536" s="180" t="s">
        <v>917</v>
      </c>
      <c r="H536" s="181"/>
      <c r="I536" s="84"/>
      <c r="J536" s="85"/>
      <c r="K536" s="85"/>
      <c r="L536" s="85"/>
      <c r="M536" s="85"/>
      <c r="N536" s="85"/>
      <c r="O536" s="85"/>
      <c r="P536" s="85"/>
      <c r="Q536" s="85">
        <f>C536*(E536-$Q$1)/28</f>
        <v>0</v>
      </c>
      <c r="R536" s="85">
        <f>C536*($Q$1+1-F536)/31</f>
        <v>0</v>
      </c>
      <c r="S536" s="85"/>
      <c r="T536" s="85"/>
      <c r="U536" s="85"/>
      <c r="V536" s="84"/>
      <c r="W536" s="84"/>
      <c r="X536" s="84" t="str">
        <f t="shared" si="22"/>
        <v>OK</v>
      </c>
      <c r="Y536" s="105"/>
      <c r="Z536" s="105"/>
      <c r="AA536" s="87"/>
      <c r="AB536" s="87"/>
      <c r="AC536" s="87"/>
      <c r="AD536" s="87"/>
      <c r="AE536" s="105"/>
      <c r="AF536" s="105"/>
      <c r="AG536" s="105"/>
      <c r="AH536" s="105"/>
      <c r="AI536" s="87"/>
      <c r="AJ536" s="87"/>
      <c r="AK536" s="105"/>
      <c r="AL536" s="87"/>
      <c r="AM536" s="105"/>
      <c r="AN536" s="105"/>
      <c r="AO536" s="87"/>
      <c r="AP536" s="87"/>
      <c r="AQ536" s="105"/>
      <c r="AR536" s="105"/>
      <c r="AS536" s="87"/>
      <c r="AT536" s="105"/>
      <c r="AU536" s="105"/>
      <c r="AV536" s="87"/>
      <c r="AW536" s="105"/>
      <c r="AX536" s="105"/>
      <c r="AY536" s="87"/>
      <c r="AZ536" s="105"/>
      <c r="BA536" s="105"/>
      <c r="BB536" s="105"/>
      <c r="BC536" s="87"/>
      <c r="BD536" s="87"/>
      <c r="BE536" s="105"/>
      <c r="BF536" s="105"/>
      <c r="BG536" s="105"/>
      <c r="BH536" s="105"/>
      <c r="BI536" s="105"/>
      <c r="BJ536" s="87"/>
      <c r="BK536" s="87"/>
      <c r="BL536" s="87"/>
      <c r="BM536" s="87"/>
      <c r="BN536" s="87"/>
      <c r="BO536" s="105"/>
      <c r="BP536" s="105"/>
      <c r="BQ536" s="105"/>
      <c r="BR536" s="105"/>
      <c r="BS536" s="105"/>
      <c r="BT536" s="87"/>
      <c r="BU536" s="87"/>
      <c r="BV536" s="87"/>
      <c r="BW536" s="87"/>
      <c r="BX536" s="87"/>
      <c r="BY536" s="87"/>
      <c r="BZ536" s="87"/>
      <c r="CA536" s="87"/>
      <c r="CB536" s="87"/>
      <c r="CC536" s="87"/>
      <c r="CD536" s="87"/>
      <c r="CE536" s="87"/>
      <c r="CF536" s="87"/>
      <c r="CG536" s="87"/>
      <c r="CH536" s="87"/>
      <c r="CI536" s="87"/>
      <c r="CJ536" s="87"/>
      <c r="CK536" s="87"/>
      <c r="CL536" s="87"/>
      <c r="CM536" s="87"/>
      <c r="CN536" s="87"/>
      <c r="CO536" s="87"/>
      <c r="CP536" s="87"/>
      <c r="CQ536" s="87">
        <f>-C536*(1/7)</f>
        <v>-3.2571428571428571</v>
      </c>
      <c r="CR536" s="87">
        <f>-CQ536</f>
        <v>3.2571428571428571</v>
      </c>
      <c r="CS536" s="87"/>
      <c r="CT536" s="87"/>
      <c r="CU536" s="87"/>
      <c r="CV536" s="87"/>
      <c r="CW536" s="87"/>
      <c r="CX536" s="87"/>
      <c r="CY536" s="87"/>
      <c r="CZ536" s="87"/>
      <c r="DA536" s="87"/>
      <c r="DB536" s="87"/>
      <c r="DC536" s="87"/>
      <c r="DD536" s="87"/>
      <c r="DE536" s="87"/>
      <c r="DF536" s="87"/>
      <c r="DG536" s="87"/>
      <c r="DH536" s="87"/>
      <c r="DI536" s="87"/>
      <c r="DJ536" s="87"/>
      <c r="DK536" s="87"/>
      <c r="DL536" s="87"/>
      <c r="DM536" s="87"/>
      <c r="DN536" s="87"/>
      <c r="DO536" s="87"/>
      <c r="DP536" s="87"/>
      <c r="DQ536" s="87"/>
      <c r="DR536" s="87"/>
      <c r="DS536" s="87"/>
      <c r="DT536" s="87"/>
      <c r="DU536" s="87"/>
      <c r="DV536" s="87"/>
      <c r="DW536" s="87"/>
      <c r="DX536" s="87"/>
      <c r="DY536" s="87"/>
      <c r="DZ536" s="87"/>
      <c r="EA536" s="87"/>
      <c r="EB536" s="87"/>
      <c r="EC536" s="87"/>
      <c r="ED536" s="87"/>
      <c r="EE536" s="87"/>
      <c r="EF536" s="87"/>
      <c r="EG536" s="87"/>
      <c r="EH536" s="87"/>
      <c r="EI536" s="87"/>
    </row>
    <row r="537" spans="1:139" ht="16.5" hidden="1" thickBot="1" x14ac:dyDescent="0.35">
      <c r="A537" s="175" t="s">
        <v>384</v>
      </c>
      <c r="B537" s="176">
        <v>2</v>
      </c>
      <c r="C537" s="177">
        <f>(12*0.25)</f>
        <v>3</v>
      </c>
      <c r="D537" s="217">
        <f>C537/VLOOKUP(B537,'[2]Gas Prod per PADD'!$A$1:$C$6,2,FALSE)</f>
        <v>1.25E-3</v>
      </c>
      <c r="E537" s="252">
        <v>45717</v>
      </c>
      <c r="F537" s="252">
        <f>E537+1</f>
        <v>45718</v>
      </c>
      <c r="G537" s="180" t="s">
        <v>871</v>
      </c>
      <c r="H537" s="181" t="s">
        <v>918</v>
      </c>
      <c r="I537" s="84" t="s">
        <v>919</v>
      </c>
      <c r="J537" s="85"/>
      <c r="K537" s="85"/>
      <c r="L537" s="85"/>
      <c r="M537" s="85"/>
      <c r="N537" s="85"/>
      <c r="O537" s="85"/>
      <c r="P537" s="85"/>
      <c r="Q537" s="85"/>
      <c r="R537" s="85">
        <f>C537*(E537-F537)/31</f>
        <v>-9.6774193548387094E-2</v>
      </c>
      <c r="S537" s="85"/>
      <c r="T537" s="85"/>
      <c r="U537" s="85"/>
      <c r="V537" s="84"/>
      <c r="W537" s="84"/>
      <c r="X537" s="84" t="str">
        <f t="shared" si="22"/>
        <v>OK</v>
      </c>
      <c r="Y537" s="105"/>
      <c r="Z537" s="105"/>
      <c r="AA537" s="87"/>
      <c r="AB537" s="87"/>
      <c r="AC537" s="87"/>
      <c r="AD537" s="87"/>
      <c r="AE537" s="105"/>
      <c r="AF537" s="105"/>
      <c r="AG537" s="105"/>
      <c r="AH537" s="105"/>
      <c r="AI537" s="87"/>
      <c r="AJ537" s="87"/>
      <c r="AK537" s="105"/>
      <c r="AL537" s="87"/>
      <c r="AM537" s="105"/>
      <c r="AN537" s="105"/>
      <c r="AO537" s="87"/>
      <c r="AP537" s="87"/>
      <c r="AQ537" s="105"/>
      <c r="AR537" s="105"/>
      <c r="AS537" s="87"/>
      <c r="AT537" s="105"/>
      <c r="AU537" s="105"/>
      <c r="AV537" s="87"/>
      <c r="AW537" s="105"/>
      <c r="AX537" s="105"/>
      <c r="AY537" s="87"/>
      <c r="AZ537" s="105"/>
      <c r="BA537" s="105"/>
      <c r="BB537" s="105"/>
      <c r="BC537" s="87"/>
      <c r="BD537" s="87"/>
      <c r="BE537" s="105"/>
      <c r="BF537" s="105"/>
      <c r="BG537" s="105"/>
      <c r="BH537" s="105"/>
      <c r="BI537" s="105"/>
      <c r="BJ537" s="87"/>
      <c r="BK537" s="87"/>
      <c r="BL537" s="87"/>
      <c r="BM537" s="87"/>
      <c r="BN537" s="87"/>
      <c r="BO537" s="105"/>
      <c r="BP537" s="105"/>
      <c r="BQ537" s="105"/>
      <c r="BR537" s="105"/>
      <c r="BS537" s="105"/>
      <c r="BT537" s="87"/>
      <c r="BU537" s="87"/>
      <c r="BV537" s="87"/>
      <c r="BW537" s="87"/>
      <c r="BX537" s="87"/>
      <c r="BY537" s="87"/>
      <c r="BZ537" s="87"/>
      <c r="CA537" s="87"/>
      <c r="CB537" s="87"/>
      <c r="CC537" s="87"/>
      <c r="CD537" s="87"/>
      <c r="CE537" s="87"/>
      <c r="CF537" s="87"/>
      <c r="CG537" s="87"/>
      <c r="CH537" s="87"/>
      <c r="CI537" s="87"/>
      <c r="CJ537" s="87"/>
      <c r="CK537" s="87"/>
      <c r="CL537" s="87"/>
      <c r="CM537" s="87"/>
      <c r="CN537" s="87"/>
      <c r="CO537" s="87"/>
      <c r="CP537" s="87"/>
      <c r="CQ537" s="87">
        <f>-C537*(1/7)</f>
        <v>-0.42857142857142855</v>
      </c>
      <c r="CR537" s="87">
        <f>-CQ537</f>
        <v>0.42857142857142855</v>
      </c>
      <c r="CS537" s="87"/>
      <c r="CT537" s="87"/>
      <c r="CU537" s="87"/>
      <c r="CV537" s="87"/>
      <c r="CW537" s="87"/>
      <c r="CX537" s="87"/>
      <c r="CY537" s="87"/>
      <c r="CZ537" s="87"/>
      <c r="DA537" s="87"/>
      <c r="DB537" s="87"/>
      <c r="DC537" s="87"/>
      <c r="DD537" s="87"/>
      <c r="DE537" s="87"/>
      <c r="DF537" s="87"/>
      <c r="DG537" s="87"/>
      <c r="DH537" s="87"/>
      <c r="DI537" s="87"/>
      <c r="DJ537" s="87"/>
      <c r="DK537" s="87"/>
      <c r="DL537" s="87"/>
      <c r="DM537" s="87"/>
      <c r="DN537" s="87"/>
      <c r="DO537" s="87"/>
      <c r="DP537" s="87"/>
      <c r="DQ537" s="87"/>
      <c r="DR537" s="87"/>
      <c r="DS537" s="87"/>
      <c r="DT537" s="87"/>
      <c r="DU537" s="87"/>
      <c r="DV537" s="87"/>
      <c r="DW537" s="87"/>
      <c r="DX537" s="87"/>
      <c r="DY537" s="87"/>
      <c r="DZ537" s="87"/>
      <c r="EA537" s="87"/>
      <c r="EB537" s="87"/>
      <c r="EC537" s="87"/>
      <c r="ED537" s="87"/>
      <c r="EE537" s="87"/>
      <c r="EF537" s="87"/>
      <c r="EG537" s="87"/>
      <c r="EH537" s="87"/>
      <c r="EI537" s="87"/>
    </row>
    <row r="538" spans="1:139" ht="29.25" hidden="1" thickBot="1" x14ac:dyDescent="0.35">
      <c r="A538" s="190" t="s">
        <v>158</v>
      </c>
      <c r="B538" s="282">
        <v>3</v>
      </c>
      <c r="C538" s="177">
        <f>(140*0.65*0.3)+(265*0.25)</f>
        <v>93.55</v>
      </c>
      <c r="D538" s="217">
        <f>C538/VLOOKUP(B538,'[2]Gas Prod per PADD'!$A$1:$C$6,2,FALSE)</f>
        <v>2.0336956521739131E-2</v>
      </c>
      <c r="E538" s="196">
        <v>45677</v>
      </c>
      <c r="F538" s="281">
        <v>45719</v>
      </c>
      <c r="G538" s="180" t="s">
        <v>811</v>
      </c>
      <c r="H538" s="181" t="s">
        <v>920</v>
      </c>
      <c r="I538" s="84" t="s">
        <v>921</v>
      </c>
      <c r="J538" s="85"/>
      <c r="K538" s="85"/>
      <c r="L538" s="85"/>
      <c r="M538" s="85"/>
      <c r="N538" s="85"/>
      <c r="O538" s="85"/>
      <c r="P538" s="85">
        <f>C538*(E538-$P$1)/31</f>
        <v>-33.195161290322581</v>
      </c>
      <c r="Q538" s="85">
        <f>-C538</f>
        <v>-93.55</v>
      </c>
      <c r="R538" s="85">
        <f t="shared" ref="R538:R543" si="23">C538*($Q$1+1-F538)/31</f>
        <v>-6.0354838709677416</v>
      </c>
      <c r="S538" s="85"/>
      <c r="T538" s="85"/>
      <c r="U538" s="85"/>
      <c r="V538" s="84"/>
      <c r="W538" s="84"/>
      <c r="X538" s="84" t="str">
        <f t="shared" si="22"/>
        <v>OK</v>
      </c>
      <c r="Y538" s="105"/>
      <c r="Z538" s="105"/>
      <c r="AA538" s="87"/>
      <c r="AB538" s="87"/>
      <c r="AC538" s="87"/>
      <c r="AD538" s="87"/>
      <c r="AE538" s="105"/>
      <c r="AF538" s="105"/>
      <c r="AG538" s="105"/>
      <c r="AH538" s="105"/>
      <c r="AI538" s="87"/>
      <c r="AJ538" s="87"/>
      <c r="AK538" s="105"/>
      <c r="AL538" s="87"/>
      <c r="AM538" s="105"/>
      <c r="AN538" s="105"/>
      <c r="AO538" s="87"/>
      <c r="AP538" s="87"/>
      <c r="AQ538" s="105"/>
      <c r="AR538" s="105"/>
      <c r="AS538" s="87"/>
      <c r="AT538" s="105"/>
      <c r="AU538" s="105"/>
      <c r="AV538" s="87"/>
      <c r="AW538" s="105"/>
      <c r="AX538" s="105"/>
      <c r="AY538" s="87"/>
      <c r="AZ538" s="105"/>
      <c r="BA538" s="105"/>
      <c r="BB538" s="105"/>
      <c r="BC538" s="87"/>
      <c r="BD538" s="87"/>
      <c r="BE538" s="105"/>
      <c r="BF538" s="105"/>
      <c r="BG538" s="105"/>
      <c r="BH538" s="105"/>
      <c r="BI538" s="105"/>
      <c r="BJ538" s="87"/>
      <c r="BK538" s="87"/>
      <c r="BL538" s="87"/>
      <c r="BM538" s="87"/>
      <c r="BN538" s="87"/>
      <c r="BO538" s="105"/>
      <c r="BP538" s="105"/>
      <c r="BQ538" s="105"/>
      <c r="BR538" s="87"/>
      <c r="BS538" s="87"/>
      <c r="BT538" s="87"/>
      <c r="BU538" s="87"/>
      <c r="BV538" s="87"/>
      <c r="BW538" s="87"/>
      <c r="BX538" s="105"/>
      <c r="BY538" s="87"/>
      <c r="BZ538" s="87"/>
      <c r="CA538" s="87"/>
      <c r="CB538" s="87"/>
      <c r="CC538" s="87"/>
      <c r="CD538" s="87"/>
      <c r="CE538" s="87"/>
      <c r="CF538" s="87"/>
      <c r="CG538" s="87"/>
      <c r="CH538" s="87"/>
      <c r="CI538" s="87"/>
      <c r="CJ538" s="87"/>
      <c r="CK538" s="87">
        <f>-4/7*C538</f>
        <v>-53.457142857142856</v>
      </c>
      <c r="CL538" s="87">
        <f>-3/7*C538</f>
        <v>-40.092857142857142</v>
      </c>
      <c r="CM538" s="87"/>
      <c r="CN538" s="87"/>
      <c r="CO538" s="87"/>
      <c r="CP538" s="87"/>
      <c r="CQ538" s="87">
        <f>4/7*C538</f>
        <v>53.457142857142856</v>
      </c>
      <c r="CR538" s="87">
        <f>3/7*C538</f>
        <v>40.092857142857142</v>
      </c>
      <c r="CS538" s="87"/>
      <c r="CT538" s="87"/>
      <c r="CU538" s="87"/>
      <c r="CV538" s="87"/>
      <c r="CW538" s="87"/>
      <c r="CX538" s="87"/>
      <c r="CY538" s="87"/>
      <c r="CZ538" s="87"/>
      <c r="DA538" s="87"/>
      <c r="DB538" s="87"/>
      <c r="DC538" s="87"/>
      <c r="DD538" s="87"/>
      <c r="DE538" s="87"/>
      <c r="DF538" s="87"/>
      <c r="DG538" s="87"/>
      <c r="DH538" s="87"/>
      <c r="DI538" s="87"/>
      <c r="DJ538" s="87"/>
      <c r="DK538" s="87"/>
      <c r="DL538" s="87"/>
      <c r="DM538" s="87"/>
      <c r="DN538" s="87"/>
      <c r="DO538" s="87"/>
      <c r="DP538" s="87"/>
      <c r="DQ538" s="87"/>
      <c r="DR538" s="87"/>
      <c r="DS538" s="87"/>
      <c r="DT538" s="87"/>
      <c r="DU538" s="87"/>
      <c r="DV538" s="87"/>
      <c r="DW538" s="87"/>
      <c r="DX538" s="87"/>
      <c r="DY538" s="87"/>
      <c r="DZ538" s="87"/>
      <c r="EA538" s="87"/>
      <c r="EB538" s="87"/>
      <c r="EC538" s="87"/>
      <c r="ED538" s="87"/>
      <c r="EE538" s="87"/>
      <c r="EF538" s="87"/>
      <c r="EG538" s="87"/>
      <c r="EH538" s="87"/>
      <c r="EI538" s="87"/>
    </row>
    <row r="539" spans="1:139" ht="16.5" hidden="1" thickBot="1" x14ac:dyDescent="0.35">
      <c r="A539" s="175" t="s">
        <v>207</v>
      </c>
      <c r="B539" s="176">
        <v>5</v>
      </c>
      <c r="C539" s="177">
        <f>20*0.85</f>
        <v>17</v>
      </c>
      <c r="D539" s="234">
        <f>C539/VLOOKUP(B539,'[2]Gas Prod per PADD'!$A$1:$C$6,2,FALSE)</f>
        <v>1.2592592592592593E-2</v>
      </c>
      <c r="E539" s="299">
        <v>45714</v>
      </c>
      <c r="F539" s="252">
        <f>E539+5</f>
        <v>45719</v>
      </c>
      <c r="G539" s="180" t="s">
        <v>894</v>
      </c>
      <c r="H539" s="198" t="s">
        <v>364</v>
      </c>
      <c r="I539" s="84"/>
      <c r="J539" s="85"/>
      <c r="K539" s="85"/>
      <c r="L539" s="85"/>
      <c r="M539" s="85"/>
      <c r="N539" s="85"/>
      <c r="O539" s="85"/>
      <c r="P539" s="85"/>
      <c r="Q539" s="85">
        <f>C539*(E539-$Q$1)/28</f>
        <v>-1.2142857142857142</v>
      </c>
      <c r="R539" s="85">
        <f t="shared" si="23"/>
        <v>-1.096774193548387</v>
      </c>
      <c r="S539" s="85"/>
      <c r="T539" s="85"/>
      <c r="U539" s="85"/>
      <c r="V539" s="84"/>
      <c r="W539" s="84"/>
      <c r="X539" s="84" t="str">
        <f t="shared" si="22"/>
        <v>OK</v>
      </c>
      <c r="Y539" s="87"/>
      <c r="Z539" s="87"/>
      <c r="AA539" s="87"/>
      <c r="AB539" s="87"/>
      <c r="AC539" s="87"/>
      <c r="AD539" s="87"/>
      <c r="AE539" s="87"/>
      <c r="AF539" s="87"/>
      <c r="AG539" s="87"/>
      <c r="AH539" s="87"/>
      <c r="AI539" s="87"/>
      <c r="AJ539" s="87"/>
      <c r="AK539" s="87"/>
      <c r="AL539" s="87"/>
      <c r="AM539" s="87"/>
      <c r="AN539" s="87"/>
      <c r="AO539" s="87"/>
      <c r="AP539" s="87"/>
      <c r="AQ539" s="87"/>
      <c r="AR539" s="87"/>
      <c r="AS539" s="87"/>
      <c r="AT539" s="87"/>
      <c r="AU539" s="87"/>
      <c r="AV539" s="87"/>
      <c r="AW539" s="87"/>
      <c r="AX539" s="87"/>
      <c r="AY539" s="87"/>
      <c r="AZ539" s="87"/>
      <c r="BA539" s="87"/>
      <c r="BB539" s="87"/>
      <c r="BC539" s="87"/>
      <c r="BD539" s="87"/>
      <c r="BE539" s="87"/>
      <c r="BF539" s="87"/>
      <c r="BG539" s="87"/>
      <c r="BH539" s="87"/>
      <c r="BI539" s="87"/>
      <c r="BJ539" s="87"/>
      <c r="BK539" s="87"/>
      <c r="BL539" s="87"/>
      <c r="BM539" s="87"/>
      <c r="BN539" s="87"/>
      <c r="BO539" s="87"/>
      <c r="BP539" s="87"/>
      <c r="BQ539" s="87"/>
      <c r="BR539" s="87"/>
      <c r="BS539" s="87"/>
      <c r="BT539" s="87"/>
      <c r="BU539" s="87"/>
      <c r="BV539" s="87"/>
      <c r="BW539" s="87"/>
      <c r="BX539" s="87"/>
      <c r="BY539" s="87"/>
      <c r="BZ539" s="87"/>
      <c r="CA539" s="87"/>
      <c r="CB539" s="87"/>
      <c r="CC539" s="87"/>
      <c r="CD539" s="87"/>
      <c r="CE539" s="87"/>
      <c r="CF539" s="87"/>
      <c r="CG539" s="87"/>
      <c r="CH539" s="87"/>
      <c r="CI539" s="87"/>
      <c r="CJ539" s="87"/>
      <c r="CK539" s="87"/>
      <c r="CL539" s="87"/>
      <c r="CM539" s="87"/>
      <c r="CN539" s="87"/>
      <c r="CO539" s="87"/>
      <c r="CP539" s="87">
        <f>C539*(-2/7)</f>
        <v>-4.8571428571428568</v>
      </c>
      <c r="CQ539" s="87"/>
      <c r="CR539" s="105">
        <f>-CP539</f>
        <v>4.8571428571428568</v>
      </c>
      <c r="CS539" s="87"/>
      <c r="CT539" s="87"/>
      <c r="CU539" s="87"/>
      <c r="CV539" s="87"/>
      <c r="CW539" s="87"/>
      <c r="CX539" s="87"/>
      <c r="CY539" s="87"/>
      <c r="CZ539" s="87"/>
      <c r="DA539" s="87"/>
      <c r="DB539" s="87"/>
      <c r="DC539" s="87"/>
      <c r="DD539" s="87"/>
      <c r="DE539" s="87"/>
      <c r="DF539" s="87"/>
      <c r="DG539" s="87"/>
      <c r="DH539" s="87"/>
      <c r="DI539" s="87"/>
      <c r="DJ539" s="87"/>
      <c r="DK539" s="87"/>
      <c r="DL539" s="87"/>
      <c r="DM539" s="87"/>
      <c r="DN539" s="87"/>
      <c r="DO539" s="87"/>
      <c r="DP539" s="87"/>
      <c r="DQ539" s="87"/>
      <c r="DR539" s="87"/>
      <c r="DS539" s="87"/>
      <c r="DT539" s="87"/>
      <c r="DU539" s="87"/>
      <c r="DV539" s="87"/>
      <c r="DW539" s="87"/>
      <c r="DX539" s="87"/>
      <c r="DY539" s="87"/>
      <c r="DZ539" s="87"/>
      <c r="EA539" s="87"/>
      <c r="EB539" s="87"/>
      <c r="EC539" s="87"/>
      <c r="ED539" s="87"/>
      <c r="EE539" s="87"/>
      <c r="EF539" s="87"/>
      <c r="EG539" s="75">
        <v>46017</v>
      </c>
      <c r="EH539" s="75">
        <v>46024</v>
      </c>
      <c r="EI539" s="75">
        <v>46031</v>
      </c>
    </row>
    <row r="540" spans="1:139" ht="29.25" hidden="1" thickBot="1" x14ac:dyDescent="0.35">
      <c r="A540" s="161" t="s">
        <v>119</v>
      </c>
      <c r="B540" s="279">
        <v>5</v>
      </c>
      <c r="C540" s="224">
        <f>45*0.05</f>
        <v>2.25</v>
      </c>
      <c r="D540" s="217">
        <f>C540/VLOOKUP(B540,'[2]Gas Prod per PADD'!$A$1:$C$6,2,FALSE)</f>
        <v>1.6666666666666668E-3</v>
      </c>
      <c r="E540" s="225">
        <v>45716</v>
      </c>
      <c r="F540" s="226">
        <f>E540+3</f>
        <v>45719</v>
      </c>
      <c r="G540" s="180" t="s">
        <v>922</v>
      </c>
      <c r="H540" s="181" t="s">
        <v>923</v>
      </c>
      <c r="I540" s="84" t="s">
        <v>908</v>
      </c>
      <c r="J540" s="85"/>
      <c r="K540" s="85"/>
      <c r="L540" s="85"/>
      <c r="M540" s="85"/>
      <c r="N540" s="85"/>
      <c r="O540" s="85"/>
      <c r="P540" s="85"/>
      <c r="Q540" s="85">
        <f>C540*(E540-$Q$1)/28</f>
        <v>0</v>
      </c>
      <c r="R540" s="85">
        <f t="shared" si="23"/>
        <v>-0.14516129032258066</v>
      </c>
      <c r="S540" s="85"/>
      <c r="T540" s="85"/>
      <c r="U540" s="85"/>
      <c r="V540" s="84"/>
      <c r="W540" s="84"/>
      <c r="X540" s="84" t="str">
        <f t="shared" si="22"/>
        <v>OK</v>
      </c>
      <c r="Y540" s="105"/>
      <c r="Z540" s="105"/>
      <c r="AA540" s="87"/>
      <c r="AB540" s="87"/>
      <c r="AC540" s="87"/>
      <c r="AD540" s="87"/>
      <c r="AE540" s="105"/>
      <c r="AF540" s="105"/>
      <c r="AG540" s="105"/>
      <c r="AH540" s="105"/>
      <c r="AI540" s="87"/>
      <c r="AJ540" s="87"/>
      <c r="AK540" s="105"/>
      <c r="AL540" s="87"/>
      <c r="AM540" s="105"/>
      <c r="AN540" s="105"/>
      <c r="AO540" s="87"/>
      <c r="AP540" s="87"/>
      <c r="AQ540" s="105"/>
      <c r="AR540" s="105"/>
      <c r="AS540" s="87"/>
      <c r="AT540" s="105"/>
      <c r="AU540" s="87"/>
      <c r="AV540" s="87"/>
      <c r="AW540" s="105"/>
      <c r="AX540" s="105"/>
      <c r="AY540" s="87"/>
      <c r="AZ540" s="105"/>
      <c r="BA540" s="105"/>
      <c r="BB540" s="105"/>
      <c r="BC540" s="105"/>
      <c r="BD540" s="105"/>
      <c r="BE540" s="105"/>
      <c r="BF540" s="105"/>
      <c r="BG540" s="105"/>
      <c r="BH540" s="105"/>
      <c r="BI540" s="105"/>
      <c r="BJ540" s="87"/>
      <c r="BK540" s="87"/>
      <c r="BL540" s="87"/>
      <c r="BM540" s="87"/>
      <c r="BN540" s="87"/>
      <c r="BO540" s="87"/>
      <c r="BP540" s="87"/>
      <c r="BQ540" s="87"/>
      <c r="BR540" s="87"/>
      <c r="BS540" s="87"/>
      <c r="BT540" s="87"/>
      <c r="BU540" s="87"/>
      <c r="BV540" s="87"/>
      <c r="BW540" s="87"/>
      <c r="BX540" s="87"/>
      <c r="BY540" s="87"/>
      <c r="BZ540" s="87"/>
      <c r="CA540" s="87"/>
      <c r="CB540" s="87"/>
      <c r="CC540" s="87"/>
      <c r="CD540" s="87"/>
      <c r="CE540" s="87"/>
      <c r="CF540" s="87"/>
      <c r="CG540" s="87"/>
      <c r="CH540" s="87"/>
      <c r="CI540" s="87"/>
      <c r="CJ540" s="87"/>
      <c r="CK540" s="87"/>
      <c r="CL540" s="87"/>
      <c r="CM540" s="87"/>
      <c r="CN540" s="87"/>
      <c r="CO540" s="87"/>
      <c r="CP540" s="87"/>
      <c r="CQ540" s="105">
        <f>-C540*(2/7)</f>
        <v>-0.64285714285714279</v>
      </c>
      <c r="CR540" s="105">
        <f>-CQ540</f>
        <v>0.64285714285714279</v>
      </c>
      <c r="CS540" s="87"/>
      <c r="CT540" s="87"/>
      <c r="CU540" s="87"/>
      <c r="CV540" s="87"/>
      <c r="CW540" s="87"/>
      <c r="CX540" s="87"/>
      <c r="CY540" s="87"/>
      <c r="CZ540" s="87"/>
      <c r="DA540" s="87"/>
      <c r="DB540" s="87"/>
      <c r="DC540" s="87"/>
      <c r="DD540" s="87"/>
      <c r="DE540" s="87"/>
      <c r="DF540" s="87"/>
      <c r="DG540" s="87"/>
      <c r="DH540" s="87"/>
      <c r="DI540" s="87"/>
      <c r="DJ540" s="87"/>
      <c r="DK540" s="87"/>
      <c r="DL540" s="87"/>
      <c r="DM540" s="87"/>
      <c r="DN540" s="87"/>
      <c r="DO540" s="87"/>
      <c r="DP540" s="87"/>
      <c r="DQ540" s="87"/>
      <c r="DR540" s="87"/>
      <c r="DS540" s="87"/>
      <c r="DT540" s="87"/>
      <c r="DU540" s="87"/>
      <c r="DV540" s="87"/>
      <c r="DW540" s="87"/>
      <c r="DX540" s="87"/>
      <c r="DY540" s="87"/>
      <c r="DZ540" s="87"/>
      <c r="EA540" s="87"/>
      <c r="EB540" s="87"/>
      <c r="EC540" s="87"/>
      <c r="ED540" s="87"/>
      <c r="EE540" s="87"/>
      <c r="EF540" s="87"/>
      <c r="EG540" s="75">
        <v>46017</v>
      </c>
      <c r="EH540" s="75">
        <v>46024</v>
      </c>
      <c r="EI540" s="75">
        <v>46031</v>
      </c>
    </row>
    <row r="541" spans="1:139" ht="16.5" hidden="1" thickBot="1" x14ac:dyDescent="0.35">
      <c r="A541" s="161" t="s">
        <v>119</v>
      </c>
      <c r="B541" s="279">
        <v>5</v>
      </c>
      <c r="C541" s="224">
        <f>45*0.05</f>
        <v>2.25</v>
      </c>
      <c r="D541" s="217">
        <f>C541/VLOOKUP(B541,'[2]Gas Prod per PADD'!$A$1:$C$6,2,FALSE)</f>
        <v>1.6666666666666668E-3</v>
      </c>
      <c r="E541" s="225">
        <v>45715</v>
      </c>
      <c r="F541" s="226">
        <v>45721</v>
      </c>
      <c r="G541" s="180" t="s">
        <v>922</v>
      </c>
      <c r="H541" s="181" t="s">
        <v>364</v>
      </c>
      <c r="I541" s="84"/>
      <c r="J541" s="85"/>
      <c r="K541" s="85"/>
      <c r="L541" s="85"/>
      <c r="M541" s="85"/>
      <c r="N541" s="85"/>
      <c r="O541" s="85"/>
      <c r="P541" s="85"/>
      <c r="Q541" s="85">
        <f>C541*(E541-$Q$1)/28</f>
        <v>-8.0357142857142863E-2</v>
      </c>
      <c r="R541" s="85">
        <f t="shared" si="23"/>
        <v>-0.29032258064516131</v>
      </c>
      <c r="S541" s="85"/>
      <c r="T541" s="85"/>
      <c r="U541" s="85"/>
      <c r="V541" s="84"/>
      <c r="W541" s="84"/>
      <c r="X541" s="84" t="str">
        <f t="shared" si="22"/>
        <v>OK</v>
      </c>
      <c r="Y541" s="87"/>
      <c r="Z541" s="87"/>
      <c r="AA541" s="87"/>
      <c r="AB541" s="105"/>
      <c r="AC541" s="87"/>
      <c r="AD541" s="87"/>
      <c r="AE541" s="87"/>
      <c r="AF541" s="87"/>
      <c r="AG541" s="87"/>
      <c r="AH541" s="87"/>
      <c r="AI541" s="87"/>
      <c r="AJ541" s="87"/>
      <c r="AK541" s="87"/>
      <c r="AL541" s="87"/>
      <c r="AM541" s="87"/>
      <c r="AN541" s="87"/>
      <c r="AO541" s="87"/>
      <c r="AP541" s="87"/>
      <c r="AQ541" s="87"/>
      <c r="AR541" s="87"/>
      <c r="AS541" s="87"/>
      <c r="AT541" s="87"/>
      <c r="AU541" s="87"/>
      <c r="AV541" s="87"/>
      <c r="AW541" s="87"/>
      <c r="AX541" s="87"/>
      <c r="AY541" s="87"/>
      <c r="AZ541" s="87"/>
      <c r="BA541" s="87"/>
      <c r="BB541" s="87"/>
      <c r="BC541" s="87"/>
      <c r="BD541" s="87"/>
      <c r="BE541" s="87"/>
      <c r="BF541" s="87"/>
      <c r="BG541" s="87"/>
      <c r="BH541" s="87"/>
      <c r="BI541" s="87"/>
      <c r="BJ541" s="87"/>
      <c r="BK541" s="87"/>
      <c r="BL541" s="87"/>
      <c r="BM541" s="87"/>
      <c r="BN541" s="87"/>
      <c r="BO541" s="87"/>
      <c r="BP541" s="87"/>
      <c r="BQ541" s="87"/>
      <c r="BR541" s="87"/>
      <c r="BS541" s="87"/>
      <c r="BT541" s="87"/>
      <c r="BU541" s="87"/>
      <c r="BV541" s="87"/>
      <c r="BW541" s="87"/>
      <c r="BX541" s="87"/>
      <c r="BY541" s="87"/>
      <c r="BZ541" s="87"/>
      <c r="CP541">
        <f>-1/7*C541</f>
        <v>-0.3214285714285714</v>
      </c>
      <c r="CR541">
        <f>-CP541</f>
        <v>0.3214285714285714</v>
      </c>
      <c r="EG541" s="75">
        <v>46017</v>
      </c>
      <c r="EH541" s="75">
        <v>46024</v>
      </c>
      <c r="EI541" s="75">
        <v>46031</v>
      </c>
    </row>
    <row r="542" spans="1:139" ht="16.5" hidden="1" thickBot="1" x14ac:dyDescent="0.35">
      <c r="A542" s="175" t="s">
        <v>352</v>
      </c>
      <c r="B542" s="191">
        <v>5</v>
      </c>
      <c r="C542" s="177">
        <f>12.5*0.95</f>
        <v>11.875</v>
      </c>
      <c r="D542" s="217">
        <f>C542/VLOOKUP(B542,'[2]Gas Prod per PADD'!$A$1:$C$6,2,FALSE)</f>
        <v>8.7962962962962968E-3</v>
      </c>
      <c r="E542" s="220">
        <v>45682</v>
      </c>
      <c r="F542" s="252">
        <f>E542+40</f>
        <v>45722</v>
      </c>
      <c r="G542" s="180" t="s">
        <v>401</v>
      </c>
      <c r="H542" s="198" t="s">
        <v>924</v>
      </c>
      <c r="I542" s="84"/>
      <c r="J542" s="85"/>
      <c r="K542" s="85"/>
      <c r="L542" s="85"/>
      <c r="M542" s="85"/>
      <c r="N542" s="85"/>
      <c r="O542" s="85"/>
      <c r="P542" s="85">
        <f>C542*(E542-$P$1)/31</f>
        <v>-2.2983870967741935</v>
      </c>
      <c r="Q542" s="85">
        <f>-C542</f>
        <v>-11.875</v>
      </c>
      <c r="R542" s="85">
        <f t="shared" si="23"/>
        <v>-1.9153225806451613</v>
      </c>
      <c r="S542" s="85"/>
      <c r="T542" s="85"/>
      <c r="U542" s="85"/>
      <c r="V542" s="84"/>
      <c r="W542" s="84"/>
      <c r="X542" s="84" t="str">
        <f t="shared" si="22"/>
        <v>OK</v>
      </c>
      <c r="Y542" s="86"/>
      <c r="Z542" s="87"/>
      <c r="AA542" s="87"/>
      <c r="AB542" s="87"/>
      <c r="AC542" s="87"/>
      <c r="AD542" s="87"/>
      <c r="AE542" s="87"/>
      <c r="AF542" s="87"/>
      <c r="AG542" s="87"/>
      <c r="AH542" s="87"/>
      <c r="AI542" s="87"/>
      <c r="AJ542" s="87"/>
      <c r="AK542" s="87"/>
      <c r="AL542" s="87"/>
      <c r="AM542" s="87"/>
      <c r="AN542" s="87"/>
      <c r="AO542" s="87"/>
      <c r="AP542" s="87"/>
      <c r="AQ542" s="87"/>
      <c r="AR542" s="87"/>
      <c r="AS542" s="87"/>
      <c r="AT542" s="87"/>
      <c r="AU542" s="87"/>
      <c r="AV542" s="87"/>
      <c r="AW542" s="87"/>
      <c r="AX542" s="87"/>
      <c r="AY542" s="87"/>
      <c r="AZ542" s="87"/>
      <c r="BA542" s="87"/>
      <c r="BB542" s="87"/>
      <c r="BC542" s="87"/>
      <c r="BD542" s="87"/>
      <c r="BE542" s="87"/>
      <c r="BF542" s="87"/>
      <c r="BG542" s="87"/>
      <c r="BH542" s="87"/>
      <c r="BI542" s="87"/>
      <c r="BJ542" s="105"/>
      <c r="BK542" s="87"/>
      <c r="BL542" s="105"/>
      <c r="BM542" s="87"/>
      <c r="BN542" s="87"/>
      <c r="BO542" s="87"/>
      <c r="BP542" s="87"/>
      <c r="BQ542" s="87"/>
      <c r="BR542" s="87"/>
      <c r="BS542" s="87"/>
      <c r="BT542" s="87"/>
      <c r="BU542" s="87"/>
      <c r="BV542" s="87"/>
      <c r="BW542" s="87"/>
      <c r="BX542" s="105"/>
      <c r="BY542" s="105"/>
      <c r="BZ542" s="87"/>
      <c r="CA542" s="87"/>
      <c r="CB542" s="105"/>
      <c r="CC542" s="87"/>
      <c r="CD542" s="87"/>
      <c r="CE542" s="87"/>
      <c r="CF542" s="87"/>
      <c r="CG542" s="87"/>
      <c r="CH542" s="87"/>
      <c r="CI542" s="87"/>
      <c r="CJ542" s="87"/>
      <c r="CK542" s="87"/>
      <c r="CL542" s="87">
        <f>-C542*6/7</f>
        <v>-10.178571428571429</v>
      </c>
      <c r="CM542" s="87">
        <f>-1/7*C542</f>
        <v>-1.6964285714285714</v>
      </c>
      <c r="CN542" s="87"/>
      <c r="CO542" s="87"/>
      <c r="CP542" s="87"/>
      <c r="CQ542" s="87">
        <f>CM542*-1</f>
        <v>1.6964285714285714</v>
      </c>
      <c r="CR542" s="87">
        <f>CL542*-1</f>
        <v>10.178571428571429</v>
      </c>
      <c r="CS542" s="87"/>
      <c r="CT542" s="87"/>
      <c r="CU542" s="87"/>
      <c r="CV542" s="87"/>
      <c r="CW542" s="87"/>
      <c r="CX542" s="87"/>
      <c r="CY542" s="87"/>
      <c r="CZ542" s="87"/>
      <c r="DA542" s="87"/>
      <c r="DB542" s="87"/>
      <c r="DC542" s="87"/>
      <c r="DD542" s="87"/>
      <c r="DE542" s="87"/>
      <c r="DF542" s="87"/>
      <c r="DG542" s="87"/>
      <c r="DH542" s="87"/>
      <c r="DI542" s="87"/>
      <c r="DJ542" s="87"/>
      <c r="DK542" s="87"/>
      <c r="DL542" s="87"/>
      <c r="DM542" s="87"/>
      <c r="DN542" s="87"/>
      <c r="DO542" s="87"/>
      <c r="DP542" s="87"/>
      <c r="DQ542" s="87"/>
      <c r="DR542" s="87"/>
      <c r="DS542" s="87"/>
      <c r="DT542" s="87"/>
      <c r="DU542" s="87"/>
      <c r="DV542" s="87"/>
      <c r="DW542" s="87"/>
      <c r="DX542" s="87"/>
      <c r="DY542" s="87"/>
      <c r="DZ542" s="87"/>
      <c r="EA542" s="87"/>
      <c r="EB542" s="87"/>
      <c r="EC542" s="87"/>
      <c r="ED542" s="87"/>
      <c r="EE542" s="87"/>
      <c r="EF542" s="87"/>
      <c r="EG542" s="75">
        <v>46017</v>
      </c>
      <c r="EH542" s="75">
        <v>46024</v>
      </c>
      <c r="EI542" s="75">
        <v>46031</v>
      </c>
    </row>
    <row r="543" spans="1:139" ht="16.5" hidden="1" thickBot="1" x14ac:dyDescent="0.35">
      <c r="A543" s="190" t="s">
        <v>345</v>
      </c>
      <c r="B543" s="282">
        <v>3</v>
      </c>
      <c r="C543" s="177">
        <f>116*0.25</f>
        <v>29</v>
      </c>
      <c r="D543" s="217">
        <f>C543/VLOOKUP(B543,'[2]Gas Prod per PADD'!$A$1:$C$6,2,FALSE)</f>
        <v>6.3043478260869567E-3</v>
      </c>
      <c r="E543" s="178">
        <v>45712</v>
      </c>
      <c r="F543" s="252">
        <v>45722</v>
      </c>
      <c r="G543" s="180" t="s">
        <v>925</v>
      </c>
      <c r="H543" s="181" t="s">
        <v>364</v>
      </c>
      <c r="I543" s="84"/>
      <c r="J543" s="85"/>
      <c r="K543" s="85"/>
      <c r="L543" s="85"/>
      <c r="M543" s="85"/>
      <c r="N543" s="85"/>
      <c r="O543" s="85"/>
      <c r="P543" s="85"/>
      <c r="Q543" s="85">
        <f>C543*(E543-$Q$1)/28</f>
        <v>-4.1428571428571432</v>
      </c>
      <c r="R543" s="85">
        <f t="shared" si="23"/>
        <v>-4.67741935483871</v>
      </c>
      <c r="S543" s="85"/>
      <c r="T543" s="85"/>
      <c r="U543" s="85"/>
      <c r="V543" s="84"/>
      <c r="W543" s="84"/>
      <c r="X543" s="84" t="str">
        <f t="shared" si="22"/>
        <v>OK</v>
      </c>
      <c r="Y543" s="105"/>
      <c r="Z543" s="105"/>
      <c r="AA543" s="87"/>
      <c r="AB543" s="87"/>
      <c r="AC543" s="87"/>
      <c r="AD543" s="87"/>
      <c r="AE543" s="105"/>
      <c r="AF543" s="105"/>
      <c r="AG543" s="105"/>
      <c r="AH543" s="105"/>
      <c r="AI543" s="87"/>
      <c r="AJ543" s="87"/>
      <c r="AK543" s="105"/>
      <c r="AL543" s="87"/>
      <c r="AM543" s="105"/>
      <c r="AN543" s="105"/>
      <c r="AO543" s="87"/>
      <c r="AP543" s="87"/>
      <c r="AQ543" s="105"/>
      <c r="AR543" s="105"/>
      <c r="AS543" s="87"/>
      <c r="AT543" s="105"/>
      <c r="AU543" s="105"/>
      <c r="AV543" s="87"/>
      <c r="AW543" s="105"/>
      <c r="AX543" s="105"/>
      <c r="AY543" s="87"/>
      <c r="AZ543" s="105"/>
      <c r="BA543" s="105"/>
      <c r="BB543" s="105"/>
      <c r="BC543" s="87"/>
      <c r="BD543" s="87"/>
      <c r="BE543" s="105"/>
      <c r="BF543" s="105"/>
      <c r="BG543" s="105"/>
      <c r="BH543" s="105"/>
      <c r="BI543" s="105"/>
      <c r="BJ543" s="87"/>
      <c r="BK543" s="87"/>
      <c r="BL543" s="87"/>
      <c r="BM543" s="87"/>
      <c r="BN543" s="87"/>
      <c r="BO543" s="105"/>
      <c r="BP543" s="105"/>
      <c r="BQ543" s="105"/>
      <c r="BR543" s="87"/>
      <c r="BS543" s="87"/>
      <c r="BT543" s="87"/>
      <c r="BU543" s="87"/>
      <c r="BV543" s="87"/>
      <c r="BW543" s="87"/>
      <c r="BX543" s="105"/>
      <c r="BY543" s="87"/>
      <c r="BZ543" s="87"/>
      <c r="CA543" s="87"/>
      <c r="CB543" s="87"/>
      <c r="CC543" s="87"/>
      <c r="CD543" s="87"/>
      <c r="CE543" s="87"/>
      <c r="CF543" s="87"/>
      <c r="CG543" s="87"/>
      <c r="CH543" s="87"/>
      <c r="CI543" s="87"/>
      <c r="CJ543" s="87"/>
      <c r="CK543" s="87"/>
      <c r="CL543" s="87"/>
      <c r="CM543" s="87"/>
      <c r="CN543" s="87"/>
      <c r="CO543" s="87"/>
      <c r="CP543" s="87">
        <f>-4/7*C543</f>
        <v>-16.571428571428569</v>
      </c>
      <c r="CQ543" s="87"/>
      <c r="CR543" s="87">
        <f>-CP543</f>
        <v>16.571428571428569</v>
      </c>
      <c r="CS543" s="87"/>
      <c r="CT543" s="87"/>
      <c r="CU543" s="87"/>
      <c r="CV543" s="87"/>
      <c r="CW543" s="87"/>
      <c r="CX543" s="87"/>
      <c r="CY543" s="87"/>
      <c r="CZ543" s="87"/>
      <c r="DA543" s="87"/>
      <c r="DB543" s="87"/>
      <c r="DC543" s="87"/>
      <c r="DD543" s="87"/>
      <c r="DE543" s="87"/>
      <c r="DF543" s="87"/>
      <c r="DG543" s="87"/>
      <c r="DH543" s="87"/>
      <c r="DI543" s="87"/>
      <c r="DJ543" s="87"/>
      <c r="DK543" s="87"/>
      <c r="DL543" s="87"/>
      <c r="DM543" s="87"/>
      <c r="DN543" s="87"/>
      <c r="DO543" s="87"/>
      <c r="DP543" s="87"/>
      <c r="DQ543" s="87"/>
      <c r="DR543" s="87"/>
      <c r="DS543" s="87"/>
      <c r="DT543" s="87"/>
      <c r="DU543" s="87"/>
      <c r="DV543" s="87"/>
      <c r="DW543" s="87"/>
      <c r="DX543" s="87"/>
      <c r="DY543" s="87"/>
      <c r="DZ543" s="87"/>
      <c r="EA543" s="87"/>
      <c r="EB543" s="87"/>
      <c r="EC543" s="87"/>
      <c r="ED543" s="87"/>
      <c r="EE543" s="87"/>
      <c r="EF543" s="87"/>
      <c r="EG543" s="87"/>
      <c r="EH543" s="87"/>
      <c r="EI543" s="87"/>
    </row>
    <row r="544" spans="1:139" ht="16.5" hidden="1" thickBot="1" x14ac:dyDescent="0.35">
      <c r="A544" s="113" t="s">
        <v>82</v>
      </c>
      <c r="B544" s="199">
        <v>4</v>
      </c>
      <c r="C544" s="195">
        <f>15*0.05</f>
        <v>0.75</v>
      </c>
      <c r="D544" s="217">
        <f>C544/VLOOKUP(B544,'[2]Gas Prod per PADD'!$A$1:$C$6,2,FALSE)</f>
        <v>2.2058823529411764E-3</v>
      </c>
      <c r="E544" s="281">
        <v>45719</v>
      </c>
      <c r="F544" s="281">
        <f>E544+3</f>
        <v>45722</v>
      </c>
      <c r="G544" s="194" t="s">
        <v>863</v>
      </c>
      <c r="H544" s="181" t="s">
        <v>364</v>
      </c>
      <c r="I544" s="84"/>
      <c r="J544" s="85"/>
      <c r="K544" s="85"/>
      <c r="L544" s="85"/>
      <c r="M544" s="85"/>
      <c r="N544" s="85"/>
      <c r="O544" s="85"/>
      <c r="P544" s="85"/>
      <c r="Q544" s="85"/>
      <c r="R544" s="85">
        <f>C544*(E544-F544)/31</f>
        <v>-7.2580645161290328E-2</v>
      </c>
      <c r="S544" s="85"/>
      <c r="T544" s="85"/>
      <c r="U544" s="85"/>
      <c r="V544" s="84"/>
      <c r="W544" s="84"/>
      <c r="X544" s="84" t="str">
        <f t="shared" si="22"/>
        <v>OK</v>
      </c>
      <c r="Y544" s="105"/>
      <c r="Z544" s="105"/>
      <c r="AA544" s="87"/>
      <c r="AB544" s="87"/>
      <c r="AC544" s="87"/>
      <c r="AD544" s="87"/>
      <c r="AE544" s="105"/>
      <c r="AF544" s="105"/>
      <c r="AG544" s="105"/>
      <c r="AH544" s="105"/>
      <c r="AI544" s="87"/>
      <c r="AJ544" s="87"/>
      <c r="AK544" s="87"/>
      <c r="AL544" s="87"/>
      <c r="AM544" s="87"/>
      <c r="AN544" s="87"/>
      <c r="AO544" s="87"/>
      <c r="AP544" s="87"/>
      <c r="AQ544" s="87"/>
      <c r="AR544" s="105"/>
      <c r="AS544" s="105"/>
      <c r="AT544" s="105"/>
      <c r="AU544" s="87"/>
      <c r="AV544" s="87"/>
      <c r="AW544" s="87"/>
      <c r="AX544" s="87"/>
      <c r="AY544" s="87"/>
      <c r="AZ544" s="87"/>
      <c r="BA544" s="87"/>
      <c r="BB544" s="87"/>
      <c r="BC544" s="87"/>
      <c r="BD544" s="87"/>
      <c r="BE544" s="87"/>
      <c r="BF544" s="87"/>
      <c r="BG544" s="87"/>
      <c r="BH544" s="87"/>
      <c r="BI544" s="87"/>
      <c r="BJ544" s="87"/>
      <c r="BK544" s="87"/>
      <c r="BL544" s="87"/>
      <c r="BM544" s="87"/>
      <c r="BN544" s="87"/>
      <c r="BO544" s="87"/>
      <c r="BP544" s="87"/>
      <c r="BQ544" s="87"/>
      <c r="BR544" s="87"/>
      <c r="BS544" s="87"/>
      <c r="BT544" s="87"/>
      <c r="BU544" s="87"/>
      <c r="BV544" s="87"/>
      <c r="BW544" s="87"/>
      <c r="BX544" s="87"/>
      <c r="BY544" s="87"/>
      <c r="BZ544" s="87"/>
      <c r="CA544" s="87"/>
      <c r="CB544" s="87"/>
      <c r="CC544" s="87"/>
      <c r="CD544" s="87"/>
      <c r="CE544" s="87"/>
      <c r="CF544" s="87"/>
      <c r="CG544" s="87"/>
      <c r="CH544" s="87"/>
      <c r="CI544" s="87"/>
      <c r="CJ544" s="87"/>
      <c r="CK544" s="87"/>
      <c r="CL544" s="87"/>
      <c r="CM544" s="87"/>
      <c r="CN544" s="87"/>
      <c r="CO544" s="87"/>
      <c r="CP544" s="87"/>
      <c r="CQ544" s="87">
        <f>-C544*(3/7)</f>
        <v>-0.3214285714285714</v>
      </c>
      <c r="CR544" s="87">
        <f>-CQ544</f>
        <v>0.3214285714285714</v>
      </c>
      <c r="CS544" s="87"/>
      <c r="CT544" s="87"/>
      <c r="CU544" s="87"/>
      <c r="CV544" s="87"/>
      <c r="CW544" s="87"/>
      <c r="CX544" s="87"/>
      <c r="CY544" s="87"/>
      <c r="CZ544" s="87"/>
      <c r="DA544" s="87"/>
      <c r="DB544" s="87"/>
      <c r="DC544" s="87"/>
      <c r="DD544" s="87"/>
      <c r="DE544" s="87"/>
      <c r="DF544" s="87"/>
      <c r="DG544" s="87"/>
      <c r="DH544" s="87"/>
      <c r="DI544" s="87"/>
      <c r="DJ544" s="87"/>
      <c r="DK544" s="87"/>
      <c r="DL544" s="87"/>
      <c r="DM544" s="87"/>
      <c r="DN544" s="87"/>
      <c r="DO544" s="87"/>
      <c r="DP544" s="87"/>
      <c r="DQ544" s="87"/>
      <c r="DR544" s="87"/>
      <c r="DS544" s="87"/>
      <c r="DT544" s="87"/>
      <c r="DU544" s="87"/>
      <c r="DV544" s="87"/>
      <c r="DW544" s="87"/>
      <c r="DX544" s="87"/>
      <c r="DY544" s="87"/>
      <c r="DZ544" s="87"/>
      <c r="EA544" s="87"/>
      <c r="EB544" s="87"/>
      <c r="EC544" s="87"/>
      <c r="ED544" s="87"/>
      <c r="EE544" s="87"/>
      <c r="EF544" s="87"/>
      <c r="EG544" s="87"/>
      <c r="EH544" s="87"/>
      <c r="EI544" s="87"/>
    </row>
    <row r="545" spans="1:139" ht="16.5" hidden="1" thickBot="1" x14ac:dyDescent="0.35">
      <c r="A545" s="242" t="s">
        <v>630</v>
      </c>
      <c r="B545" s="199">
        <v>5</v>
      </c>
      <c r="C545" s="177">
        <f>(54*0.65)</f>
        <v>35.1</v>
      </c>
      <c r="D545" s="217">
        <f>C545/VLOOKUP(B545,'[2]Gas Prod per PADD'!$A$1:$C$6,2,FALSE)</f>
        <v>2.6000000000000002E-2</v>
      </c>
      <c r="E545" s="337">
        <v>45667</v>
      </c>
      <c r="F545" s="344">
        <v>45723</v>
      </c>
      <c r="G545" s="180" t="s">
        <v>926</v>
      </c>
      <c r="H545" s="345" t="s">
        <v>927</v>
      </c>
      <c r="I545" s="84"/>
      <c r="J545" s="85"/>
      <c r="K545" s="85"/>
      <c r="L545" s="85"/>
      <c r="M545" s="85"/>
      <c r="N545" s="85"/>
      <c r="O545" s="85"/>
      <c r="P545" s="85">
        <f>C545*(E545-$P$1)/31</f>
        <v>-23.77741935483871</v>
      </c>
      <c r="Q545" s="85">
        <f>-C545</f>
        <v>-35.1</v>
      </c>
      <c r="R545" s="85">
        <f>C545*($Q$1+1-F545)/31</f>
        <v>-6.7935483870967746</v>
      </c>
      <c r="S545" s="85"/>
      <c r="T545" s="85"/>
      <c r="U545" s="85"/>
      <c r="V545" s="84"/>
      <c r="W545" s="84"/>
      <c r="X545" s="84" t="str">
        <f t="shared" si="22"/>
        <v>OK</v>
      </c>
      <c r="Y545" s="87"/>
      <c r="Z545" s="87"/>
      <c r="AA545" s="87"/>
      <c r="AB545" s="87"/>
      <c r="AC545" s="87"/>
      <c r="AD545" s="87"/>
      <c r="AE545" s="87"/>
      <c r="AF545" s="87"/>
      <c r="AG545" s="87"/>
      <c r="AH545" s="87"/>
      <c r="AI545" s="87"/>
      <c r="AJ545" s="87"/>
      <c r="AK545" s="87"/>
      <c r="AL545" s="87"/>
      <c r="AM545" s="87"/>
      <c r="AN545" s="87"/>
      <c r="AO545" s="87"/>
      <c r="AP545" s="87"/>
      <c r="AQ545" s="87"/>
      <c r="AR545" s="87"/>
      <c r="AS545" s="87"/>
      <c r="AT545" s="87"/>
      <c r="AU545" s="87"/>
      <c r="AV545" s="87"/>
      <c r="AW545" s="87"/>
      <c r="AX545" s="87"/>
      <c r="AY545" s="87"/>
      <c r="AZ545" s="87"/>
      <c r="BA545" s="87"/>
      <c r="BB545" s="87"/>
      <c r="BC545" s="87"/>
      <c r="BD545" s="87"/>
      <c r="BE545" s="87"/>
      <c r="BF545" s="87"/>
      <c r="BG545" s="87"/>
      <c r="BH545" s="87"/>
      <c r="BI545" s="87"/>
      <c r="BJ545" s="87"/>
      <c r="BK545" s="87"/>
      <c r="BL545" s="87"/>
      <c r="BM545" s="87"/>
      <c r="BN545" s="87"/>
      <c r="BO545" s="87"/>
      <c r="BP545" s="87"/>
      <c r="BQ545" s="87"/>
      <c r="BR545" s="87"/>
      <c r="BS545" s="87"/>
      <c r="BT545" s="87"/>
      <c r="BU545" s="87"/>
      <c r="BV545" s="87"/>
      <c r="BW545" s="87"/>
      <c r="BX545" s="87"/>
      <c r="BY545" s="87"/>
      <c r="BZ545" s="87"/>
      <c r="CA545" s="87"/>
      <c r="CB545" s="87"/>
      <c r="CC545" s="87"/>
      <c r="CD545" s="87"/>
      <c r="CE545" s="87"/>
      <c r="CF545" s="87"/>
      <c r="CG545" s="87"/>
      <c r="CH545" s="87"/>
      <c r="CI545" s="87"/>
      <c r="CJ545" s="87">
        <f>-C545</f>
        <v>-35.1</v>
      </c>
      <c r="CK545" s="87"/>
      <c r="CL545" s="87"/>
      <c r="CM545" s="87"/>
      <c r="CN545" s="87"/>
      <c r="CO545" s="87"/>
      <c r="CP545" s="87"/>
      <c r="CQ545" s="87">
        <f>C545*1/7</f>
        <v>5.0142857142857142</v>
      </c>
      <c r="CR545" s="87">
        <f>C545*6/7</f>
        <v>30.085714285714289</v>
      </c>
      <c r="CS545" s="295"/>
      <c r="CT545" s="87"/>
      <c r="CU545" s="87"/>
      <c r="CV545" s="87"/>
      <c r="CW545" s="87"/>
      <c r="CX545" s="87"/>
      <c r="CY545" s="87"/>
      <c r="CZ545" s="87"/>
      <c r="DA545" s="87"/>
      <c r="DB545" s="87"/>
      <c r="DC545" s="87"/>
      <c r="DD545" s="87"/>
      <c r="DE545" s="87"/>
      <c r="DF545" s="87"/>
      <c r="DG545" s="87"/>
      <c r="DH545" s="87"/>
      <c r="DI545" s="87"/>
      <c r="DJ545" s="87"/>
      <c r="DK545" s="87"/>
      <c r="DL545" s="87"/>
      <c r="DM545" s="87"/>
      <c r="DN545" s="87"/>
      <c r="DO545" s="87"/>
      <c r="DP545" s="87"/>
      <c r="DQ545" s="87"/>
      <c r="DR545" s="87"/>
      <c r="DS545" s="87"/>
      <c r="DT545" s="87"/>
      <c r="DU545" s="87"/>
      <c r="DV545" s="87"/>
      <c r="DW545" s="87"/>
      <c r="DX545" s="87"/>
      <c r="DY545" s="87"/>
      <c r="DZ545" s="87"/>
      <c r="EA545" s="87"/>
      <c r="EB545" s="87"/>
      <c r="EC545" s="87"/>
      <c r="ED545" s="87"/>
      <c r="EE545" s="87"/>
      <c r="EF545" s="87"/>
      <c r="EG545" s="75">
        <v>46017</v>
      </c>
      <c r="EH545" s="75">
        <v>46024</v>
      </c>
      <c r="EI545" s="75">
        <v>46031</v>
      </c>
    </row>
    <row r="546" spans="1:139" ht="16.5" hidden="1" thickBot="1" x14ac:dyDescent="0.35">
      <c r="A546" s="190" t="s">
        <v>149</v>
      </c>
      <c r="B546" s="176">
        <v>3</v>
      </c>
      <c r="C546" s="177">
        <f>88*0.25</f>
        <v>22</v>
      </c>
      <c r="D546" s="217">
        <f>C546/VLOOKUP(B546,'[2]Gas Prod per PADD'!$A$1:$C$6,2,FALSE)</f>
        <v>4.7826086956521737E-3</v>
      </c>
      <c r="E546" s="178">
        <v>45670</v>
      </c>
      <c r="F546" s="179">
        <v>45723</v>
      </c>
      <c r="G546" s="180" t="s">
        <v>928</v>
      </c>
      <c r="H546" s="181" t="s">
        <v>929</v>
      </c>
      <c r="I546" s="84"/>
      <c r="J546" s="85"/>
      <c r="K546" s="85"/>
      <c r="L546" s="85"/>
      <c r="M546" s="85"/>
      <c r="N546" s="85"/>
      <c r="O546" s="85"/>
      <c r="P546" s="85">
        <f>C546*(E546-$P$1)/31</f>
        <v>-12.774193548387096</v>
      </c>
      <c r="Q546" s="85">
        <f>-C546</f>
        <v>-22</v>
      </c>
      <c r="R546" s="85">
        <f>C546*($Q$1+1-F546)/31</f>
        <v>-4.258064516129032</v>
      </c>
      <c r="S546" s="85"/>
      <c r="T546" s="85"/>
      <c r="U546" s="85"/>
      <c r="V546" s="84"/>
      <c r="W546" s="84"/>
      <c r="X546" s="84" t="str">
        <f t="shared" si="22"/>
        <v>OK</v>
      </c>
      <c r="Y546" s="105"/>
      <c r="Z546" s="105"/>
      <c r="AA546" s="87"/>
      <c r="AB546" s="87"/>
      <c r="AC546" s="87"/>
      <c r="AD546" s="87"/>
      <c r="AE546" s="105"/>
      <c r="AF546" s="105"/>
      <c r="AG546" s="105"/>
      <c r="AH546" s="105"/>
      <c r="AI546" s="87"/>
      <c r="AJ546" s="87"/>
      <c r="AK546" s="105"/>
      <c r="AL546" s="87"/>
      <c r="AM546" s="105"/>
      <c r="AN546" s="105"/>
      <c r="AO546" s="87"/>
      <c r="AP546" s="87"/>
      <c r="AQ546" s="105"/>
      <c r="AR546" s="105"/>
      <c r="AS546" s="87"/>
      <c r="AT546" s="105"/>
      <c r="AU546" s="105"/>
      <c r="AV546" s="87"/>
      <c r="AW546" s="105"/>
      <c r="AX546" s="105"/>
      <c r="AY546" s="87"/>
      <c r="AZ546" s="105"/>
      <c r="BA546" s="105"/>
      <c r="BB546" s="105"/>
      <c r="BC546" s="87"/>
      <c r="BD546" s="87"/>
      <c r="BE546" s="105"/>
      <c r="BF546" s="105"/>
      <c r="BG546" s="105"/>
      <c r="BH546" s="105"/>
      <c r="BI546" s="105"/>
      <c r="BJ546" s="87"/>
      <c r="BK546" s="87"/>
      <c r="BL546" s="87"/>
      <c r="BM546" s="87"/>
      <c r="BN546" s="87"/>
      <c r="BO546" s="105"/>
      <c r="BP546" s="105"/>
      <c r="BQ546" s="105"/>
      <c r="BR546" s="105"/>
      <c r="BS546" s="105"/>
      <c r="BT546" s="87"/>
      <c r="BU546" s="87"/>
      <c r="BV546" s="87"/>
      <c r="BW546" s="87"/>
      <c r="BX546" s="87"/>
      <c r="BY546" s="87"/>
      <c r="BZ546" s="87"/>
      <c r="CA546" s="87"/>
      <c r="CB546" s="87"/>
      <c r="CC546" s="87"/>
      <c r="CD546" s="87"/>
      <c r="CE546" s="87"/>
      <c r="CF546" s="87"/>
      <c r="CG546" s="87"/>
      <c r="CH546" s="87"/>
      <c r="CI546" s="87"/>
      <c r="CJ546" s="87">
        <f>-C546</f>
        <v>-22</v>
      </c>
      <c r="CK546" s="87"/>
      <c r="CL546" s="87"/>
      <c r="CM546" s="87"/>
      <c r="CN546" s="87"/>
      <c r="CO546" s="87"/>
      <c r="CP546" s="87"/>
      <c r="CQ546" s="87">
        <f>C546*1/7</f>
        <v>3.1428571428571428</v>
      </c>
      <c r="CR546" s="87">
        <f>C546*6/7</f>
        <v>18.857142857142858</v>
      </c>
      <c r="CS546" s="87"/>
      <c r="CT546" s="87"/>
      <c r="CU546" s="87"/>
      <c r="CV546" s="87"/>
      <c r="CW546" s="87"/>
      <c r="CX546" s="87"/>
      <c r="CY546" s="87"/>
      <c r="CZ546" s="87"/>
      <c r="DA546" s="87"/>
      <c r="DB546" s="87"/>
      <c r="DC546" s="87"/>
      <c r="DD546" s="87"/>
      <c r="DE546" s="87"/>
      <c r="DF546" s="87"/>
      <c r="DG546" s="87"/>
      <c r="DH546" s="87"/>
      <c r="DI546" s="87"/>
      <c r="DJ546" s="87"/>
      <c r="DK546" s="87"/>
      <c r="DL546" s="87"/>
      <c r="DM546" s="87"/>
      <c r="DN546" s="87"/>
      <c r="DO546" s="87"/>
      <c r="DP546" s="87"/>
      <c r="DQ546" s="87"/>
      <c r="DR546" s="87"/>
      <c r="DS546" s="87"/>
      <c r="DT546" s="87"/>
      <c r="DU546" s="87"/>
      <c r="DV546" s="87"/>
      <c r="DW546" s="87"/>
      <c r="DX546" s="87"/>
      <c r="DY546" s="87"/>
      <c r="DZ546" s="87"/>
      <c r="EA546" s="87"/>
      <c r="EB546" s="87"/>
      <c r="EC546" s="87"/>
      <c r="ED546" s="87"/>
      <c r="EE546" s="87"/>
      <c r="EF546" s="87"/>
      <c r="EG546" s="87"/>
      <c r="EH546" s="87"/>
      <c r="EI546" s="87"/>
    </row>
    <row r="547" spans="1:139" ht="16.5" hidden="1" thickBot="1" x14ac:dyDescent="0.35">
      <c r="A547" s="190" t="s">
        <v>334</v>
      </c>
      <c r="B547" s="176">
        <v>3</v>
      </c>
      <c r="C547" s="177">
        <f>64*0.25</f>
        <v>16</v>
      </c>
      <c r="D547" s="217">
        <f>C547/VLOOKUP(B547,'[2]Gas Prod per PADD'!$A$1:$C$6,2,FALSE)</f>
        <v>3.4782608695652175E-3</v>
      </c>
      <c r="E547" s="251">
        <v>45721</v>
      </c>
      <c r="F547" s="252">
        <f>E547+2</f>
        <v>45723</v>
      </c>
      <c r="G547" s="180" t="s">
        <v>705</v>
      </c>
      <c r="H547" s="181" t="s">
        <v>930</v>
      </c>
      <c r="I547" s="84"/>
      <c r="J547" s="85"/>
      <c r="K547" s="85"/>
      <c r="L547" s="85"/>
      <c r="M547" s="85"/>
      <c r="N547" s="85"/>
      <c r="O547" s="85"/>
      <c r="P547" s="85"/>
      <c r="Q547" s="85"/>
      <c r="R547" s="85">
        <f>C547*(E547-F547)/31</f>
        <v>-1.032258064516129</v>
      </c>
      <c r="S547" s="85"/>
      <c r="T547" s="85"/>
      <c r="U547" s="85"/>
      <c r="V547" s="84"/>
      <c r="W547" s="84"/>
      <c r="X547" s="84" t="str">
        <f t="shared" si="22"/>
        <v>OK</v>
      </c>
      <c r="Y547" s="87"/>
      <c r="Z547" s="87"/>
      <c r="AA547" s="87"/>
      <c r="AB547" s="87"/>
      <c r="AC547" s="87"/>
      <c r="AD547" s="87"/>
      <c r="AE547" s="87"/>
      <c r="AF547" s="87"/>
      <c r="AG547" s="87"/>
      <c r="AH547" s="87"/>
      <c r="AI547" s="87"/>
      <c r="AJ547" s="87"/>
      <c r="AK547" s="87"/>
      <c r="AL547" s="87"/>
      <c r="AM547" s="87"/>
      <c r="AN547" s="87"/>
      <c r="AO547" s="87"/>
      <c r="AP547" s="87"/>
      <c r="AQ547" s="87"/>
      <c r="AR547" s="87"/>
      <c r="AS547" s="87"/>
      <c r="AT547" s="87"/>
      <c r="AU547" s="87"/>
      <c r="AV547" s="87"/>
      <c r="AW547" s="87"/>
      <c r="AX547" s="87"/>
      <c r="AY547" s="87"/>
      <c r="AZ547" s="87"/>
      <c r="BA547" s="87"/>
      <c r="BB547" s="87"/>
      <c r="BC547" s="87"/>
      <c r="BD547" s="87"/>
      <c r="BE547" s="87"/>
      <c r="BF547" s="87"/>
      <c r="BG547" s="87"/>
      <c r="BH547" s="87"/>
      <c r="BI547" s="87"/>
      <c r="BJ547" s="87"/>
      <c r="BK547" s="87"/>
      <c r="BL547" s="87"/>
      <c r="BM547" s="87"/>
      <c r="BN547" s="87"/>
      <c r="BO547" s="87"/>
      <c r="BP547" s="87"/>
      <c r="BQ547" s="87"/>
      <c r="BR547" s="87"/>
      <c r="BS547" s="87"/>
      <c r="BT547" s="87"/>
      <c r="BU547" s="87"/>
      <c r="BV547" s="87"/>
      <c r="BW547" s="87"/>
      <c r="BX547" s="87"/>
      <c r="BY547" s="87"/>
      <c r="BZ547" s="87"/>
      <c r="CA547" s="87"/>
      <c r="CB547" s="87"/>
      <c r="CC547" s="87"/>
      <c r="CD547" s="87"/>
      <c r="CE547" s="87"/>
      <c r="CF547" s="87"/>
      <c r="CG547" s="87"/>
      <c r="CH547" s="87"/>
      <c r="CI547" s="87"/>
      <c r="CJ547" s="87"/>
      <c r="CK547" s="87"/>
      <c r="CL547" s="87"/>
      <c r="CM547" s="87"/>
      <c r="CN547" s="87"/>
      <c r="CO547" s="87"/>
      <c r="CP547" s="87"/>
      <c r="CQ547" s="87">
        <f>-2/7*C547</f>
        <v>-4.5714285714285712</v>
      </c>
      <c r="CR547" s="87">
        <f>-CQ547</f>
        <v>4.5714285714285712</v>
      </c>
      <c r="CS547" s="87"/>
      <c r="CT547" s="87"/>
      <c r="CU547" s="87"/>
      <c r="CV547" s="87"/>
      <c r="CW547" s="87"/>
      <c r="CX547" s="87"/>
      <c r="CY547" s="87"/>
      <c r="CZ547" s="87"/>
      <c r="DA547" s="87"/>
      <c r="DB547" s="87"/>
      <c r="DC547" s="87"/>
      <c r="DD547" s="87"/>
      <c r="DE547" s="87"/>
      <c r="DF547" s="87"/>
      <c r="DG547" s="87"/>
      <c r="DH547" s="87"/>
      <c r="DI547" s="87"/>
      <c r="DJ547" s="87"/>
      <c r="DK547" s="87"/>
      <c r="DL547" s="87"/>
      <c r="DM547" s="87"/>
      <c r="DN547" s="87"/>
      <c r="DO547" s="87"/>
      <c r="DP547" s="87"/>
      <c r="DQ547" s="87"/>
      <c r="DR547" s="87"/>
      <c r="DS547" s="87"/>
      <c r="DT547" s="87"/>
      <c r="DU547" s="87"/>
      <c r="DV547" s="87"/>
      <c r="DW547" s="87"/>
      <c r="DX547" s="87"/>
      <c r="DY547" s="87"/>
      <c r="DZ547" s="87"/>
      <c r="EA547" s="87"/>
      <c r="EB547" s="87"/>
      <c r="EC547" s="87"/>
      <c r="ED547" s="87"/>
      <c r="EE547" s="87"/>
      <c r="EF547" s="87"/>
      <c r="EG547" s="87"/>
      <c r="EH547" s="87"/>
      <c r="EI547" s="87"/>
    </row>
    <row r="548" spans="1:139" ht="16.5" hidden="1" thickBot="1" x14ac:dyDescent="0.35">
      <c r="A548" s="175" t="s">
        <v>357</v>
      </c>
      <c r="B548" s="191">
        <v>5</v>
      </c>
      <c r="C548" s="177">
        <f>(25.3*0.25)</f>
        <v>6.3250000000000002</v>
      </c>
      <c r="D548" s="217">
        <f>C548/VLOOKUP(B548,'[2]Gas Prod per PADD'!$A$1:$C$6,2,FALSE)</f>
        <v>4.6851851851851855E-3</v>
      </c>
      <c r="E548" s="220">
        <v>45709</v>
      </c>
      <c r="F548" s="252">
        <v>45724</v>
      </c>
      <c r="G548" s="180" t="s">
        <v>799</v>
      </c>
      <c r="H548" s="181" t="s">
        <v>364</v>
      </c>
      <c r="I548" s="84"/>
      <c r="J548" s="85"/>
      <c r="K548" s="85"/>
      <c r="L548" s="85"/>
      <c r="M548" s="85"/>
      <c r="N548" s="85"/>
      <c r="O548" s="85"/>
      <c r="P548" s="85"/>
      <c r="Q548" s="85">
        <f>C548*(E548-$Q$1)/28</f>
        <v>-1.58125</v>
      </c>
      <c r="R548" s="85">
        <f>C548*($Q$1+1-F548)/31</f>
        <v>-1.4282258064516129</v>
      </c>
      <c r="S548" s="85"/>
      <c r="T548" s="85"/>
      <c r="U548" s="85"/>
      <c r="V548" s="84"/>
      <c r="W548" s="84"/>
      <c r="X548" s="84" t="str">
        <f t="shared" si="22"/>
        <v>OK</v>
      </c>
      <c r="Y548" s="87"/>
      <c r="Z548" s="87"/>
      <c r="AA548" s="87"/>
      <c r="AB548" s="87"/>
      <c r="AC548" s="87"/>
      <c r="AD548" s="87"/>
      <c r="AE548" s="87"/>
      <c r="AF548" s="87"/>
      <c r="AG548" s="87"/>
      <c r="AH548" s="87"/>
      <c r="AI548" s="87"/>
      <c r="AJ548" s="87"/>
      <c r="AK548" s="87"/>
      <c r="AL548" s="87"/>
      <c r="AM548" s="87"/>
      <c r="AN548" s="87"/>
      <c r="AO548" s="87"/>
      <c r="AP548" s="87"/>
      <c r="AQ548" s="87"/>
      <c r="AR548" s="87"/>
      <c r="AS548" s="87"/>
      <c r="AT548" s="87"/>
      <c r="AU548" s="87"/>
      <c r="AV548" s="87"/>
      <c r="AW548" s="87"/>
      <c r="AX548" s="87"/>
      <c r="AY548" s="87"/>
      <c r="AZ548" s="87"/>
      <c r="BA548" s="87"/>
      <c r="BB548" s="87"/>
      <c r="BC548" s="87"/>
      <c r="BD548" s="87"/>
      <c r="BE548" s="87"/>
      <c r="BF548" s="87"/>
      <c r="BG548" s="87"/>
      <c r="BH548" s="87"/>
      <c r="BI548" s="87"/>
      <c r="BJ548" s="87"/>
      <c r="BK548" s="87"/>
      <c r="BL548" s="87"/>
      <c r="BM548" s="87"/>
      <c r="BN548" s="87"/>
      <c r="BO548" s="87"/>
      <c r="BP548" s="87"/>
      <c r="BQ548" s="87"/>
      <c r="BR548" s="87"/>
      <c r="BS548" s="87"/>
      <c r="BT548" s="87"/>
      <c r="BU548" s="87"/>
      <c r="BV548" s="87"/>
      <c r="BW548" s="87"/>
      <c r="BX548" s="87"/>
      <c r="BY548" s="87"/>
      <c r="BZ548" s="87"/>
      <c r="CA548" s="87"/>
      <c r="CB548" s="87"/>
      <c r="CC548" s="87"/>
      <c r="CD548" s="87"/>
      <c r="CE548" s="87"/>
      <c r="CF548" s="87"/>
      <c r="CG548" s="87"/>
      <c r="CH548" s="87"/>
      <c r="CI548" s="87"/>
      <c r="CJ548" s="87"/>
      <c r="CK548" s="87"/>
      <c r="CL548" s="87"/>
      <c r="CM548" s="87"/>
      <c r="CN548" s="87"/>
      <c r="CO548" s="87">
        <f>-1/7*C548</f>
        <v>-0.90357142857142858</v>
      </c>
      <c r="CP548" s="87">
        <f>-6/7*C548</f>
        <v>-5.4214285714285717</v>
      </c>
      <c r="CQ548" s="87"/>
      <c r="CR548" s="87">
        <f>-SUM(CO548:CP548)</f>
        <v>6.3250000000000002</v>
      </c>
      <c r="CS548" s="87"/>
      <c r="CT548" s="87"/>
      <c r="CU548" s="87"/>
      <c r="CV548" s="87"/>
      <c r="CW548" s="87"/>
      <c r="CX548" s="87"/>
      <c r="CY548" s="87"/>
      <c r="CZ548" s="87"/>
      <c r="DA548" s="87"/>
      <c r="DB548" s="87"/>
      <c r="DC548" s="87"/>
      <c r="DD548" s="87"/>
      <c r="DE548" s="87"/>
      <c r="DF548" s="87"/>
      <c r="DG548" s="87"/>
      <c r="DH548" s="87"/>
      <c r="DI548" s="87"/>
      <c r="DJ548" s="87"/>
      <c r="DK548" s="87"/>
      <c r="DL548" s="87"/>
      <c r="DM548" s="87"/>
      <c r="DN548" s="87"/>
      <c r="DO548" s="87"/>
      <c r="DP548" s="87"/>
      <c r="DQ548" s="87"/>
      <c r="DR548" s="87"/>
      <c r="DS548" s="87"/>
      <c r="DT548" s="87"/>
      <c r="DU548" s="87"/>
      <c r="DV548" s="87"/>
      <c r="DW548" s="87"/>
      <c r="DX548" s="87"/>
      <c r="DY548" s="87"/>
      <c r="DZ548" s="87"/>
      <c r="EA548" s="87"/>
      <c r="EB548" s="87"/>
      <c r="EC548" s="87"/>
      <c r="ED548" s="87"/>
      <c r="EE548" s="87"/>
      <c r="EF548" s="87"/>
      <c r="EG548" s="75"/>
      <c r="EH548" s="75"/>
      <c r="EI548" s="75"/>
    </row>
    <row r="549" spans="1:139" ht="16.5" hidden="1" thickBot="1" x14ac:dyDescent="0.35">
      <c r="A549" s="200" t="s">
        <v>365</v>
      </c>
      <c r="B549" s="223">
        <v>2</v>
      </c>
      <c r="C549" s="224">
        <f>94*0.25</f>
        <v>23.5</v>
      </c>
      <c r="D549" s="217">
        <f>C549/VLOOKUP(B549,'[2]Gas Prod per PADD'!$A$1:$C$6,2,FALSE)</f>
        <v>9.7916666666666673E-3</v>
      </c>
      <c r="E549" s="225">
        <v>45721</v>
      </c>
      <c r="F549" s="276">
        <v>45724</v>
      </c>
      <c r="G549" s="180" t="s">
        <v>931</v>
      </c>
      <c r="H549" s="221" t="s">
        <v>364</v>
      </c>
      <c r="I549" s="84"/>
      <c r="J549" s="85"/>
      <c r="K549" s="85"/>
      <c r="L549" s="85"/>
      <c r="M549" s="85"/>
      <c r="N549" s="85"/>
      <c r="O549" s="85"/>
      <c r="P549" s="85"/>
      <c r="Q549" s="85"/>
      <c r="R549" s="85">
        <f>C549*(E549-F549)/31</f>
        <v>-2.274193548387097</v>
      </c>
      <c r="S549" s="85"/>
      <c r="T549" s="85"/>
      <c r="U549" s="85"/>
      <c r="V549" s="84"/>
      <c r="W549" s="84"/>
      <c r="X549" s="84" t="str">
        <f t="shared" si="22"/>
        <v>OK</v>
      </c>
      <c r="Y549" s="87"/>
      <c r="Z549" s="87"/>
      <c r="AA549" s="87"/>
      <c r="AB549" s="87"/>
      <c r="AC549" s="87"/>
      <c r="AD549" s="87"/>
      <c r="AE549" s="87"/>
      <c r="AF549" s="87"/>
      <c r="AG549" s="87"/>
      <c r="AH549" s="87"/>
      <c r="AI549" s="87"/>
      <c r="AJ549" s="87"/>
      <c r="AK549" s="87"/>
      <c r="AL549" s="87"/>
      <c r="AM549" s="87"/>
      <c r="AN549" s="87"/>
      <c r="AO549" s="87"/>
      <c r="AP549" s="87"/>
      <c r="AQ549" s="87"/>
      <c r="AR549" s="87"/>
      <c r="AS549" s="87"/>
      <c r="AT549" s="87"/>
      <c r="AU549" s="87"/>
      <c r="AV549" s="87"/>
      <c r="AW549" s="87"/>
      <c r="AX549" s="87"/>
      <c r="AY549" s="87"/>
      <c r="AZ549" s="87"/>
      <c r="BA549" s="87"/>
      <c r="BB549" s="87"/>
      <c r="BC549" s="87"/>
      <c r="BD549" s="87"/>
      <c r="BE549" s="87"/>
      <c r="BF549" s="87"/>
      <c r="BG549" s="87"/>
      <c r="BH549" s="87"/>
      <c r="BI549" s="87"/>
      <c r="BJ549" s="87"/>
      <c r="BK549" s="87"/>
      <c r="BL549" s="87"/>
      <c r="BM549" s="87"/>
      <c r="BN549" s="87"/>
      <c r="BO549" s="87"/>
      <c r="BP549" s="87"/>
      <c r="BQ549" s="87"/>
      <c r="BR549" s="87"/>
      <c r="BS549" s="87"/>
      <c r="BT549" s="87"/>
      <c r="BU549" s="87"/>
      <c r="BV549" s="87"/>
      <c r="BW549" s="87"/>
      <c r="BX549" s="87"/>
      <c r="BY549" s="87"/>
      <c r="BZ549" s="87"/>
      <c r="CA549" s="87"/>
      <c r="CB549" s="87"/>
      <c r="CC549" s="87"/>
      <c r="CD549" s="87"/>
      <c r="CE549" s="87"/>
      <c r="CF549" s="87"/>
      <c r="CG549" s="87"/>
      <c r="CH549" s="87"/>
      <c r="CI549" s="87"/>
      <c r="CJ549" s="87"/>
      <c r="CK549" s="87"/>
      <c r="CL549" s="87"/>
      <c r="CM549" s="87"/>
      <c r="CN549" s="87"/>
      <c r="CO549" s="87"/>
      <c r="CP549" s="87"/>
      <c r="CQ549" s="87">
        <f>-2/7*C549</f>
        <v>-6.7142857142857135</v>
      </c>
      <c r="CR549" s="87">
        <f>-CQ549</f>
        <v>6.7142857142857135</v>
      </c>
      <c r="CS549" s="339"/>
      <c r="CT549" s="87"/>
      <c r="CU549" s="87"/>
      <c r="CV549" s="87"/>
      <c r="CW549" s="87"/>
      <c r="CX549" s="87"/>
      <c r="CY549" s="87"/>
      <c r="CZ549" s="87"/>
      <c r="DA549" s="87"/>
      <c r="DB549" s="87"/>
      <c r="DC549" s="87"/>
      <c r="DD549" s="87"/>
      <c r="DE549" s="87"/>
      <c r="DF549" s="87"/>
      <c r="DG549" s="87"/>
      <c r="DH549" s="87"/>
      <c r="DI549" s="87"/>
      <c r="DJ549" s="87"/>
      <c r="DK549" s="87"/>
      <c r="DL549" s="87"/>
      <c r="DM549" s="87"/>
      <c r="DN549" s="87"/>
      <c r="DO549" s="87"/>
      <c r="DP549" s="87"/>
      <c r="DQ549" s="87"/>
      <c r="DR549" s="87"/>
      <c r="DS549" s="87"/>
      <c r="DT549" s="87"/>
      <c r="DU549" s="87"/>
      <c r="DV549" s="87"/>
      <c r="DW549" s="87"/>
      <c r="DX549" s="87"/>
      <c r="DY549" s="87"/>
      <c r="DZ549" s="87"/>
      <c r="EA549" s="87"/>
      <c r="EB549" s="87"/>
      <c r="EC549" s="87"/>
      <c r="ED549" s="87"/>
      <c r="EE549" s="87"/>
      <c r="EF549" s="87"/>
      <c r="EG549" s="87"/>
      <c r="EH549" s="87"/>
      <c r="EI549" s="87"/>
    </row>
    <row r="550" spans="1:139" ht="16.5" hidden="1" thickBot="1" x14ac:dyDescent="0.35">
      <c r="A550" s="190" t="s">
        <v>334</v>
      </c>
      <c r="B550" s="176">
        <v>3</v>
      </c>
      <c r="C550" s="177">
        <f>73*0.25</f>
        <v>18.25</v>
      </c>
      <c r="D550" s="217">
        <f>C550/VLOOKUP(B550,'[2]Gas Prod per PADD'!$A$1:$C$6,2,FALSE)</f>
        <v>3.9673913043478263E-3</v>
      </c>
      <c r="E550" s="251">
        <v>45715</v>
      </c>
      <c r="F550" s="252">
        <f>E550+10</f>
        <v>45725</v>
      </c>
      <c r="G550" s="180" t="s">
        <v>705</v>
      </c>
      <c r="H550" s="181" t="s">
        <v>364</v>
      </c>
      <c r="I550" s="84"/>
      <c r="J550" s="85"/>
      <c r="K550" s="85"/>
      <c r="L550" s="85"/>
      <c r="M550" s="85"/>
      <c r="N550" s="85"/>
      <c r="O550" s="85"/>
      <c r="P550" s="85"/>
      <c r="Q550" s="85">
        <f>C550*(E550-$Q$1)/28</f>
        <v>-0.6517857142857143</v>
      </c>
      <c r="R550" s="85">
        <f>C550*($Q$1+1-F550)/31</f>
        <v>-4.709677419354839</v>
      </c>
      <c r="S550" s="85"/>
      <c r="T550" s="85"/>
      <c r="U550" s="85"/>
      <c r="V550" s="84"/>
      <c r="W550" s="84"/>
      <c r="X550" s="84" t="str">
        <f t="shared" si="22"/>
        <v>OK</v>
      </c>
      <c r="Y550" s="87"/>
      <c r="Z550" s="87"/>
      <c r="AA550" s="87"/>
      <c r="AB550" s="87"/>
      <c r="AC550" s="87"/>
      <c r="AD550" s="87"/>
      <c r="AE550" s="87"/>
      <c r="AF550" s="87"/>
      <c r="AG550" s="87"/>
      <c r="AH550" s="87"/>
      <c r="AI550" s="87"/>
      <c r="AJ550" s="87"/>
      <c r="AK550" s="87"/>
      <c r="AL550" s="87"/>
      <c r="AM550" s="87"/>
      <c r="AN550" s="87"/>
      <c r="AO550" s="87"/>
      <c r="AP550" s="87"/>
      <c r="AQ550" s="87"/>
      <c r="AR550" s="87"/>
      <c r="AS550" s="87"/>
      <c r="AT550" s="87"/>
      <c r="AU550" s="87"/>
      <c r="AV550" s="87"/>
      <c r="AW550" s="87"/>
      <c r="AX550" s="87"/>
      <c r="AY550" s="87"/>
      <c r="AZ550" s="87"/>
      <c r="BA550" s="87"/>
      <c r="BB550" s="87"/>
      <c r="BC550" s="87"/>
      <c r="BD550" s="87"/>
      <c r="BE550" s="87"/>
      <c r="BF550" s="87"/>
      <c r="BG550" s="87"/>
      <c r="BH550" s="87"/>
      <c r="BI550" s="87"/>
      <c r="BJ550" s="87"/>
      <c r="BK550" s="87"/>
      <c r="BL550" s="87"/>
      <c r="BM550" s="87"/>
      <c r="BN550" s="87"/>
      <c r="BO550" s="87"/>
      <c r="BP550" s="87"/>
      <c r="BQ550" s="87"/>
      <c r="BR550" s="87"/>
      <c r="BS550" s="87"/>
      <c r="BT550" s="87"/>
      <c r="BU550" s="87"/>
      <c r="BV550" s="87"/>
      <c r="BW550" s="87"/>
      <c r="BX550" s="87"/>
      <c r="BY550" s="87"/>
      <c r="BZ550" s="87"/>
      <c r="CA550" s="87"/>
      <c r="CB550" s="87"/>
      <c r="CC550" s="87"/>
      <c r="CD550" s="87"/>
      <c r="CE550" s="87"/>
      <c r="CF550" s="87"/>
      <c r="CG550" s="87"/>
      <c r="CH550" s="87"/>
      <c r="CI550" s="87"/>
      <c r="CJ550" s="87"/>
      <c r="CK550" s="87"/>
      <c r="CL550" s="87"/>
      <c r="CM550" s="87"/>
      <c r="CN550" s="87"/>
      <c r="CO550" s="87"/>
      <c r="CP550" s="87">
        <f>-C550*(1/7)</f>
        <v>-2.6071428571428572</v>
      </c>
      <c r="CQ550" s="87">
        <f>-C550*(6/7)</f>
        <v>-15.642857142857142</v>
      </c>
      <c r="CR550" s="87">
        <f>-SUM(CP550:CQ550)</f>
        <v>18.25</v>
      </c>
      <c r="CS550" s="87"/>
      <c r="CT550" s="87"/>
      <c r="CU550" s="87"/>
      <c r="CV550" s="87"/>
      <c r="CW550" s="87"/>
      <c r="CX550" s="87"/>
      <c r="CY550" s="87"/>
      <c r="CZ550" s="87"/>
      <c r="DA550" s="87"/>
      <c r="DB550" s="87"/>
      <c r="DC550" s="87"/>
      <c r="DD550" s="87"/>
      <c r="DE550" s="87"/>
      <c r="DF550" s="87"/>
      <c r="DG550" s="87"/>
      <c r="DH550" s="87"/>
      <c r="DI550" s="87"/>
      <c r="DJ550" s="87"/>
      <c r="DK550" s="87"/>
      <c r="DL550" s="87"/>
      <c r="DM550" s="87"/>
      <c r="DN550" s="87"/>
      <c r="DO550" s="87"/>
      <c r="DP550" s="87"/>
      <c r="DQ550" s="87"/>
      <c r="DR550" s="87"/>
      <c r="DS550" s="87"/>
      <c r="DT550" s="87"/>
      <c r="DU550" s="87"/>
      <c r="DV550" s="87"/>
      <c r="DW550" s="87"/>
      <c r="DX550" s="87"/>
      <c r="DY550" s="87"/>
      <c r="DZ550" s="87"/>
      <c r="EA550" s="87"/>
      <c r="EB550" s="87"/>
      <c r="EC550" s="87"/>
      <c r="ED550" s="87"/>
      <c r="EE550" s="87"/>
      <c r="EF550" s="87"/>
      <c r="EG550" s="87"/>
      <c r="EH550" s="87"/>
      <c r="EI550" s="87"/>
    </row>
    <row r="551" spans="1:139" ht="16.5" hidden="1" thickBot="1" x14ac:dyDescent="0.35">
      <c r="A551" s="190" t="s">
        <v>294</v>
      </c>
      <c r="B551" s="191">
        <v>3</v>
      </c>
      <c r="C551" s="177">
        <f>30*0.65</f>
        <v>19.5</v>
      </c>
      <c r="D551" s="217">
        <f>C551/VLOOKUP(B551,'[2]Gas Prod per PADD'!$A$1:$C$6,2,FALSE)</f>
        <v>4.239130434782609E-3</v>
      </c>
      <c r="E551" s="178">
        <v>45723</v>
      </c>
      <c r="F551" s="252">
        <v>45726</v>
      </c>
      <c r="G551" s="180" t="s">
        <v>932</v>
      </c>
      <c r="H551" s="181"/>
      <c r="I551" s="84"/>
      <c r="J551" s="85"/>
      <c r="K551" s="85"/>
      <c r="L551" s="85"/>
      <c r="M551" s="85"/>
      <c r="N551" s="85"/>
      <c r="O551" s="85"/>
      <c r="P551" s="85"/>
      <c r="Q551" s="85"/>
      <c r="R551" s="85">
        <f>C551*(E551-F551)/31</f>
        <v>-1.8870967741935485</v>
      </c>
      <c r="S551" s="85"/>
      <c r="T551" s="85"/>
      <c r="U551" s="85"/>
      <c r="V551" s="84"/>
      <c r="W551" s="84"/>
      <c r="X551" s="84" t="s">
        <v>933</v>
      </c>
      <c r="Y551" s="87"/>
      <c r="Z551" s="87"/>
      <c r="AA551" s="87"/>
      <c r="AB551" s="87"/>
      <c r="AC551" s="87"/>
      <c r="AD551" s="87"/>
      <c r="AE551" s="87"/>
      <c r="AF551" s="87"/>
      <c r="AG551" s="87"/>
      <c r="AH551" s="87"/>
      <c r="AI551" s="87"/>
      <c r="AJ551" s="87"/>
      <c r="AK551" s="87"/>
      <c r="AL551" s="87"/>
      <c r="AM551" s="87"/>
      <c r="AN551" s="87"/>
      <c r="AO551" s="87"/>
      <c r="AP551" s="87"/>
      <c r="AQ551" s="87"/>
      <c r="AR551" s="87"/>
      <c r="AS551" s="87"/>
      <c r="AT551" s="87"/>
      <c r="AU551" s="87"/>
      <c r="AV551" s="87"/>
      <c r="AW551" s="87"/>
      <c r="AX551" s="87"/>
      <c r="AY551" s="87"/>
      <c r="AZ551" s="87"/>
      <c r="BA551" s="87"/>
      <c r="BB551" s="87"/>
      <c r="BC551" s="87"/>
      <c r="BD551" s="87"/>
      <c r="BE551" s="87"/>
      <c r="BF551" s="87"/>
      <c r="BG551" s="87"/>
      <c r="BH551" s="87"/>
      <c r="BI551" s="87"/>
      <c r="BJ551" s="87"/>
      <c r="BK551" s="87"/>
      <c r="BL551" s="87"/>
      <c r="BM551" s="87"/>
      <c r="BN551" s="87"/>
      <c r="BO551" s="87"/>
      <c r="BP551" s="87"/>
      <c r="BQ551" s="87"/>
      <c r="BR551" s="87"/>
      <c r="BS551" s="87"/>
      <c r="BT551" s="87"/>
      <c r="BU551" s="87"/>
      <c r="BV551" s="87"/>
      <c r="BW551" s="87"/>
      <c r="BX551" s="87"/>
      <c r="BY551" s="87"/>
      <c r="BZ551" s="87"/>
      <c r="CR551">
        <f>-3/7*C551</f>
        <v>-8.3571428571428559</v>
      </c>
      <c r="CS551">
        <f>-CR551</f>
        <v>8.3571428571428559</v>
      </c>
    </row>
    <row r="552" spans="1:139" ht="16.5" hidden="1" thickBot="1" x14ac:dyDescent="0.35">
      <c r="A552" s="218" t="s">
        <v>312</v>
      </c>
      <c r="B552" s="194">
        <v>4</v>
      </c>
      <c r="C552" s="195">
        <f>(0.25*64)</f>
        <v>16</v>
      </c>
      <c r="D552" s="217">
        <f>C552/VLOOKUP(B552,'[2]Gas Prod per PADD'!$A$1:$C$6,2,FALSE)</f>
        <v>4.7058823529411764E-2</v>
      </c>
      <c r="E552" s="346">
        <v>45726</v>
      </c>
      <c r="F552" s="281">
        <f>E552+2</f>
        <v>45728</v>
      </c>
      <c r="G552" s="194" t="s">
        <v>934</v>
      </c>
      <c r="H552" s="198" t="s">
        <v>364</v>
      </c>
      <c r="I552" s="347" t="s">
        <v>935</v>
      </c>
      <c r="J552" s="348"/>
      <c r="K552" s="348"/>
      <c r="L552" s="348"/>
      <c r="M552" s="348"/>
      <c r="N552" s="348"/>
      <c r="O552" s="348"/>
      <c r="P552" s="348"/>
      <c r="Q552" s="348"/>
      <c r="R552" s="85">
        <f>C552*(E552-F552)/31</f>
        <v>-1.032258064516129</v>
      </c>
      <c r="S552" s="348"/>
      <c r="T552" s="85"/>
      <c r="U552" s="85"/>
      <c r="V552" s="84"/>
      <c r="W552" s="84"/>
      <c r="X552" s="84" t="str">
        <f>IF(COUNTA(Y552:EI552)=0,"Missing","OK")</f>
        <v>OK</v>
      </c>
      <c r="Y552" s="105"/>
      <c r="Z552" s="105"/>
      <c r="AA552" s="87"/>
      <c r="AB552" s="87"/>
      <c r="AC552" s="87"/>
      <c r="AD552" s="87"/>
      <c r="AE552" s="105"/>
      <c r="AF552" s="105"/>
      <c r="AG552" s="105"/>
      <c r="AH552" s="105"/>
      <c r="AI552" s="87"/>
      <c r="AJ552" s="87"/>
      <c r="AK552" s="105"/>
      <c r="AL552" s="87"/>
      <c r="AM552" s="105"/>
      <c r="AN552" s="105"/>
      <c r="AO552" s="87"/>
      <c r="AP552" s="87"/>
      <c r="AQ552" s="105"/>
      <c r="AR552" s="105"/>
      <c r="AS552" s="87"/>
      <c r="AT552" s="105"/>
      <c r="AU552" s="105"/>
      <c r="AV552" s="87"/>
      <c r="AW552" s="105"/>
      <c r="AX552" s="105"/>
      <c r="AY552" s="87"/>
      <c r="AZ552" s="105"/>
      <c r="BA552" s="105"/>
      <c r="BB552" s="105"/>
      <c r="BC552" s="87"/>
      <c r="BD552" s="87"/>
      <c r="BE552" s="105"/>
      <c r="BF552" s="105"/>
      <c r="BG552" s="105"/>
      <c r="BH552" s="105"/>
      <c r="BI552" s="105"/>
      <c r="BJ552" s="87"/>
      <c r="BK552" s="87"/>
      <c r="BL552" s="87"/>
      <c r="BM552" s="87"/>
      <c r="BN552" s="87"/>
      <c r="BO552" s="87"/>
      <c r="BP552" s="87"/>
      <c r="BQ552" s="87"/>
      <c r="BR552" s="87"/>
      <c r="BS552" s="87"/>
      <c r="BT552" s="87"/>
      <c r="BU552" s="87"/>
      <c r="BV552" s="87"/>
      <c r="BW552" s="87"/>
      <c r="BX552" s="87"/>
      <c r="BY552" s="87"/>
      <c r="BZ552" s="87"/>
      <c r="CA552" s="87"/>
      <c r="CB552" s="87"/>
      <c r="CC552" s="87"/>
      <c r="CD552" s="87"/>
      <c r="CE552" s="87"/>
      <c r="CF552" s="87"/>
      <c r="CG552" s="87"/>
      <c r="CH552" s="87"/>
      <c r="CI552" s="87"/>
      <c r="CJ552" s="87"/>
      <c r="CK552" s="87"/>
      <c r="CL552" s="87"/>
      <c r="CM552" s="87"/>
      <c r="CN552" s="87"/>
      <c r="CO552" s="87"/>
      <c r="CP552" s="87"/>
      <c r="CQ552" s="87"/>
      <c r="CR552" s="87">
        <f>-C552*2/7</f>
        <v>-4.5714285714285712</v>
      </c>
      <c r="CS552" s="87">
        <f>-CR552</f>
        <v>4.5714285714285712</v>
      </c>
      <c r="CT552" s="87"/>
      <c r="CU552" s="87"/>
      <c r="CV552" s="87"/>
      <c r="CW552" s="87"/>
      <c r="CX552" s="87"/>
      <c r="CY552" s="87"/>
      <c r="CZ552" s="87"/>
      <c r="DA552" s="87"/>
      <c r="DB552" s="87"/>
      <c r="DC552" s="87"/>
      <c r="DD552" s="87"/>
      <c r="DE552" s="87"/>
      <c r="DF552" s="87"/>
      <c r="DG552" s="87"/>
      <c r="DH552" s="87"/>
      <c r="DI552" s="87"/>
      <c r="DJ552" s="87"/>
      <c r="DK552" s="87"/>
      <c r="DL552" s="87"/>
      <c r="DM552" s="87"/>
      <c r="DN552" s="87"/>
      <c r="DO552" s="87"/>
      <c r="DP552" s="87"/>
      <c r="DQ552" s="87"/>
      <c r="DR552" s="87"/>
      <c r="DS552" s="87"/>
      <c r="DT552" s="87"/>
      <c r="DU552" s="87"/>
      <c r="DV552" s="87"/>
      <c r="DW552" s="87"/>
      <c r="DX552" s="87"/>
      <c r="DY552" s="87"/>
      <c r="DZ552" s="87"/>
      <c r="EA552" s="87"/>
      <c r="EB552" s="87"/>
      <c r="EC552" s="105"/>
      <c r="ED552" s="87"/>
      <c r="EE552" s="87"/>
      <c r="EF552" s="87"/>
      <c r="EG552" s="87"/>
      <c r="EH552" s="87"/>
      <c r="EI552" s="87"/>
    </row>
    <row r="553" spans="1:139" ht="16.5" hidden="1" thickBot="1" x14ac:dyDescent="0.35">
      <c r="A553" s="190" t="s">
        <v>304</v>
      </c>
      <c r="B553" s="282">
        <v>3</v>
      </c>
      <c r="C553" s="177">
        <v>30.03</v>
      </c>
      <c r="D553" s="234">
        <v>6.5282608695652177E-3</v>
      </c>
      <c r="E553" s="196">
        <v>45706</v>
      </c>
      <c r="F553" s="281">
        <v>45729</v>
      </c>
      <c r="G553" s="180" t="s">
        <v>674</v>
      </c>
      <c r="H553" s="181" t="s">
        <v>936</v>
      </c>
      <c r="I553" s="84"/>
      <c r="J553" s="85"/>
      <c r="K553" s="85"/>
      <c r="L553" s="85"/>
      <c r="M553" s="85"/>
      <c r="N553" s="85"/>
      <c r="O553" s="85"/>
      <c r="P553" s="85"/>
      <c r="Q553" s="85">
        <f>C553*(E553-$Q$1)/28</f>
        <v>-10.725</v>
      </c>
      <c r="R553" s="85">
        <f>C553*($Q$1+1-F553)/31</f>
        <v>-11.624516129032259</v>
      </c>
      <c r="S553" s="85"/>
      <c r="T553" s="85"/>
      <c r="U553" s="85"/>
      <c r="V553" s="84"/>
      <c r="W553" s="84"/>
      <c r="X553" s="84" t="str">
        <f>IF(COUNTA(Y553:EI553)=0,"Missing","OK")</f>
        <v>OK</v>
      </c>
      <c r="Y553" s="87"/>
      <c r="Z553" s="87">
        <v>-17.16</v>
      </c>
      <c r="AA553" s="87"/>
      <c r="AB553" s="87">
        <v>17.16</v>
      </c>
      <c r="AC553" s="87"/>
      <c r="AD553" s="87"/>
      <c r="AE553" s="87"/>
      <c r="AF553" s="87"/>
      <c r="AG553" s="87"/>
      <c r="AH553" s="87"/>
      <c r="AI553" s="87"/>
      <c r="AJ553" s="87"/>
      <c r="AK553" s="87"/>
      <c r="AL553" s="87"/>
      <c r="AM553" s="87"/>
      <c r="AN553" s="87"/>
      <c r="AO553" s="87"/>
      <c r="AP553" s="87"/>
      <c r="AQ553" s="87"/>
      <c r="AR553" s="87"/>
      <c r="AS553" s="87"/>
      <c r="AT553" s="87"/>
      <c r="AU553" s="87"/>
      <c r="AV553" s="87"/>
      <c r="AW553" s="87"/>
      <c r="AX553" s="87"/>
      <c r="AY553" s="87"/>
      <c r="AZ553" s="87"/>
      <c r="BA553" s="87"/>
      <c r="BB553" s="87"/>
      <c r="BC553" s="87"/>
      <c r="BD553" s="87"/>
      <c r="BE553" s="87"/>
      <c r="BF553" s="87"/>
      <c r="BG553" s="87"/>
      <c r="BH553" s="87"/>
      <c r="BI553" s="87"/>
      <c r="BJ553" s="87"/>
      <c r="BK553" s="87"/>
      <c r="BL553" s="87"/>
      <c r="BM553" s="87"/>
      <c r="BN553" s="87"/>
      <c r="BO553" s="87"/>
      <c r="BP553" s="87"/>
      <c r="BQ553" s="87"/>
      <c r="BR553" s="87"/>
      <c r="BS553" s="87"/>
      <c r="BT553" s="87"/>
      <c r="BU553" s="87"/>
      <c r="BV553" s="87"/>
      <c r="BW553" s="87"/>
      <c r="BX553" s="87"/>
      <c r="BY553" s="87"/>
      <c r="BZ553" s="87"/>
      <c r="CA553" s="87"/>
      <c r="CB553" s="87"/>
      <c r="CC553" s="87"/>
      <c r="CD553" s="87"/>
      <c r="CE553" s="87"/>
      <c r="CF553" s="87"/>
      <c r="CG553" s="87"/>
      <c r="CH553" s="87"/>
      <c r="CI553" s="87"/>
      <c r="CJ553" s="87"/>
      <c r="CK553" s="87"/>
      <c r="CL553" s="87"/>
      <c r="CM553" s="87"/>
      <c r="CN553" s="87"/>
      <c r="CO553" s="87">
        <f>-3/7*C553</f>
        <v>-12.87</v>
      </c>
      <c r="CP553" s="87">
        <f>-4/7*C553</f>
        <v>-17.16</v>
      </c>
      <c r="CQ553" s="87"/>
      <c r="CR553" s="87">
        <f>C553/2</f>
        <v>15.015000000000001</v>
      </c>
      <c r="CS553" s="87">
        <f>C553/2</f>
        <v>15.015000000000001</v>
      </c>
      <c r="CT553" s="87"/>
      <c r="CU553" s="87"/>
      <c r="CV553" s="87"/>
      <c r="CW553" s="87"/>
      <c r="CX553" s="87"/>
      <c r="CY553" s="87"/>
      <c r="CZ553" s="87"/>
      <c r="DA553" s="87"/>
      <c r="DB553" s="87"/>
      <c r="DC553" s="87"/>
      <c r="DD553" s="87"/>
      <c r="DE553" s="87"/>
      <c r="DF553" s="87"/>
      <c r="DG553" s="87"/>
      <c r="DH553" s="87"/>
      <c r="DI553" s="87"/>
      <c r="DJ553" s="87"/>
      <c r="DK553" s="87"/>
      <c r="DL553" s="87"/>
      <c r="DM553" s="87"/>
      <c r="DN553" s="87"/>
      <c r="DO553" s="87"/>
      <c r="DP553" s="87"/>
      <c r="DQ553" s="87"/>
      <c r="DR553" s="87"/>
      <c r="DS553" s="87"/>
      <c r="DT553" s="87"/>
      <c r="DU553" s="87"/>
      <c r="DV553" s="87"/>
      <c r="DW553" s="87"/>
      <c r="DX553" s="87"/>
      <c r="DY553" s="87"/>
      <c r="DZ553" s="87"/>
      <c r="EA553" s="87"/>
      <c r="EB553" s="87"/>
      <c r="EC553" s="87"/>
      <c r="ED553" s="87"/>
      <c r="EE553" s="87"/>
      <c r="EF553" s="87"/>
      <c r="EG553" s="87"/>
      <c r="EH553" s="87"/>
      <c r="EI553" s="87"/>
    </row>
    <row r="554" spans="1:139" ht="16.5" hidden="1" thickBot="1" x14ac:dyDescent="0.35">
      <c r="A554" s="175" t="s">
        <v>156</v>
      </c>
      <c r="B554" s="194">
        <v>2</v>
      </c>
      <c r="C554" s="224">
        <f>0.85*18.5</f>
        <v>15.725</v>
      </c>
      <c r="D554" s="234">
        <f>C554/VLOOKUP(B554,'[2]Gas Prod per PADD'!$A$1:$C$6,2,FALSE)</f>
        <v>6.5520833333333334E-3</v>
      </c>
      <c r="E554" s="289">
        <v>45717</v>
      </c>
      <c r="F554" s="276">
        <v>45729</v>
      </c>
      <c r="G554" s="180" t="s">
        <v>937</v>
      </c>
      <c r="H554" s="221" t="s">
        <v>364</v>
      </c>
      <c r="I554" s="84"/>
      <c r="J554" s="85"/>
      <c r="K554" s="85"/>
      <c r="L554" s="85"/>
      <c r="M554" s="85"/>
      <c r="N554" s="85"/>
      <c r="O554" s="85"/>
      <c r="P554" s="85"/>
      <c r="Q554" s="85"/>
      <c r="R554" s="85">
        <f>C554*(E554-F554)/31</f>
        <v>-6.0870967741935482</v>
      </c>
      <c r="S554" s="85"/>
      <c r="T554" s="85"/>
      <c r="U554" s="85"/>
      <c r="V554" s="84"/>
      <c r="W554" s="84"/>
      <c r="X554" s="84" t="str">
        <f>IF(COUNTA(Y554:EI554)=0,"Missing","OK")</f>
        <v>OK</v>
      </c>
      <c r="Y554" s="105"/>
      <c r="Z554" s="105"/>
      <c r="AA554" s="87"/>
      <c r="AB554" s="87"/>
      <c r="AC554" s="87"/>
      <c r="AD554" s="87"/>
      <c r="AE554" s="105"/>
      <c r="AF554" s="105"/>
      <c r="AG554" s="105"/>
      <c r="AH554" s="105"/>
      <c r="AI554" s="87"/>
      <c r="AJ554" s="87"/>
      <c r="AK554" s="87"/>
      <c r="AL554" s="87"/>
      <c r="AM554" s="87"/>
      <c r="AN554" s="87"/>
      <c r="AO554" s="87"/>
      <c r="AP554" s="87"/>
      <c r="AQ554" s="87"/>
      <c r="AR554" s="87"/>
      <c r="AS554" s="87"/>
      <c r="AT554" s="87"/>
      <c r="AU554" s="87"/>
      <c r="AV554" s="87"/>
      <c r="AW554" s="87"/>
      <c r="AX554" s="87"/>
      <c r="AY554" s="87"/>
      <c r="AZ554" s="87"/>
      <c r="BA554" s="87"/>
      <c r="BB554" s="87"/>
      <c r="BC554" s="87"/>
      <c r="BD554" s="87"/>
      <c r="BE554" s="87"/>
      <c r="BF554" s="87"/>
      <c r="BG554" s="87"/>
      <c r="BH554" s="87"/>
      <c r="BI554" s="87"/>
      <c r="BJ554" s="87"/>
      <c r="BK554" s="87"/>
      <c r="BL554" s="87"/>
      <c r="BM554" s="87"/>
      <c r="BN554" s="87"/>
      <c r="BO554" s="87"/>
      <c r="BP554" s="87"/>
      <c r="BQ554" s="87"/>
      <c r="BR554" s="87"/>
      <c r="BS554" s="87"/>
      <c r="BT554" s="278"/>
      <c r="BU554" s="278"/>
      <c r="BV554" s="278"/>
      <c r="BW554" s="278"/>
      <c r="BX554" s="278"/>
      <c r="BY554" s="278"/>
      <c r="BZ554" s="87"/>
      <c r="CA554" s="87"/>
      <c r="CB554" s="87"/>
      <c r="CC554" s="87"/>
      <c r="CD554" s="87"/>
      <c r="CE554" s="87"/>
      <c r="CF554" s="87"/>
      <c r="CG554" s="87"/>
      <c r="CH554" s="87"/>
      <c r="CI554" s="87"/>
      <c r="CJ554" s="87"/>
      <c r="CK554" s="87"/>
      <c r="CL554" s="87"/>
      <c r="CM554" s="87"/>
      <c r="CN554" s="87"/>
      <c r="CO554" s="87"/>
      <c r="CP554" s="87"/>
      <c r="CQ554" s="105">
        <f>-C554</f>
        <v>-15.725</v>
      </c>
      <c r="CR554" s="105">
        <f>-CQ554</f>
        <v>15.725</v>
      </c>
      <c r="CS554" s="105"/>
      <c r="CT554" s="87"/>
      <c r="CU554" s="87"/>
      <c r="CV554" s="87"/>
      <c r="CW554" s="87"/>
      <c r="CX554" s="87"/>
      <c r="CY554" s="87"/>
      <c r="CZ554" s="87"/>
      <c r="DA554" s="87"/>
      <c r="DB554" s="87"/>
      <c r="DC554" s="87"/>
      <c r="DD554" s="87"/>
      <c r="DE554" s="87"/>
      <c r="DF554" s="87"/>
      <c r="DG554" s="87"/>
      <c r="DH554" s="87"/>
      <c r="DI554" s="87"/>
      <c r="DJ554" s="87"/>
      <c r="DK554" s="87"/>
      <c r="DL554" s="87"/>
      <c r="DM554" s="87"/>
      <c r="DN554" s="87"/>
      <c r="DO554" s="87"/>
      <c r="DP554" s="87"/>
      <c r="DQ554" s="87"/>
      <c r="DR554" s="87"/>
      <c r="DS554" s="87"/>
      <c r="DT554" s="87"/>
      <c r="DU554" s="87"/>
      <c r="DV554" s="87"/>
      <c r="DW554" s="87"/>
      <c r="DX554" s="87"/>
      <c r="DY554" s="87"/>
      <c r="DZ554" s="87"/>
      <c r="EA554" s="87"/>
      <c r="EB554" s="87"/>
      <c r="EC554" s="87"/>
      <c r="ED554" s="87"/>
      <c r="EE554" s="87"/>
      <c r="EF554" s="87"/>
      <c r="EG554" s="87"/>
      <c r="EH554" s="87"/>
      <c r="EI554" s="87"/>
    </row>
    <row r="555" spans="1:139" ht="29.25" hidden="1" thickBot="1" x14ac:dyDescent="0.35">
      <c r="A555" s="190" t="s">
        <v>266</v>
      </c>
      <c r="B555" s="176">
        <v>3</v>
      </c>
      <c r="C555" s="177">
        <f>115*0.65+(75*0.05)</f>
        <v>78.5</v>
      </c>
      <c r="D555" s="217">
        <f>C555/VLOOKUP(B555,'[2]Gas Prod per PADD'!$A$1:$C$6,2,FALSE)</f>
        <v>1.7065217391304347E-2</v>
      </c>
      <c r="E555" s="251">
        <v>45681</v>
      </c>
      <c r="F555" s="276">
        <v>45730</v>
      </c>
      <c r="G555" s="180" t="s">
        <v>938</v>
      </c>
      <c r="H555" s="345" t="s">
        <v>939</v>
      </c>
      <c r="I555" s="84" t="s">
        <v>940</v>
      </c>
      <c r="J555" s="85"/>
      <c r="K555" s="85"/>
      <c r="L555" s="85"/>
      <c r="M555" s="85"/>
      <c r="N555" s="85"/>
      <c r="O555" s="85"/>
      <c r="P555" s="85">
        <f>C555*(E555-$P$1)/31</f>
        <v>-17.725806451612904</v>
      </c>
      <c r="Q555" s="85">
        <f>-C555</f>
        <v>-78.5</v>
      </c>
      <c r="R555" s="85">
        <f>C555*($Q$1+1-F555)/31</f>
        <v>-32.91935483870968</v>
      </c>
      <c r="S555" s="85"/>
      <c r="T555" s="85"/>
      <c r="U555" s="85"/>
      <c r="V555" s="84"/>
      <c r="W555" s="84"/>
      <c r="X555" s="84" t="str">
        <f>IF(COUNTA(Y555:EI555)=0,"Missing","OK")</f>
        <v>OK</v>
      </c>
      <c r="Y555" s="87"/>
      <c r="Z555" s="87"/>
      <c r="AA555" s="87"/>
      <c r="AB555" s="87"/>
      <c r="AC555" s="87"/>
      <c r="AD555" s="87"/>
      <c r="AE555" s="87"/>
      <c r="AF555" s="87"/>
      <c r="AG555" s="87"/>
      <c r="AH555" s="87"/>
      <c r="AI555" s="87"/>
      <c r="AJ555" s="87"/>
      <c r="AK555" s="87"/>
      <c r="AL555" s="87"/>
      <c r="AM555" s="87"/>
      <c r="AN555" s="87"/>
      <c r="AO555" s="87"/>
      <c r="AP555" s="87"/>
      <c r="AQ555" s="87"/>
      <c r="AR555" s="87"/>
      <c r="AS555" s="87"/>
      <c r="AT555" s="87"/>
      <c r="AU555" s="87"/>
      <c r="AV555" s="87"/>
      <c r="AW555" s="87"/>
      <c r="AX555" s="87"/>
      <c r="AY555" s="87"/>
      <c r="AZ555" s="87"/>
      <c r="BA555" s="87"/>
      <c r="BB555" s="87"/>
      <c r="BC555" s="87"/>
      <c r="BD555" s="87"/>
      <c r="BE555" s="87"/>
      <c r="BF555" s="87"/>
      <c r="BG555" s="87"/>
      <c r="BH555" s="87"/>
      <c r="BI555" s="87"/>
      <c r="BJ555" s="87"/>
      <c r="BK555" s="87"/>
      <c r="BL555" s="87"/>
      <c r="BM555" s="87"/>
      <c r="BN555" s="87"/>
      <c r="BO555" s="87"/>
      <c r="BP555" s="87"/>
      <c r="BQ555" s="87"/>
      <c r="BR555" s="87"/>
      <c r="BS555" s="87"/>
      <c r="BT555" s="87"/>
      <c r="BU555" s="87"/>
      <c r="BV555" s="87"/>
      <c r="BW555" s="87"/>
      <c r="BX555" s="87"/>
      <c r="BY555" s="87"/>
      <c r="BZ555" s="87"/>
      <c r="CA555" s="87"/>
      <c r="CB555" s="87"/>
      <c r="CC555" s="87"/>
      <c r="CD555" s="87"/>
      <c r="CE555" s="87"/>
      <c r="CF555" s="87"/>
      <c r="CG555" s="87"/>
      <c r="CH555" s="87"/>
      <c r="CI555" s="87"/>
      <c r="CJ555" s="87"/>
      <c r="CK555" s="87">
        <f>-4/7*C555</f>
        <v>-44.857142857142854</v>
      </c>
      <c r="CL555" s="87">
        <f>-3/7*C555</f>
        <v>-33.642857142857139</v>
      </c>
      <c r="CM555" s="87"/>
      <c r="CN555" s="87"/>
      <c r="CO555" s="87"/>
      <c r="CP555" s="87"/>
      <c r="CQ555" s="87"/>
      <c r="CR555" s="87">
        <f>-CL555</f>
        <v>33.642857142857139</v>
      </c>
      <c r="CS555" s="87">
        <f>4/7*C555</f>
        <v>44.857142857142854</v>
      </c>
      <c r="CT555" s="87"/>
      <c r="CU555" s="87"/>
      <c r="CV555" s="87"/>
      <c r="CW555" s="87"/>
      <c r="CX555" s="87"/>
      <c r="CY555" s="87"/>
      <c r="CZ555" s="87"/>
      <c r="DA555" s="87"/>
      <c r="DB555" s="87"/>
      <c r="DC555" s="87"/>
      <c r="DD555" s="87"/>
      <c r="DE555" s="87"/>
      <c r="DF555" s="87"/>
      <c r="DG555" s="87"/>
      <c r="DH555" s="87"/>
      <c r="DI555" s="87"/>
      <c r="DJ555" s="87"/>
      <c r="DK555" s="87"/>
      <c r="DL555" s="87"/>
      <c r="DM555" s="87"/>
      <c r="DN555" s="87"/>
      <c r="DO555" s="87"/>
      <c r="DP555" s="87"/>
      <c r="DQ555" s="87"/>
      <c r="DR555" s="87"/>
      <c r="DS555" s="87"/>
      <c r="DT555" s="87"/>
      <c r="DU555" s="87"/>
      <c r="DV555" s="87"/>
      <c r="DW555" s="87"/>
      <c r="DX555" s="87"/>
      <c r="DY555" s="87"/>
      <c r="DZ555" s="87"/>
      <c r="EA555" s="87"/>
      <c r="EB555" s="87"/>
      <c r="EC555" s="87"/>
      <c r="ED555" s="87"/>
      <c r="EE555" s="87"/>
      <c r="EF555" s="87"/>
      <c r="EG555" s="87"/>
      <c r="EH555" s="87"/>
      <c r="EI555" s="87"/>
    </row>
    <row r="556" spans="1:139" ht="16.5" hidden="1" thickBot="1" x14ac:dyDescent="0.35">
      <c r="A556" s="190" t="s">
        <v>173</v>
      </c>
      <c r="B556" s="176">
        <v>3</v>
      </c>
      <c r="C556" s="195">
        <f>25*0.65</f>
        <v>16.25</v>
      </c>
      <c r="D556" s="217">
        <f>C556/VLOOKUP(B556,'[2]Gas Prod per PADD'!$A$1:$C$6,2,FALSE)</f>
        <v>3.5326086956521739E-3</v>
      </c>
      <c r="E556" s="197">
        <v>45728</v>
      </c>
      <c r="F556" s="281">
        <v>45730</v>
      </c>
      <c r="G556" s="180" t="s">
        <v>680</v>
      </c>
      <c r="H556" s="181" t="s">
        <v>941</v>
      </c>
      <c r="I556" s="84"/>
      <c r="J556" s="85"/>
      <c r="K556" s="85"/>
      <c r="L556" s="85"/>
      <c r="M556" s="85"/>
      <c r="N556" s="85"/>
      <c r="O556" s="85"/>
      <c r="P556" s="85"/>
      <c r="Q556" s="85"/>
      <c r="R556" s="85">
        <f>C556*(E556-F556)/31</f>
        <v>-1.0483870967741935</v>
      </c>
      <c r="S556" s="85"/>
      <c r="T556" s="85"/>
      <c r="U556" s="85"/>
      <c r="V556" s="84"/>
      <c r="W556" s="84"/>
      <c r="X556" s="84" t="str">
        <f>IF(COUNTA(Y556:EI556)=0,"Missing","OK")</f>
        <v>OK</v>
      </c>
      <c r="Y556" s="86"/>
      <c r="Z556" s="86"/>
      <c r="AA556" s="87"/>
      <c r="AB556" s="87"/>
      <c r="AC556" s="87"/>
      <c r="AD556" s="87"/>
      <c r="AE556" s="87"/>
      <c r="AF556" s="87"/>
      <c r="AG556" s="87"/>
      <c r="AH556" s="87"/>
      <c r="AI556" s="87"/>
      <c r="AJ556" s="87"/>
      <c r="AK556" s="87"/>
      <c r="AL556" s="87"/>
      <c r="AM556" s="87"/>
      <c r="AN556" s="87"/>
      <c r="AO556" s="87"/>
      <c r="AP556" s="87"/>
      <c r="AQ556" s="87"/>
      <c r="AR556" s="87"/>
      <c r="AS556" s="87"/>
      <c r="AT556" s="87"/>
      <c r="AU556" s="87"/>
      <c r="AV556" s="87"/>
      <c r="AW556" s="87"/>
      <c r="AX556" s="87"/>
      <c r="AY556" s="87"/>
      <c r="AZ556" s="87"/>
      <c r="BA556" s="87"/>
      <c r="BB556" s="87"/>
      <c r="BC556" s="87"/>
      <c r="BD556" s="87"/>
      <c r="BE556" s="87"/>
      <c r="BF556" s="87"/>
      <c r="BG556" s="87"/>
      <c r="BH556" s="87"/>
      <c r="BI556" s="87"/>
      <c r="BJ556" s="87"/>
      <c r="BK556" s="87"/>
      <c r="BL556" s="87"/>
      <c r="BM556" s="87"/>
      <c r="BN556" s="87"/>
      <c r="BO556" s="87"/>
      <c r="BP556" s="87"/>
      <c r="BQ556" s="87"/>
      <c r="BR556" s="87"/>
      <c r="BS556" s="87"/>
      <c r="BT556" s="87"/>
      <c r="BU556" s="87"/>
      <c r="BV556" s="87"/>
      <c r="BW556" s="87"/>
      <c r="BX556" s="87"/>
      <c r="BY556" s="87"/>
      <c r="BZ556" s="87"/>
      <c r="CA556" s="87"/>
      <c r="CB556" s="87"/>
      <c r="CC556" s="87"/>
      <c r="CD556" s="87"/>
      <c r="CE556" s="87"/>
      <c r="CF556" s="87"/>
      <c r="CG556" s="87"/>
      <c r="CH556" s="87"/>
      <c r="CI556" s="87"/>
      <c r="CJ556" s="87"/>
      <c r="CK556" s="87"/>
      <c r="CL556" s="87"/>
      <c r="CM556" s="87"/>
      <c r="CN556" s="87"/>
      <c r="CO556" s="87"/>
      <c r="CP556" s="87"/>
      <c r="CQ556" s="105"/>
      <c r="CR556" s="87">
        <f>-4/7*C556</f>
        <v>-9.2857142857142847</v>
      </c>
      <c r="CS556" s="87">
        <f>-CR556</f>
        <v>9.2857142857142847</v>
      </c>
      <c r="CT556" s="87"/>
      <c r="CU556" s="87"/>
      <c r="CV556" s="87"/>
      <c r="CW556" s="87"/>
      <c r="CX556" s="87"/>
      <c r="CY556" s="87"/>
      <c r="CZ556" s="87"/>
      <c r="DA556" s="87"/>
      <c r="DB556" s="87"/>
      <c r="DC556" s="87"/>
      <c r="DD556" s="87"/>
      <c r="DE556" s="87"/>
      <c r="DF556" s="87"/>
      <c r="DG556" s="87"/>
      <c r="DH556" s="87"/>
      <c r="DI556" s="87"/>
      <c r="DJ556" s="87"/>
      <c r="DK556" s="87"/>
      <c r="DL556" s="87"/>
      <c r="DM556" s="87"/>
      <c r="DN556" s="87"/>
      <c r="DO556" s="87"/>
      <c r="DP556" s="87"/>
      <c r="DQ556" s="87"/>
      <c r="DR556" s="87"/>
      <c r="DS556" s="87"/>
      <c r="DT556" s="87"/>
      <c r="DU556" s="87"/>
      <c r="DV556" s="87"/>
      <c r="DW556" s="87"/>
      <c r="DX556" s="87"/>
      <c r="DY556" s="87"/>
      <c r="DZ556" s="87"/>
      <c r="EA556" s="87"/>
      <c r="EB556" s="87"/>
      <c r="EC556" s="87"/>
      <c r="ED556" s="87"/>
      <c r="EE556" s="87"/>
      <c r="EF556" s="87"/>
      <c r="EG556" s="87"/>
      <c r="EH556" s="87"/>
      <c r="EI556" s="87"/>
    </row>
    <row r="557" spans="1:139" ht="16.5" hidden="1" thickBot="1" x14ac:dyDescent="0.35">
      <c r="A557" s="190" t="s">
        <v>270</v>
      </c>
      <c r="B557" s="176">
        <v>3</v>
      </c>
      <c r="C557" s="177">
        <f>18*0.85</f>
        <v>15.299999999999999</v>
      </c>
      <c r="D557" s="217">
        <f>C557/VLOOKUP(B557,'[2]Gas Prod per PADD'!$A$1:$C$6,2,FALSE)</f>
        <v>3.3260869565217388E-3</v>
      </c>
      <c r="E557" s="178">
        <v>45730</v>
      </c>
      <c r="F557" s="252">
        <v>45733</v>
      </c>
      <c r="G557" s="194" t="s">
        <v>881</v>
      </c>
      <c r="H557" s="181" t="s">
        <v>364</v>
      </c>
      <c r="I557" s="84"/>
      <c r="J557" s="85"/>
      <c r="K557" s="85"/>
      <c r="L557" s="85"/>
      <c r="M557" s="85"/>
      <c r="N557" s="85"/>
      <c r="O557" s="85"/>
      <c r="P557" s="85"/>
      <c r="Q557" s="85"/>
      <c r="R557" s="85">
        <f>C557*(E557-F557)/31</f>
        <v>-1.4806451612903226</v>
      </c>
      <c r="S557" s="85"/>
      <c r="T557" s="85"/>
      <c r="U557" s="85"/>
      <c r="V557" s="84"/>
      <c r="W557" s="84"/>
      <c r="X557" s="84"/>
      <c r="Y557" s="105"/>
      <c r="Z557" s="105"/>
      <c r="AA557" s="87"/>
      <c r="AB557" s="87"/>
      <c r="AC557" s="87"/>
      <c r="AD557" s="87"/>
      <c r="AE557" s="105"/>
      <c r="AF557" s="105"/>
      <c r="AG557" s="105"/>
      <c r="AH557" s="105"/>
      <c r="AI557" s="87"/>
      <c r="AJ557" s="87"/>
      <c r="AK557" s="105"/>
      <c r="AL557" s="87"/>
      <c r="AM557" s="105"/>
      <c r="AN557" s="105"/>
      <c r="AO557" s="87"/>
      <c r="AP557" s="87"/>
      <c r="AQ557" s="105"/>
      <c r="AR557" s="105"/>
      <c r="AS557" s="87"/>
      <c r="AT557" s="105"/>
      <c r="AU557" s="105"/>
      <c r="AV557" s="87"/>
      <c r="AW557" s="105"/>
      <c r="AX557" s="105"/>
      <c r="AY557" s="87"/>
      <c r="AZ557" s="105"/>
      <c r="BA557" s="105"/>
      <c r="BB557" s="105"/>
      <c r="BC557" s="87"/>
      <c r="BD557" s="87"/>
      <c r="BE557" s="105"/>
      <c r="BF557" s="105"/>
      <c r="BG557" s="105"/>
      <c r="BH557" s="105"/>
      <c r="BI557" s="105"/>
      <c r="BJ557" s="87"/>
      <c r="BK557" s="87"/>
      <c r="BL557" s="87"/>
      <c r="BM557" s="87"/>
      <c r="BN557" s="87"/>
      <c r="BO557" s="105"/>
      <c r="BP557" s="105"/>
      <c r="BQ557" s="105"/>
      <c r="BR557" s="87"/>
      <c r="BS557" s="87"/>
      <c r="BT557" s="87"/>
      <c r="BU557" s="87"/>
      <c r="BV557" s="87"/>
      <c r="BW557" s="87"/>
      <c r="BX557" s="87"/>
      <c r="BY557" s="87"/>
      <c r="BZ557" s="87"/>
      <c r="CA557" s="87"/>
      <c r="CB557" s="87"/>
      <c r="CC557" s="87"/>
      <c r="CD557" s="87"/>
      <c r="CE557" s="87"/>
      <c r="CF557" s="87"/>
      <c r="CG557" s="87"/>
      <c r="CH557" s="87"/>
      <c r="CI557" s="87"/>
      <c r="CJ557" s="87"/>
      <c r="CK557" s="87"/>
      <c r="CL557" s="87"/>
      <c r="CM557" s="87"/>
      <c r="CN557" s="87"/>
      <c r="CO557" s="87"/>
      <c r="CP557" s="87"/>
      <c r="CQ557" s="87"/>
      <c r="CR557" s="87">
        <f>-1/7*C557</f>
        <v>-2.1857142857142855</v>
      </c>
      <c r="CS557" s="87">
        <f>-2/7*C557</f>
        <v>-4.371428571428571</v>
      </c>
      <c r="CT557" s="87">
        <f>-CS557</f>
        <v>4.371428571428571</v>
      </c>
      <c r="CU557" s="87">
        <f>-CR557</f>
        <v>2.1857142857142855</v>
      </c>
      <c r="CV557" s="87"/>
      <c r="CW557" s="87"/>
      <c r="CX557" s="87"/>
      <c r="CY557" s="87"/>
      <c r="CZ557" s="87"/>
      <c r="DA557" s="87"/>
      <c r="DB557" s="87"/>
      <c r="DC557" s="87"/>
      <c r="DD557" s="87"/>
      <c r="DE557" s="87"/>
      <c r="DF557" s="87"/>
      <c r="DG557" s="87"/>
      <c r="DH557" s="87"/>
      <c r="DI557" s="87"/>
      <c r="DJ557" s="87"/>
      <c r="DK557" s="87"/>
      <c r="DL557" s="87"/>
      <c r="DM557" s="87"/>
      <c r="DN557" s="87"/>
      <c r="DO557" s="87"/>
      <c r="DP557" s="87"/>
      <c r="DQ557" s="87"/>
      <c r="DR557" s="87"/>
      <c r="DS557" s="87"/>
      <c r="DT557" s="87"/>
      <c r="DU557" s="87"/>
      <c r="DV557" s="87"/>
      <c r="DW557" s="87"/>
      <c r="DX557" s="87"/>
      <c r="DY557" s="87"/>
      <c r="DZ557" s="87"/>
      <c r="EA557" s="87"/>
      <c r="EB557" s="87"/>
      <c r="EC557" s="87"/>
      <c r="ED557" s="87"/>
      <c r="EE557" s="87"/>
      <c r="EF557" s="87"/>
      <c r="EG557" s="87"/>
      <c r="EH557" s="87"/>
      <c r="EI557" s="87"/>
    </row>
    <row r="558" spans="1:139" ht="16.5" hidden="1" thickBot="1" x14ac:dyDescent="0.35">
      <c r="A558" s="113" t="s">
        <v>186</v>
      </c>
      <c r="B558" s="199">
        <v>4</v>
      </c>
      <c r="C558" s="195">
        <f>0.25*39</f>
        <v>9.75</v>
      </c>
      <c r="D558" s="217">
        <f>C558/VLOOKUP(B558,'[2]Gas Prod per PADD'!$A$1:$C$6,2,FALSE)</f>
        <v>2.8676470588235293E-2</v>
      </c>
      <c r="E558" s="196">
        <v>45725</v>
      </c>
      <c r="F558" s="281">
        <v>45734</v>
      </c>
      <c r="G558" s="194" t="s">
        <v>800</v>
      </c>
      <c r="H558" s="230"/>
      <c r="I558" s="84"/>
      <c r="J558" s="85"/>
      <c r="K558" s="85"/>
      <c r="L558" s="85"/>
      <c r="M558" s="85"/>
      <c r="N558" s="85"/>
      <c r="O558" s="85"/>
      <c r="P558" s="85"/>
      <c r="Q558" s="85"/>
      <c r="R558" s="85">
        <f>C558*(E558-F558)/31</f>
        <v>-2.8306451612903225</v>
      </c>
      <c r="S558" s="85"/>
      <c r="T558" s="85"/>
      <c r="U558" s="85"/>
      <c r="V558" s="84"/>
      <c r="W558" s="84"/>
      <c r="X558" s="84" t="str">
        <f>IF(COUNTA(Y558:EI558)=0,"Missing","OK")</f>
        <v>OK</v>
      </c>
      <c r="Y558" s="87"/>
      <c r="Z558" s="87"/>
      <c r="AA558" s="87"/>
      <c r="AB558" s="87"/>
      <c r="AC558" s="87"/>
      <c r="AD558" s="87"/>
      <c r="AE558" s="87"/>
      <c r="AF558" s="87"/>
      <c r="AG558" s="87"/>
      <c r="AH558" s="87"/>
      <c r="AI558" s="87"/>
      <c r="AJ558" s="87"/>
      <c r="AK558" s="87"/>
      <c r="AL558" s="87"/>
      <c r="AM558" s="87"/>
      <c r="AN558" s="87"/>
      <c r="AO558" s="87"/>
      <c r="AP558" s="87"/>
      <c r="AQ558" s="87"/>
      <c r="AR558" s="87"/>
      <c r="AS558" s="87"/>
      <c r="AT558" s="87"/>
      <c r="AU558" s="87"/>
      <c r="AV558" s="87"/>
      <c r="AW558" s="87"/>
      <c r="AX558" s="87"/>
      <c r="AY558" s="87"/>
      <c r="AZ558" s="87"/>
      <c r="BA558" s="87"/>
      <c r="BB558" s="87"/>
      <c r="BC558" s="87"/>
      <c r="BD558" s="87"/>
      <c r="BE558" s="87"/>
      <c r="BF558" s="87"/>
      <c r="BG558" s="87"/>
      <c r="BH558" s="87"/>
      <c r="BI558" s="87"/>
      <c r="BJ558" s="87"/>
      <c r="BK558" s="87"/>
      <c r="BL558" s="87"/>
      <c r="BM558" s="87"/>
      <c r="BN558" s="87"/>
      <c r="BO558" s="87"/>
      <c r="BP558" s="87"/>
      <c r="BQ558" s="87"/>
      <c r="BR558" s="87"/>
      <c r="BS558" s="87"/>
      <c r="BT558" s="87"/>
      <c r="BU558" s="87"/>
      <c r="BV558" s="87"/>
      <c r="BW558" s="87"/>
      <c r="BX558" s="87"/>
      <c r="BY558" s="87"/>
      <c r="BZ558" s="87"/>
      <c r="CA558" s="87"/>
      <c r="CB558" s="87"/>
      <c r="CC558" s="87"/>
      <c r="CD558" s="87"/>
      <c r="CE558" s="87"/>
      <c r="CF558" s="87"/>
      <c r="CG558" s="87"/>
      <c r="CH558" s="87"/>
      <c r="CI558" s="87"/>
      <c r="CJ558" s="87"/>
      <c r="CK558" s="87"/>
      <c r="CL558" s="87"/>
      <c r="CM558" s="87"/>
      <c r="CN558" s="87"/>
      <c r="CO558" s="339"/>
      <c r="CP558" s="339"/>
      <c r="CQ558" s="87"/>
      <c r="CR558" s="87">
        <f>-5/7*C558</f>
        <v>-6.9642857142857144</v>
      </c>
      <c r="CS558" s="87"/>
      <c r="CT558" s="87">
        <f>-CR558</f>
        <v>6.9642857142857144</v>
      </c>
      <c r="CU558" s="87"/>
      <c r="CV558" s="87"/>
      <c r="CW558" s="87"/>
      <c r="CX558" s="87"/>
      <c r="CY558" s="87"/>
      <c r="CZ558" s="87"/>
      <c r="DA558" s="87"/>
      <c r="DB558" s="87"/>
      <c r="DC558" s="87"/>
      <c r="DD558" s="87"/>
      <c r="DE558" s="87"/>
      <c r="DF558" s="87"/>
      <c r="DG558" s="87"/>
      <c r="DH558" s="87"/>
      <c r="DI558" s="87"/>
      <c r="DJ558" s="87"/>
      <c r="DK558" s="87"/>
      <c r="DL558" s="87"/>
      <c r="DM558" s="87"/>
      <c r="DN558" s="87"/>
      <c r="DO558" s="87"/>
      <c r="DP558" s="87"/>
      <c r="DQ558" s="87"/>
      <c r="DR558" s="87"/>
      <c r="DS558" s="87"/>
      <c r="DT558" s="87"/>
      <c r="DU558" s="87"/>
      <c r="DV558" s="87"/>
      <c r="DW558" s="87"/>
      <c r="DX558" s="87"/>
      <c r="DY558" s="87"/>
      <c r="DZ558" s="87"/>
      <c r="EA558" s="87"/>
      <c r="EB558" s="87"/>
      <c r="EC558" s="87"/>
      <c r="ED558" s="87"/>
      <c r="EE558" s="87"/>
      <c r="EF558" s="87"/>
      <c r="EG558" s="87"/>
      <c r="EH558" s="87"/>
      <c r="EI558" s="87"/>
    </row>
    <row r="559" spans="1:139" ht="43.5" hidden="1" thickBot="1" x14ac:dyDescent="0.35">
      <c r="A559" s="222" t="s">
        <v>659</v>
      </c>
      <c r="B559" s="191">
        <v>3</v>
      </c>
      <c r="C559" s="177">
        <f>0.65*24+(30*0.05)+(11*0.85)+(10*0.1)</f>
        <v>27.450000000000003</v>
      </c>
      <c r="D559" s="217">
        <f>C559/VLOOKUP(B559,'[2]Gas Prod per PADD'!$A$1:$C$6,2,FALSE)</f>
        <v>5.9673913043478263E-3</v>
      </c>
      <c r="E559" s="178">
        <v>45679</v>
      </c>
      <c r="F559" s="252">
        <v>45735</v>
      </c>
      <c r="G559" s="191" t="s">
        <v>942</v>
      </c>
      <c r="H559" s="181" t="s">
        <v>943</v>
      </c>
      <c r="I559" s="349" t="s">
        <v>944</v>
      </c>
      <c r="J559" s="350"/>
      <c r="K559" s="350"/>
      <c r="L559" s="350"/>
      <c r="M559" s="350"/>
      <c r="N559" s="350"/>
      <c r="O559" s="350"/>
      <c r="P559" s="85">
        <f>C559*(E559-$P$1)/31</f>
        <v>-7.9693548387096778</v>
      </c>
      <c r="Q559" s="85">
        <f>-C559</f>
        <v>-27.450000000000003</v>
      </c>
      <c r="R559" s="85">
        <f>C559*($Q$1+1-F559)/31</f>
        <v>-15.938709677419356</v>
      </c>
      <c r="S559" s="350"/>
      <c r="T559" s="85"/>
      <c r="U559" s="85"/>
      <c r="V559" s="84"/>
      <c r="W559" s="84"/>
      <c r="X559" s="84" t="str">
        <f>IF(COUNTA(Y559:EI559)=0,"Missing","OK")</f>
        <v>OK</v>
      </c>
      <c r="Y559" s="105"/>
      <c r="Z559" s="105"/>
      <c r="AA559" s="87"/>
      <c r="AB559" s="87"/>
      <c r="AC559" s="87"/>
      <c r="AD559" s="87"/>
      <c r="AE559" s="105"/>
      <c r="AF559" s="105"/>
      <c r="AG559" s="105"/>
      <c r="AH559" s="105"/>
      <c r="AI559" s="87"/>
      <c r="AJ559" s="87"/>
      <c r="AK559" s="105"/>
      <c r="AL559" s="87"/>
      <c r="AM559" s="105"/>
      <c r="AN559" s="105"/>
      <c r="AO559" s="87"/>
      <c r="AP559" s="87"/>
      <c r="AQ559" s="105"/>
      <c r="AR559" s="105"/>
      <c r="AS559" s="87"/>
      <c r="AT559" s="105"/>
      <c r="AU559" s="105"/>
      <c r="AV559" s="87"/>
      <c r="AW559" s="105"/>
      <c r="AX559" s="105"/>
      <c r="AY559" s="87"/>
      <c r="AZ559" s="105"/>
      <c r="BA559" s="105"/>
      <c r="BB559" s="105"/>
      <c r="BC559" s="87"/>
      <c r="BD559" s="87"/>
      <c r="BE559" s="105"/>
      <c r="BF559" s="105"/>
      <c r="BG559" s="105"/>
      <c r="BH559" s="105"/>
      <c r="BI559" s="105"/>
      <c r="BJ559" s="87"/>
      <c r="BK559" s="87"/>
      <c r="BL559" s="87"/>
      <c r="BM559" s="87"/>
      <c r="BN559" s="87"/>
      <c r="BO559" s="105"/>
      <c r="BP559" s="105"/>
      <c r="BQ559" s="105"/>
      <c r="BR559" s="105"/>
      <c r="BS559" s="105"/>
      <c r="BT559" s="87"/>
      <c r="BU559" s="87"/>
      <c r="BV559" s="87"/>
      <c r="BW559" s="87"/>
      <c r="BX559" s="87"/>
      <c r="BY559" s="87"/>
      <c r="BZ559" s="87"/>
      <c r="CA559" s="87"/>
      <c r="CB559" s="87"/>
      <c r="CC559" s="87"/>
      <c r="CD559" s="87"/>
      <c r="CE559" s="87"/>
      <c r="CF559" s="87"/>
      <c r="CG559" s="87"/>
      <c r="CH559" s="87"/>
      <c r="CI559" s="87"/>
      <c r="CJ559" s="87"/>
      <c r="CK559" s="87">
        <f>-2/7*C559</f>
        <v>-7.8428571428571434</v>
      </c>
      <c r="CL559" s="87">
        <f>-C559*5/7</f>
        <v>-19.607142857142858</v>
      </c>
      <c r="CM559" s="87"/>
      <c r="CN559" s="87"/>
      <c r="CO559" s="87"/>
      <c r="CP559" s="87"/>
      <c r="CQ559" s="87"/>
      <c r="CR559" s="87"/>
      <c r="CS559" s="87">
        <f>SUM(CK559:CL559)*-1</f>
        <v>27.450000000000003</v>
      </c>
      <c r="CT559" s="87"/>
      <c r="CU559" s="87"/>
      <c r="CV559" s="87"/>
      <c r="CW559" s="87"/>
      <c r="CX559" s="87"/>
      <c r="CY559" s="87"/>
      <c r="CZ559" s="87"/>
      <c r="DA559" s="87"/>
      <c r="DB559" s="87"/>
      <c r="DC559" s="87"/>
      <c r="DD559" s="87"/>
      <c r="DE559" s="87"/>
      <c r="DF559" s="87"/>
      <c r="DG559" s="87"/>
      <c r="DH559" s="87"/>
      <c r="DI559" s="87"/>
      <c r="DJ559" s="87"/>
      <c r="DK559" s="87"/>
      <c r="DL559" s="87"/>
      <c r="DM559" s="87"/>
      <c r="DN559" s="87"/>
      <c r="DO559" s="87"/>
      <c r="DP559" s="87"/>
      <c r="DQ559" s="87"/>
      <c r="DR559" s="87"/>
      <c r="DS559" s="87"/>
      <c r="DT559" s="87"/>
      <c r="DU559" s="87"/>
      <c r="DV559" s="87"/>
      <c r="DW559" s="87"/>
      <c r="DX559" s="87"/>
      <c r="DY559" s="87"/>
      <c r="DZ559" s="87"/>
      <c r="EA559" s="87"/>
      <c r="EB559" s="87"/>
      <c r="EC559" s="87"/>
      <c r="ED559" s="87"/>
      <c r="EE559" s="87"/>
      <c r="EF559" s="87"/>
      <c r="EG559" s="87"/>
      <c r="EH559" s="87"/>
      <c r="EI559" s="87"/>
    </row>
    <row r="560" spans="1:139" ht="16.5" hidden="1" thickBot="1" x14ac:dyDescent="0.35">
      <c r="A560" s="222" t="s">
        <v>248</v>
      </c>
      <c r="B560" s="223">
        <v>3</v>
      </c>
      <c r="C560" s="224">
        <f>29*0.85+(30*0.05)</f>
        <v>26.15</v>
      </c>
      <c r="D560" s="217">
        <f>C560/VLOOKUP(B560,'[2]Gas Prod per PADD'!$A$1:$C$6,2,FALSE)</f>
        <v>5.6847826086956522E-3</v>
      </c>
      <c r="E560" s="196">
        <v>45732</v>
      </c>
      <c r="F560" s="197">
        <v>45735</v>
      </c>
      <c r="G560" s="194" t="s">
        <v>945</v>
      </c>
      <c r="H560" s="230" t="s">
        <v>364</v>
      </c>
      <c r="I560" s="305"/>
      <c r="J560" s="306"/>
      <c r="K560" s="306"/>
      <c r="L560" s="306"/>
      <c r="M560" s="306"/>
      <c r="N560" s="306"/>
      <c r="O560" s="306"/>
      <c r="P560" s="306"/>
      <c r="Q560" s="306"/>
      <c r="R560" s="85">
        <f t="shared" ref="R560:R576" si="24">C560*(E560-F560)/31</f>
        <v>-2.5306451612903222</v>
      </c>
      <c r="S560" s="306"/>
      <c r="T560" s="85"/>
      <c r="U560" s="85"/>
      <c r="V560" s="84"/>
      <c r="W560" s="84"/>
      <c r="X560" s="84" t="str">
        <f>IF(COUNTA(Y560:EI560)=0,"Missing","OK")</f>
        <v>OK</v>
      </c>
      <c r="Y560" s="105"/>
      <c r="Z560" s="105"/>
      <c r="AA560" s="87"/>
      <c r="AB560" s="87"/>
      <c r="AC560" s="87"/>
      <c r="AD560" s="87"/>
      <c r="AE560" s="105"/>
      <c r="AF560" s="105"/>
      <c r="AG560" s="105"/>
      <c r="AH560" s="105"/>
      <c r="AI560" s="87"/>
      <c r="AJ560" s="87"/>
      <c r="AK560" s="105"/>
      <c r="AL560" s="87"/>
      <c r="AM560" s="105"/>
      <c r="AN560" s="105"/>
      <c r="AO560" s="87"/>
      <c r="AP560" s="87"/>
      <c r="AQ560" s="105"/>
      <c r="AR560" s="105"/>
      <c r="AS560" s="87"/>
      <c r="AT560" s="105"/>
      <c r="AU560" s="105"/>
      <c r="AV560" s="87"/>
      <c r="AW560" s="105"/>
      <c r="AX560" s="105"/>
      <c r="AY560" s="87"/>
      <c r="AZ560" s="105"/>
      <c r="BA560" s="105"/>
      <c r="BB560" s="105"/>
      <c r="BC560" s="87"/>
      <c r="BD560" s="87"/>
      <c r="BE560" s="105"/>
      <c r="BF560" s="105"/>
      <c r="BG560" s="105"/>
      <c r="BH560" s="105"/>
      <c r="BI560" s="105"/>
      <c r="BJ560" s="87"/>
      <c r="BK560" s="87"/>
      <c r="BL560" s="87"/>
      <c r="BM560" s="87"/>
      <c r="BN560" s="87"/>
      <c r="BO560" s="87"/>
      <c r="BP560" s="87"/>
      <c r="BQ560" s="87"/>
      <c r="BR560" s="87"/>
      <c r="BS560" s="87"/>
      <c r="BT560" s="87"/>
      <c r="BU560" s="87"/>
      <c r="BV560" s="87"/>
      <c r="BW560" s="87"/>
      <c r="BX560" s="87"/>
      <c r="BY560" s="87"/>
      <c r="BZ560" s="87"/>
      <c r="CA560" s="87"/>
      <c r="CB560" s="87"/>
      <c r="CC560" s="87"/>
      <c r="CD560" s="87"/>
      <c r="CE560" s="87"/>
      <c r="CF560" s="87"/>
      <c r="CG560" s="87"/>
      <c r="CH560" s="87"/>
      <c r="CI560" s="87"/>
      <c r="CJ560" s="87"/>
      <c r="CK560" s="87"/>
      <c r="CL560" s="87"/>
      <c r="CM560" s="87"/>
      <c r="CN560" s="87"/>
      <c r="CO560" s="87"/>
      <c r="CP560" s="87"/>
      <c r="CQ560" s="87"/>
      <c r="CR560" s="87"/>
      <c r="CS560" s="87">
        <f>-3/7*C560</f>
        <v>-11.207142857142856</v>
      </c>
      <c r="CT560" s="87">
        <f>-CS560</f>
        <v>11.207142857142856</v>
      </c>
      <c r="CU560" s="105"/>
      <c r="CV560" s="87"/>
      <c r="CW560" s="105"/>
      <c r="CX560" s="87"/>
      <c r="CY560" s="87"/>
      <c r="CZ560" s="87"/>
      <c r="DA560" s="87"/>
      <c r="DB560" s="87"/>
      <c r="DC560" s="87"/>
      <c r="DD560" s="87"/>
      <c r="DE560" s="87"/>
      <c r="DF560" s="87"/>
      <c r="DG560" s="87"/>
      <c r="DH560" s="87"/>
      <c r="DI560" s="87"/>
      <c r="DJ560" s="87"/>
      <c r="DK560" s="87"/>
      <c r="DL560" s="87"/>
      <c r="DM560" s="87"/>
      <c r="DN560" s="87"/>
      <c r="DO560" s="87"/>
      <c r="DP560" s="87"/>
      <c r="DQ560" s="87"/>
      <c r="DR560" s="87"/>
      <c r="DS560" s="87"/>
      <c r="DT560" s="87"/>
      <c r="DU560" s="87"/>
      <c r="DV560" s="87"/>
      <c r="DW560" s="87"/>
      <c r="DX560" s="87"/>
      <c r="DY560" s="87"/>
      <c r="DZ560" s="87"/>
      <c r="EA560" s="87"/>
      <c r="EB560" s="87"/>
      <c r="EC560" s="87"/>
      <c r="ED560" s="87"/>
      <c r="EE560" s="87"/>
      <c r="EF560" s="87"/>
      <c r="EG560" s="87"/>
      <c r="EH560" s="87"/>
      <c r="EI560" s="87"/>
    </row>
    <row r="561" spans="1:139" ht="16.5" hidden="1" thickBot="1" x14ac:dyDescent="0.35">
      <c r="A561" s="222" t="s">
        <v>243</v>
      </c>
      <c r="B561" s="191">
        <v>3</v>
      </c>
      <c r="C561" s="177">
        <f>30*0.65+20*0.85+(154*0.1*0.3)</f>
        <v>41.12</v>
      </c>
      <c r="D561" s="234">
        <f>C561/VLOOKUP(B561,'[2]Gas Prod per PADD'!$A$1:$C$6,2,FALSE)</f>
        <v>8.9391304347826075E-3</v>
      </c>
      <c r="E561" s="251">
        <v>45717</v>
      </c>
      <c r="F561" s="252">
        <v>45736</v>
      </c>
      <c r="G561" s="180" t="s">
        <v>894</v>
      </c>
      <c r="H561" s="181" t="s">
        <v>946</v>
      </c>
      <c r="I561" s="305"/>
      <c r="J561" s="306"/>
      <c r="K561" s="306"/>
      <c r="L561" s="306"/>
      <c r="M561" s="306"/>
      <c r="N561" s="306"/>
      <c r="O561" s="306"/>
      <c r="P561" s="306"/>
      <c r="Q561" s="306"/>
      <c r="R561" s="85">
        <f t="shared" si="24"/>
        <v>-25.202580645161291</v>
      </c>
      <c r="S561" s="306"/>
      <c r="T561" s="85"/>
      <c r="U561" s="85"/>
      <c r="V561" s="84"/>
      <c r="W561" s="84"/>
      <c r="X561" s="84"/>
      <c r="Y561" s="105"/>
      <c r="Z561" s="105"/>
      <c r="AA561" s="87"/>
      <c r="AB561" s="87"/>
      <c r="AC561" s="87"/>
      <c r="AD561" s="87"/>
      <c r="AE561" s="105"/>
      <c r="AF561" s="105"/>
      <c r="AG561" s="105"/>
      <c r="AH561" s="105"/>
      <c r="AI561" s="87"/>
      <c r="AJ561" s="87"/>
      <c r="AK561" s="105"/>
      <c r="AL561" s="87"/>
      <c r="AM561" s="105"/>
      <c r="AN561" s="105"/>
      <c r="AO561" s="87"/>
      <c r="AP561" s="87"/>
      <c r="AQ561" s="105"/>
      <c r="AR561" s="105"/>
      <c r="AS561" s="87"/>
      <c r="AT561" s="105"/>
      <c r="AU561" s="105"/>
      <c r="AV561" s="87"/>
      <c r="AW561" s="105"/>
      <c r="AX561" s="105"/>
      <c r="AY561" s="87"/>
      <c r="AZ561" s="105"/>
      <c r="BA561" s="105"/>
      <c r="BB561" s="105"/>
      <c r="BC561" s="87"/>
      <c r="BD561" s="87"/>
      <c r="BE561" s="105"/>
      <c r="BF561" s="105"/>
      <c r="BG561" s="105"/>
      <c r="BH561" s="105"/>
      <c r="BI561" s="105"/>
      <c r="BJ561" s="87"/>
      <c r="BK561" s="87"/>
      <c r="BL561" s="87"/>
      <c r="BM561" s="87"/>
      <c r="BN561" s="87"/>
      <c r="BO561" s="87"/>
      <c r="BP561" s="87"/>
      <c r="BQ561" s="87"/>
      <c r="BR561" s="87"/>
      <c r="BS561" s="87"/>
      <c r="BT561" s="87"/>
      <c r="BU561" s="87"/>
      <c r="BV561" s="87"/>
      <c r="BW561" s="87"/>
      <c r="BX561" s="87"/>
      <c r="BY561" s="87"/>
      <c r="BZ561" s="87"/>
      <c r="CA561" s="87"/>
      <c r="CB561" s="87"/>
      <c r="CC561" s="87"/>
      <c r="CD561" s="87"/>
      <c r="CE561" s="87"/>
      <c r="CF561" s="87"/>
      <c r="CG561" s="87"/>
      <c r="CH561" s="87"/>
      <c r="CI561" s="87"/>
      <c r="CJ561" s="87"/>
      <c r="CK561" s="87"/>
      <c r="CL561" s="87"/>
      <c r="CM561" s="87"/>
      <c r="CN561" s="87"/>
      <c r="CO561" s="87"/>
      <c r="CP561" s="87"/>
      <c r="CQ561" s="87">
        <f>-C561*0.8</f>
        <v>-32.896000000000001</v>
      </c>
      <c r="CR561" s="87">
        <f>-C561*0.2</f>
        <v>-8.2240000000000002</v>
      </c>
      <c r="CS561" s="87">
        <f>-CR561</f>
        <v>8.2240000000000002</v>
      </c>
      <c r="CT561" s="87">
        <f>-CQ561</f>
        <v>32.896000000000001</v>
      </c>
      <c r="CU561" s="105"/>
      <c r="CV561" s="87"/>
      <c r="CW561" s="105"/>
      <c r="CX561" s="105"/>
      <c r="CY561" s="87"/>
      <c r="CZ561" s="87"/>
      <c r="DA561" s="87"/>
      <c r="DB561" s="87"/>
      <c r="DC561" s="87"/>
      <c r="DD561" s="87"/>
      <c r="DE561" s="87"/>
      <c r="DF561" s="87"/>
      <c r="DG561" s="87"/>
      <c r="DH561" s="87"/>
      <c r="DI561" s="87"/>
      <c r="DJ561" s="87"/>
      <c r="DK561" s="87"/>
      <c r="DL561" s="87"/>
      <c r="DM561" s="87"/>
      <c r="DN561" s="87"/>
      <c r="DO561" s="87"/>
      <c r="DP561" s="87"/>
      <c r="DQ561" s="87"/>
      <c r="DR561" s="87"/>
      <c r="DS561" s="87"/>
      <c r="DT561" s="87"/>
      <c r="DU561" s="87"/>
      <c r="DV561" s="87"/>
      <c r="DW561" s="87"/>
      <c r="DX561" s="87"/>
      <c r="DY561" s="87"/>
      <c r="DZ561" s="87"/>
      <c r="EA561" s="87"/>
      <c r="EB561" s="87"/>
      <c r="EC561" s="87"/>
      <c r="ED561" s="87"/>
      <c r="EE561" s="87"/>
      <c r="EF561" s="87"/>
      <c r="EG561" s="87"/>
      <c r="EH561" s="87"/>
      <c r="EI561" s="87"/>
    </row>
    <row r="562" spans="1:139" ht="29.25" hidden="1" thickBot="1" x14ac:dyDescent="0.35">
      <c r="A562" s="222" t="s">
        <v>243</v>
      </c>
      <c r="B562" s="191">
        <v>3</v>
      </c>
      <c r="C562" s="177">
        <f>30*0.65+(154*0.1*0.3)</f>
        <v>24.12</v>
      </c>
      <c r="D562" s="234">
        <f>C562/VLOOKUP(B562,'[2]Gas Prod per PADD'!$A$1:$C$6,2,FALSE)</f>
        <v>5.2434782608695657E-3</v>
      </c>
      <c r="E562" s="251">
        <v>45717</v>
      </c>
      <c r="F562" s="179">
        <v>45736</v>
      </c>
      <c r="G562" s="180" t="s">
        <v>947</v>
      </c>
      <c r="H562" s="181" t="s">
        <v>948</v>
      </c>
      <c r="I562" s="84" t="s">
        <v>949</v>
      </c>
      <c r="J562" s="85"/>
      <c r="K562" s="85"/>
      <c r="L562" s="85"/>
      <c r="M562" s="85"/>
      <c r="N562" s="85"/>
      <c r="O562" s="85"/>
      <c r="P562" s="85"/>
      <c r="Q562" s="85"/>
      <c r="R562" s="85">
        <f t="shared" si="24"/>
        <v>-14.783225806451615</v>
      </c>
      <c r="S562" s="85"/>
      <c r="T562" s="85"/>
      <c r="U562" s="85"/>
      <c r="V562" s="84"/>
      <c r="W562" s="84"/>
      <c r="X562" s="84" t="str">
        <f t="shared" ref="X562:X582" si="25">IF(COUNTA(Y562:EI562)=0,"Missing","OK")</f>
        <v>OK</v>
      </c>
      <c r="Y562" s="105"/>
      <c r="Z562" s="105"/>
      <c r="AA562" s="87"/>
      <c r="AB562" s="87"/>
      <c r="AC562" s="87"/>
      <c r="AD562" s="87"/>
      <c r="AE562" s="105"/>
      <c r="AF562" s="105"/>
      <c r="AG562" s="105"/>
      <c r="AH562" s="105"/>
      <c r="AI562" s="87"/>
      <c r="AJ562" s="87"/>
      <c r="AK562" s="105"/>
      <c r="AL562" s="87"/>
      <c r="AM562" s="105"/>
      <c r="AN562" s="105"/>
      <c r="AO562" s="87"/>
      <c r="AP562" s="87"/>
      <c r="AQ562" s="105"/>
      <c r="AR562" s="105"/>
      <c r="AS562" s="87"/>
      <c r="AT562" s="105"/>
      <c r="AU562" s="105"/>
      <c r="AV562" s="87"/>
      <c r="AW562" s="105"/>
      <c r="AX562" s="105"/>
      <c r="AY562" s="87"/>
      <c r="AZ562" s="105"/>
      <c r="BA562" s="105"/>
      <c r="BB562" s="105"/>
      <c r="BC562" s="87"/>
      <c r="BD562" s="87"/>
      <c r="BE562" s="105"/>
      <c r="BF562" s="105"/>
      <c r="BG562" s="105"/>
      <c r="BH562" s="105"/>
      <c r="BI562" s="105"/>
      <c r="BJ562" s="87"/>
      <c r="BK562" s="87"/>
      <c r="BL562" s="87"/>
      <c r="BM562" s="87"/>
      <c r="BN562" s="87"/>
      <c r="BO562" s="105"/>
      <c r="BP562" s="105"/>
      <c r="BQ562" s="105"/>
      <c r="BR562" s="105"/>
      <c r="BS562" s="105"/>
      <c r="BT562" s="87"/>
      <c r="BU562" s="87"/>
      <c r="BV562" s="87"/>
      <c r="BW562" s="87"/>
      <c r="BX562" s="87"/>
      <c r="BY562" s="87"/>
      <c r="BZ562" s="87"/>
      <c r="CA562" s="87"/>
      <c r="CB562" s="87"/>
      <c r="CC562" s="87"/>
      <c r="CD562" s="87"/>
      <c r="CE562" s="87"/>
      <c r="CF562" s="87"/>
      <c r="CG562" s="87"/>
      <c r="CH562" s="87"/>
      <c r="CI562" s="87"/>
      <c r="CJ562" s="87"/>
      <c r="CK562" s="87"/>
      <c r="CL562" s="87"/>
      <c r="CM562" s="87"/>
      <c r="CN562" s="87"/>
      <c r="CO562" s="87"/>
      <c r="CP562" s="87"/>
      <c r="CQ562" s="87">
        <f>-C562*0.8</f>
        <v>-19.296000000000003</v>
      </c>
      <c r="CR562" s="87">
        <f>-C562*0.2</f>
        <v>-4.8240000000000007</v>
      </c>
      <c r="CS562" s="87">
        <f>-SUM(CQ562:CR562)</f>
        <v>24.120000000000005</v>
      </c>
      <c r="CT562" s="87"/>
      <c r="CU562" s="87"/>
      <c r="CV562" s="87"/>
      <c r="CW562" s="87"/>
      <c r="CX562" s="87"/>
      <c r="CY562" s="87"/>
      <c r="CZ562" s="87"/>
      <c r="DA562" s="87"/>
      <c r="DB562" s="87"/>
      <c r="DC562" s="87"/>
      <c r="DD562" s="87"/>
      <c r="DE562" s="87"/>
      <c r="DF562" s="87"/>
      <c r="DG562" s="87"/>
      <c r="DH562" s="87"/>
      <c r="DI562" s="87"/>
      <c r="DJ562" s="87"/>
      <c r="DK562" s="87"/>
      <c r="DL562" s="87"/>
      <c r="DM562" s="87"/>
      <c r="DN562" s="87"/>
      <c r="DO562" s="87"/>
      <c r="DP562" s="87"/>
      <c r="DQ562" s="87"/>
      <c r="DR562" s="87"/>
      <c r="DS562" s="87"/>
      <c r="DT562" s="87"/>
      <c r="DU562" s="87"/>
      <c r="DV562" s="87"/>
      <c r="DW562" s="87"/>
      <c r="DX562" s="87"/>
      <c r="DY562" s="87"/>
      <c r="DZ562" s="87"/>
      <c r="EA562" s="87"/>
      <c r="EB562" s="87"/>
      <c r="EC562" s="87"/>
      <c r="ED562" s="87"/>
      <c r="EE562" s="87"/>
      <c r="EF562" s="87"/>
      <c r="EG562" s="87"/>
      <c r="EH562" s="87"/>
      <c r="EI562" s="87"/>
    </row>
    <row r="563" spans="1:139" ht="16.5" hidden="1" thickBot="1" x14ac:dyDescent="0.35">
      <c r="A563" s="222" t="s">
        <v>339</v>
      </c>
      <c r="B563" s="191">
        <v>3</v>
      </c>
      <c r="C563" s="177">
        <f>50*0.25</f>
        <v>12.5</v>
      </c>
      <c r="D563" s="217">
        <v>2.717391304347826E-3</v>
      </c>
      <c r="E563" s="178">
        <v>45736</v>
      </c>
      <c r="F563" s="179">
        <v>45739</v>
      </c>
      <c r="G563" s="180" t="s">
        <v>351</v>
      </c>
      <c r="H563" s="181" t="s">
        <v>950</v>
      </c>
      <c r="I563" s="84"/>
      <c r="J563" s="85"/>
      <c r="K563" s="85"/>
      <c r="L563" s="85"/>
      <c r="M563" s="85"/>
      <c r="N563" s="85"/>
      <c r="O563" s="85"/>
      <c r="P563" s="85"/>
      <c r="Q563" s="85"/>
      <c r="R563" s="85">
        <f t="shared" si="24"/>
        <v>-1.2096774193548387</v>
      </c>
      <c r="S563" s="85"/>
      <c r="T563" s="85"/>
      <c r="U563" s="85"/>
      <c r="V563" s="84"/>
      <c r="W563" s="84"/>
      <c r="X563" s="84" t="str">
        <f t="shared" si="25"/>
        <v>OK</v>
      </c>
      <c r="Y563" s="86"/>
      <c r="Z563" s="87"/>
      <c r="AA563" s="87"/>
      <c r="AB563" s="87"/>
      <c r="AC563" s="87"/>
      <c r="AD563" s="87"/>
      <c r="AE563" s="87"/>
      <c r="AF563" s="87"/>
      <c r="AG563" s="87"/>
      <c r="AH563" s="87"/>
      <c r="AI563" s="87"/>
      <c r="AJ563" s="87"/>
      <c r="AK563" s="87"/>
      <c r="AL563" s="87"/>
      <c r="AM563" s="87"/>
      <c r="AN563" s="87"/>
      <c r="AO563" s="87"/>
      <c r="AP563" s="87"/>
      <c r="AQ563" s="87"/>
      <c r="AR563" s="87"/>
      <c r="AS563" s="87"/>
      <c r="AT563" s="87"/>
      <c r="AU563" s="87"/>
      <c r="AV563" s="87"/>
      <c r="AW563" s="87"/>
      <c r="AX563" s="87"/>
      <c r="AY563" s="87"/>
      <c r="AZ563" s="87"/>
      <c r="BA563" s="87"/>
      <c r="BB563" s="87"/>
      <c r="BC563" s="87"/>
      <c r="BD563" s="87"/>
      <c r="BE563" s="87"/>
      <c r="BF563" s="87"/>
      <c r="BG563" s="87"/>
      <c r="BH563" s="87"/>
      <c r="BI563" s="87"/>
      <c r="BJ563" s="105"/>
      <c r="BK563" s="87"/>
      <c r="BL563" s="105"/>
      <c r="BM563" s="105"/>
      <c r="BN563" s="105"/>
      <c r="BO563" s="105"/>
      <c r="BP563" s="105"/>
      <c r="BQ563" s="87"/>
      <c r="BR563" s="87"/>
      <c r="BS563" s="87"/>
      <c r="BT563" s="87"/>
      <c r="BU563" s="87"/>
      <c r="BV563" s="87"/>
      <c r="BW563" s="87"/>
      <c r="BX563" s="87"/>
      <c r="BY563" s="87"/>
      <c r="BZ563" s="87"/>
      <c r="CA563" s="87"/>
      <c r="CB563" s="87"/>
      <c r="CC563" s="87"/>
      <c r="CD563" s="87"/>
      <c r="CE563" s="87"/>
      <c r="CF563" s="87"/>
      <c r="CG563" s="87"/>
      <c r="CH563" s="87"/>
      <c r="CI563" s="87"/>
      <c r="CJ563" s="87"/>
      <c r="CK563" s="87"/>
      <c r="CL563" s="87"/>
      <c r="CM563" s="87"/>
      <c r="CN563" s="295"/>
      <c r="CO563" s="87"/>
      <c r="CP563" s="87"/>
      <c r="CQ563" s="87"/>
      <c r="CR563" s="87"/>
      <c r="CS563" s="87">
        <f>-1/7*C563</f>
        <v>-1.7857142857142856</v>
      </c>
      <c r="CT563" s="87">
        <f>-2/7*C563</f>
        <v>-3.5714285714285712</v>
      </c>
      <c r="CU563" s="87">
        <f>-CT563</f>
        <v>3.5714285714285712</v>
      </c>
      <c r="CV563" s="87">
        <f>-CS563</f>
        <v>1.7857142857142856</v>
      </c>
      <c r="CW563" s="87"/>
      <c r="CX563" s="87"/>
      <c r="CY563" s="87"/>
      <c r="CZ563" s="87"/>
      <c r="DA563" s="87"/>
      <c r="DB563" s="87"/>
      <c r="DC563" s="87"/>
      <c r="DD563" s="87"/>
      <c r="DE563" s="87"/>
      <c r="DF563" s="87"/>
      <c r="DG563" s="87"/>
      <c r="DH563" s="87"/>
      <c r="DI563" s="87"/>
      <c r="DJ563" s="87"/>
      <c r="DK563" s="87"/>
      <c r="DL563" s="87"/>
      <c r="DM563" s="87"/>
      <c r="DN563" s="87"/>
      <c r="DO563" s="87"/>
      <c r="DP563" s="87"/>
      <c r="DQ563" s="87"/>
      <c r="DR563" s="87"/>
      <c r="DS563" s="87"/>
      <c r="DT563" s="87"/>
      <c r="DU563" s="87"/>
      <c r="DV563" s="87"/>
      <c r="DW563" s="87"/>
      <c r="DX563" s="87"/>
      <c r="DY563" s="87"/>
      <c r="DZ563" s="87"/>
      <c r="EA563" s="87"/>
      <c r="EB563" s="87"/>
      <c r="EC563" s="87"/>
      <c r="ED563" s="87"/>
      <c r="EE563" s="87"/>
      <c r="EF563" s="87"/>
      <c r="EG563" s="87"/>
      <c r="EH563" s="87"/>
      <c r="EI563" s="87"/>
    </row>
    <row r="564" spans="1:139" ht="86.25" hidden="1" thickBot="1" x14ac:dyDescent="0.35">
      <c r="A564" s="351" t="s">
        <v>239</v>
      </c>
      <c r="B564" s="282">
        <v>2</v>
      </c>
      <c r="C564" s="177">
        <f>45*0.65+(230*0.3*0.25)+(2*0.25)</f>
        <v>47</v>
      </c>
      <c r="D564" s="217">
        <f>C564/VLOOKUP(B564,'[2]Gas Prod per PADD'!$A$1:$C$6,2,FALSE)</f>
        <v>1.9583333333333335E-2</v>
      </c>
      <c r="E564" s="251">
        <v>45724</v>
      </c>
      <c r="F564" s="252">
        <f>E564+16</f>
        <v>45740</v>
      </c>
      <c r="G564" s="180" t="s">
        <v>951</v>
      </c>
      <c r="H564" s="181" t="s">
        <v>952</v>
      </c>
      <c r="I564" s="84" t="s">
        <v>953</v>
      </c>
      <c r="J564" s="85"/>
      <c r="K564" s="85"/>
      <c r="L564" s="85"/>
      <c r="M564" s="85"/>
      <c r="N564" s="85"/>
      <c r="O564" s="85"/>
      <c r="P564" s="85"/>
      <c r="Q564" s="85"/>
      <c r="R564" s="85">
        <f t="shared" si="24"/>
        <v>-24.258064516129032</v>
      </c>
      <c r="S564" s="85"/>
      <c r="T564" s="85"/>
      <c r="U564" s="85"/>
      <c r="V564" s="84"/>
      <c r="W564" s="84"/>
      <c r="X564" s="84" t="str">
        <f t="shared" si="25"/>
        <v>OK</v>
      </c>
      <c r="Y564" s="87"/>
      <c r="Z564" s="87"/>
      <c r="AA564" s="87"/>
      <c r="AB564" s="87"/>
      <c r="AC564" s="87"/>
      <c r="AD564" s="87"/>
      <c r="AE564" s="87"/>
      <c r="AF564" s="87"/>
      <c r="AG564" s="87"/>
      <c r="AH564" s="87"/>
      <c r="AI564" s="87"/>
      <c r="AJ564" s="87"/>
      <c r="AK564" s="87"/>
      <c r="AL564" s="87"/>
      <c r="AM564" s="87"/>
      <c r="AN564" s="87"/>
      <c r="AO564" s="87"/>
      <c r="AP564" s="87"/>
      <c r="AQ564" s="87"/>
      <c r="AR564" s="87"/>
      <c r="AS564" s="87"/>
      <c r="AT564" s="87"/>
      <c r="AU564" s="87"/>
      <c r="AV564" s="87"/>
      <c r="AW564" s="87"/>
      <c r="AX564" s="87"/>
      <c r="AY564" s="87"/>
      <c r="AZ564" s="87"/>
      <c r="BA564" s="87"/>
      <c r="BB564" s="87"/>
      <c r="BC564" s="87"/>
      <c r="BD564" s="87"/>
      <c r="BE564" s="87"/>
      <c r="BF564" s="87"/>
      <c r="BG564" s="87"/>
      <c r="BH564" s="87"/>
      <c r="BI564" s="87"/>
      <c r="BJ564" s="87"/>
      <c r="BK564" s="87"/>
      <c r="BL564" s="87"/>
      <c r="BM564" s="87"/>
      <c r="BN564" s="105"/>
      <c r="BO564" s="87"/>
      <c r="BP564" s="105"/>
      <c r="BQ564" s="105"/>
      <c r="BR564" s="87"/>
      <c r="BS564" s="87"/>
      <c r="BT564" s="87"/>
      <c r="BU564" s="87"/>
      <c r="BV564" s="87"/>
      <c r="BW564" s="87"/>
      <c r="BX564" s="87"/>
      <c r="BY564" s="87"/>
      <c r="BZ564" s="87"/>
      <c r="CA564" s="87"/>
      <c r="CB564" s="87"/>
      <c r="CC564" s="87"/>
      <c r="CD564" s="87"/>
      <c r="CE564" s="87"/>
      <c r="CF564" s="87"/>
      <c r="CG564" s="87"/>
      <c r="CH564" s="87"/>
      <c r="CI564" s="87"/>
      <c r="CJ564" s="87"/>
      <c r="CK564" s="87"/>
      <c r="CL564" s="87"/>
      <c r="CM564" s="87"/>
      <c r="CN564" s="87"/>
      <c r="CO564" s="87"/>
      <c r="CP564" s="87"/>
      <c r="CQ564" s="87"/>
      <c r="CR564" s="87">
        <f>-C564*6/7</f>
        <v>-40.285714285714285</v>
      </c>
      <c r="CS564" s="87">
        <f>-C564*1/7</f>
        <v>-6.7142857142857144</v>
      </c>
      <c r="CT564" s="87"/>
      <c r="CU564" s="87">
        <f>C564*(3/7)</f>
        <v>20.142857142857142</v>
      </c>
      <c r="CV564" s="87">
        <f>C564*(4/7)</f>
        <v>26.857142857142854</v>
      </c>
      <c r="CW564" s="87"/>
      <c r="CX564" s="87"/>
      <c r="CY564" s="87"/>
      <c r="CZ564" s="87"/>
      <c r="DA564" s="87"/>
      <c r="DB564" s="87"/>
      <c r="DC564" s="87"/>
      <c r="DD564" s="87"/>
      <c r="DE564" s="87"/>
      <c r="DF564" s="87"/>
      <c r="DG564" s="87"/>
      <c r="DH564" s="87"/>
      <c r="DI564" s="87"/>
      <c r="DJ564" s="87"/>
      <c r="DK564" s="87"/>
      <c r="DL564" s="87"/>
      <c r="DM564" s="87"/>
      <c r="DN564" s="87"/>
      <c r="DO564" s="87"/>
      <c r="DP564" s="87"/>
      <c r="DQ564" s="87"/>
      <c r="DR564" s="87"/>
      <c r="DS564" s="87"/>
      <c r="DT564" s="87"/>
      <c r="DU564" s="87"/>
      <c r="DV564" s="87"/>
      <c r="DW564" s="87"/>
      <c r="DX564" s="87"/>
      <c r="DY564" s="87"/>
      <c r="DZ564" s="87"/>
      <c r="EA564" s="87"/>
      <c r="EB564" s="87"/>
      <c r="EC564" s="87"/>
      <c r="ED564" s="87"/>
      <c r="EE564" s="87"/>
      <c r="EF564" s="87"/>
      <c r="EG564" s="87"/>
      <c r="EH564" s="87"/>
      <c r="EI564" s="87"/>
    </row>
    <row r="565" spans="1:139" ht="16.5" hidden="1" thickBot="1" x14ac:dyDescent="0.35">
      <c r="A565" s="88" t="s">
        <v>273</v>
      </c>
      <c r="B565" s="194">
        <v>3</v>
      </c>
      <c r="C565" s="195">
        <f>0.85*11</f>
        <v>9.35</v>
      </c>
      <c r="D565" s="217">
        <f>C565/VLOOKUP(B565,'[2]Gas Prod per PADD'!$A$1:$C$6,2,FALSE)</f>
        <v>2.0326086956521739E-3</v>
      </c>
      <c r="E565" s="196">
        <v>45724</v>
      </c>
      <c r="F565" s="281">
        <v>45740</v>
      </c>
      <c r="G565" s="194" t="s">
        <v>954</v>
      </c>
      <c r="H565" s="198"/>
      <c r="I565" s="84"/>
      <c r="J565" s="85"/>
      <c r="K565" s="85"/>
      <c r="L565" s="85"/>
      <c r="M565" s="85"/>
      <c r="N565" s="85"/>
      <c r="O565" s="85"/>
      <c r="P565" s="85"/>
      <c r="Q565" s="85"/>
      <c r="R565" s="85">
        <f t="shared" si="24"/>
        <v>-4.8258064516129027</v>
      </c>
      <c r="S565" s="85"/>
      <c r="T565" s="85"/>
      <c r="U565" s="85"/>
      <c r="V565" s="84"/>
      <c r="W565" s="84"/>
      <c r="X565" s="84" t="str">
        <f t="shared" si="25"/>
        <v>OK</v>
      </c>
      <c r="Y565" s="105"/>
      <c r="Z565" s="105"/>
      <c r="AA565" s="87"/>
      <c r="AB565" s="87"/>
      <c r="AC565" s="87"/>
      <c r="AD565" s="87"/>
      <c r="AE565" s="105"/>
      <c r="AF565" s="105"/>
      <c r="AG565" s="105"/>
      <c r="AH565" s="105"/>
      <c r="AI565" s="87"/>
      <c r="AJ565" s="87"/>
      <c r="AK565" s="105"/>
      <c r="AL565" s="87"/>
      <c r="AM565" s="87"/>
      <c r="AN565" s="87"/>
      <c r="AO565" s="87"/>
      <c r="AP565" s="87"/>
      <c r="AQ565" s="87"/>
      <c r="AR565" s="87"/>
      <c r="AS565" s="105"/>
      <c r="AT565" s="87"/>
      <c r="AU565" s="87"/>
      <c r="AV565" s="87"/>
      <c r="AW565" s="87"/>
      <c r="AX565" s="87"/>
      <c r="AY565" s="87"/>
      <c r="AZ565" s="87"/>
      <c r="BA565" s="87"/>
      <c r="BB565" s="87"/>
      <c r="BC565" s="87"/>
      <c r="BD565" s="87"/>
      <c r="BE565" s="87"/>
      <c r="BF565" s="87"/>
      <c r="BG565" s="87"/>
      <c r="BH565" s="87"/>
      <c r="BI565" s="87"/>
      <c r="BJ565" s="87"/>
      <c r="BK565" s="87"/>
      <c r="BL565" s="87"/>
      <c r="BM565" s="87"/>
      <c r="BN565" s="87"/>
      <c r="BO565" s="87"/>
      <c r="BP565" s="87"/>
      <c r="BQ565" s="87"/>
      <c r="BR565" s="87"/>
      <c r="BS565" s="87"/>
      <c r="BT565" s="87"/>
      <c r="BU565" s="87"/>
      <c r="BV565" s="87"/>
      <c r="BW565" s="87"/>
      <c r="BX565" s="87"/>
      <c r="BY565" s="87"/>
      <c r="BZ565" s="87"/>
      <c r="CA565" s="87"/>
      <c r="CB565" s="87"/>
      <c r="CC565" s="87"/>
      <c r="CD565" s="87"/>
      <c r="CE565" s="87"/>
      <c r="CF565" s="87"/>
      <c r="CG565" s="87"/>
      <c r="CH565" s="87"/>
      <c r="CI565" s="87"/>
      <c r="CJ565" s="87"/>
      <c r="CK565" s="87"/>
      <c r="CL565" s="87"/>
      <c r="CM565" s="87"/>
      <c r="CN565" s="87"/>
      <c r="CO565" s="87"/>
      <c r="CP565" s="87"/>
      <c r="CQ565" s="87"/>
      <c r="CR565" s="105">
        <f>-C565</f>
        <v>-9.35</v>
      </c>
      <c r="CS565" s="87"/>
      <c r="CT565" s="87">
        <f>C565*3/7</f>
        <v>4.0071428571428571</v>
      </c>
      <c r="CU565" s="87">
        <f>C565*4/7</f>
        <v>5.3428571428571425</v>
      </c>
      <c r="CV565" s="87"/>
      <c r="CW565" s="87"/>
      <c r="CX565" s="87"/>
      <c r="CY565" s="87"/>
      <c r="CZ565" s="87"/>
      <c r="DA565" s="87"/>
      <c r="DB565" s="87"/>
      <c r="DC565" s="87"/>
      <c r="DD565" s="87"/>
      <c r="DE565" s="87"/>
      <c r="DF565" s="87"/>
      <c r="DG565" s="87"/>
      <c r="DH565" s="87"/>
      <c r="DI565" s="87"/>
      <c r="DJ565" s="87"/>
      <c r="DK565" s="87"/>
      <c r="DL565" s="87"/>
      <c r="DM565" s="87"/>
      <c r="DN565" s="87"/>
      <c r="DO565" s="87"/>
      <c r="DP565" s="87"/>
      <c r="DQ565" s="87"/>
      <c r="DR565" s="87"/>
      <c r="DS565" s="87"/>
      <c r="DT565" s="87"/>
      <c r="DU565" s="87"/>
      <c r="DV565" s="87"/>
      <c r="DW565" s="87"/>
      <c r="DX565" s="87"/>
      <c r="DY565" s="87"/>
      <c r="DZ565" s="87"/>
      <c r="EA565" s="87"/>
      <c r="EB565" s="87"/>
      <c r="EC565" s="87"/>
      <c r="ED565" s="87"/>
      <c r="EE565" s="87"/>
      <c r="EF565" s="87"/>
      <c r="EG565" s="87"/>
      <c r="EH565" s="87"/>
      <c r="EI565" s="87"/>
    </row>
    <row r="566" spans="1:139" ht="43.5" hidden="1" thickBot="1" x14ac:dyDescent="0.35">
      <c r="A566" s="352" t="s">
        <v>231</v>
      </c>
      <c r="B566" s="223">
        <v>2</v>
      </c>
      <c r="C566" s="224">
        <f>70*0.25+(35*0.25)+(28*0.65)</f>
        <v>44.45</v>
      </c>
      <c r="D566" s="217">
        <f>C566/VLOOKUP(B566,'[2]Gas Prod per PADD'!$A$1:$C$6,2,FALSE)</f>
        <v>1.8520833333333334E-2</v>
      </c>
      <c r="E566" s="225">
        <v>45733</v>
      </c>
      <c r="F566" s="226">
        <v>45740</v>
      </c>
      <c r="G566" s="180" t="s">
        <v>955</v>
      </c>
      <c r="H566" s="221"/>
      <c r="I566" s="84"/>
      <c r="J566" s="85"/>
      <c r="K566" s="85"/>
      <c r="L566" s="85"/>
      <c r="M566" s="85"/>
      <c r="N566" s="85"/>
      <c r="O566" s="85"/>
      <c r="P566" s="85"/>
      <c r="Q566" s="85"/>
      <c r="R566" s="85">
        <f t="shared" si="24"/>
        <v>-10.03709677419355</v>
      </c>
      <c r="S566" s="85"/>
      <c r="T566" s="85"/>
      <c r="U566" s="85"/>
      <c r="V566" s="84"/>
      <c r="W566" s="84"/>
      <c r="X566" s="84" t="str">
        <f t="shared" si="25"/>
        <v>OK</v>
      </c>
      <c r="Y566" s="105"/>
      <c r="Z566" s="105"/>
      <c r="AA566" s="87"/>
      <c r="AB566" s="87"/>
      <c r="AC566" s="87"/>
      <c r="AD566" s="87"/>
      <c r="AE566" s="105"/>
      <c r="AF566" s="105"/>
      <c r="AG566" s="105"/>
      <c r="AH566" s="105"/>
      <c r="AI566" s="87"/>
      <c r="AJ566" s="87"/>
      <c r="AK566" s="87"/>
      <c r="AL566" s="87"/>
      <c r="AM566" s="87"/>
      <c r="AN566" s="87"/>
      <c r="AO566" s="87"/>
      <c r="AP566" s="87"/>
      <c r="AQ566" s="87"/>
      <c r="AR566" s="87"/>
      <c r="AS566" s="87"/>
      <c r="AT566" s="87"/>
      <c r="AU566" s="87"/>
      <c r="AV566" s="87"/>
      <c r="AW566" s="87"/>
      <c r="AX566" s="87"/>
      <c r="AY566" s="87"/>
      <c r="AZ566" s="87"/>
      <c r="BA566" s="87"/>
      <c r="BB566" s="87"/>
      <c r="BC566" s="87"/>
      <c r="BD566" s="87"/>
      <c r="BE566" s="87"/>
      <c r="BF566" s="87"/>
      <c r="BG566" s="87"/>
      <c r="BH566" s="87"/>
      <c r="BI566" s="87"/>
      <c r="BJ566" s="87"/>
      <c r="BK566" s="87"/>
      <c r="BL566" s="87"/>
      <c r="BM566" s="87"/>
      <c r="BN566" s="87"/>
      <c r="BO566" s="87"/>
      <c r="BP566" s="87"/>
      <c r="BQ566" s="87"/>
      <c r="BR566" s="87"/>
      <c r="BS566" s="87"/>
      <c r="BT566" s="278"/>
      <c r="BU566" s="278"/>
      <c r="BV566" s="278"/>
      <c r="BW566" s="278"/>
      <c r="BX566" s="278"/>
      <c r="BY566" s="278"/>
      <c r="BZ566" s="87"/>
      <c r="CA566" s="87"/>
      <c r="CB566" s="87"/>
      <c r="CC566" s="87"/>
      <c r="CD566" s="87"/>
      <c r="CE566" s="87"/>
      <c r="CF566" s="87"/>
      <c r="CG566" s="87"/>
      <c r="CH566" s="87"/>
      <c r="CI566" s="87"/>
      <c r="CJ566" s="87"/>
      <c r="CK566" s="87"/>
      <c r="CL566" s="87"/>
      <c r="CM566" s="87"/>
      <c r="CN566" s="87"/>
      <c r="CO566" s="87"/>
      <c r="CP566" s="87"/>
      <c r="CQ566" s="87"/>
      <c r="CR566" s="87"/>
      <c r="CS566" s="87">
        <f>-4/7*C566</f>
        <v>-25.4</v>
      </c>
      <c r="CT566" s="87"/>
      <c r="CU566" s="87">
        <f>-CS566</f>
        <v>25.4</v>
      </c>
      <c r="CV566" s="87"/>
      <c r="CW566" s="87"/>
      <c r="CX566" s="87"/>
      <c r="CY566" s="87"/>
      <c r="CZ566" s="87"/>
      <c r="DA566" s="87"/>
      <c r="DB566" s="87"/>
      <c r="DC566" s="87"/>
      <c r="DD566" s="87"/>
      <c r="DE566" s="87"/>
      <c r="DF566" s="87"/>
      <c r="DG566" s="87"/>
      <c r="DH566" s="87"/>
      <c r="DI566" s="87"/>
      <c r="DJ566" s="87"/>
      <c r="DK566" s="87"/>
      <c r="DL566" s="87"/>
      <c r="DM566" s="87"/>
      <c r="DN566" s="87"/>
      <c r="DO566" s="87"/>
      <c r="DP566" s="87"/>
      <c r="DQ566" s="87"/>
      <c r="DR566" s="87"/>
      <c r="DS566" s="87"/>
      <c r="DT566" s="87"/>
      <c r="DU566" s="87"/>
      <c r="DV566" s="87"/>
      <c r="DW566" s="87"/>
      <c r="DX566" s="87"/>
      <c r="DY566" s="87"/>
      <c r="DZ566" s="87"/>
      <c r="EA566" s="87"/>
      <c r="EB566" s="87"/>
      <c r="EC566" s="87"/>
      <c r="ED566" s="87"/>
      <c r="EE566" s="87"/>
      <c r="EF566" s="87"/>
      <c r="EG566" s="87"/>
      <c r="EH566" s="87"/>
      <c r="EI566" s="87"/>
    </row>
    <row r="567" spans="1:139" ht="43.5" hidden="1" thickBot="1" x14ac:dyDescent="0.35">
      <c r="A567" s="353" t="s">
        <v>384</v>
      </c>
      <c r="B567" s="176">
        <v>2</v>
      </c>
      <c r="C567" s="177">
        <f>266*0.1+15*0.65</f>
        <v>36.35</v>
      </c>
      <c r="D567" s="234">
        <f>C567/VLOOKUP(B567,'[2]Gas Prod per PADD'!$A$1:$C$6,2,FALSE)</f>
        <v>1.5145833333333334E-2</v>
      </c>
      <c r="E567" s="251">
        <v>45733</v>
      </c>
      <c r="F567" s="252">
        <v>45740</v>
      </c>
      <c r="G567" s="180" t="s">
        <v>956</v>
      </c>
      <c r="H567" s="198" t="s">
        <v>957</v>
      </c>
      <c r="I567" s="354" t="s">
        <v>958</v>
      </c>
      <c r="J567" s="355"/>
      <c r="K567" s="355"/>
      <c r="L567" s="355"/>
      <c r="M567" s="355"/>
      <c r="N567" s="355"/>
      <c r="O567" s="355"/>
      <c r="P567" s="355"/>
      <c r="Q567" s="355"/>
      <c r="R567" s="85">
        <f t="shared" si="24"/>
        <v>-8.2080645161290331</v>
      </c>
      <c r="S567" s="355"/>
      <c r="T567" s="85"/>
      <c r="U567" s="85"/>
      <c r="V567" s="84"/>
      <c r="W567" s="84"/>
      <c r="X567" s="84" t="str">
        <f t="shared" si="25"/>
        <v>OK</v>
      </c>
      <c r="Y567" s="105"/>
      <c r="Z567" s="105"/>
      <c r="AA567" s="87"/>
      <c r="AB567" s="87"/>
      <c r="AC567" s="87"/>
      <c r="AD567" s="87"/>
      <c r="AE567" s="105"/>
      <c r="AF567" s="105"/>
      <c r="AG567" s="105"/>
      <c r="AH567" s="105"/>
      <c r="AI567" s="87"/>
      <c r="AJ567" s="87"/>
      <c r="AK567" s="105"/>
      <c r="AL567" s="87"/>
      <c r="AM567" s="105"/>
      <c r="AN567" s="105"/>
      <c r="AO567" s="87"/>
      <c r="AP567" s="87"/>
      <c r="AQ567" s="105"/>
      <c r="AR567" s="105"/>
      <c r="AS567" s="87"/>
      <c r="AT567" s="105"/>
      <c r="AU567" s="105"/>
      <c r="AV567" s="87"/>
      <c r="AW567" s="105"/>
      <c r="AX567" s="105"/>
      <c r="AY567" s="87"/>
      <c r="AZ567" s="105"/>
      <c r="BA567" s="105"/>
      <c r="BB567" s="105"/>
      <c r="BC567" s="87"/>
      <c r="BD567" s="87"/>
      <c r="BE567" s="105"/>
      <c r="BF567" s="105"/>
      <c r="BG567" s="105"/>
      <c r="BH567" s="105"/>
      <c r="BI567" s="105"/>
      <c r="BJ567" s="87"/>
      <c r="BK567" s="87"/>
      <c r="BL567" s="87"/>
      <c r="BM567" s="87"/>
      <c r="BN567" s="87"/>
      <c r="BO567" s="87"/>
      <c r="BP567" s="87"/>
      <c r="BQ567" s="87"/>
      <c r="BR567" s="87"/>
      <c r="BS567" s="87"/>
      <c r="BT567" s="87"/>
      <c r="BU567" s="87"/>
      <c r="BV567" s="87"/>
      <c r="BW567" s="87"/>
      <c r="BX567" s="87"/>
      <c r="BY567" s="87"/>
      <c r="BZ567" s="87"/>
      <c r="CA567" s="87"/>
      <c r="CB567" s="87"/>
      <c r="CC567" s="87"/>
      <c r="CD567" s="87"/>
      <c r="CE567" s="87"/>
      <c r="CF567" s="87"/>
      <c r="CG567" s="87"/>
      <c r="CH567" s="87"/>
      <c r="CI567" s="87"/>
      <c r="CJ567" s="87"/>
      <c r="CK567" s="87"/>
      <c r="CL567" s="87"/>
      <c r="CM567" s="87"/>
      <c r="CN567" s="87"/>
      <c r="CO567" s="87"/>
      <c r="CP567" s="87"/>
      <c r="CQ567" s="87"/>
      <c r="CR567" s="87"/>
      <c r="CS567" s="87">
        <f>-4/7*C567</f>
        <v>-20.771428571428572</v>
      </c>
      <c r="CT567" s="87"/>
      <c r="CU567" s="87">
        <f>-CS567</f>
        <v>20.771428571428572</v>
      </c>
      <c r="CV567" s="87"/>
      <c r="CW567" s="87"/>
      <c r="CX567" s="87"/>
      <c r="CY567" s="87"/>
      <c r="CZ567" s="105"/>
      <c r="DA567" s="105"/>
      <c r="DB567" s="87"/>
      <c r="DC567" s="87"/>
      <c r="DD567" s="87"/>
      <c r="DE567" s="87"/>
      <c r="DF567" s="87"/>
      <c r="DG567" s="87"/>
      <c r="DH567" s="87"/>
      <c r="DI567" s="87"/>
      <c r="DJ567" s="87"/>
      <c r="DK567" s="87"/>
      <c r="DL567" s="87"/>
      <c r="DM567" s="87"/>
      <c r="DN567" s="87"/>
      <c r="DO567" s="87"/>
      <c r="DP567" s="87"/>
      <c r="DQ567" s="87"/>
      <c r="DR567" s="87"/>
      <c r="DS567" s="87"/>
      <c r="DT567" s="87"/>
      <c r="DU567" s="87"/>
      <c r="DV567" s="87"/>
      <c r="DW567" s="87"/>
      <c r="DX567" s="87"/>
      <c r="DY567" s="87"/>
      <c r="DZ567" s="87"/>
      <c r="EA567" s="87"/>
      <c r="EB567" s="87"/>
      <c r="EC567" s="87"/>
      <c r="ED567" s="87"/>
      <c r="EE567" s="87"/>
      <c r="EF567" s="87"/>
      <c r="EG567" s="87"/>
      <c r="EH567" s="87"/>
      <c r="EI567" s="87"/>
    </row>
    <row r="568" spans="1:139" ht="16.5" hidden="1" thickBot="1" x14ac:dyDescent="0.35">
      <c r="A568" s="175" t="s">
        <v>324</v>
      </c>
      <c r="B568" s="176">
        <v>5</v>
      </c>
      <c r="C568" s="177">
        <f>50*0.65</f>
        <v>32.5</v>
      </c>
      <c r="D568" s="234">
        <f>C568/VLOOKUP(B568,'[2]Gas Prod per PADD'!$A$1:$C$6,2,FALSE)</f>
        <v>2.4074074074074074E-2</v>
      </c>
      <c r="E568" s="220">
        <v>45737</v>
      </c>
      <c r="F568" s="179">
        <v>45741</v>
      </c>
      <c r="G568" s="180" t="s">
        <v>959</v>
      </c>
      <c r="H568" s="181" t="s">
        <v>960</v>
      </c>
      <c r="I568" s="84"/>
      <c r="J568" s="85"/>
      <c r="K568" s="85"/>
      <c r="L568" s="85"/>
      <c r="M568" s="85"/>
      <c r="N568" s="85"/>
      <c r="O568" s="85"/>
      <c r="P568" s="85"/>
      <c r="Q568" s="85"/>
      <c r="R568" s="85">
        <f t="shared" si="24"/>
        <v>-4.193548387096774</v>
      </c>
      <c r="S568" s="85"/>
      <c r="T568" s="85"/>
      <c r="U568" s="85"/>
      <c r="V568" s="84"/>
      <c r="W568" s="84"/>
      <c r="X568" s="84" t="str">
        <f t="shared" si="25"/>
        <v>OK</v>
      </c>
      <c r="Y568" s="105"/>
      <c r="Z568" s="105"/>
      <c r="AA568" s="87"/>
      <c r="AB568" s="87"/>
      <c r="AC568" s="87"/>
      <c r="AD568" s="87"/>
      <c r="AE568" s="105"/>
      <c r="AF568" s="105"/>
      <c r="AG568" s="105"/>
      <c r="AH568" s="105"/>
      <c r="AI568" s="87"/>
      <c r="AJ568" s="87"/>
      <c r="AK568" s="105"/>
      <c r="AL568" s="87"/>
      <c r="AM568" s="105"/>
      <c r="AN568" s="105"/>
      <c r="AO568" s="87"/>
      <c r="AP568" s="87"/>
      <c r="AQ568" s="105"/>
      <c r="AR568" s="105"/>
      <c r="AS568" s="87"/>
      <c r="AT568" s="105"/>
      <c r="AU568" s="87"/>
      <c r="AV568" s="87"/>
      <c r="AW568" s="87"/>
      <c r="AX568" s="87"/>
      <c r="AY568" s="87"/>
      <c r="AZ568" s="87"/>
      <c r="BA568" s="87"/>
      <c r="BB568" s="87"/>
      <c r="BC568" s="87"/>
      <c r="BD568" s="87"/>
      <c r="BE568" s="87"/>
      <c r="BF568" s="87"/>
      <c r="BG568" s="87"/>
      <c r="BH568" s="87"/>
      <c r="BI568" s="87"/>
      <c r="BJ568" s="87"/>
      <c r="BK568" s="87"/>
      <c r="BL568" s="87"/>
      <c r="BM568" s="87"/>
      <c r="BN568" s="87"/>
      <c r="BO568" s="87"/>
      <c r="BP568" s="87"/>
      <c r="BQ568" s="87"/>
      <c r="BR568" s="87"/>
      <c r="BS568" s="87"/>
      <c r="BT568" s="87"/>
      <c r="BU568" s="87"/>
      <c r="BV568" s="87"/>
      <c r="BW568" s="87"/>
      <c r="BX568" s="87"/>
      <c r="BY568" s="87"/>
      <c r="BZ568" s="87"/>
      <c r="CA568" s="87"/>
      <c r="CB568" s="87"/>
      <c r="CC568" s="87"/>
      <c r="CD568" s="87"/>
      <c r="CE568" s="87"/>
      <c r="CF568" s="87"/>
      <c r="CG568" s="87"/>
      <c r="CH568" s="87"/>
      <c r="CI568" s="87"/>
      <c r="CJ568" s="87"/>
      <c r="CK568" s="87"/>
      <c r="CL568" s="87"/>
      <c r="CM568" s="87"/>
      <c r="CN568" s="87"/>
      <c r="CO568" s="87"/>
      <c r="CP568" s="87"/>
      <c r="CQ568" s="87"/>
      <c r="CR568" s="87"/>
      <c r="CS568" s="87">
        <f>-C568*(1/7)</f>
        <v>-4.6428571428571423</v>
      </c>
      <c r="CT568" s="87">
        <f>-C568*(2/7)</f>
        <v>-9.2857142857142847</v>
      </c>
      <c r="CU568" s="87">
        <f>-CT568</f>
        <v>9.2857142857142847</v>
      </c>
      <c r="CV568" s="87">
        <f>-CS568</f>
        <v>4.6428571428571423</v>
      </c>
      <c r="CW568" s="87"/>
      <c r="CX568" s="87"/>
      <c r="CY568" s="87"/>
      <c r="CZ568" s="87"/>
      <c r="DA568" s="87"/>
      <c r="DB568" s="87"/>
      <c r="DC568" s="87"/>
      <c r="DD568" s="87"/>
      <c r="DE568" s="87"/>
      <c r="DF568" s="87"/>
      <c r="DG568" s="87"/>
      <c r="DH568" s="87"/>
      <c r="DI568" s="87"/>
      <c r="DJ568" s="87"/>
      <c r="DK568" s="87"/>
      <c r="DL568" s="87"/>
      <c r="DM568" s="87"/>
      <c r="DN568" s="87"/>
      <c r="DO568" s="87"/>
      <c r="DP568" s="87"/>
      <c r="DQ568" s="87"/>
      <c r="DR568" s="87"/>
      <c r="DS568" s="87"/>
      <c r="DT568" s="87"/>
      <c r="DU568" s="87"/>
      <c r="DV568" s="87"/>
      <c r="DW568" s="87"/>
      <c r="DX568" s="87"/>
      <c r="DY568" s="87"/>
      <c r="DZ568" s="87"/>
      <c r="EA568" s="87"/>
      <c r="EB568" s="87"/>
      <c r="EC568" s="87"/>
      <c r="ED568" s="87"/>
      <c r="EE568" s="87"/>
      <c r="EF568" s="87"/>
      <c r="EG568" s="75">
        <v>46017</v>
      </c>
      <c r="EH568" s="75">
        <v>46024</v>
      </c>
      <c r="EI568" s="75">
        <v>46031</v>
      </c>
    </row>
    <row r="569" spans="1:139" ht="29.25" hidden="1" thickBot="1" x14ac:dyDescent="0.35">
      <c r="A569" s="219" t="s">
        <v>858</v>
      </c>
      <c r="B569" s="191">
        <v>3</v>
      </c>
      <c r="C569" s="177">
        <f>(110*0.25)+(17*0.25)</f>
        <v>31.75</v>
      </c>
      <c r="D569" s="217">
        <f>C569/VLOOKUP(B569,'[2]Gas Prod per PADD'!$A$1:$C$6,2,FALSE)</f>
        <v>6.9021739130434787E-3</v>
      </c>
      <c r="E569" s="334">
        <v>45719</v>
      </c>
      <c r="F569" s="252">
        <v>45742</v>
      </c>
      <c r="G569" s="180" t="s">
        <v>961</v>
      </c>
      <c r="H569" s="181" t="s">
        <v>962</v>
      </c>
      <c r="I569" s="84"/>
      <c r="J569" s="85"/>
      <c r="K569" s="85"/>
      <c r="L569" s="85"/>
      <c r="M569" s="85"/>
      <c r="N569" s="85"/>
      <c r="O569" s="85"/>
      <c r="P569" s="85"/>
      <c r="Q569" s="85"/>
      <c r="R569" s="85">
        <f t="shared" si="24"/>
        <v>-23.556451612903224</v>
      </c>
      <c r="S569" s="85"/>
      <c r="T569" s="85"/>
      <c r="U569" s="85"/>
      <c r="V569" s="84"/>
      <c r="W569" s="84"/>
      <c r="X569" s="84" t="str">
        <f t="shared" si="25"/>
        <v>OK</v>
      </c>
      <c r="Y569" s="86"/>
      <c r="Z569" s="87"/>
      <c r="AA569" s="87"/>
      <c r="AB569" s="87"/>
      <c r="AC569" s="87"/>
      <c r="AD569" s="87"/>
      <c r="AE569" s="87"/>
      <c r="AF569" s="87"/>
      <c r="AG569" s="87"/>
      <c r="AH569" s="87"/>
      <c r="AI569" s="87"/>
      <c r="AJ569" s="87"/>
      <c r="AK569" s="87"/>
      <c r="AL569" s="87"/>
      <c r="AM569" s="87"/>
      <c r="AN569" s="87"/>
      <c r="AO569" s="87"/>
      <c r="AP569" s="87"/>
      <c r="AQ569" s="87"/>
      <c r="AR569" s="87"/>
      <c r="AS569" s="87"/>
      <c r="AT569" s="87"/>
      <c r="AU569" s="87"/>
      <c r="AV569" s="87"/>
      <c r="AW569" s="87"/>
      <c r="AX569" s="87"/>
      <c r="AY569" s="87"/>
      <c r="AZ569" s="87"/>
      <c r="BA569" s="87"/>
      <c r="BB569" s="87"/>
      <c r="BC569" s="87"/>
      <c r="BD569" s="87"/>
      <c r="BE569" s="87"/>
      <c r="BF569" s="87"/>
      <c r="BG569" s="87"/>
      <c r="BH569" s="87"/>
      <c r="BI569" s="87"/>
      <c r="BJ569" s="105"/>
      <c r="BK569" s="87"/>
      <c r="BL569" s="105"/>
      <c r="BM569" s="87"/>
      <c r="BN569" s="87"/>
      <c r="BO569" s="87"/>
      <c r="BP569" s="87"/>
      <c r="BQ569" s="87"/>
      <c r="BR569" s="87"/>
      <c r="BS569" s="87"/>
      <c r="BT569" s="87"/>
      <c r="BU569" s="87"/>
      <c r="BV569" s="87"/>
      <c r="BW569" s="87"/>
      <c r="BX569" s="105"/>
      <c r="BY569" s="105"/>
      <c r="BZ569" s="87"/>
      <c r="CA569" s="87"/>
      <c r="CB569" s="105"/>
      <c r="CC569" s="87"/>
      <c r="CD569" s="87"/>
      <c r="CE569" s="87"/>
      <c r="CF569" s="87"/>
      <c r="CG569" s="87"/>
      <c r="CH569" s="87"/>
      <c r="CI569" s="87"/>
      <c r="CJ569" s="87"/>
      <c r="CK569" s="87"/>
      <c r="CL569" s="87"/>
      <c r="CM569" s="105"/>
      <c r="CN569" s="105"/>
      <c r="CO569" s="105"/>
      <c r="CP569" s="87"/>
      <c r="CQ569" s="87">
        <f>-C569*(5/7)</f>
        <v>-22.678571428571431</v>
      </c>
      <c r="CR569" s="87">
        <f>-C569*(2/7)</f>
        <v>-9.0714285714285712</v>
      </c>
      <c r="CS569" s="87"/>
      <c r="CT569" s="87">
        <f>-CR569</f>
        <v>9.0714285714285712</v>
      </c>
      <c r="CU569" s="87">
        <f>-CQ569</f>
        <v>22.678571428571431</v>
      </c>
      <c r="CV569" s="87"/>
      <c r="CW569" s="87"/>
      <c r="CX569" s="87"/>
      <c r="CY569" s="87"/>
      <c r="CZ569" s="87"/>
      <c r="DA569" s="87"/>
      <c r="DB569" s="87"/>
      <c r="DC569" s="87"/>
      <c r="DD569" s="87"/>
      <c r="DE569" s="87"/>
      <c r="DF569" s="87"/>
      <c r="DG569" s="87"/>
      <c r="DH569" s="87"/>
      <c r="DI569" s="87"/>
      <c r="DJ569" s="87"/>
      <c r="DK569" s="87"/>
      <c r="DL569" s="87"/>
      <c r="DM569" s="87"/>
      <c r="DN569" s="87"/>
      <c r="DO569" s="87"/>
      <c r="DP569" s="87"/>
      <c r="DQ569" s="87"/>
      <c r="DR569" s="87"/>
      <c r="DS569" s="87"/>
      <c r="DT569" s="87"/>
      <c r="DU569" s="87"/>
      <c r="DV569" s="87"/>
      <c r="DW569" s="87"/>
      <c r="DX569" s="87"/>
      <c r="DY569" s="87"/>
      <c r="DZ569" s="87"/>
      <c r="EA569" s="87"/>
      <c r="EB569" s="87"/>
      <c r="EC569" s="87"/>
      <c r="ED569" s="87"/>
      <c r="EE569" s="87"/>
      <c r="EF569" s="87"/>
      <c r="EG569" s="87"/>
      <c r="EH569" s="87"/>
      <c r="EI569" s="87"/>
    </row>
    <row r="570" spans="1:139" ht="16.5" hidden="1" thickBot="1" x14ac:dyDescent="0.35">
      <c r="A570" s="190" t="s">
        <v>127</v>
      </c>
      <c r="B570" s="191">
        <v>3</v>
      </c>
      <c r="C570" s="177">
        <f>80*0.25</f>
        <v>20</v>
      </c>
      <c r="D570" s="217">
        <f>C570/VLOOKUP(B570,'[2]Gas Prod per PADD'!$A$1:$C$6,2,FALSE)</f>
        <v>4.3478260869565218E-3</v>
      </c>
      <c r="E570" s="178">
        <v>45738</v>
      </c>
      <c r="F570" s="356">
        <f>E570+4</f>
        <v>45742</v>
      </c>
      <c r="G570" s="180" t="s">
        <v>963</v>
      </c>
      <c r="H570" s="181" t="s">
        <v>964</v>
      </c>
      <c r="I570" s="84" t="s">
        <v>965</v>
      </c>
      <c r="J570" s="85"/>
      <c r="K570" s="85"/>
      <c r="L570" s="85"/>
      <c r="M570" s="85"/>
      <c r="N570" s="85"/>
      <c r="O570" s="85"/>
      <c r="P570" s="85"/>
      <c r="Q570" s="85"/>
      <c r="R570" s="85">
        <f t="shared" si="24"/>
        <v>-2.5806451612903225</v>
      </c>
      <c r="S570" s="85"/>
      <c r="T570" s="85"/>
      <c r="U570" s="85"/>
      <c r="V570" s="84"/>
      <c r="W570" s="84"/>
      <c r="X570" s="84" t="str">
        <f t="shared" si="25"/>
        <v>OK</v>
      </c>
      <c r="Y570" s="105"/>
      <c r="Z570" s="105"/>
      <c r="AA570" s="87"/>
      <c r="AB570" s="87"/>
      <c r="AC570" s="87"/>
      <c r="AD570" s="87"/>
      <c r="AE570" s="105"/>
      <c r="AF570" s="105"/>
      <c r="AG570" s="105"/>
      <c r="AH570" s="105"/>
      <c r="AI570" s="87"/>
      <c r="AJ570" s="87"/>
      <c r="AK570" s="105"/>
      <c r="AL570" s="87"/>
      <c r="AM570" s="105"/>
      <c r="AN570" s="105"/>
      <c r="AO570" s="87"/>
      <c r="AP570" s="87"/>
      <c r="AQ570" s="105"/>
      <c r="AR570" s="105"/>
      <c r="AS570" s="87"/>
      <c r="AT570" s="105"/>
      <c r="AU570" s="105"/>
      <c r="AV570" s="87"/>
      <c r="AW570" s="105"/>
      <c r="AX570" s="105"/>
      <c r="AY570" s="87"/>
      <c r="AZ570" s="105"/>
      <c r="BA570" s="105"/>
      <c r="BB570" s="105"/>
      <c r="BC570" s="87"/>
      <c r="BD570" s="87"/>
      <c r="BE570" s="105"/>
      <c r="BF570" s="105"/>
      <c r="BG570" s="105"/>
      <c r="BH570" s="105"/>
      <c r="BI570" s="105"/>
      <c r="BJ570" s="87"/>
      <c r="BK570" s="87"/>
      <c r="BL570" s="87"/>
      <c r="BM570" s="87"/>
      <c r="BN570" s="87"/>
      <c r="BO570" s="105"/>
      <c r="BP570" s="105"/>
      <c r="BQ570" s="105"/>
      <c r="BR570" s="105"/>
      <c r="BS570" s="105"/>
      <c r="BT570" s="87"/>
      <c r="BU570" s="87"/>
      <c r="BV570" s="87"/>
      <c r="BW570" s="87"/>
      <c r="BX570" s="87"/>
      <c r="BY570" s="87"/>
      <c r="BZ570" s="87"/>
      <c r="CA570" s="87"/>
      <c r="CB570" s="87"/>
      <c r="CC570" s="87"/>
      <c r="CD570" s="87"/>
      <c r="CE570" s="87"/>
      <c r="CF570" s="87"/>
      <c r="CG570" s="87"/>
      <c r="CH570" s="87"/>
      <c r="CI570" s="87"/>
      <c r="CJ570" s="87"/>
      <c r="CK570" s="87"/>
      <c r="CL570" s="87"/>
      <c r="CM570" s="87"/>
      <c r="CN570" s="87"/>
      <c r="CO570" s="87"/>
      <c r="CP570" s="87"/>
      <c r="CQ570" s="87"/>
      <c r="CR570" s="87"/>
      <c r="CS570" s="87"/>
      <c r="CT570" s="87">
        <f>-C570*4/7</f>
        <v>-11.428571428571429</v>
      </c>
      <c r="CU570" s="87">
        <f>-CT570</f>
        <v>11.428571428571429</v>
      </c>
      <c r="CV570" s="87"/>
      <c r="CW570" s="87"/>
      <c r="CX570" s="87"/>
      <c r="CY570" s="87"/>
      <c r="CZ570" s="87"/>
      <c r="DA570" s="87"/>
      <c r="DB570" s="87"/>
      <c r="DC570" s="87"/>
      <c r="DD570" s="87"/>
      <c r="DE570" s="87"/>
      <c r="DF570" s="87"/>
      <c r="DG570" s="87"/>
      <c r="DH570" s="87"/>
      <c r="DI570" s="87"/>
      <c r="DJ570" s="87"/>
      <c r="DK570" s="87"/>
      <c r="DL570" s="87"/>
      <c r="DM570" s="87"/>
      <c r="DN570" s="87"/>
      <c r="DO570" s="87"/>
      <c r="DP570" s="87"/>
      <c r="DQ570" s="87"/>
      <c r="DR570" s="87"/>
      <c r="DS570" s="87"/>
      <c r="DT570" s="87"/>
      <c r="DU570" s="87"/>
      <c r="DV570" s="87"/>
      <c r="DW570" s="87"/>
      <c r="DX570" s="87"/>
      <c r="DY570" s="87"/>
      <c r="DZ570" s="87"/>
      <c r="EA570" s="87"/>
      <c r="EB570" s="87"/>
      <c r="EC570" s="87"/>
      <c r="ED570" s="87"/>
      <c r="EE570" s="87"/>
      <c r="EF570" s="87"/>
      <c r="EG570" s="87"/>
      <c r="EH570" s="87"/>
      <c r="EI570" s="87"/>
    </row>
    <row r="571" spans="1:139" ht="16.5" hidden="1" thickBot="1" x14ac:dyDescent="0.35">
      <c r="A571" s="353" t="s">
        <v>384</v>
      </c>
      <c r="B571" s="176">
        <v>2</v>
      </c>
      <c r="C571" s="177">
        <f>55*0.65</f>
        <v>35.75</v>
      </c>
      <c r="D571" s="234">
        <f>C571/VLOOKUP(B571,'[2]Gas Prod per PADD'!$A$1:$C$6,2,FALSE)</f>
        <v>1.4895833333333334E-2</v>
      </c>
      <c r="E571" s="357">
        <v>45740</v>
      </c>
      <c r="F571" s="232">
        <v>45742</v>
      </c>
      <c r="G571" s="180" t="s">
        <v>332</v>
      </c>
      <c r="H571" s="198" t="s">
        <v>966</v>
      </c>
      <c r="I571" s="347"/>
      <c r="J571" s="348"/>
      <c r="K571" s="348"/>
      <c r="L571" s="348"/>
      <c r="M571" s="348"/>
      <c r="N571" s="348"/>
      <c r="O571" s="348"/>
      <c r="P571" s="348"/>
      <c r="Q571" s="348"/>
      <c r="R571" s="85">
        <f t="shared" si="24"/>
        <v>-2.306451612903226</v>
      </c>
      <c r="S571" s="348"/>
      <c r="T571" s="85"/>
      <c r="U571" s="85"/>
      <c r="V571" s="84"/>
      <c r="W571" s="84"/>
      <c r="X571" s="84" t="str">
        <f t="shared" si="25"/>
        <v>OK</v>
      </c>
      <c r="Y571" s="105"/>
      <c r="Z571" s="105"/>
      <c r="AA571" s="87"/>
      <c r="AB571" s="87"/>
      <c r="AC571" s="87"/>
      <c r="AD571" s="87"/>
      <c r="AE571" s="105"/>
      <c r="AF571" s="105"/>
      <c r="AG571" s="105"/>
      <c r="AH571" s="105"/>
      <c r="AI571" s="87"/>
      <c r="AJ571" s="87"/>
      <c r="AK571" s="105"/>
      <c r="AL571" s="87"/>
      <c r="AM571" s="105"/>
      <c r="AN571" s="105"/>
      <c r="AO571" s="87"/>
      <c r="AP571" s="87"/>
      <c r="AQ571" s="105"/>
      <c r="AR571" s="105"/>
      <c r="AS571" s="87"/>
      <c r="AT571" s="105"/>
      <c r="AU571" s="105"/>
      <c r="AV571" s="87"/>
      <c r="AW571" s="105"/>
      <c r="AX571" s="105"/>
      <c r="AY571" s="87"/>
      <c r="AZ571" s="105"/>
      <c r="BA571" s="105"/>
      <c r="BB571" s="105"/>
      <c r="BC571" s="87"/>
      <c r="BD571" s="87"/>
      <c r="BE571" s="105"/>
      <c r="BF571" s="105"/>
      <c r="BG571" s="105"/>
      <c r="BH571" s="105"/>
      <c r="BI571" s="105"/>
      <c r="BJ571" s="87"/>
      <c r="BK571" s="87"/>
      <c r="BL571" s="87"/>
      <c r="BM571" s="87"/>
      <c r="BN571" s="87"/>
      <c r="BO571" s="87"/>
      <c r="BP571" s="87"/>
      <c r="BQ571" s="87"/>
      <c r="BR571" s="87"/>
      <c r="BS571" s="87"/>
      <c r="BT571" s="87"/>
      <c r="BU571" s="87"/>
      <c r="BV571" s="87"/>
      <c r="BW571" s="87"/>
      <c r="BX571" s="87"/>
      <c r="BY571" s="87"/>
      <c r="BZ571" s="87"/>
      <c r="CA571" s="87"/>
      <c r="CB571" s="87"/>
      <c r="CC571" s="87"/>
      <c r="CD571" s="87"/>
      <c r="CE571" s="87"/>
      <c r="CF571" s="87"/>
      <c r="CG571" s="87"/>
      <c r="CH571" s="87"/>
      <c r="CI571" s="87"/>
      <c r="CJ571" s="87"/>
      <c r="CK571" s="87"/>
      <c r="CL571" s="87"/>
      <c r="CM571" s="87"/>
      <c r="CN571" s="87"/>
      <c r="CO571" s="87"/>
      <c r="CP571" s="87"/>
      <c r="CQ571" s="87"/>
      <c r="CR571" s="87"/>
      <c r="CS571" s="87"/>
      <c r="CT571" s="87">
        <f>-2/7*C571</f>
        <v>-10.214285714285714</v>
      </c>
      <c r="CU571" s="87">
        <f>-CT571</f>
        <v>10.214285714285714</v>
      </c>
      <c r="CV571" s="87"/>
      <c r="CW571" s="87"/>
      <c r="CX571" s="87"/>
      <c r="CY571" s="87"/>
      <c r="CZ571" s="87"/>
      <c r="DA571" s="105"/>
      <c r="DB571" s="87"/>
      <c r="DC571" s="87"/>
      <c r="DD571" s="87"/>
      <c r="DE571" s="87"/>
      <c r="DF571" s="87"/>
      <c r="DG571" s="87"/>
      <c r="DH571" s="87"/>
      <c r="DI571" s="87"/>
      <c r="DJ571" s="87"/>
      <c r="DK571" s="87"/>
      <c r="DL571" s="87"/>
      <c r="DM571" s="87"/>
      <c r="DN571" s="87"/>
      <c r="DO571" s="87"/>
      <c r="DP571" s="87"/>
      <c r="DQ571" s="87"/>
      <c r="DR571" s="87"/>
      <c r="DS571" s="87"/>
      <c r="DT571" s="87"/>
      <c r="DU571" s="87"/>
      <c r="DV571" s="87"/>
      <c r="DW571" s="87"/>
      <c r="DX571" s="87"/>
      <c r="DY571" s="87"/>
      <c r="DZ571" s="87"/>
      <c r="EA571" s="87"/>
      <c r="EB571" s="87"/>
      <c r="EC571" s="87"/>
      <c r="ED571" s="87"/>
      <c r="EE571" s="87"/>
      <c r="EF571" s="87"/>
      <c r="EG571" s="87"/>
      <c r="EH571" s="87"/>
      <c r="EI571" s="87"/>
    </row>
    <row r="572" spans="1:139" ht="16.5" hidden="1" thickBot="1" x14ac:dyDescent="0.35">
      <c r="A572" s="222" t="s">
        <v>659</v>
      </c>
      <c r="B572" s="176">
        <v>3</v>
      </c>
      <c r="C572" s="177">
        <f>11*0.85</f>
        <v>9.35</v>
      </c>
      <c r="D572" s="217">
        <f>C572/VLOOKUP(B572,'[2]Gas Prod per PADD'!$A$1:$C$6,2,FALSE)</f>
        <v>2.0326086956521739E-3</v>
      </c>
      <c r="E572" s="178">
        <v>45740</v>
      </c>
      <c r="F572" s="251">
        <v>45742</v>
      </c>
      <c r="G572" s="194" t="s">
        <v>967</v>
      </c>
      <c r="H572" s="181" t="s">
        <v>968</v>
      </c>
      <c r="I572" s="84"/>
      <c r="J572" s="85"/>
      <c r="K572" s="85"/>
      <c r="L572" s="85"/>
      <c r="M572" s="85"/>
      <c r="N572" s="85"/>
      <c r="O572" s="85"/>
      <c r="P572" s="85"/>
      <c r="Q572" s="85"/>
      <c r="R572" s="85">
        <f t="shared" si="24"/>
        <v>-0.60322580645161283</v>
      </c>
      <c r="S572" s="85"/>
      <c r="T572" s="85"/>
      <c r="U572" s="85"/>
      <c r="V572" s="84"/>
      <c r="W572" s="84"/>
      <c r="X572" s="84" t="str">
        <f t="shared" si="25"/>
        <v>OK</v>
      </c>
      <c r="Y572" s="105"/>
      <c r="Z572" s="105"/>
      <c r="AA572" s="87"/>
      <c r="AB572" s="87"/>
      <c r="AC572" s="87"/>
      <c r="AD572" s="87"/>
      <c r="AE572" s="105"/>
      <c r="AF572" s="105"/>
      <c r="AG572" s="105"/>
      <c r="AH572" s="105"/>
      <c r="AI572" s="87"/>
      <c r="AJ572" s="87"/>
      <c r="AK572" s="105"/>
      <c r="AL572" s="87"/>
      <c r="AM572" s="105"/>
      <c r="AN572" s="105"/>
      <c r="AO572" s="87"/>
      <c r="AP572" s="87"/>
      <c r="AQ572" s="105"/>
      <c r="AR572" s="105"/>
      <c r="AS572" s="87"/>
      <c r="AT572" s="105"/>
      <c r="AU572" s="105"/>
      <c r="AV572" s="87"/>
      <c r="AW572" s="105"/>
      <c r="AX572" s="105"/>
      <c r="AY572" s="87"/>
      <c r="AZ572" s="105"/>
      <c r="BA572" s="105"/>
      <c r="BB572" s="105"/>
      <c r="BC572" s="87"/>
      <c r="BD572" s="87"/>
      <c r="BE572" s="105"/>
      <c r="BF572" s="105"/>
      <c r="BG572" s="105"/>
      <c r="BH572" s="105"/>
      <c r="BI572" s="105"/>
      <c r="BJ572" s="87"/>
      <c r="BK572" s="87"/>
      <c r="BL572" s="87"/>
      <c r="BM572" s="87"/>
      <c r="BN572" s="87"/>
      <c r="BO572" s="105"/>
      <c r="BP572" s="105"/>
      <c r="BQ572" s="105"/>
      <c r="BR572" s="87"/>
      <c r="BS572" s="87"/>
      <c r="BT572" s="87"/>
      <c r="BU572" s="87"/>
      <c r="BV572" s="87"/>
      <c r="BW572" s="87"/>
      <c r="BX572" s="87"/>
      <c r="BY572" s="87"/>
      <c r="BZ572" s="87"/>
      <c r="CA572" s="87"/>
      <c r="CB572" s="87"/>
      <c r="CC572" s="87"/>
      <c r="CD572" s="87"/>
      <c r="CE572" s="87"/>
      <c r="CF572" s="87"/>
      <c r="CG572" s="87"/>
      <c r="CH572" s="87"/>
      <c r="CI572" s="87"/>
      <c r="CJ572" s="87"/>
      <c r="CK572" s="87"/>
      <c r="CL572" s="87"/>
      <c r="CM572" s="87"/>
      <c r="CN572" s="87"/>
      <c r="CO572" s="87"/>
      <c r="CP572" s="87"/>
      <c r="CQ572" s="87"/>
      <c r="CR572" s="87"/>
      <c r="CS572" s="87"/>
      <c r="CT572" s="87">
        <f>-C572*2/7</f>
        <v>-2.6714285714285713</v>
      </c>
      <c r="CU572" s="87">
        <f>-CT572</f>
        <v>2.6714285714285713</v>
      </c>
      <c r="CV572" s="87"/>
      <c r="CW572" s="87"/>
      <c r="CX572" s="87"/>
      <c r="CY572" s="87"/>
      <c r="CZ572" s="87"/>
      <c r="DA572" s="87"/>
      <c r="DB572" s="87"/>
      <c r="DC572" s="87"/>
      <c r="DD572" s="87"/>
      <c r="DE572" s="87"/>
      <c r="DF572" s="87"/>
      <c r="DG572" s="87"/>
      <c r="DH572" s="87"/>
      <c r="DI572" s="87"/>
      <c r="DJ572" s="87"/>
      <c r="DK572" s="87"/>
      <c r="DL572" s="87"/>
      <c r="DM572" s="87"/>
      <c r="DN572" s="87"/>
      <c r="DO572" s="87"/>
      <c r="DP572" s="87"/>
      <c r="DQ572" s="87"/>
      <c r="DR572" s="87"/>
      <c r="DS572" s="87"/>
      <c r="DT572" s="87"/>
      <c r="DU572" s="87"/>
      <c r="DV572" s="87"/>
      <c r="DW572" s="87"/>
      <c r="DX572" s="87"/>
      <c r="DY572" s="87"/>
      <c r="DZ572" s="87"/>
      <c r="EA572" s="87"/>
      <c r="EB572" s="87"/>
      <c r="EC572" s="87"/>
      <c r="ED572" s="87"/>
      <c r="EE572" s="87"/>
      <c r="EF572" s="87"/>
      <c r="EG572" s="87"/>
      <c r="EH572" s="87"/>
      <c r="EI572" s="87"/>
    </row>
    <row r="573" spans="1:139" ht="29.25" hidden="1" thickBot="1" x14ac:dyDescent="0.35">
      <c r="A573" s="190" t="s">
        <v>173</v>
      </c>
      <c r="B573" s="176">
        <v>3</v>
      </c>
      <c r="C573" s="195">
        <f>25*0.65 *0.25</f>
        <v>4.0625</v>
      </c>
      <c r="D573" s="217">
        <f>C573/VLOOKUP(B573,'[2]Gas Prod per PADD'!$A$1:$C$6,2,FALSE)</f>
        <v>8.8315217391304348E-4</v>
      </c>
      <c r="E573" s="197">
        <v>45737</v>
      </c>
      <c r="F573" s="281">
        <v>45743</v>
      </c>
      <c r="G573" s="180" t="s">
        <v>969</v>
      </c>
      <c r="H573" s="181" t="s">
        <v>970</v>
      </c>
      <c r="I573" s="305"/>
      <c r="J573" s="306"/>
      <c r="K573" s="306"/>
      <c r="L573" s="306"/>
      <c r="M573" s="306"/>
      <c r="N573" s="306"/>
      <c r="O573" s="306"/>
      <c r="P573" s="306"/>
      <c r="Q573" s="306"/>
      <c r="R573" s="85">
        <f t="shared" si="24"/>
        <v>-0.78629032258064513</v>
      </c>
      <c r="S573" s="306"/>
      <c r="T573" s="85"/>
      <c r="U573" s="85"/>
      <c r="V573" s="84"/>
      <c r="W573" s="84"/>
      <c r="X573" s="84" t="str">
        <f t="shared" si="25"/>
        <v>OK</v>
      </c>
      <c r="Y573" s="105"/>
      <c r="Z573" s="105"/>
      <c r="AA573" s="87"/>
      <c r="AB573" s="87"/>
      <c r="AC573" s="87"/>
      <c r="AD573" s="87"/>
      <c r="AE573" s="105"/>
      <c r="AF573" s="105"/>
      <c r="AG573" s="105"/>
      <c r="AH573" s="105"/>
      <c r="AI573" s="87"/>
      <c r="AJ573" s="87"/>
      <c r="AK573" s="105"/>
      <c r="AL573" s="87"/>
      <c r="AM573" s="105"/>
      <c r="AN573" s="105"/>
      <c r="AO573" s="87"/>
      <c r="AP573" s="87"/>
      <c r="AQ573" s="105"/>
      <c r="AR573" s="105"/>
      <c r="AS573" s="87"/>
      <c r="AT573" s="105"/>
      <c r="AU573" s="105"/>
      <c r="AV573" s="87"/>
      <c r="AW573" s="105"/>
      <c r="AX573" s="105"/>
      <c r="AY573" s="87"/>
      <c r="AZ573" s="105"/>
      <c r="BA573" s="105"/>
      <c r="BB573" s="105"/>
      <c r="BC573" s="87"/>
      <c r="BD573" s="87"/>
      <c r="BE573" s="105"/>
      <c r="BF573" s="105"/>
      <c r="BG573" s="105"/>
      <c r="BH573" s="105"/>
      <c r="BI573" s="105"/>
      <c r="BJ573" s="87"/>
      <c r="BK573" s="87"/>
      <c r="BL573" s="87"/>
      <c r="BM573" s="87"/>
      <c r="BN573" s="87"/>
      <c r="BO573" s="87"/>
      <c r="BP573" s="87"/>
      <c r="BQ573" s="87"/>
      <c r="BR573" s="87"/>
      <c r="BS573" s="87"/>
      <c r="BT573" s="87"/>
      <c r="BU573" s="87"/>
      <c r="BV573" s="87"/>
      <c r="BW573" s="87"/>
      <c r="BX573" s="87"/>
      <c r="BY573" s="87"/>
      <c r="BZ573" s="87"/>
      <c r="CA573" s="87"/>
      <c r="CB573" s="87"/>
      <c r="CC573" s="87"/>
      <c r="CD573" s="87"/>
      <c r="CE573" s="87"/>
      <c r="CF573" s="87"/>
      <c r="CG573" s="87"/>
      <c r="CH573" s="87"/>
      <c r="CI573" s="87"/>
      <c r="CJ573" s="87"/>
      <c r="CK573" s="87"/>
      <c r="CL573" s="87"/>
      <c r="CM573" s="87"/>
      <c r="CN573" s="87"/>
      <c r="CO573" s="87"/>
      <c r="CP573" s="87"/>
      <c r="CQ573" s="87"/>
      <c r="CR573" s="87"/>
      <c r="CS573" s="87">
        <f>-C573*(1/7)</f>
        <v>-0.58035714285714279</v>
      </c>
      <c r="CT573" s="278">
        <f>-C573*(5/7)</f>
        <v>-2.9017857142857144</v>
      </c>
      <c r="CU573" s="278">
        <f>C573</f>
        <v>4.0625</v>
      </c>
      <c r="CV573" s="278"/>
      <c r="CW573" s="87"/>
      <c r="CX573" s="87"/>
      <c r="CY573" s="87"/>
      <c r="CZ573" s="87"/>
      <c r="DA573" s="87"/>
      <c r="DB573" s="87"/>
      <c r="DC573" s="87"/>
      <c r="DD573" s="87"/>
      <c r="DE573" s="87"/>
      <c r="DF573" s="87"/>
      <c r="DG573" s="87"/>
      <c r="DH573" s="87"/>
      <c r="DI573" s="87"/>
      <c r="DJ573" s="87"/>
      <c r="DK573" s="87"/>
      <c r="DL573" s="87"/>
      <c r="DM573" s="87"/>
      <c r="DN573" s="87"/>
      <c r="DO573" s="87"/>
      <c r="DP573" s="87"/>
      <c r="DQ573" s="87"/>
      <c r="DR573" s="87"/>
      <c r="DS573" s="87"/>
      <c r="DT573" s="87"/>
      <c r="DU573" s="87"/>
      <c r="DV573" s="87"/>
      <c r="DW573" s="87"/>
      <c r="DX573" s="87"/>
      <c r="DY573" s="87"/>
      <c r="DZ573" s="87"/>
      <c r="EA573" s="87"/>
      <c r="EB573" s="87"/>
      <c r="EC573" s="87"/>
      <c r="ED573" s="87"/>
      <c r="EE573" s="87"/>
      <c r="EF573" s="87"/>
      <c r="EG573" s="87"/>
      <c r="EH573" s="87"/>
      <c r="EI573" s="87"/>
    </row>
    <row r="574" spans="1:139" ht="16.5" hidden="1" thickBot="1" x14ac:dyDescent="0.35">
      <c r="A574" s="358" t="s">
        <v>534</v>
      </c>
      <c r="B574" s="194">
        <v>2</v>
      </c>
      <c r="C574" s="195">
        <f>7.5*0.25</f>
        <v>1.875</v>
      </c>
      <c r="D574" s="234">
        <f>C574/VLOOKUP(B574,'[2]Gas Prod per PADD'!$A$1:$C$6,2,FALSE)</f>
        <v>7.8125000000000004E-4</v>
      </c>
      <c r="E574" s="178">
        <v>45728</v>
      </c>
      <c r="F574" s="281">
        <v>45744</v>
      </c>
      <c r="G574" s="194" t="s">
        <v>971</v>
      </c>
      <c r="H574" s="230" t="s">
        <v>972</v>
      </c>
      <c r="I574" s="84"/>
      <c r="J574" s="85"/>
      <c r="K574" s="85"/>
      <c r="L574" s="85"/>
      <c r="M574" s="85"/>
      <c r="N574" s="85"/>
      <c r="O574" s="85"/>
      <c r="P574" s="85"/>
      <c r="Q574" s="85"/>
      <c r="R574" s="85">
        <f t="shared" si="24"/>
        <v>-0.967741935483871</v>
      </c>
      <c r="S574" s="85"/>
      <c r="T574" s="85"/>
      <c r="U574" s="85"/>
      <c r="V574" s="84"/>
      <c r="W574" s="84"/>
      <c r="X574" s="84" t="str">
        <f t="shared" si="25"/>
        <v>OK</v>
      </c>
      <c r="Y574" s="86"/>
      <c r="Z574" s="87"/>
      <c r="AA574" s="87"/>
      <c r="AB574" s="87"/>
      <c r="AC574" s="87"/>
      <c r="AD574" s="87"/>
      <c r="AE574" s="87"/>
      <c r="AF574" s="87"/>
      <c r="AG574" s="87"/>
      <c r="AH574" s="87"/>
      <c r="AI574" s="87"/>
      <c r="AJ574" s="87"/>
      <c r="AK574" s="87"/>
      <c r="AL574" s="87"/>
      <c r="AM574" s="87"/>
      <c r="AN574" s="87"/>
      <c r="AO574" s="87"/>
      <c r="AP574" s="87"/>
      <c r="AQ574" s="87"/>
      <c r="AR574" s="87"/>
      <c r="AS574" s="87"/>
      <c r="AT574" s="87"/>
      <c r="AU574" s="87"/>
      <c r="AV574" s="87"/>
      <c r="AW574" s="87"/>
      <c r="AX574" s="87"/>
      <c r="AY574" s="87"/>
      <c r="AZ574" s="87"/>
      <c r="BA574" s="87"/>
      <c r="BB574" s="87"/>
      <c r="BC574" s="87"/>
      <c r="BD574" s="87"/>
      <c r="BE574" s="87"/>
      <c r="BF574" s="87"/>
      <c r="BG574" s="87"/>
      <c r="BH574" s="87"/>
      <c r="BI574" s="87"/>
      <c r="BJ574" s="105"/>
      <c r="BK574" s="87"/>
      <c r="BL574" s="105"/>
      <c r="BM574" s="105"/>
      <c r="BN574" s="105"/>
      <c r="BO574" s="105"/>
      <c r="BP574" s="105"/>
      <c r="BQ574" s="87"/>
      <c r="BR574" s="87"/>
      <c r="BS574" s="87"/>
      <c r="BT574" s="87"/>
      <c r="BU574" s="87"/>
      <c r="BV574" s="87"/>
      <c r="BW574" s="87"/>
      <c r="BX574" s="87"/>
      <c r="BY574" s="87"/>
      <c r="BZ574" s="87"/>
      <c r="CA574" s="87"/>
      <c r="CB574" s="87"/>
      <c r="CC574" s="87"/>
      <c r="CD574" s="87"/>
      <c r="CE574" s="87"/>
      <c r="CF574" s="87"/>
      <c r="CG574" s="87"/>
      <c r="CH574" s="87"/>
      <c r="CI574" s="87"/>
      <c r="CJ574" s="87"/>
      <c r="CK574" s="87"/>
      <c r="CL574" s="87"/>
      <c r="CM574" s="87"/>
      <c r="CN574" s="87"/>
      <c r="CO574" s="87"/>
      <c r="CP574" s="87"/>
      <c r="CQ574" s="87"/>
      <c r="CR574" s="87">
        <f>-2/7*C574</f>
        <v>-0.5357142857142857</v>
      </c>
      <c r="CS574" s="87">
        <f>-5/7*C574</f>
        <v>-1.3392857142857144</v>
      </c>
      <c r="CT574" s="87"/>
      <c r="CU574" s="87">
        <f>-CS574</f>
        <v>1.3392857142857144</v>
      </c>
      <c r="CV574" s="87">
        <f>-CR574</f>
        <v>0.5357142857142857</v>
      </c>
      <c r="CW574" s="87"/>
      <c r="CX574" s="87"/>
      <c r="CY574" s="87"/>
      <c r="CZ574" s="87"/>
      <c r="DA574" s="87"/>
      <c r="DB574" s="87"/>
      <c r="DC574" s="87"/>
      <c r="DD574" s="87"/>
      <c r="DE574" s="87"/>
      <c r="DF574" s="87"/>
      <c r="DG574" s="87"/>
      <c r="DH574" s="87"/>
      <c r="DI574" s="87"/>
      <c r="DJ574" s="87"/>
      <c r="DK574" s="87"/>
      <c r="DL574" s="87"/>
      <c r="DM574" s="87"/>
      <c r="DN574" s="87"/>
      <c r="DO574" s="87"/>
      <c r="DP574" s="87"/>
      <c r="DQ574" s="87"/>
      <c r="DR574" s="87"/>
      <c r="DS574" s="87"/>
      <c r="DT574" s="87"/>
      <c r="DU574" s="87"/>
      <c r="DV574" s="87"/>
      <c r="DW574" s="87"/>
      <c r="DX574" s="87"/>
      <c r="DY574" s="87"/>
      <c r="DZ574" s="87"/>
      <c r="EA574" s="87"/>
      <c r="EB574" s="87"/>
      <c r="EC574" s="87"/>
      <c r="ED574" s="87"/>
      <c r="EE574" s="87"/>
      <c r="EF574" s="87"/>
      <c r="EG574" s="87"/>
      <c r="EH574" s="87"/>
      <c r="EI574" s="87"/>
    </row>
    <row r="575" spans="1:139" ht="16.5" hidden="1" thickBot="1" x14ac:dyDescent="0.35">
      <c r="A575" s="161" t="s">
        <v>212</v>
      </c>
      <c r="B575" s="199">
        <v>5</v>
      </c>
      <c r="C575" s="195">
        <f>166*0.1</f>
        <v>16.600000000000001</v>
      </c>
      <c r="D575" s="217">
        <f>C575/VLOOKUP(B575,'[2]Gas Prod per PADD'!$A$1:$C$6,2,FALSE)</f>
        <v>1.2296296296296296E-2</v>
      </c>
      <c r="E575" s="196">
        <v>45729</v>
      </c>
      <c r="F575" s="281">
        <v>45744</v>
      </c>
      <c r="G575" s="194" t="s">
        <v>973</v>
      </c>
      <c r="H575" s="230" t="s">
        <v>974</v>
      </c>
      <c r="I575" s="84"/>
      <c r="J575" s="85"/>
      <c r="K575" s="85"/>
      <c r="L575" s="85"/>
      <c r="M575" s="85"/>
      <c r="N575" s="85"/>
      <c r="O575" s="85"/>
      <c r="P575" s="85"/>
      <c r="Q575" s="85"/>
      <c r="R575" s="85">
        <f t="shared" si="24"/>
        <v>-8.0322580645161299</v>
      </c>
      <c r="S575" s="85"/>
      <c r="T575" s="85"/>
      <c r="U575" s="85"/>
      <c r="V575" s="84"/>
      <c r="W575" s="84"/>
      <c r="X575" s="84" t="str">
        <f t="shared" si="25"/>
        <v>OK</v>
      </c>
      <c r="Y575" s="87"/>
      <c r="Z575" s="87"/>
      <c r="AA575" s="87"/>
      <c r="AB575" s="87"/>
      <c r="AC575" s="87"/>
      <c r="AD575" s="87"/>
      <c r="AE575" s="87"/>
      <c r="AF575" s="87"/>
      <c r="AG575" s="87"/>
      <c r="AH575" s="87"/>
      <c r="AI575" s="87"/>
      <c r="AJ575" s="87"/>
      <c r="AK575" s="87"/>
      <c r="AL575" s="87"/>
      <c r="AM575" s="87"/>
      <c r="AN575" s="87"/>
      <c r="AO575" s="87"/>
      <c r="AP575" s="87"/>
      <c r="AQ575" s="87"/>
      <c r="AR575" s="87"/>
      <c r="AS575" s="87"/>
      <c r="AT575" s="87"/>
      <c r="AU575" s="87"/>
      <c r="AV575" s="87"/>
      <c r="AW575" s="87"/>
      <c r="AX575" s="87"/>
      <c r="AY575" s="87"/>
      <c r="AZ575" s="87"/>
      <c r="BA575" s="87"/>
      <c r="BB575" s="87"/>
      <c r="BC575" s="87"/>
      <c r="BD575" s="87"/>
      <c r="BE575" s="87"/>
      <c r="BF575" s="87"/>
      <c r="BG575" s="87"/>
      <c r="BH575" s="87"/>
      <c r="BI575" s="87"/>
      <c r="BJ575" s="87"/>
      <c r="BK575" s="87"/>
      <c r="BL575" s="87"/>
      <c r="BM575" s="87"/>
      <c r="BN575" s="87"/>
      <c r="BO575" s="87"/>
      <c r="BP575" s="87"/>
      <c r="BQ575" s="87"/>
      <c r="BR575" s="87"/>
      <c r="BS575" s="87"/>
      <c r="BT575" s="87"/>
      <c r="BU575" s="87"/>
      <c r="BV575" s="87"/>
      <c r="BW575" s="87"/>
      <c r="BX575" s="87"/>
      <c r="BY575" s="87"/>
      <c r="BZ575" s="87"/>
      <c r="CA575" s="87"/>
      <c r="CB575" s="87"/>
      <c r="CC575" s="87"/>
      <c r="CD575" s="87"/>
      <c r="CE575" s="87"/>
      <c r="CF575" s="87"/>
      <c r="CG575" s="87"/>
      <c r="CH575" s="87"/>
      <c r="CI575" s="87"/>
      <c r="CJ575" s="87"/>
      <c r="CK575" s="87"/>
      <c r="CL575" s="87"/>
      <c r="CM575" s="87"/>
      <c r="CN575" s="87"/>
      <c r="CO575" s="87"/>
      <c r="CP575" s="87"/>
      <c r="CQ575" s="87"/>
      <c r="CR575" s="278">
        <f>-1/7*C575</f>
        <v>-2.3714285714285714</v>
      </c>
      <c r="CS575" s="278">
        <f>-6/7*C575</f>
        <v>-14.22857142857143</v>
      </c>
      <c r="CT575" s="278"/>
      <c r="CU575" s="278">
        <f>C575</f>
        <v>16.600000000000001</v>
      </c>
      <c r="CV575" s="278"/>
      <c r="CW575" s="87"/>
      <c r="CX575" s="87"/>
      <c r="CY575" s="87"/>
      <c r="CZ575" s="87"/>
      <c r="DA575" s="87"/>
      <c r="DB575" s="105"/>
      <c r="DC575" s="87"/>
      <c r="DD575" s="87"/>
      <c r="DE575" s="105"/>
      <c r="DF575" s="87"/>
      <c r="DG575" s="87"/>
      <c r="DH575" s="87"/>
      <c r="DI575" s="87"/>
      <c r="DJ575" s="87"/>
      <c r="DK575" s="87"/>
      <c r="DL575" s="87"/>
      <c r="DM575" s="87"/>
      <c r="DN575" s="87"/>
      <c r="DO575" s="87"/>
      <c r="DP575" s="87"/>
      <c r="DQ575" s="87"/>
      <c r="DR575" s="87"/>
      <c r="DS575" s="87"/>
      <c r="DT575" s="87"/>
      <c r="DU575" s="87"/>
      <c r="DV575" s="87"/>
      <c r="DW575" s="87"/>
      <c r="DX575" s="87"/>
      <c r="DY575" s="87"/>
      <c r="DZ575" s="87"/>
      <c r="EA575" s="87"/>
      <c r="EB575" s="87"/>
      <c r="EC575" s="87"/>
      <c r="ED575" s="87"/>
      <c r="EE575" s="87"/>
      <c r="EF575" s="87"/>
      <c r="EG575" s="75">
        <v>46017</v>
      </c>
      <c r="EH575" s="75">
        <v>46024</v>
      </c>
      <c r="EI575" s="75">
        <v>46031</v>
      </c>
    </row>
    <row r="576" spans="1:139" ht="43.5" hidden="1" thickBot="1" x14ac:dyDescent="0.35">
      <c r="A576" s="190" t="s">
        <v>149</v>
      </c>
      <c r="B576" s="176">
        <v>3</v>
      </c>
      <c r="C576" s="177">
        <f>20*0.25</f>
        <v>5</v>
      </c>
      <c r="D576" s="217">
        <f>C576/VLOOKUP(B576,'[2]Gas Prod per PADD'!$A$1:$C$6,2,FALSE)</f>
        <v>1.0869565217391304E-3</v>
      </c>
      <c r="E576" s="251">
        <v>45719</v>
      </c>
      <c r="F576" s="179">
        <v>45745</v>
      </c>
      <c r="G576" s="180" t="s">
        <v>975</v>
      </c>
      <c r="H576" s="181"/>
      <c r="I576" s="84"/>
      <c r="J576" s="85"/>
      <c r="K576" s="85"/>
      <c r="L576" s="85"/>
      <c r="M576" s="85"/>
      <c r="N576" s="85"/>
      <c r="O576" s="85"/>
      <c r="P576" s="85"/>
      <c r="Q576" s="85"/>
      <c r="R576" s="85">
        <f t="shared" si="24"/>
        <v>-4.193548387096774</v>
      </c>
      <c r="S576" s="85"/>
      <c r="T576" s="85"/>
      <c r="U576" s="85"/>
      <c r="V576" s="84"/>
      <c r="W576" s="84"/>
      <c r="X576" s="84" t="str">
        <f t="shared" si="25"/>
        <v>OK</v>
      </c>
      <c r="Y576" s="105"/>
      <c r="Z576" s="105"/>
      <c r="AA576" s="87"/>
      <c r="AB576" s="87"/>
      <c r="AC576" s="87"/>
      <c r="AD576" s="87"/>
      <c r="AE576" s="105"/>
      <c r="AF576" s="105"/>
      <c r="AG576" s="105"/>
      <c r="AH576" s="105"/>
      <c r="AI576" s="87"/>
      <c r="AJ576" s="87"/>
      <c r="AK576" s="87"/>
      <c r="AL576" s="87"/>
      <c r="AM576" s="87"/>
      <c r="AN576" s="87"/>
      <c r="AO576" s="87"/>
      <c r="AP576" s="87"/>
      <c r="AQ576" s="87"/>
      <c r="AR576" s="87"/>
      <c r="AS576" s="87"/>
      <c r="AT576" s="87"/>
      <c r="AU576" s="87"/>
      <c r="AV576" s="87"/>
      <c r="AW576" s="87"/>
      <c r="AX576" s="87"/>
      <c r="AY576" s="87"/>
      <c r="AZ576" s="87"/>
      <c r="BA576" s="87"/>
      <c r="BB576" s="87"/>
      <c r="BC576" s="87"/>
      <c r="BD576" s="87"/>
      <c r="BE576" s="87"/>
      <c r="BF576" s="87"/>
      <c r="BG576" s="87"/>
      <c r="BH576" s="87"/>
      <c r="BI576" s="87"/>
      <c r="BJ576" s="87"/>
      <c r="BK576" s="87"/>
      <c r="BL576" s="87"/>
      <c r="BM576" s="87"/>
      <c r="BN576" s="87"/>
      <c r="BO576" s="87"/>
      <c r="BP576" s="87"/>
      <c r="BQ576" s="87"/>
      <c r="BR576" s="87"/>
      <c r="BS576" s="87"/>
      <c r="BT576" s="87"/>
      <c r="BU576" s="87"/>
      <c r="BV576" s="87"/>
      <c r="BW576" s="87"/>
      <c r="BX576" s="87"/>
      <c r="BY576" s="87"/>
      <c r="BZ576" s="87"/>
      <c r="CA576" s="87"/>
      <c r="CB576" s="87"/>
      <c r="CC576" s="87"/>
      <c r="CD576" s="87"/>
      <c r="CE576" s="87"/>
      <c r="CF576" s="87"/>
      <c r="CG576" s="87"/>
      <c r="CH576" s="87"/>
      <c r="CI576" s="87"/>
      <c r="CJ576" s="87"/>
      <c r="CK576" s="87"/>
      <c r="CL576" s="105"/>
      <c r="CM576" s="105"/>
      <c r="CN576" s="105"/>
      <c r="CO576" s="105"/>
      <c r="CP576" s="105"/>
      <c r="CQ576" s="105">
        <f>-4/7*C576</f>
        <v>-2.8571428571428568</v>
      </c>
      <c r="CR576" s="87">
        <f>-3/7*C576</f>
        <v>-2.1428571428571428</v>
      </c>
      <c r="CS576" s="87"/>
      <c r="CT576" s="87"/>
      <c r="CU576" s="105">
        <f>-SUM(CQ576:CR576)</f>
        <v>5</v>
      </c>
      <c r="CV576" s="105"/>
      <c r="CW576" s="87"/>
      <c r="CX576" s="87"/>
      <c r="CY576" s="87"/>
      <c r="CZ576" s="87"/>
      <c r="DA576" s="87"/>
      <c r="DB576" s="87"/>
      <c r="DC576" s="87"/>
      <c r="DD576" s="87"/>
      <c r="DE576" s="87"/>
      <c r="DF576" s="87"/>
      <c r="DG576" s="87"/>
      <c r="DH576" s="87"/>
      <c r="DI576" s="87"/>
      <c r="DJ576" s="87"/>
      <c r="DK576" s="87"/>
      <c r="DL576" s="87"/>
      <c r="DM576" s="87"/>
      <c r="DN576" s="87"/>
      <c r="DO576" s="87"/>
      <c r="DP576" s="87"/>
      <c r="DQ576" s="87"/>
      <c r="DR576" s="87"/>
      <c r="DS576" s="87"/>
      <c r="DT576" s="87"/>
      <c r="DU576" s="87"/>
      <c r="DV576" s="87"/>
      <c r="DW576" s="87"/>
      <c r="DX576" s="87"/>
      <c r="DY576" s="87"/>
      <c r="DZ576" s="87"/>
      <c r="EA576" s="87"/>
      <c r="EB576" s="87"/>
      <c r="EC576" s="87"/>
      <c r="ED576" s="87"/>
      <c r="EE576" s="87"/>
      <c r="EF576" s="87"/>
      <c r="EG576" s="87"/>
      <c r="EH576" s="87"/>
      <c r="EI576" s="87"/>
    </row>
    <row r="577" spans="1:139" ht="16.5" hidden="1" thickBot="1" x14ac:dyDescent="0.35">
      <c r="A577" s="88" t="s">
        <v>336</v>
      </c>
      <c r="B577" s="199">
        <v>3</v>
      </c>
      <c r="C577" s="195">
        <f>0.05*44</f>
        <v>2.2000000000000002</v>
      </c>
      <c r="D577" s="217">
        <f>C577/VLOOKUP(B577,'[2]Gas Prod per PADD'!$A$1:$C$6,2,FALSE)</f>
        <v>4.782608695652174E-4</v>
      </c>
      <c r="E577" s="272">
        <v>45712</v>
      </c>
      <c r="F577" s="359">
        <v>45747</v>
      </c>
      <c r="G577" s="274" t="s">
        <v>976</v>
      </c>
      <c r="H577" s="275" t="s">
        <v>977</v>
      </c>
      <c r="I577" s="84" t="s">
        <v>978</v>
      </c>
      <c r="J577" s="85"/>
      <c r="K577" s="85"/>
      <c r="L577" s="85"/>
      <c r="M577" s="85"/>
      <c r="N577" s="85"/>
      <c r="O577" s="85"/>
      <c r="P577" s="85"/>
      <c r="Q577" s="85">
        <f>C577*(E577-$Q$1)/28</f>
        <v>-0.31428571428571433</v>
      </c>
      <c r="R577" s="85">
        <f>C577*($Q$1+1-F577)/31</f>
        <v>-2.129032258064516</v>
      </c>
      <c r="S577" s="85"/>
      <c r="T577" s="85"/>
      <c r="U577" s="85"/>
      <c r="V577" s="84"/>
      <c r="W577" s="84"/>
      <c r="X577" s="84" t="str">
        <f t="shared" si="25"/>
        <v>OK</v>
      </c>
      <c r="Y577" s="87"/>
      <c r="Z577" s="87"/>
      <c r="AA577" s="87"/>
      <c r="AB577" s="87"/>
      <c r="AC577" s="87"/>
      <c r="AD577" s="87"/>
      <c r="AE577" s="87"/>
      <c r="AF577" s="87"/>
      <c r="AG577" s="87"/>
      <c r="AH577" s="87"/>
      <c r="AI577" s="87"/>
      <c r="AJ577" s="87"/>
      <c r="AK577" s="87"/>
      <c r="AL577" s="87"/>
      <c r="AM577" s="87"/>
      <c r="AN577" s="87"/>
      <c r="AO577" s="87"/>
      <c r="AP577" s="87"/>
      <c r="AQ577" s="87"/>
      <c r="AR577" s="87"/>
      <c r="AS577" s="87"/>
      <c r="AT577" s="87"/>
      <c r="AU577" s="87"/>
      <c r="AV577" s="87"/>
      <c r="AW577" s="87"/>
      <c r="AX577" s="87"/>
      <c r="AY577" s="87"/>
      <c r="AZ577" s="87"/>
      <c r="BA577" s="87"/>
      <c r="BB577" s="87"/>
      <c r="BC577" s="87"/>
      <c r="BD577" s="87"/>
      <c r="BE577" s="87"/>
      <c r="BF577" s="87"/>
      <c r="BG577" s="87"/>
      <c r="BH577" s="87"/>
      <c r="BI577" s="87"/>
      <c r="BJ577" s="87"/>
      <c r="BK577" s="87"/>
      <c r="BL577" s="87"/>
      <c r="BM577" s="87"/>
      <c r="BN577" s="87"/>
      <c r="BO577" s="87"/>
      <c r="BP577" s="87"/>
      <c r="BQ577" s="87"/>
      <c r="BR577" s="87"/>
      <c r="BS577" s="87"/>
      <c r="BT577" s="87"/>
      <c r="BU577" s="87"/>
      <c r="BV577" s="87"/>
      <c r="BW577" s="87"/>
      <c r="BX577" s="87"/>
      <c r="BY577" s="87"/>
      <c r="BZ577" s="87"/>
      <c r="CA577" s="87"/>
      <c r="CB577" s="87"/>
      <c r="CC577" s="87"/>
      <c r="CD577" s="87"/>
      <c r="CE577" s="87"/>
      <c r="CF577" s="87"/>
      <c r="CG577" s="87"/>
      <c r="CH577" s="87"/>
      <c r="CI577" s="87"/>
      <c r="CJ577" s="87"/>
      <c r="CK577" s="87"/>
      <c r="CL577" s="87"/>
      <c r="CM577" s="87"/>
      <c r="CN577" s="87"/>
      <c r="CO577" s="87"/>
      <c r="CP577" s="87">
        <f>-4/7*C577</f>
        <v>-1.2571428571428571</v>
      </c>
      <c r="CQ577" s="87">
        <f>-3/7*C577</f>
        <v>-0.94285714285714284</v>
      </c>
      <c r="CR577" s="87"/>
      <c r="CS577" s="87"/>
      <c r="CT577" s="87"/>
      <c r="CU577" s="87">
        <f>-CP577</f>
        <v>1.2571428571428571</v>
      </c>
      <c r="CV577" s="87">
        <f>-CQ577</f>
        <v>0.94285714285714284</v>
      </c>
      <c r="CW577" s="87"/>
      <c r="CX577" s="87"/>
      <c r="CY577" s="87"/>
      <c r="CZ577" s="87"/>
      <c r="DA577" s="87"/>
      <c r="DB577" s="87"/>
      <c r="DC577" s="87"/>
      <c r="DD577" s="87"/>
      <c r="DE577" s="87"/>
      <c r="DF577" s="87"/>
      <c r="DG577" s="87"/>
      <c r="DH577" s="87"/>
      <c r="DI577" s="87"/>
      <c r="DJ577" s="87"/>
      <c r="DK577" s="87"/>
      <c r="DL577" s="87"/>
      <c r="DM577" s="87"/>
      <c r="DN577" s="87"/>
      <c r="DO577" s="87"/>
      <c r="DP577" s="87"/>
      <c r="DQ577" s="87"/>
      <c r="DR577" s="87"/>
      <c r="DS577" s="87"/>
      <c r="DT577" s="87"/>
      <c r="DU577" s="87"/>
      <c r="DV577" s="87"/>
      <c r="DW577" s="87"/>
      <c r="DX577" s="87"/>
      <c r="DY577" s="87"/>
      <c r="DZ577" s="87"/>
      <c r="EA577" s="87"/>
      <c r="EB577" s="87"/>
      <c r="EC577" s="87"/>
      <c r="ED577" s="87"/>
      <c r="EE577" s="87"/>
      <c r="EF577" s="87"/>
      <c r="EG577" s="87"/>
      <c r="EH577" s="87"/>
      <c r="EI577" s="87"/>
    </row>
    <row r="578" spans="1:139" ht="29.25" hidden="1" thickBot="1" x14ac:dyDescent="0.35">
      <c r="A578" s="190" t="s">
        <v>979</v>
      </c>
      <c r="B578" s="194">
        <v>3</v>
      </c>
      <c r="C578" s="195">
        <f>25*0.25</f>
        <v>6.25</v>
      </c>
      <c r="D578" s="217">
        <f>C578/VLOOKUP(B578,'[2]Gas Prod per PADD'!$A$1:$C$6,2,FALSE)</f>
        <v>1.358695652173913E-3</v>
      </c>
      <c r="E578" s="360">
        <v>45716</v>
      </c>
      <c r="F578" s="361">
        <v>45747</v>
      </c>
      <c r="G578" s="194" t="s">
        <v>980</v>
      </c>
      <c r="H578" s="198" t="s">
        <v>981</v>
      </c>
      <c r="I578" s="84" t="s">
        <v>982</v>
      </c>
      <c r="J578" s="85"/>
      <c r="K578" s="85"/>
      <c r="L578" s="85"/>
      <c r="M578" s="85"/>
      <c r="N578" s="85"/>
      <c r="O578" s="85"/>
      <c r="P578" s="85"/>
      <c r="Q578" s="85">
        <f>C578*(E578-$Q$1)/28</f>
        <v>0</v>
      </c>
      <c r="R578" s="85">
        <f>C578*($Q$1+1-F578)/31</f>
        <v>-6.0483870967741939</v>
      </c>
      <c r="S578" s="85"/>
      <c r="T578" s="85"/>
      <c r="U578" s="85"/>
      <c r="V578" s="84"/>
      <c r="W578" s="84"/>
      <c r="X578" s="84" t="str">
        <f t="shared" si="25"/>
        <v>OK</v>
      </c>
      <c r="Y578" s="87"/>
      <c r="Z578" s="87"/>
      <c r="AA578" s="87"/>
      <c r="AB578" s="87"/>
      <c r="AC578" s="87"/>
      <c r="AD578" s="87"/>
      <c r="AE578" s="87"/>
      <c r="AF578" s="87"/>
      <c r="AG578" s="87"/>
      <c r="AH578" s="87"/>
      <c r="AI578" s="87"/>
      <c r="AJ578" s="87"/>
      <c r="AK578" s="87"/>
      <c r="AL578" s="87"/>
      <c r="AM578" s="87"/>
      <c r="AN578" s="87"/>
      <c r="AO578" s="87"/>
      <c r="AP578" s="87"/>
      <c r="AQ578" s="87"/>
      <c r="AR578" s="87"/>
      <c r="AS578" s="87"/>
      <c r="AT578" s="87"/>
      <c r="AU578" s="87"/>
      <c r="AV578" s="87"/>
      <c r="AW578" s="87"/>
      <c r="AX578" s="87"/>
      <c r="AY578" s="87"/>
      <c r="AZ578" s="87"/>
      <c r="BA578" s="87"/>
      <c r="BB578" s="87"/>
      <c r="BC578" s="87"/>
      <c r="BD578" s="87"/>
      <c r="BE578" s="87"/>
      <c r="BF578" s="87"/>
      <c r="BG578" s="87"/>
      <c r="BH578" s="87"/>
      <c r="BI578" s="87"/>
      <c r="BJ578" s="87"/>
      <c r="BK578" s="87"/>
      <c r="BL578" s="87"/>
      <c r="BM578" s="87"/>
      <c r="BN578" s="87"/>
      <c r="BO578" s="87"/>
      <c r="BP578" s="87"/>
      <c r="BQ578" s="87"/>
      <c r="BR578" s="87"/>
      <c r="BS578" s="87"/>
      <c r="BT578" s="87"/>
      <c r="BU578" s="87"/>
      <c r="BV578" s="87"/>
      <c r="BW578" s="87"/>
      <c r="BX578" s="87"/>
      <c r="BY578" s="87"/>
      <c r="BZ578" s="87"/>
      <c r="CA578" s="87"/>
      <c r="CB578" s="87"/>
      <c r="CC578" s="87"/>
      <c r="CD578" s="87"/>
      <c r="CE578" s="87"/>
      <c r="CF578" s="87"/>
      <c r="CG578" s="87"/>
      <c r="CH578" s="87"/>
      <c r="CI578" s="87"/>
      <c r="CJ578" s="87"/>
      <c r="CK578" s="87"/>
      <c r="CL578" s="87"/>
      <c r="CM578" s="87"/>
      <c r="CN578" s="87"/>
      <c r="CO578" s="87"/>
      <c r="CP578" s="87">
        <f>-1/7*C578</f>
        <v>-0.89285714285714279</v>
      </c>
      <c r="CQ578" s="87">
        <f>-C578*6/7</f>
        <v>-5.3571428571428568</v>
      </c>
      <c r="CR578" s="87"/>
      <c r="CS578" s="87"/>
      <c r="CT578" s="87"/>
      <c r="CU578" s="87">
        <f>C578*4/7</f>
        <v>3.5714285714285716</v>
      </c>
      <c r="CV578" s="87">
        <f>C578*3/7</f>
        <v>2.6785714285714284</v>
      </c>
      <c r="CW578" s="87"/>
      <c r="CX578" s="87"/>
      <c r="CY578" s="87"/>
      <c r="CZ578" s="87"/>
      <c r="DA578" s="87"/>
      <c r="DB578" s="87"/>
      <c r="DC578" s="87"/>
      <c r="DD578" s="87"/>
      <c r="DE578" s="87"/>
      <c r="DF578" s="87"/>
      <c r="DG578" s="87"/>
      <c r="DH578" s="87"/>
      <c r="DI578" s="87"/>
      <c r="DJ578" s="87"/>
      <c r="DK578" s="87"/>
      <c r="DL578" s="87"/>
      <c r="DM578" s="87"/>
      <c r="DN578" s="87"/>
      <c r="DO578" s="87"/>
      <c r="DP578" s="87"/>
      <c r="DQ578" s="87"/>
      <c r="DR578" s="87"/>
      <c r="DS578" s="87"/>
      <c r="DT578" s="87"/>
      <c r="DU578" s="87"/>
      <c r="DV578" s="87"/>
      <c r="DW578" s="87"/>
      <c r="DX578" s="87"/>
      <c r="DY578" s="87"/>
      <c r="DZ578" s="87"/>
      <c r="EA578" s="87"/>
      <c r="EB578" s="87"/>
      <c r="EC578" s="87"/>
      <c r="ED578" s="87"/>
      <c r="EE578" s="87"/>
      <c r="EF578" s="87"/>
      <c r="EG578" s="87"/>
      <c r="EH578" s="87"/>
      <c r="EI578" s="87"/>
    </row>
    <row r="579" spans="1:139" ht="16.5" hidden="1" thickBot="1" x14ac:dyDescent="0.35">
      <c r="A579" s="353" t="s">
        <v>384</v>
      </c>
      <c r="B579" s="176">
        <v>2</v>
      </c>
      <c r="C579" s="177">
        <f>255*0.1</f>
        <v>25.5</v>
      </c>
      <c r="D579" s="234">
        <f>C579/VLOOKUP(B579,'[2]Gas Prod per PADD'!$A$1:$C$6,2,FALSE)</f>
        <v>1.0625000000000001E-2</v>
      </c>
      <c r="E579" s="251">
        <v>45740</v>
      </c>
      <c r="F579" s="252">
        <v>45747</v>
      </c>
      <c r="G579" s="180" t="s">
        <v>983</v>
      </c>
      <c r="H579" s="198" t="s">
        <v>984</v>
      </c>
      <c r="I579" s="188" t="s">
        <v>985</v>
      </c>
      <c r="J579" s="362"/>
      <c r="K579" s="362"/>
      <c r="L579" s="362"/>
      <c r="M579" s="362"/>
      <c r="N579" s="362"/>
      <c r="O579" s="362"/>
      <c r="P579" s="362"/>
      <c r="Q579" s="362"/>
      <c r="R579" s="85">
        <f>C579*(E579-F579)/31</f>
        <v>-5.758064516129032</v>
      </c>
      <c r="S579" s="362"/>
      <c r="T579" s="85"/>
      <c r="U579" s="85"/>
      <c r="V579" s="84"/>
      <c r="W579" s="84"/>
      <c r="X579" s="84" t="str">
        <f t="shared" si="25"/>
        <v>OK</v>
      </c>
      <c r="Y579" s="105"/>
      <c r="Z579" s="105"/>
      <c r="AA579" s="87"/>
      <c r="AB579" s="87"/>
      <c r="AC579" s="87"/>
      <c r="AD579" s="87"/>
      <c r="AE579" s="105"/>
      <c r="AF579" s="105"/>
      <c r="AG579" s="105"/>
      <c r="AH579" s="105"/>
      <c r="AI579" s="87"/>
      <c r="AJ579" s="87"/>
      <c r="AK579" s="105"/>
      <c r="AL579" s="87"/>
      <c r="AM579" s="105"/>
      <c r="AN579" s="105"/>
      <c r="AO579" s="87"/>
      <c r="AP579" s="87"/>
      <c r="AQ579" s="105"/>
      <c r="AR579" s="105"/>
      <c r="AS579" s="87"/>
      <c r="AT579" s="105"/>
      <c r="AU579" s="105"/>
      <c r="AV579" s="87"/>
      <c r="AW579" s="105"/>
      <c r="AX579" s="105"/>
      <c r="AY579" s="87"/>
      <c r="AZ579" s="105"/>
      <c r="BA579" s="105"/>
      <c r="BB579" s="105"/>
      <c r="BC579" s="87"/>
      <c r="BD579" s="87"/>
      <c r="BE579" s="105"/>
      <c r="BF579" s="105"/>
      <c r="BG579" s="105"/>
      <c r="BH579" s="105"/>
      <c r="BI579" s="105"/>
      <c r="BJ579" s="87"/>
      <c r="BK579" s="87"/>
      <c r="BL579" s="87"/>
      <c r="BM579" s="87"/>
      <c r="BN579" s="87"/>
      <c r="BO579" s="87"/>
      <c r="BP579" s="87"/>
      <c r="BQ579" s="87"/>
      <c r="BR579" s="87"/>
      <c r="BS579" s="87"/>
      <c r="BT579" s="87"/>
      <c r="BU579" s="87"/>
      <c r="BV579" s="87"/>
      <c r="BW579" s="87"/>
      <c r="BX579" s="87"/>
      <c r="BY579" s="87"/>
      <c r="BZ579" s="87"/>
      <c r="CA579" s="87"/>
      <c r="CB579" s="87"/>
      <c r="CC579" s="87"/>
      <c r="CD579" s="87"/>
      <c r="CE579" s="87"/>
      <c r="CF579" s="87"/>
      <c r="CG579" s="87"/>
      <c r="CH579" s="87"/>
      <c r="CI579" s="87"/>
      <c r="CJ579" s="87"/>
      <c r="CK579" s="87"/>
      <c r="CL579" s="87"/>
      <c r="CM579" s="87"/>
      <c r="CN579" s="87"/>
      <c r="CO579" s="87"/>
      <c r="CP579" s="87"/>
      <c r="CQ579" s="87"/>
      <c r="CR579" s="87"/>
      <c r="CS579" s="87"/>
      <c r="CT579" s="87">
        <f>-4/7*C579</f>
        <v>-14.571428571428571</v>
      </c>
      <c r="CU579" s="87"/>
      <c r="CV579" s="87">
        <f>-CT579</f>
        <v>14.571428571428571</v>
      </c>
      <c r="CW579" s="87"/>
      <c r="CX579" s="87"/>
      <c r="CY579" s="87"/>
      <c r="CZ579" s="87"/>
      <c r="DA579" s="105"/>
      <c r="DB579" s="87"/>
      <c r="DC579" s="87"/>
      <c r="DD579" s="87"/>
      <c r="DE579" s="87"/>
      <c r="DF579" s="87"/>
      <c r="DG579" s="87"/>
      <c r="DH579" s="87"/>
      <c r="DI579" s="87"/>
      <c r="DJ579" s="87"/>
      <c r="DK579" s="87"/>
      <c r="DL579" s="87"/>
      <c r="DM579" s="87"/>
      <c r="DN579" s="87"/>
      <c r="DO579" s="87"/>
      <c r="DP579" s="87"/>
      <c r="DQ579" s="87"/>
      <c r="DR579" s="87"/>
      <c r="DS579" s="87"/>
      <c r="DT579" s="87"/>
      <c r="DU579" s="87"/>
      <c r="DV579" s="87"/>
      <c r="DW579" s="87"/>
      <c r="DX579" s="87"/>
      <c r="DY579" s="87"/>
      <c r="DZ579" s="87"/>
      <c r="EA579" s="87"/>
      <c r="EB579" s="87"/>
      <c r="EC579" s="87"/>
      <c r="ED579" s="87"/>
      <c r="EE579" s="87"/>
      <c r="EF579" s="87"/>
      <c r="EG579" s="87"/>
      <c r="EH579" s="87"/>
      <c r="EI579" s="87"/>
    </row>
    <row r="580" spans="1:139" ht="29.25" hidden="1" thickBot="1" x14ac:dyDescent="0.35">
      <c r="A580" s="352" t="s">
        <v>371</v>
      </c>
      <c r="B580" s="199">
        <v>2</v>
      </c>
      <c r="C580" s="195">
        <f>20*0.85+(30*0.1)</f>
        <v>20</v>
      </c>
      <c r="D580" s="217">
        <f>C580/VLOOKUP(B580,'[2]Gas Prod per PADD'!$A$1:$C$6,2,FALSE)</f>
        <v>8.3333333333333332E-3</v>
      </c>
      <c r="E580" s="357">
        <v>45738</v>
      </c>
      <c r="F580" s="252">
        <f>E580+7+3</f>
        <v>45748</v>
      </c>
      <c r="G580" s="180" t="s">
        <v>986</v>
      </c>
      <c r="H580" s="181" t="s">
        <v>987</v>
      </c>
      <c r="I580" s="84"/>
      <c r="J580" s="85"/>
      <c r="K580" s="85"/>
      <c r="L580" s="85"/>
      <c r="M580" s="85"/>
      <c r="N580" s="85"/>
      <c r="O580" s="85"/>
      <c r="P580" s="85"/>
      <c r="Q580" s="85"/>
      <c r="R580" s="85">
        <f>C580*(E580-$R$1)/31</f>
        <v>-5.806451612903226</v>
      </c>
      <c r="S580" s="85">
        <f>C580*($R$1+1-F580)/30</f>
        <v>0</v>
      </c>
      <c r="T580" s="85"/>
      <c r="U580" s="85"/>
      <c r="V580" s="84"/>
      <c r="W580" s="84"/>
      <c r="X580" s="84" t="str">
        <f t="shared" si="25"/>
        <v>OK</v>
      </c>
      <c r="Y580" s="87"/>
      <c r="Z580" s="87"/>
      <c r="AA580" s="87"/>
      <c r="AB580" s="87"/>
      <c r="AC580" s="87"/>
      <c r="AD580" s="87"/>
      <c r="AE580" s="87"/>
      <c r="AF580" s="87"/>
      <c r="AG580" s="87"/>
      <c r="AH580" s="87"/>
      <c r="AI580" s="87"/>
      <c r="AJ580" s="87"/>
      <c r="AK580" s="87"/>
      <c r="AL580" s="87"/>
      <c r="AM580" s="87"/>
      <c r="AN580" s="87"/>
      <c r="AO580" s="87"/>
      <c r="AP580" s="87"/>
      <c r="AQ580" s="87"/>
      <c r="AR580" s="87"/>
      <c r="AS580" s="87"/>
      <c r="AT580" s="87"/>
      <c r="AU580" s="87"/>
      <c r="AV580" s="87"/>
      <c r="AW580" s="87"/>
      <c r="AX580" s="87"/>
      <c r="AY580" s="87"/>
      <c r="AZ580" s="87"/>
      <c r="BA580" s="87"/>
      <c r="BB580" s="87"/>
      <c r="BC580" s="87"/>
      <c r="BD580" s="87"/>
      <c r="BE580" s="87"/>
      <c r="BF580" s="87"/>
      <c r="BG580" s="87"/>
      <c r="BH580" s="87"/>
      <c r="BI580" s="87"/>
      <c r="BJ580" s="87"/>
      <c r="BK580" s="87"/>
      <c r="BL580" s="87"/>
      <c r="BM580" s="87"/>
      <c r="BN580" s="87"/>
      <c r="BO580" s="87"/>
      <c r="BP580" s="87"/>
      <c r="BQ580" s="87"/>
      <c r="BR580" s="87"/>
      <c r="BS580" s="87"/>
      <c r="BT580" s="87"/>
      <c r="BU580" s="87"/>
      <c r="BV580" s="87"/>
      <c r="BW580" s="87"/>
      <c r="BX580" s="87"/>
      <c r="BY580" s="87"/>
      <c r="BZ580" s="87"/>
      <c r="CA580" s="87"/>
      <c r="CB580" s="87"/>
      <c r="CC580" s="87"/>
      <c r="CD580" s="87"/>
      <c r="CE580" s="87"/>
      <c r="CF580" s="87"/>
      <c r="CG580" s="87"/>
      <c r="CH580" s="87"/>
      <c r="CI580" s="87"/>
      <c r="CJ580" s="87"/>
      <c r="CK580" s="87"/>
      <c r="CL580" s="87"/>
      <c r="CM580" s="87"/>
      <c r="CN580" s="87"/>
      <c r="CO580" s="87"/>
      <c r="CP580" s="87"/>
      <c r="CQ580" s="87"/>
      <c r="CR580" s="87"/>
      <c r="CS580" s="87"/>
      <c r="CT580" s="105">
        <f>-C580</f>
        <v>-20</v>
      </c>
      <c r="CU580" s="105"/>
      <c r="CV580" s="105">
        <f>-CT580</f>
        <v>20</v>
      </c>
      <c r="CW580" s="87"/>
      <c r="CX580" s="87"/>
      <c r="CY580" s="87"/>
      <c r="CZ580" s="87"/>
      <c r="DA580" s="87"/>
      <c r="DB580" s="105"/>
      <c r="DC580" s="87"/>
      <c r="DD580" s="87"/>
      <c r="DE580" s="105"/>
      <c r="DF580" s="87"/>
      <c r="DG580" s="87"/>
      <c r="DH580" s="87"/>
      <c r="DI580" s="87"/>
      <c r="DJ580" s="87"/>
      <c r="DK580" s="87"/>
      <c r="DL580" s="87"/>
      <c r="DM580" s="87"/>
      <c r="DN580" s="87"/>
      <c r="DO580" s="87"/>
      <c r="DP580" s="87"/>
      <c r="DQ580" s="87"/>
      <c r="DR580" s="87"/>
      <c r="DS580" s="87"/>
      <c r="DT580" s="87"/>
      <c r="DU580" s="87"/>
      <c r="DV580" s="87"/>
      <c r="DW580" s="87"/>
      <c r="DX580" s="87"/>
      <c r="DY580" s="87"/>
      <c r="DZ580" s="87"/>
      <c r="EA580" s="87"/>
      <c r="EB580" s="87"/>
      <c r="EC580" s="87"/>
      <c r="ED580" s="87"/>
      <c r="EE580" s="87"/>
      <c r="EF580" s="87"/>
      <c r="EG580" s="87"/>
      <c r="EH580" s="87"/>
      <c r="EI580" s="87"/>
    </row>
    <row r="581" spans="1:139" ht="16.5" hidden="1" thickBot="1" x14ac:dyDescent="0.35">
      <c r="A581" s="190" t="s">
        <v>152</v>
      </c>
      <c r="B581" s="176">
        <v>3</v>
      </c>
      <c r="C581" s="177">
        <f>0.65*110</f>
        <v>71.5</v>
      </c>
      <c r="D581" s="217">
        <f>C581/VLOOKUP(B581,'[2]Gas Prod per PADD'!$A$1:$C$6,2,FALSE)</f>
        <v>1.5543478260869565E-2</v>
      </c>
      <c r="E581" s="178">
        <v>45744</v>
      </c>
      <c r="F581" s="179">
        <f>E581+5</f>
        <v>45749</v>
      </c>
      <c r="G581" s="180" t="s">
        <v>988</v>
      </c>
      <c r="H581" s="181" t="s">
        <v>989</v>
      </c>
      <c r="I581" s="84"/>
      <c r="J581" s="85"/>
      <c r="K581" s="85"/>
      <c r="L581" s="85"/>
      <c r="M581" s="85"/>
      <c r="N581" s="85"/>
      <c r="O581" s="85"/>
      <c r="P581" s="85"/>
      <c r="Q581" s="85"/>
      <c r="R581" s="85">
        <f>C581*(E581-$R$1)/31</f>
        <v>-6.919354838709677</v>
      </c>
      <c r="S581" s="85">
        <f>C581*($R$1+1-F581)/30</f>
        <v>-2.3833333333333333</v>
      </c>
      <c r="T581" s="85"/>
      <c r="U581" s="85"/>
      <c r="V581" s="84"/>
      <c r="W581" s="84"/>
      <c r="X581" s="84" t="str">
        <f t="shared" si="25"/>
        <v>OK</v>
      </c>
      <c r="Y581" s="87"/>
      <c r="Z581" s="87"/>
      <c r="AA581" s="87"/>
      <c r="AB581" s="87"/>
      <c r="AC581" s="87"/>
      <c r="AD581" s="87"/>
      <c r="AE581" s="87"/>
      <c r="AF581" s="87"/>
      <c r="AG581" s="87"/>
      <c r="AH581" s="87"/>
      <c r="AI581" s="87"/>
      <c r="AJ581" s="87"/>
      <c r="AK581" s="87"/>
      <c r="AL581" s="87"/>
      <c r="AM581" s="87"/>
      <c r="AN581" s="87"/>
      <c r="AO581" s="87"/>
      <c r="AP581" s="87"/>
      <c r="AQ581" s="87"/>
      <c r="AR581" s="87"/>
      <c r="AS581" s="87"/>
      <c r="AT581" s="87"/>
      <c r="AU581" s="87"/>
      <c r="AV581" s="87"/>
      <c r="AW581" s="87"/>
      <c r="AX581" s="87"/>
      <c r="AY581" s="87"/>
      <c r="AZ581" s="87"/>
      <c r="BA581" s="87"/>
      <c r="BB581" s="87"/>
      <c r="BC581" s="87"/>
      <c r="BD581" s="87"/>
      <c r="BE581" s="87"/>
      <c r="BF581" s="87"/>
      <c r="BG581" s="87"/>
      <c r="BH581" s="87"/>
      <c r="BI581" s="87"/>
      <c r="BJ581" s="87"/>
      <c r="BK581" s="87"/>
      <c r="BL581" s="87"/>
      <c r="BM581" s="87"/>
      <c r="BN581" s="87"/>
      <c r="BO581" s="87"/>
      <c r="BP581" s="87"/>
      <c r="BQ581" s="87"/>
      <c r="BR581" s="87"/>
      <c r="BS581" s="87"/>
      <c r="BT581" s="87"/>
      <c r="BU581" s="87"/>
      <c r="BV581" s="87"/>
      <c r="BW581" s="87"/>
      <c r="BX581" s="87"/>
      <c r="BY581" s="87"/>
      <c r="BZ581" s="87"/>
      <c r="CA581" s="87"/>
      <c r="CB581" s="87"/>
      <c r="CC581" s="87"/>
      <c r="CD581" s="87"/>
      <c r="CE581" s="87"/>
      <c r="CF581" s="87"/>
      <c r="CG581" s="87"/>
      <c r="CH581" s="87"/>
      <c r="CI581" s="87"/>
      <c r="CJ581" s="87"/>
      <c r="CK581" s="87"/>
      <c r="CL581" s="87"/>
      <c r="CM581" s="87"/>
      <c r="CN581" s="87"/>
      <c r="CO581" s="87"/>
      <c r="CP581" s="87"/>
      <c r="CQ581" s="87"/>
      <c r="CR581" s="87"/>
      <c r="CS581" s="87"/>
      <c r="CT581" s="87">
        <f>-1/7*C581</f>
        <v>-10.214285714285714</v>
      </c>
      <c r="CU581" s="87"/>
      <c r="CV581" s="87">
        <f>-CT581</f>
        <v>10.214285714285714</v>
      </c>
      <c r="CW581" s="87"/>
      <c r="CX581" s="87"/>
      <c r="CY581" s="87"/>
      <c r="CZ581" s="87"/>
      <c r="DA581" s="87"/>
      <c r="DB581" s="87"/>
      <c r="DC581" s="87"/>
      <c r="DD581" s="87"/>
      <c r="DE581" s="87"/>
      <c r="DF581" s="87"/>
      <c r="DG581" s="87"/>
      <c r="DH581" s="87"/>
      <c r="DI581" s="87"/>
      <c r="DJ581" s="87"/>
      <c r="DK581" s="87"/>
      <c r="DL581" s="87"/>
      <c r="DM581" s="87"/>
      <c r="DN581" s="87"/>
      <c r="DO581" s="87"/>
      <c r="DP581" s="87"/>
      <c r="DQ581" s="87"/>
      <c r="DR581" s="87"/>
      <c r="DS581" s="87"/>
      <c r="DT581" s="87"/>
      <c r="DU581" s="87"/>
      <c r="DV581" s="87"/>
      <c r="DW581" s="87"/>
      <c r="DX581" s="87"/>
      <c r="DY581" s="87"/>
      <c r="DZ581" s="87"/>
      <c r="EA581" s="87"/>
      <c r="EB581" s="87"/>
      <c r="EC581" s="87"/>
      <c r="ED581" s="87"/>
      <c r="EE581" s="87"/>
      <c r="EF581" s="87"/>
      <c r="EG581" s="87"/>
      <c r="EH581" s="87"/>
      <c r="EI581" s="87"/>
    </row>
    <row r="582" spans="1:139" ht="16.5" hidden="1" thickBot="1" x14ac:dyDescent="0.35">
      <c r="A582" s="222" t="s">
        <v>322</v>
      </c>
      <c r="B582" s="191">
        <v>3</v>
      </c>
      <c r="C582" s="177">
        <f>45*0.25</f>
        <v>11.25</v>
      </c>
      <c r="D582" s="217">
        <f>C582/VLOOKUP(B582,'[2]Gas Prod per PADD'!$A$1:$C$6,2,FALSE)</f>
        <v>2.4456521739130437E-3</v>
      </c>
      <c r="E582" s="357">
        <v>45748</v>
      </c>
      <c r="F582" s="252">
        <v>45749</v>
      </c>
      <c r="G582" s="180" t="s">
        <v>990</v>
      </c>
      <c r="H582" s="181" t="s">
        <v>991</v>
      </c>
      <c r="I582" s="84"/>
      <c r="J582" s="85"/>
      <c r="K582" s="85"/>
      <c r="L582" s="85"/>
      <c r="M582" s="85"/>
      <c r="N582" s="85"/>
      <c r="O582" s="85"/>
      <c r="P582" s="85"/>
      <c r="Q582" s="85"/>
      <c r="R582" s="85"/>
      <c r="S582" s="85">
        <f>C582*(E582-F582)/30</f>
        <v>-0.375</v>
      </c>
      <c r="T582" s="85"/>
      <c r="U582" s="85"/>
      <c r="V582" s="84"/>
      <c r="W582" s="84"/>
      <c r="X582" s="84" t="str">
        <f t="shared" si="25"/>
        <v>OK</v>
      </c>
      <c r="Y582" s="87"/>
      <c r="Z582" s="87"/>
      <c r="AA582" s="87"/>
      <c r="AB582" s="87"/>
      <c r="AC582" s="87"/>
      <c r="AD582" s="87"/>
      <c r="AE582" s="87"/>
      <c r="AF582" s="87"/>
      <c r="AG582" s="87"/>
      <c r="AH582" s="87"/>
      <c r="AI582" s="87"/>
      <c r="AJ582" s="87"/>
      <c r="AK582" s="87"/>
      <c r="AL582" s="87"/>
      <c r="AM582" s="87"/>
      <c r="AN582" s="87"/>
      <c r="AO582" s="87"/>
      <c r="AP582" s="87"/>
      <c r="AQ582" s="87"/>
      <c r="AR582" s="87"/>
      <c r="AS582" s="87"/>
      <c r="AT582" s="87"/>
      <c r="AU582" s="87"/>
      <c r="AV582" s="87"/>
      <c r="AW582" s="87"/>
      <c r="AX582" s="87"/>
      <c r="AY582" s="87"/>
      <c r="AZ582" s="87"/>
      <c r="BA582" s="87"/>
      <c r="BB582" s="87"/>
      <c r="BC582" s="87"/>
      <c r="BD582" s="87"/>
      <c r="BE582" s="87"/>
      <c r="BF582" s="87"/>
      <c r="BG582" s="87"/>
      <c r="BH582" s="87"/>
      <c r="BI582" s="87"/>
      <c r="BJ582" s="87"/>
      <c r="BK582" s="87"/>
      <c r="BL582" s="87"/>
      <c r="BM582" s="87"/>
      <c r="BN582" s="87"/>
      <c r="BO582" s="87"/>
      <c r="BP582" s="87"/>
      <c r="BQ582" s="87"/>
      <c r="BR582" s="87"/>
      <c r="BS582" s="87"/>
      <c r="BT582" s="87"/>
      <c r="BU582" s="87"/>
      <c r="BV582" s="87"/>
      <c r="BW582" s="87"/>
      <c r="BX582" s="87"/>
      <c r="BY582" s="87"/>
      <c r="BZ582" s="87"/>
      <c r="CA582" s="87"/>
      <c r="CB582" s="87"/>
      <c r="CC582" s="87"/>
      <c r="CD582" s="87"/>
      <c r="CE582" s="87"/>
      <c r="CF582" s="87"/>
      <c r="CG582" s="87"/>
      <c r="CH582" s="87"/>
      <c r="CI582" s="87"/>
      <c r="CJ582" s="87"/>
      <c r="CK582" s="87"/>
      <c r="CL582" s="87"/>
      <c r="CM582" s="87"/>
      <c r="CN582" s="87"/>
      <c r="CO582" s="87"/>
      <c r="CP582" s="87"/>
      <c r="CQ582" s="87"/>
      <c r="CR582" s="87"/>
      <c r="CS582" s="87"/>
      <c r="CT582" s="87"/>
      <c r="CU582" s="87">
        <f>-C582*2/7</f>
        <v>-3.2142857142857144</v>
      </c>
      <c r="CV582" s="87">
        <f>-CU582</f>
        <v>3.2142857142857144</v>
      </c>
      <c r="CW582" s="87"/>
      <c r="CX582" s="87"/>
      <c r="CY582" s="87"/>
      <c r="CZ582" s="87"/>
      <c r="DA582" s="87"/>
      <c r="DB582" s="87"/>
      <c r="DC582" s="87"/>
      <c r="DD582" s="87"/>
      <c r="DE582" s="87"/>
      <c r="DF582" s="87"/>
      <c r="DG582" s="87"/>
      <c r="DH582" s="87"/>
      <c r="DI582" s="87"/>
      <c r="DJ582" s="87"/>
      <c r="DK582" s="87"/>
      <c r="DL582" s="87"/>
      <c r="DM582" s="87"/>
      <c r="DN582" s="87"/>
      <c r="DO582" s="87"/>
      <c r="DP582" s="87"/>
      <c r="DQ582" s="87"/>
      <c r="DR582" s="87"/>
      <c r="DS582" s="87"/>
      <c r="DT582" s="87"/>
      <c r="DU582" s="87"/>
      <c r="DV582" s="87"/>
      <c r="DW582" s="87"/>
      <c r="DX582" s="87"/>
      <c r="DY582" s="87"/>
      <c r="DZ582" s="87"/>
      <c r="EA582" s="87"/>
      <c r="EB582" s="87"/>
      <c r="EC582" s="87"/>
      <c r="ED582" s="87"/>
      <c r="EE582" s="87"/>
      <c r="EF582" s="87"/>
      <c r="EG582" s="87"/>
      <c r="EH582" s="87"/>
      <c r="EI582" s="87"/>
    </row>
    <row r="583" spans="1:139" ht="16.5" hidden="1" thickBot="1" x14ac:dyDescent="0.35">
      <c r="A583" s="190" t="s">
        <v>127</v>
      </c>
      <c r="B583" s="191">
        <v>3</v>
      </c>
      <c r="C583" s="177">
        <f>165*0.25</f>
        <v>41.25</v>
      </c>
      <c r="D583" s="217">
        <f>C583/VLOOKUP(B583,'[2]Gas Prod per PADD'!$A$1:$C$6,2,FALSE)</f>
        <v>8.9673913043478264E-3</v>
      </c>
      <c r="E583" s="251">
        <v>45748</v>
      </c>
      <c r="F583" s="276">
        <v>45749</v>
      </c>
      <c r="G583" s="180" t="s">
        <v>963</v>
      </c>
      <c r="H583" s="181"/>
      <c r="I583" s="84"/>
      <c r="J583" s="85"/>
      <c r="K583" s="85"/>
      <c r="L583" s="85"/>
      <c r="M583" s="85"/>
      <c r="N583" s="85"/>
      <c r="O583" s="85"/>
      <c r="P583" s="85"/>
      <c r="Q583" s="85"/>
      <c r="R583" s="85"/>
      <c r="S583" s="85">
        <f>C583*(E583-F583)/30</f>
        <v>-1.375</v>
      </c>
      <c r="T583" s="85"/>
      <c r="U583" s="85"/>
      <c r="V583" s="84"/>
      <c r="W583" s="84"/>
      <c r="X583" s="84"/>
      <c r="Y583" s="105"/>
      <c r="Z583" s="105"/>
      <c r="AA583" s="87"/>
      <c r="AB583" s="87"/>
      <c r="AC583" s="87"/>
      <c r="AD583" s="87"/>
      <c r="AE583" s="105"/>
      <c r="AF583" s="105"/>
      <c r="AG583" s="105"/>
      <c r="AH583" s="105"/>
      <c r="AI583" s="87"/>
      <c r="AJ583" s="87"/>
      <c r="AK583" s="105"/>
      <c r="AL583" s="87"/>
      <c r="AM583" s="105"/>
      <c r="AN583" s="105"/>
      <c r="AO583" s="87"/>
      <c r="AP583" s="87"/>
      <c r="AQ583" s="105"/>
      <c r="AR583" s="105"/>
      <c r="AS583" s="87"/>
      <c r="AT583" s="105"/>
      <c r="AU583" s="105"/>
      <c r="AV583" s="87"/>
      <c r="AW583" s="105"/>
      <c r="AX583" s="105"/>
      <c r="AY583" s="87"/>
      <c r="AZ583" s="105"/>
      <c r="BA583" s="105"/>
      <c r="BB583" s="105"/>
      <c r="BC583" s="87"/>
      <c r="BD583" s="87"/>
      <c r="BE583" s="105"/>
      <c r="BF583" s="105"/>
      <c r="BG583" s="105"/>
      <c r="BH583" s="105"/>
      <c r="BI583" s="105"/>
      <c r="BJ583" s="87"/>
      <c r="BK583" s="87"/>
      <c r="BL583" s="87"/>
      <c r="BM583" s="87"/>
      <c r="BN583" s="87"/>
      <c r="BO583" s="105"/>
      <c r="BP583" s="105"/>
      <c r="BQ583" s="105"/>
      <c r="BR583" s="105"/>
      <c r="BS583" s="105"/>
      <c r="BT583" s="87"/>
      <c r="BU583" s="87"/>
      <c r="BV583" s="87"/>
      <c r="BW583" s="87"/>
      <c r="BX583" s="87"/>
      <c r="BY583" s="87"/>
      <c r="BZ583" s="87"/>
      <c r="CA583" s="87"/>
      <c r="CB583" s="87"/>
      <c r="CC583" s="87"/>
      <c r="CD583" s="87"/>
      <c r="CE583" s="87"/>
      <c r="CF583" s="87"/>
      <c r="CG583" s="87"/>
      <c r="CH583" s="87"/>
      <c r="CI583" s="87"/>
      <c r="CJ583" s="87"/>
      <c r="CK583" s="87"/>
      <c r="CL583" s="87"/>
      <c r="CM583" s="87"/>
      <c r="CN583" s="87"/>
      <c r="CO583" s="87"/>
      <c r="CP583" s="87"/>
      <c r="CQ583" s="87"/>
      <c r="CR583" s="87"/>
      <c r="CS583" s="87"/>
      <c r="CT583" s="87"/>
      <c r="CU583" s="87">
        <f>-1/7*C583</f>
        <v>-5.8928571428571423</v>
      </c>
      <c r="CV583" s="87">
        <f>-CU583</f>
        <v>5.8928571428571423</v>
      </c>
      <c r="CW583" s="87"/>
      <c r="CX583" s="87"/>
      <c r="CY583" s="87"/>
      <c r="CZ583" s="87"/>
      <c r="DA583" s="87"/>
      <c r="DB583" s="87"/>
      <c r="DC583" s="87"/>
      <c r="DD583" s="87"/>
      <c r="DE583" s="87"/>
      <c r="DF583" s="87"/>
      <c r="DG583" s="87"/>
      <c r="DH583" s="87"/>
      <c r="DI583" s="87"/>
      <c r="DJ583" s="87"/>
      <c r="DK583" s="87"/>
      <c r="DL583" s="87"/>
      <c r="DM583" s="87"/>
      <c r="DN583" s="87"/>
      <c r="DO583" s="87"/>
      <c r="DP583" s="87"/>
      <c r="DQ583" s="87"/>
      <c r="DR583" s="87"/>
      <c r="DS583" s="87"/>
      <c r="DT583" s="87"/>
      <c r="DU583" s="87"/>
      <c r="DV583" s="87"/>
      <c r="DW583" s="87"/>
      <c r="DX583" s="87"/>
      <c r="DY583" s="87"/>
      <c r="DZ583" s="87"/>
      <c r="EA583" s="87"/>
      <c r="EB583" s="87"/>
      <c r="EC583" s="87"/>
      <c r="ED583" s="87"/>
      <c r="EE583" s="87"/>
      <c r="EF583" s="87"/>
      <c r="EG583" s="87"/>
      <c r="EH583" s="87"/>
      <c r="EI583" s="87"/>
    </row>
    <row r="584" spans="1:139" ht="16.5" hidden="1" thickBot="1" x14ac:dyDescent="0.35">
      <c r="A584" s="222" t="s">
        <v>425</v>
      </c>
      <c r="B584" s="176">
        <v>3</v>
      </c>
      <c r="C584" s="177">
        <f>15*0.25</f>
        <v>3.75</v>
      </c>
      <c r="D584" s="234">
        <f>C584/VLOOKUP(B584,'[2]Gas Prod per PADD'!$A$1:$C$6,2,FALSE)</f>
        <v>8.1521739130434778E-4</v>
      </c>
      <c r="E584" s="251">
        <v>45748</v>
      </c>
      <c r="F584" s="252">
        <f>E584+1</f>
        <v>45749</v>
      </c>
      <c r="G584" s="180" t="s">
        <v>992</v>
      </c>
      <c r="H584" s="198" t="s">
        <v>993</v>
      </c>
      <c r="I584" s="84"/>
      <c r="J584" s="85"/>
      <c r="K584" s="85"/>
      <c r="L584" s="85"/>
      <c r="M584" s="85"/>
      <c r="N584" s="85"/>
      <c r="O584" s="85"/>
      <c r="P584" s="85"/>
      <c r="Q584" s="85"/>
      <c r="R584" s="85"/>
      <c r="S584" s="85">
        <f>C584*(E584-F584)/30</f>
        <v>-0.125</v>
      </c>
      <c r="T584" s="85"/>
      <c r="U584" s="85"/>
      <c r="V584" s="84"/>
      <c r="W584" s="84"/>
      <c r="X584" s="84" t="str">
        <f>IF(COUNTA(Y584:EI584)=0,"Missing","OK")</f>
        <v>OK</v>
      </c>
      <c r="Y584" s="105"/>
      <c r="Z584" s="105"/>
      <c r="AA584" s="87"/>
      <c r="AB584" s="87"/>
      <c r="AC584" s="87"/>
      <c r="AD584" s="87"/>
      <c r="AE584" s="105"/>
      <c r="AF584" s="105"/>
      <c r="AG584" s="105"/>
      <c r="AH584" s="105"/>
      <c r="AI584" s="87"/>
      <c r="AJ584" s="87"/>
      <c r="AK584" s="87"/>
      <c r="AL584" s="87"/>
      <c r="AM584" s="87"/>
      <c r="AN584" s="87"/>
      <c r="AO584" s="87"/>
      <c r="AP584" s="87"/>
      <c r="AQ584" s="87"/>
      <c r="AR584" s="87"/>
      <c r="AS584" s="87"/>
      <c r="AT584" s="87"/>
      <c r="AU584" s="87"/>
      <c r="AV584" s="87"/>
      <c r="AW584" s="87"/>
      <c r="AX584" s="87"/>
      <c r="AY584" s="87"/>
      <c r="AZ584" s="87"/>
      <c r="BA584" s="87"/>
      <c r="BB584" s="87"/>
      <c r="BC584" s="87"/>
      <c r="BD584" s="87"/>
      <c r="BE584" s="87"/>
      <c r="BF584" s="87"/>
      <c r="BG584" s="87"/>
      <c r="BH584" s="87"/>
      <c r="BI584" s="87"/>
      <c r="BJ584" s="87"/>
      <c r="BK584" s="87"/>
      <c r="BL584" s="87"/>
      <c r="BM584" s="87"/>
      <c r="BN584" s="87"/>
      <c r="BO584" s="87"/>
      <c r="BP584" s="87"/>
      <c r="BQ584" s="87"/>
      <c r="BR584" s="87"/>
      <c r="BS584" s="87"/>
      <c r="BT584" s="87"/>
      <c r="BU584" s="87"/>
      <c r="BV584" s="87"/>
      <c r="BW584" s="87"/>
      <c r="BX584" s="87"/>
      <c r="BY584" s="87"/>
      <c r="BZ584" s="87"/>
      <c r="CA584" s="87"/>
      <c r="CB584" s="87"/>
      <c r="CC584" s="87"/>
      <c r="CD584" s="87"/>
      <c r="CE584" s="87"/>
      <c r="CF584" s="87"/>
      <c r="CG584" s="87"/>
      <c r="CH584" s="87"/>
      <c r="CI584" s="87"/>
      <c r="CJ584" s="87"/>
      <c r="CK584" s="87"/>
      <c r="CL584" s="87"/>
      <c r="CM584" s="87"/>
      <c r="CN584" s="87"/>
      <c r="CO584" s="87"/>
      <c r="CP584" s="87"/>
      <c r="CQ584" s="87"/>
      <c r="CR584" s="87"/>
      <c r="CS584" s="87"/>
      <c r="CT584" s="87"/>
      <c r="CU584" s="87">
        <f>-C584*1/7</f>
        <v>-0.5357142857142857</v>
      </c>
      <c r="CV584" s="87">
        <f>-CU584</f>
        <v>0.5357142857142857</v>
      </c>
      <c r="CW584" s="87"/>
      <c r="CX584" s="87"/>
      <c r="CY584" s="87"/>
      <c r="CZ584" s="87"/>
      <c r="DA584" s="87"/>
      <c r="DB584" s="87"/>
      <c r="DC584" s="87"/>
      <c r="DD584" s="87"/>
      <c r="DE584" s="87"/>
      <c r="DF584" s="87"/>
      <c r="DG584" s="87"/>
      <c r="DH584" s="87"/>
      <c r="DI584" s="87"/>
      <c r="DJ584" s="87"/>
      <c r="DK584" s="87"/>
      <c r="DL584" s="87"/>
      <c r="DM584" s="87"/>
      <c r="DN584" s="87"/>
      <c r="DO584" s="87"/>
      <c r="DP584" s="87"/>
      <c r="DQ584" s="87"/>
      <c r="DR584" s="87"/>
      <c r="DS584" s="87"/>
      <c r="DT584" s="87"/>
      <c r="DU584" s="87"/>
      <c r="DV584" s="87"/>
      <c r="DW584" s="87"/>
      <c r="DX584" s="87"/>
      <c r="DY584" s="87"/>
      <c r="DZ584" s="87"/>
      <c r="EA584" s="87"/>
      <c r="EB584" s="87"/>
      <c r="EC584" s="87"/>
      <c r="ED584" s="87"/>
      <c r="EE584" s="87"/>
      <c r="EF584" s="87"/>
      <c r="EG584" s="87"/>
      <c r="EH584" s="87"/>
      <c r="EI584" s="87"/>
    </row>
    <row r="585" spans="1:139" ht="16.5" hidden="1" thickBot="1" x14ac:dyDescent="0.35">
      <c r="A585" s="190" t="s">
        <v>127</v>
      </c>
      <c r="B585" s="191">
        <v>3</v>
      </c>
      <c r="C585" s="177">
        <f>80*0.25</f>
        <v>20</v>
      </c>
      <c r="D585" s="217">
        <f>C585/VLOOKUP(B585,'[2]Gas Prod per PADD'!$A$1:$C$6,2,FALSE)</f>
        <v>4.3478260869565218E-3</v>
      </c>
      <c r="E585" s="251">
        <v>45748</v>
      </c>
      <c r="F585" s="276">
        <f>E585+2</f>
        <v>45750</v>
      </c>
      <c r="G585" s="180" t="s">
        <v>963</v>
      </c>
      <c r="H585" s="181" t="s">
        <v>994</v>
      </c>
      <c r="I585" s="84" t="s">
        <v>995</v>
      </c>
      <c r="J585" s="85"/>
      <c r="K585" s="85"/>
      <c r="L585" s="85"/>
      <c r="M585" s="85"/>
      <c r="N585" s="85"/>
      <c r="O585" s="85"/>
      <c r="P585" s="85"/>
      <c r="Q585" s="85"/>
      <c r="R585" s="85"/>
      <c r="S585" s="85">
        <f>C585*(E585-F585)/30</f>
        <v>-1.3333333333333333</v>
      </c>
      <c r="T585" s="85"/>
      <c r="U585" s="85"/>
      <c r="V585" s="84"/>
      <c r="W585" s="84"/>
      <c r="X585" s="84" t="str">
        <f>IF(COUNTA(Y585:EI585)=0,"Missing","OK")</f>
        <v>OK</v>
      </c>
      <c r="Y585" s="105"/>
      <c r="Z585" s="105"/>
      <c r="AA585" s="87"/>
      <c r="AB585" s="87"/>
      <c r="AC585" s="87"/>
      <c r="AD585" s="87"/>
      <c r="AE585" s="105"/>
      <c r="AF585" s="105"/>
      <c r="AG585" s="105"/>
      <c r="AH585" s="105"/>
      <c r="AI585" s="87"/>
      <c r="AJ585" s="87"/>
      <c r="AK585" s="105"/>
      <c r="AL585" s="87"/>
      <c r="AM585" s="105"/>
      <c r="AN585" s="105"/>
      <c r="AO585" s="87"/>
      <c r="AP585" s="87"/>
      <c r="AQ585" s="105"/>
      <c r="AR585" s="105"/>
      <c r="AS585" s="87"/>
      <c r="AT585" s="105"/>
      <c r="AU585" s="105"/>
      <c r="AV585" s="87"/>
      <c r="AW585" s="105"/>
      <c r="AX585" s="105"/>
      <c r="AY585" s="87"/>
      <c r="AZ585" s="105"/>
      <c r="BA585" s="105"/>
      <c r="BB585" s="105"/>
      <c r="BC585" s="87"/>
      <c r="BD585" s="87"/>
      <c r="BE585" s="105"/>
      <c r="BF585" s="105"/>
      <c r="BG585" s="105"/>
      <c r="BH585" s="105"/>
      <c r="BI585" s="105"/>
      <c r="BJ585" s="87"/>
      <c r="BK585" s="87"/>
      <c r="BL585" s="87"/>
      <c r="BM585" s="87"/>
      <c r="BN585" s="87"/>
      <c r="BO585" s="105"/>
      <c r="BP585" s="105"/>
      <c r="BQ585" s="105"/>
      <c r="BR585" s="105"/>
      <c r="BS585" s="105"/>
      <c r="BT585" s="87"/>
      <c r="BU585" s="87"/>
      <c r="BV585" s="87"/>
      <c r="BW585" s="87"/>
      <c r="BX585" s="87"/>
      <c r="BY585" s="87"/>
      <c r="BZ585" s="87"/>
      <c r="CA585" s="87"/>
      <c r="CB585" s="87"/>
      <c r="CC585" s="87"/>
      <c r="CD585" s="87"/>
      <c r="CE585" s="87"/>
      <c r="CF585" s="87"/>
      <c r="CG585" s="87"/>
      <c r="CH585" s="87"/>
      <c r="CI585" s="87"/>
      <c r="CJ585" s="87"/>
      <c r="CK585" s="87"/>
      <c r="CL585" s="87"/>
      <c r="CM585" s="87"/>
      <c r="CN585" s="87"/>
      <c r="CO585" s="87"/>
      <c r="CP585" s="87"/>
      <c r="CQ585" s="87"/>
      <c r="CR585" s="87"/>
      <c r="CS585" s="87"/>
      <c r="CT585" s="87"/>
      <c r="CU585" s="87">
        <f>-C585*3/7</f>
        <v>-8.5714285714285712</v>
      </c>
      <c r="CV585" s="87">
        <f>-CU585</f>
        <v>8.5714285714285712</v>
      </c>
      <c r="CW585" s="87"/>
      <c r="CX585" s="87"/>
      <c r="CY585" s="87"/>
      <c r="CZ585" s="87"/>
      <c r="DA585" s="87"/>
      <c r="DB585" s="87"/>
      <c r="DC585" s="87"/>
      <c r="DD585" s="87"/>
      <c r="DE585" s="87"/>
      <c r="DF585" s="87"/>
      <c r="DG585" s="87"/>
      <c r="DH585" s="87"/>
      <c r="DI585" s="87"/>
      <c r="DJ585" s="87"/>
      <c r="DK585" s="87"/>
      <c r="DL585" s="87"/>
      <c r="DM585" s="87"/>
      <c r="DN585" s="87"/>
      <c r="DO585" s="87"/>
      <c r="DP585" s="87"/>
      <c r="DQ585" s="87"/>
      <c r="DR585" s="87"/>
      <c r="DS585" s="87"/>
      <c r="DT585" s="87"/>
      <c r="DU585" s="87"/>
      <c r="DV585" s="87"/>
      <c r="DW585" s="87"/>
      <c r="DX585" s="87"/>
      <c r="DY585" s="87"/>
      <c r="DZ585" s="87"/>
      <c r="EA585" s="87"/>
      <c r="EB585" s="87"/>
      <c r="EC585" s="87"/>
      <c r="ED585" s="87"/>
      <c r="EE585" s="87"/>
      <c r="EF585" s="87"/>
      <c r="EG585" s="87"/>
      <c r="EH585" s="87"/>
      <c r="EI585" s="87"/>
    </row>
    <row r="586" spans="1:139" ht="43.5" hidden="1" thickBot="1" x14ac:dyDescent="0.35">
      <c r="A586" s="352" t="s">
        <v>231</v>
      </c>
      <c r="B586" s="223">
        <v>2</v>
      </c>
      <c r="C586" s="224">
        <f>70*0.25+(35*0.25)+(24*0.65)</f>
        <v>41.85</v>
      </c>
      <c r="D586" s="217">
        <f>C586/VLOOKUP(B586,'[2]Gas Prod per PADD'!$A$1:$C$6,2,FALSE)</f>
        <v>1.7437500000000002E-2</v>
      </c>
      <c r="E586" s="363">
        <v>45740</v>
      </c>
      <c r="F586" s="356">
        <v>45751</v>
      </c>
      <c r="G586" s="180" t="s">
        <v>996</v>
      </c>
      <c r="H586" s="221"/>
      <c r="I586" s="84"/>
      <c r="J586" s="85"/>
      <c r="K586" s="85"/>
      <c r="L586" s="85"/>
      <c r="M586" s="85"/>
      <c r="N586" s="85"/>
      <c r="O586" s="85"/>
      <c r="P586" s="85"/>
      <c r="Q586" s="85"/>
      <c r="R586" s="85">
        <f>C586*(E586-$R$1)/31</f>
        <v>-9.4499999999999993</v>
      </c>
      <c r="S586" s="85">
        <f>C586*($R$1+1-F586)/30</f>
        <v>-4.1850000000000005</v>
      </c>
      <c r="T586" s="85"/>
      <c r="U586" s="85"/>
      <c r="V586" s="84"/>
      <c r="W586" s="84"/>
      <c r="X586" s="84" t="str">
        <f>IF(COUNTA(Y586:EI586)=0,"Missing","OK")</f>
        <v>OK</v>
      </c>
      <c r="Y586" s="87"/>
      <c r="Z586" s="87"/>
      <c r="AA586" s="87"/>
      <c r="AB586" s="87"/>
      <c r="AC586" s="87"/>
      <c r="AD586" s="87"/>
      <c r="AE586" s="87"/>
      <c r="AF586" s="87"/>
      <c r="AG586" s="87"/>
      <c r="AH586" s="87"/>
      <c r="AI586" s="87"/>
      <c r="AJ586" s="87"/>
      <c r="AK586" s="87"/>
      <c r="AL586" s="87"/>
      <c r="AM586" s="87"/>
      <c r="AN586" s="87"/>
      <c r="AO586" s="87"/>
      <c r="AP586" s="87"/>
      <c r="AQ586" s="87"/>
      <c r="AR586" s="87"/>
      <c r="AS586" s="87"/>
      <c r="AT586" s="87"/>
      <c r="AU586" s="87"/>
      <c r="AV586" s="87"/>
      <c r="AW586" s="87"/>
      <c r="AX586" s="87"/>
      <c r="AY586" s="87"/>
      <c r="AZ586" s="87"/>
      <c r="BA586" s="87"/>
      <c r="BB586" s="87"/>
      <c r="BC586" s="87"/>
      <c r="BD586" s="87"/>
      <c r="BE586" s="87"/>
      <c r="BF586" s="87"/>
      <c r="BG586" s="87"/>
      <c r="BH586" s="87"/>
      <c r="BI586" s="87"/>
      <c r="BJ586" s="87"/>
      <c r="BK586" s="87"/>
      <c r="BL586" s="87"/>
      <c r="BM586" s="87"/>
      <c r="BN586" s="105"/>
      <c r="BO586" s="87"/>
      <c r="BP586" s="105"/>
      <c r="BQ586" s="105"/>
      <c r="BR586" s="87"/>
      <c r="BS586" s="87"/>
      <c r="BT586" s="87"/>
      <c r="BU586" s="87"/>
      <c r="BV586" s="87"/>
      <c r="BW586" s="87"/>
      <c r="BX586" s="87"/>
      <c r="BY586" s="87"/>
      <c r="BZ586" s="87"/>
      <c r="CA586" s="87"/>
      <c r="CB586" s="87"/>
      <c r="CC586" s="87"/>
      <c r="CD586" s="87"/>
      <c r="CE586" s="87"/>
      <c r="CF586" s="87"/>
      <c r="CG586" s="87"/>
      <c r="CH586" s="87"/>
      <c r="CI586" s="87"/>
      <c r="CJ586" s="87"/>
      <c r="CK586" s="87"/>
      <c r="CL586" s="87"/>
      <c r="CM586" s="87"/>
      <c r="CN586" s="87"/>
      <c r="CO586" s="87"/>
      <c r="CP586" s="87"/>
      <c r="CQ586" s="87"/>
      <c r="CR586" s="87"/>
      <c r="CS586" s="87"/>
      <c r="CT586" s="87">
        <f>-4/7*C586</f>
        <v>-23.914285714285715</v>
      </c>
      <c r="CU586" s="87">
        <f>-3/7*C586</f>
        <v>-17.935714285714287</v>
      </c>
      <c r="CV586" s="105">
        <f>C586</f>
        <v>41.85</v>
      </c>
      <c r="CW586" s="87"/>
      <c r="CX586" s="87"/>
      <c r="CY586" s="87"/>
      <c r="CZ586" s="87"/>
      <c r="DA586" s="87"/>
      <c r="DB586" s="87"/>
      <c r="DC586" s="87"/>
      <c r="DD586" s="87"/>
      <c r="DE586" s="87"/>
      <c r="DF586" s="87"/>
      <c r="DG586" s="87"/>
      <c r="DH586" s="87"/>
      <c r="DI586" s="87"/>
      <c r="DJ586" s="87"/>
      <c r="DK586" s="87"/>
      <c r="DL586" s="87"/>
      <c r="DM586" s="87"/>
      <c r="DN586" s="87"/>
      <c r="DO586" s="87"/>
      <c r="DP586" s="87"/>
      <c r="DQ586" s="87"/>
      <c r="DR586" s="87"/>
      <c r="DS586" s="87"/>
      <c r="DT586" s="87"/>
      <c r="DU586" s="87"/>
      <c r="DV586" s="87"/>
      <c r="DW586" s="87"/>
      <c r="DX586" s="87"/>
      <c r="DY586" s="87"/>
      <c r="DZ586" s="87"/>
      <c r="EA586" s="87"/>
      <c r="EB586" s="87"/>
      <c r="EC586" s="87"/>
      <c r="ED586" s="87"/>
      <c r="EE586" s="87"/>
      <c r="EF586" s="87"/>
      <c r="EG586" s="87"/>
      <c r="EH586" s="87"/>
      <c r="EI586" s="87"/>
    </row>
    <row r="587" spans="1:139" ht="16.5" hidden="1" thickBot="1" x14ac:dyDescent="0.35">
      <c r="A587" s="190" t="s">
        <v>149</v>
      </c>
      <c r="B587" s="176">
        <v>3</v>
      </c>
      <c r="C587" s="177">
        <f>30*0.25</f>
        <v>7.5</v>
      </c>
      <c r="D587" s="217">
        <f>C587/VLOOKUP(B587,'[2]Gas Prod per PADD'!$A$1:$C$6,2,FALSE)</f>
        <v>1.6304347826086956E-3</v>
      </c>
      <c r="E587" s="357">
        <v>45745</v>
      </c>
      <c r="F587" s="179">
        <v>45751</v>
      </c>
      <c r="G587" s="180" t="s">
        <v>802</v>
      </c>
      <c r="H587" s="181"/>
      <c r="I587" s="84"/>
      <c r="J587" s="85"/>
      <c r="K587" s="85"/>
      <c r="L587" s="85"/>
      <c r="M587" s="85"/>
      <c r="N587" s="85"/>
      <c r="O587" s="85"/>
      <c r="P587" s="85"/>
      <c r="Q587" s="85"/>
      <c r="R587" s="85">
        <f>C587*(E587-$R$1)/31</f>
        <v>-0.4838709677419355</v>
      </c>
      <c r="S587" s="85">
        <f>C587*($R$1+1-F587)/30</f>
        <v>-0.75</v>
      </c>
      <c r="T587" s="85"/>
      <c r="U587" s="85"/>
      <c r="V587" s="84"/>
      <c r="W587" s="84"/>
      <c r="X587" s="84"/>
      <c r="Y587" s="105"/>
      <c r="Z587" s="105"/>
      <c r="AA587" s="87"/>
      <c r="AB587" s="87"/>
      <c r="AC587" s="87"/>
      <c r="AD587" s="87"/>
      <c r="AE587" s="105"/>
      <c r="AF587" s="105"/>
      <c r="AG587" s="105"/>
      <c r="AH587" s="105"/>
      <c r="AI587" s="87"/>
      <c r="AJ587" s="87"/>
      <c r="AK587" s="105"/>
      <c r="AL587" s="87"/>
      <c r="AM587" s="105"/>
      <c r="AN587" s="105"/>
      <c r="AO587" s="87"/>
      <c r="AP587" s="87"/>
      <c r="AQ587" s="105"/>
      <c r="AR587" s="105"/>
      <c r="AS587" s="87"/>
      <c r="AT587" s="105"/>
      <c r="AU587" s="105"/>
      <c r="AV587" s="87"/>
      <c r="AW587" s="105"/>
      <c r="AX587" s="105"/>
      <c r="AY587" s="87"/>
      <c r="AZ587" s="105"/>
      <c r="BA587" s="105"/>
      <c r="BB587" s="105"/>
      <c r="BC587" s="87"/>
      <c r="BD587" s="87"/>
      <c r="BE587" s="105"/>
      <c r="BF587" s="105"/>
      <c r="BG587" s="105"/>
      <c r="BH587" s="105"/>
      <c r="BI587" s="105"/>
      <c r="BJ587" s="87"/>
      <c r="BK587" s="87"/>
      <c r="BL587" s="87"/>
      <c r="BM587" s="87"/>
      <c r="BN587" s="87"/>
      <c r="BO587" s="105"/>
      <c r="BP587" s="105"/>
      <c r="BQ587" s="105"/>
      <c r="BR587" s="87"/>
      <c r="BS587" s="87"/>
      <c r="BT587" s="87"/>
      <c r="BU587" s="87"/>
      <c r="BV587" s="87"/>
      <c r="BW587" s="87"/>
      <c r="BX587" s="87"/>
      <c r="BY587" s="87"/>
      <c r="BZ587" s="87"/>
      <c r="CA587" s="87"/>
      <c r="CB587" s="87"/>
      <c r="CC587" s="87"/>
      <c r="CD587" s="87"/>
      <c r="CE587" s="87"/>
      <c r="CF587" s="87"/>
      <c r="CG587" s="87"/>
      <c r="CH587" s="87"/>
      <c r="CI587" s="87"/>
      <c r="CJ587" s="87"/>
      <c r="CK587" s="87"/>
      <c r="CL587" s="87"/>
      <c r="CM587" s="87"/>
      <c r="CN587" s="87"/>
      <c r="CO587" s="87"/>
      <c r="CP587" s="87"/>
      <c r="CQ587" s="87"/>
      <c r="CR587" s="87"/>
      <c r="CS587" s="87"/>
      <c r="CT587" s="87"/>
      <c r="CU587" s="87">
        <f>-6/7*C587</f>
        <v>-6.4285714285714279</v>
      </c>
      <c r="CV587" s="87">
        <f>-CU587</f>
        <v>6.4285714285714279</v>
      </c>
      <c r="CW587" s="87"/>
      <c r="CX587" s="87"/>
      <c r="CY587" s="87"/>
      <c r="CZ587" s="87"/>
      <c r="DA587" s="87"/>
      <c r="DB587" s="87"/>
      <c r="DC587" s="87"/>
      <c r="DD587" s="87"/>
      <c r="DE587" s="87"/>
      <c r="DF587" s="87"/>
      <c r="DG587" s="87"/>
      <c r="DH587" s="87"/>
      <c r="DI587" s="87"/>
      <c r="DJ587" s="87"/>
      <c r="DK587" s="87"/>
      <c r="DL587" s="87"/>
      <c r="DM587" s="87"/>
      <c r="DN587" s="87"/>
      <c r="DO587" s="87"/>
      <c r="DP587" s="87"/>
      <c r="DQ587" s="87"/>
      <c r="DR587" s="87"/>
      <c r="DS587" s="87"/>
      <c r="DT587" s="87"/>
      <c r="DU587" s="87"/>
      <c r="DV587" s="87"/>
      <c r="DW587" s="87"/>
      <c r="DX587" s="87"/>
      <c r="DY587" s="87"/>
      <c r="DZ587" s="87"/>
      <c r="EA587" s="87"/>
      <c r="EB587" s="87"/>
      <c r="EC587" s="87"/>
      <c r="ED587" s="87"/>
      <c r="EE587" s="87"/>
      <c r="EF587" s="87"/>
      <c r="EG587" s="87"/>
      <c r="EH587" s="87"/>
      <c r="EI587" s="87"/>
    </row>
    <row r="588" spans="1:139" ht="16.5" hidden="1" thickBot="1" x14ac:dyDescent="0.35">
      <c r="A588" s="161" t="s">
        <v>212</v>
      </c>
      <c r="B588" s="199">
        <v>5</v>
      </c>
      <c r="C588" s="195">
        <f>(28*0.05)+17*0.85</f>
        <v>15.85</v>
      </c>
      <c r="D588" s="217">
        <f>C588/VLOOKUP(B588,'[2]Gas Prod per PADD'!$A$1:$C$6,2,FALSE)</f>
        <v>1.1740740740740741E-2</v>
      </c>
      <c r="E588" s="196">
        <v>45729</v>
      </c>
      <c r="F588" s="281">
        <v>45752</v>
      </c>
      <c r="G588" s="194" t="s">
        <v>997</v>
      </c>
      <c r="H588" s="230" t="s">
        <v>998</v>
      </c>
      <c r="I588" s="84"/>
      <c r="J588" s="85"/>
      <c r="K588" s="85"/>
      <c r="L588" s="85"/>
      <c r="M588" s="85"/>
      <c r="N588" s="85"/>
      <c r="O588" s="85"/>
      <c r="P588" s="85"/>
      <c r="Q588" s="85"/>
      <c r="R588" s="85">
        <f>C588*(E588-$R$1)/31</f>
        <v>-9.2032258064516128</v>
      </c>
      <c r="S588" s="85">
        <f>C588*($R$1+1-F588)/30</f>
        <v>-2.1133333333333333</v>
      </c>
      <c r="T588" s="85"/>
      <c r="U588" s="85"/>
      <c r="V588" s="84"/>
      <c r="W588" s="84"/>
      <c r="X588" s="84" t="str">
        <f t="shared" ref="X588:X600" si="26">IF(COUNTA(Y588:EI588)=0,"Missing","OK")</f>
        <v>OK</v>
      </c>
      <c r="Y588" s="87"/>
      <c r="Z588" s="87"/>
      <c r="AA588" s="87"/>
      <c r="AB588" s="87"/>
      <c r="AC588" s="87"/>
      <c r="AD588" s="87"/>
      <c r="AE588" s="87"/>
      <c r="AF588" s="87"/>
      <c r="AG588" s="87"/>
      <c r="AH588" s="87"/>
      <c r="AI588" s="87"/>
      <c r="AJ588" s="87"/>
      <c r="AK588" s="87"/>
      <c r="AL588" s="87"/>
      <c r="AM588" s="87"/>
      <c r="AN588" s="87"/>
      <c r="AO588" s="87"/>
      <c r="AP588" s="87"/>
      <c r="AQ588" s="87"/>
      <c r="AR588" s="87"/>
      <c r="AS588" s="87"/>
      <c r="AT588" s="87"/>
      <c r="AU588" s="87"/>
      <c r="AV588" s="87"/>
      <c r="AW588" s="87"/>
      <c r="AX588" s="87"/>
      <c r="AY588" s="87"/>
      <c r="AZ588" s="87"/>
      <c r="BA588" s="87"/>
      <c r="BB588" s="87"/>
      <c r="BC588" s="87"/>
      <c r="BD588" s="87"/>
      <c r="BE588" s="87"/>
      <c r="BF588" s="87"/>
      <c r="BG588" s="87"/>
      <c r="BH588" s="87"/>
      <c r="BI588" s="87"/>
      <c r="BJ588" s="87"/>
      <c r="BK588" s="87"/>
      <c r="BL588" s="87"/>
      <c r="BM588" s="87"/>
      <c r="BN588" s="87"/>
      <c r="BO588" s="87"/>
      <c r="BP588" s="87"/>
      <c r="BQ588" s="87"/>
      <c r="BR588" s="87"/>
      <c r="BS588" s="87"/>
      <c r="BT588" s="87"/>
      <c r="BU588" s="87"/>
      <c r="BV588" s="87"/>
      <c r="BW588" s="87"/>
      <c r="BX588" s="87"/>
      <c r="BY588" s="87"/>
      <c r="BZ588" s="87"/>
      <c r="CA588" s="87"/>
      <c r="CB588" s="87"/>
      <c r="CC588" s="87"/>
      <c r="CD588" s="87"/>
      <c r="CE588" s="87"/>
      <c r="CF588" s="87"/>
      <c r="CG588" s="87"/>
      <c r="CH588" s="87"/>
      <c r="CI588" s="87"/>
      <c r="CJ588" s="87"/>
      <c r="CK588" s="87"/>
      <c r="CL588" s="87"/>
      <c r="CM588" s="87"/>
      <c r="CN588" s="87"/>
      <c r="CO588" s="87"/>
      <c r="CP588" s="87"/>
      <c r="CQ588" s="87"/>
      <c r="CR588" s="278">
        <f>-1/7*C588</f>
        <v>-2.2642857142857142</v>
      </c>
      <c r="CS588" s="278">
        <f>-6/7*C588</f>
        <v>-13.585714285714285</v>
      </c>
      <c r="CT588" s="278"/>
      <c r="CU588" s="278"/>
      <c r="CV588" s="278">
        <f>C588</f>
        <v>15.85</v>
      </c>
      <c r="CW588" s="278"/>
      <c r="CX588" s="87"/>
      <c r="CY588" s="87"/>
      <c r="CZ588" s="87"/>
      <c r="DA588" s="87"/>
      <c r="DB588" s="105"/>
      <c r="DC588" s="87"/>
      <c r="DD588" s="87"/>
      <c r="DE588" s="105"/>
      <c r="DF588" s="87"/>
      <c r="DG588" s="87"/>
      <c r="DH588" s="87"/>
      <c r="DI588" s="87"/>
      <c r="DJ588" s="87"/>
      <c r="DK588" s="87"/>
      <c r="DL588" s="87"/>
      <c r="DM588" s="87"/>
      <c r="DN588" s="87"/>
      <c r="DO588" s="87"/>
      <c r="DP588" s="87"/>
      <c r="DQ588" s="87"/>
      <c r="DR588" s="87"/>
      <c r="DS588" s="87"/>
      <c r="DT588" s="87"/>
      <c r="DU588" s="87"/>
      <c r="DV588" s="87"/>
      <c r="DW588" s="87"/>
      <c r="DX588" s="87"/>
      <c r="DY588" s="87"/>
      <c r="DZ588" s="87"/>
      <c r="EA588" s="87"/>
      <c r="EB588" s="87"/>
      <c r="EC588" s="87"/>
      <c r="ED588" s="87"/>
      <c r="EE588" s="87"/>
      <c r="EF588" s="87"/>
      <c r="EG588" s="75">
        <v>46017</v>
      </c>
      <c r="EH588" s="75">
        <v>46024</v>
      </c>
      <c r="EI588" s="75">
        <v>46031</v>
      </c>
    </row>
    <row r="589" spans="1:139" ht="16.5" hidden="1" thickBot="1" x14ac:dyDescent="0.35">
      <c r="A589" s="161" t="s">
        <v>650</v>
      </c>
      <c r="B589" s="279">
        <v>2</v>
      </c>
      <c r="C589" s="224">
        <f>(0.25*28)+(147*0.25*0.2)</f>
        <v>14.350000000000001</v>
      </c>
      <c r="D589" s="217">
        <f>C589/VLOOKUP(B589,'[2]Gas Prod per PADD'!$A$1:$C$6,2,FALSE)</f>
        <v>5.9791666666666674E-3</v>
      </c>
      <c r="E589" s="196">
        <v>45747</v>
      </c>
      <c r="F589" s="281">
        <v>45752</v>
      </c>
      <c r="G589" s="274" t="s">
        <v>999</v>
      </c>
      <c r="H589" s="275" t="s">
        <v>364</v>
      </c>
      <c r="I589" s="84"/>
      <c r="J589" s="85"/>
      <c r="K589" s="85"/>
      <c r="L589" s="85"/>
      <c r="M589" s="85"/>
      <c r="N589" s="85"/>
      <c r="O589" s="85"/>
      <c r="P589" s="85"/>
      <c r="Q589" s="85"/>
      <c r="R589" s="85">
        <f>C589*(E589-$R$1)/31</f>
        <v>0</v>
      </c>
      <c r="S589" s="85">
        <f>C589*($R$1+1-F589)/30</f>
        <v>-1.9133333333333336</v>
      </c>
      <c r="T589" s="85"/>
      <c r="U589" s="85"/>
      <c r="V589" s="84"/>
      <c r="W589" s="84"/>
      <c r="X589" s="84" t="str">
        <f t="shared" si="26"/>
        <v>OK</v>
      </c>
      <c r="Y589" s="87"/>
      <c r="Z589" s="87"/>
      <c r="AA589" s="87"/>
      <c r="AB589" s="87"/>
      <c r="AC589" s="87"/>
      <c r="AD589" s="87"/>
      <c r="AE589" s="87"/>
      <c r="AF589" s="87"/>
      <c r="AG589" s="87"/>
      <c r="AH589" s="87"/>
      <c r="AI589" s="87"/>
      <c r="AJ589" s="87"/>
      <c r="AK589" s="87"/>
      <c r="AL589" s="87"/>
      <c r="AM589" s="87"/>
      <c r="AN589" s="87"/>
      <c r="AO589" s="87"/>
      <c r="AP589" s="87"/>
      <c r="AQ589" s="87"/>
      <c r="AR589" s="87"/>
      <c r="AS589" s="87"/>
      <c r="AT589" s="87"/>
      <c r="AU589" s="87"/>
      <c r="AV589" s="87"/>
      <c r="AW589" s="87"/>
      <c r="AX589" s="87"/>
      <c r="AY589" s="87"/>
      <c r="AZ589" s="87"/>
      <c r="BA589" s="87"/>
      <c r="BB589" s="87"/>
      <c r="BC589" s="87"/>
      <c r="BD589" s="87"/>
      <c r="BE589" s="87"/>
      <c r="BF589" s="87"/>
      <c r="BG589" s="87"/>
      <c r="BH589" s="87"/>
      <c r="BI589" s="87"/>
      <c r="BJ589" s="87"/>
      <c r="BK589" s="87"/>
      <c r="BL589" s="87"/>
      <c r="BM589" s="87"/>
      <c r="BN589" s="87"/>
      <c r="BO589" s="87"/>
      <c r="BP589" s="87"/>
      <c r="BQ589" s="87"/>
      <c r="BR589" s="87"/>
      <c r="BS589" s="87"/>
      <c r="BT589" s="87"/>
      <c r="BU589" s="87"/>
      <c r="BV589" s="87"/>
      <c r="BW589" s="87"/>
      <c r="BX589" s="87"/>
      <c r="BY589" s="105"/>
      <c r="BZ589" s="87"/>
      <c r="CA589" s="87"/>
      <c r="CB589" s="87"/>
      <c r="CC589" s="87"/>
      <c r="CD589" s="87"/>
      <c r="CE589" s="87"/>
      <c r="CF589" s="87"/>
      <c r="CG589" s="87"/>
      <c r="CH589" s="87"/>
      <c r="CI589" s="87"/>
      <c r="CJ589" s="87"/>
      <c r="CK589" s="87"/>
      <c r="CL589" s="87"/>
      <c r="CM589" s="87"/>
      <c r="CN589" s="87"/>
      <c r="CO589" s="87"/>
      <c r="CP589" s="87"/>
      <c r="CQ589" s="87"/>
      <c r="CR589" s="87"/>
      <c r="CS589" s="87"/>
      <c r="CT589" s="87"/>
      <c r="CU589" s="87">
        <f>-C589*4/7</f>
        <v>-8.2000000000000011</v>
      </c>
      <c r="CV589" s="87">
        <f>-CU589</f>
        <v>8.2000000000000011</v>
      </c>
      <c r="CW589" s="87"/>
      <c r="CX589" s="87"/>
      <c r="CY589" s="87"/>
      <c r="CZ589" s="87"/>
      <c r="DA589" s="87"/>
      <c r="DB589" s="87"/>
      <c r="DC589" s="87"/>
      <c r="DD589" s="87"/>
      <c r="DE589" s="87"/>
      <c r="DF589" s="87"/>
      <c r="DG589" s="87"/>
      <c r="DH589" s="87"/>
      <c r="DI589" s="87"/>
      <c r="DJ589" s="87"/>
      <c r="DK589" s="87"/>
      <c r="DL589" s="87"/>
      <c r="DM589" s="87"/>
      <c r="DN589" s="87"/>
      <c r="DO589" s="87"/>
      <c r="DP589" s="87"/>
      <c r="DQ589" s="87"/>
      <c r="DR589" s="87"/>
      <c r="DS589" s="87"/>
      <c r="DT589" s="87"/>
      <c r="DU589" s="87"/>
      <c r="DV589" s="87"/>
      <c r="DW589" s="87"/>
      <c r="DX589" s="87"/>
      <c r="DY589" s="87"/>
      <c r="DZ589" s="87"/>
      <c r="EA589" s="87"/>
      <c r="EB589" s="87"/>
      <c r="EC589" s="87"/>
      <c r="ED589" s="87"/>
      <c r="EE589" s="87"/>
      <c r="EF589" s="87"/>
      <c r="EG589" s="87"/>
      <c r="EH589" s="87"/>
      <c r="EI589" s="87"/>
    </row>
    <row r="590" spans="1:139" ht="16.5" hidden="1" thickBot="1" x14ac:dyDescent="0.35">
      <c r="A590" s="113" t="s">
        <v>317</v>
      </c>
      <c r="B590" s="199">
        <v>1</v>
      </c>
      <c r="C590" s="195">
        <f>0.65*25*0.25</f>
        <v>4.0625</v>
      </c>
      <c r="D590" s="217">
        <f>C590/VLOOKUP(B590,'[2]Gas Prod per PADD'!$A$1:$C$6,2,FALSE)</f>
        <v>8.4635416666666661E-3</v>
      </c>
      <c r="E590" s="288">
        <v>45750</v>
      </c>
      <c r="F590" s="235">
        <v>45752</v>
      </c>
      <c r="G590" s="194" t="s">
        <v>680</v>
      </c>
      <c r="H590" s="198" t="s">
        <v>1000</v>
      </c>
      <c r="I590" s="84" t="s">
        <v>1001</v>
      </c>
      <c r="J590" s="85"/>
      <c r="K590" s="85"/>
      <c r="L590" s="85"/>
      <c r="M590" s="85"/>
      <c r="N590" s="85"/>
      <c r="O590" s="85"/>
      <c r="P590" s="85"/>
      <c r="Q590" s="85"/>
      <c r="R590" s="85"/>
      <c r="S590" s="85">
        <f>C590*(E590-F590)/30</f>
        <v>-0.27083333333333331</v>
      </c>
      <c r="T590" s="85"/>
      <c r="U590" s="85"/>
      <c r="V590" s="84"/>
      <c r="W590" s="84"/>
      <c r="X590" s="84" t="str">
        <f t="shared" si="26"/>
        <v>OK</v>
      </c>
      <c r="Y590" s="87"/>
      <c r="Z590" s="87"/>
      <c r="AA590" s="87"/>
      <c r="AB590" s="87"/>
      <c r="AC590" s="87"/>
      <c r="AD590" s="87"/>
      <c r="AE590" s="87"/>
      <c r="AF590" s="87"/>
      <c r="AG590" s="87"/>
      <c r="AH590" s="87"/>
      <c r="AI590" s="87"/>
      <c r="AJ590" s="87"/>
      <c r="AK590" s="87"/>
      <c r="AL590" s="87"/>
      <c r="AM590" s="87"/>
      <c r="AN590" s="87"/>
      <c r="AO590" s="87"/>
      <c r="AP590" s="87"/>
      <c r="AQ590" s="87"/>
      <c r="AR590" s="87"/>
      <c r="AS590" s="87"/>
      <c r="AT590" s="87"/>
      <c r="AU590" s="87"/>
      <c r="AV590" s="87"/>
      <c r="AW590" s="87"/>
      <c r="AX590" s="87"/>
      <c r="AY590" s="87"/>
      <c r="AZ590" s="87"/>
      <c r="BA590" s="87"/>
      <c r="BB590" s="87"/>
      <c r="BC590" s="87"/>
      <c r="BD590" s="87"/>
      <c r="BE590" s="87"/>
      <c r="BF590" s="87"/>
      <c r="BG590" s="87"/>
      <c r="BH590" s="87"/>
      <c r="BI590" s="87"/>
      <c r="BJ590" s="87"/>
      <c r="BK590" s="87"/>
      <c r="BL590" s="87"/>
      <c r="BM590" s="87"/>
      <c r="BN590" s="87"/>
      <c r="BO590" s="87"/>
      <c r="BP590" s="87"/>
      <c r="BQ590" s="87"/>
      <c r="BR590" s="87"/>
      <c r="BS590" s="87"/>
      <c r="BT590" s="87"/>
      <c r="BU590" s="87"/>
      <c r="BV590" s="87"/>
      <c r="BW590" s="87"/>
      <c r="BX590" s="105"/>
      <c r="BY590" s="87"/>
      <c r="BZ590" s="87"/>
      <c r="CA590" s="105"/>
      <c r="CB590" s="87"/>
      <c r="CC590" s="87"/>
      <c r="CD590" s="87"/>
      <c r="CE590" s="87"/>
      <c r="CF590" s="87"/>
      <c r="CG590" s="87"/>
      <c r="CH590" s="87"/>
      <c r="CI590" s="87"/>
      <c r="CJ590" s="87"/>
      <c r="CK590" s="87"/>
      <c r="CL590" s="87"/>
      <c r="CM590" s="87"/>
      <c r="CN590" s="87"/>
      <c r="CO590" s="87"/>
      <c r="CP590" s="87"/>
      <c r="CQ590" s="87"/>
      <c r="CR590" s="87"/>
      <c r="CS590" s="87"/>
      <c r="CT590" s="87"/>
      <c r="CU590" s="87">
        <f>-2/7*C590</f>
        <v>-1.1607142857142856</v>
      </c>
      <c r="CV590" s="87">
        <f>-CU590</f>
        <v>1.1607142857142856</v>
      </c>
      <c r="CW590" s="87"/>
      <c r="CX590" s="87"/>
      <c r="CY590" s="87"/>
      <c r="CZ590" s="87"/>
      <c r="DA590" s="87"/>
      <c r="DB590" s="87"/>
      <c r="DC590" s="87"/>
      <c r="DD590" s="87"/>
      <c r="DE590" s="87"/>
      <c r="DF590" s="87"/>
      <c r="DG590" s="87"/>
      <c r="DH590" s="87"/>
      <c r="DI590" s="87"/>
      <c r="DJ590" s="87"/>
      <c r="DK590" s="87"/>
      <c r="DL590" s="87"/>
      <c r="DM590" s="87"/>
      <c r="DN590" s="87"/>
      <c r="DO590" s="87"/>
      <c r="DP590" s="87"/>
      <c r="DQ590" s="87"/>
      <c r="DR590" s="87"/>
      <c r="DS590" s="87"/>
      <c r="DT590" s="87"/>
      <c r="DU590" s="87"/>
      <c r="DV590" s="87"/>
      <c r="DW590" s="87"/>
      <c r="DX590" s="87"/>
      <c r="DY590" s="87"/>
      <c r="DZ590" s="87"/>
      <c r="EA590" s="87"/>
      <c r="EB590" s="87"/>
      <c r="EC590" s="87"/>
      <c r="ED590" s="87"/>
      <c r="EE590" s="87"/>
      <c r="EF590" s="87"/>
      <c r="EG590" s="87"/>
      <c r="EH590" s="87"/>
      <c r="EI590" s="87"/>
    </row>
    <row r="591" spans="1:139" ht="29.25" hidden="1" thickBot="1" x14ac:dyDescent="0.35">
      <c r="A591" s="175" t="s">
        <v>377</v>
      </c>
      <c r="B591" s="191">
        <v>5</v>
      </c>
      <c r="C591" s="177">
        <f>75*0.25+(6*0.85)</f>
        <v>23.85</v>
      </c>
      <c r="D591" s="234">
        <f>C591/VLOOKUP(B591,'[2]Gas Prod per PADD'!$A$1:$C$6,2,FALSE)</f>
        <v>1.7666666666666667E-2</v>
      </c>
      <c r="E591" s="364">
        <v>45739</v>
      </c>
      <c r="F591" s="179">
        <v>45754</v>
      </c>
      <c r="G591" s="180" t="s">
        <v>1002</v>
      </c>
      <c r="H591" s="198" t="s">
        <v>1003</v>
      </c>
      <c r="I591" s="305" t="s">
        <v>1004</v>
      </c>
      <c r="J591" s="306"/>
      <c r="K591" s="306"/>
      <c r="L591" s="306"/>
      <c r="M591" s="306"/>
      <c r="N591" s="306"/>
      <c r="O591" s="306"/>
      <c r="P591" s="306"/>
      <c r="Q591" s="306"/>
      <c r="R591" s="85">
        <f>C591*(E591-$R$1)/31</f>
        <v>-6.1548387096774198</v>
      </c>
      <c r="S591" s="85">
        <f>C591*($R$1+1-F591)/30</f>
        <v>-4.7700000000000005</v>
      </c>
      <c r="T591" s="85"/>
      <c r="U591" s="85"/>
      <c r="V591" s="84"/>
      <c r="W591" s="84"/>
      <c r="X591" s="84" t="str">
        <f t="shared" si="26"/>
        <v>OK</v>
      </c>
      <c r="Y591" s="105"/>
      <c r="Z591" s="105"/>
      <c r="AA591" s="87"/>
      <c r="AB591" s="87"/>
      <c r="AC591" s="87"/>
      <c r="AD591" s="87"/>
      <c r="AE591" s="105"/>
      <c r="AF591" s="105"/>
      <c r="AG591" s="105"/>
      <c r="AH591" s="105"/>
      <c r="AI591" s="87"/>
      <c r="AJ591" s="87"/>
      <c r="AK591" s="105"/>
      <c r="AL591" s="87"/>
      <c r="AM591" s="105"/>
      <c r="AN591" s="105"/>
      <c r="AO591" s="87"/>
      <c r="AP591" s="87"/>
      <c r="AQ591" s="105"/>
      <c r="AR591" s="105"/>
      <c r="AS591" s="87"/>
      <c r="AT591" s="105"/>
      <c r="AU591" s="105"/>
      <c r="AV591" s="87"/>
      <c r="AW591" s="105"/>
      <c r="AX591" s="105"/>
      <c r="AY591" s="87"/>
      <c r="AZ591" s="105"/>
      <c r="BA591" s="105"/>
      <c r="BB591" s="105"/>
      <c r="BC591" s="87"/>
      <c r="BD591" s="87"/>
      <c r="BE591" s="105"/>
      <c r="BF591" s="105"/>
      <c r="BG591" s="105"/>
      <c r="BH591" s="105"/>
      <c r="BI591" s="105"/>
      <c r="BJ591" s="87"/>
      <c r="BK591" s="87"/>
      <c r="BL591" s="87"/>
      <c r="BM591" s="87"/>
      <c r="BN591" s="87"/>
      <c r="BO591" s="87"/>
      <c r="BP591" s="87"/>
      <c r="BQ591" s="87"/>
      <c r="BR591" s="87"/>
      <c r="BS591" s="87"/>
      <c r="BT591" s="87"/>
      <c r="BU591" s="87"/>
      <c r="BV591" s="87"/>
      <c r="BW591" s="87"/>
      <c r="BX591" s="87"/>
      <c r="BY591" s="87"/>
      <c r="BZ591" s="87"/>
      <c r="CA591" s="87"/>
      <c r="CB591" s="87"/>
      <c r="CC591" s="87"/>
      <c r="CD591" s="87"/>
      <c r="CE591" s="87"/>
      <c r="CF591" s="87"/>
      <c r="CG591" s="87"/>
      <c r="CH591" s="87"/>
      <c r="CI591" s="87"/>
      <c r="CJ591" s="87"/>
      <c r="CK591" s="87"/>
      <c r="CL591" s="87"/>
      <c r="CM591" s="87"/>
      <c r="CN591" s="87"/>
      <c r="CO591" s="87"/>
      <c r="CP591" s="87"/>
      <c r="CQ591" s="87"/>
      <c r="CR591" s="87"/>
      <c r="CS591" s="87"/>
      <c r="CT591" s="87">
        <f>-5/7*C591</f>
        <v>-17.035714285714288</v>
      </c>
      <c r="CU591" s="105">
        <f>-2/7*C591</f>
        <v>-6.8142857142857141</v>
      </c>
      <c r="CV591" s="87">
        <f>C591*3/7</f>
        <v>10.221428571428573</v>
      </c>
      <c r="CW591" s="105">
        <f>C591*4/7</f>
        <v>13.62857142857143</v>
      </c>
      <c r="CX591" s="87"/>
      <c r="CY591" s="87"/>
      <c r="CZ591" s="87"/>
      <c r="DA591" s="87"/>
      <c r="DB591" s="87"/>
      <c r="DC591" s="87"/>
      <c r="DD591" s="87"/>
      <c r="DE591" s="87"/>
      <c r="DF591" s="87"/>
      <c r="DG591" s="87"/>
      <c r="DH591" s="87"/>
      <c r="DI591" s="87"/>
      <c r="DJ591" s="87"/>
      <c r="DK591" s="87"/>
      <c r="DL591" s="87"/>
      <c r="DM591" s="87"/>
      <c r="DN591" s="87"/>
      <c r="DO591" s="87"/>
      <c r="DP591" s="87"/>
      <c r="DQ591" s="87"/>
      <c r="DR591" s="87"/>
      <c r="DS591" s="87"/>
      <c r="DT591" s="87"/>
      <c r="DU591" s="87"/>
      <c r="DV591" s="87"/>
      <c r="DW591" s="87"/>
      <c r="DX591" s="87"/>
      <c r="DY591" s="87"/>
      <c r="DZ591" s="87"/>
      <c r="EA591" s="87"/>
      <c r="EB591" s="87"/>
      <c r="EC591" s="87"/>
      <c r="ED591" s="87"/>
      <c r="EE591" s="87"/>
      <c r="EF591" s="87"/>
      <c r="EG591" s="75">
        <v>46017</v>
      </c>
      <c r="EH591" s="75">
        <v>46024</v>
      </c>
      <c r="EI591" s="75">
        <v>46031</v>
      </c>
    </row>
    <row r="592" spans="1:139" ht="43.5" hidden="1" thickBot="1" x14ac:dyDescent="0.35">
      <c r="A592" s="352" t="s">
        <v>231</v>
      </c>
      <c r="B592" s="223">
        <v>2</v>
      </c>
      <c r="C592" s="224">
        <f>20*0.25+(35*0.25)+(24*0.65)</f>
        <v>29.35</v>
      </c>
      <c r="D592" s="217">
        <f>C592/VLOOKUP(B592,'[2]Gas Prod per PADD'!$A$1:$C$6,2,FALSE)</f>
        <v>1.2229166666666668E-2</v>
      </c>
      <c r="E592" s="363">
        <v>45751</v>
      </c>
      <c r="F592" s="356">
        <v>45754</v>
      </c>
      <c r="G592" s="180" t="s">
        <v>1005</v>
      </c>
      <c r="H592" s="221"/>
      <c r="I592" s="84"/>
      <c r="J592" s="85"/>
      <c r="K592" s="85"/>
      <c r="L592" s="85"/>
      <c r="M592" s="85"/>
      <c r="N592" s="85"/>
      <c r="O592" s="85"/>
      <c r="P592" s="85"/>
      <c r="Q592" s="85"/>
      <c r="R592" s="85"/>
      <c r="S592" s="85">
        <f>C592*(E592-F592)/30</f>
        <v>-2.9350000000000005</v>
      </c>
      <c r="T592" s="85"/>
      <c r="U592" s="85"/>
      <c r="V592" s="84"/>
      <c r="W592" s="84"/>
      <c r="X592" s="84" t="str">
        <f t="shared" si="26"/>
        <v>OK</v>
      </c>
      <c r="Y592" s="105"/>
      <c r="Z592" s="105"/>
      <c r="AA592" s="87"/>
      <c r="AB592" s="87"/>
      <c r="AC592" s="87"/>
      <c r="AD592" s="87"/>
      <c r="AE592" s="105"/>
      <c r="AF592" s="105"/>
      <c r="AG592" s="105"/>
      <c r="AH592" s="105"/>
      <c r="AI592" s="87"/>
      <c r="AJ592" s="87"/>
      <c r="AK592" s="87"/>
      <c r="AL592" s="87"/>
      <c r="AM592" s="87"/>
      <c r="AN592" s="87"/>
      <c r="AO592" s="87"/>
      <c r="AP592" s="87"/>
      <c r="AQ592" s="87"/>
      <c r="AR592" s="87"/>
      <c r="AS592" s="87"/>
      <c r="AT592" s="87"/>
      <c r="AU592" s="87"/>
      <c r="AV592" s="87"/>
      <c r="AW592" s="87"/>
      <c r="AX592" s="87"/>
      <c r="AY592" s="87"/>
      <c r="AZ592" s="87"/>
      <c r="BA592" s="87"/>
      <c r="BB592" s="87"/>
      <c r="BC592" s="87"/>
      <c r="BD592" s="87"/>
      <c r="BE592" s="87"/>
      <c r="BF592" s="87"/>
      <c r="BG592" s="87"/>
      <c r="BH592" s="87"/>
      <c r="BI592" s="87"/>
      <c r="BJ592" s="87"/>
      <c r="BK592" s="87"/>
      <c r="BL592" s="87"/>
      <c r="BM592" s="87"/>
      <c r="BN592" s="87"/>
      <c r="BO592" s="87"/>
      <c r="BP592" s="87"/>
      <c r="BQ592" s="87"/>
      <c r="BR592" s="87"/>
      <c r="BS592" s="87"/>
      <c r="BT592" s="87"/>
      <c r="BU592" s="87"/>
      <c r="BV592" s="87"/>
      <c r="BW592" s="87"/>
      <c r="BX592" s="87"/>
      <c r="BY592" s="87"/>
      <c r="BZ592" s="87"/>
      <c r="CA592" s="87"/>
      <c r="CB592" s="87"/>
      <c r="CC592" s="87"/>
      <c r="CD592" s="87"/>
      <c r="CE592" s="87"/>
      <c r="CF592" s="87"/>
      <c r="CG592" s="87"/>
      <c r="CH592" s="87"/>
      <c r="CI592" s="87"/>
      <c r="CJ592" s="87"/>
      <c r="CK592" s="87"/>
      <c r="CL592" s="105"/>
      <c r="CM592" s="105"/>
      <c r="CN592" s="105"/>
      <c r="CO592" s="105"/>
      <c r="CP592" s="105"/>
      <c r="CQ592" s="87"/>
      <c r="CR592" s="87"/>
      <c r="CS592" s="87"/>
      <c r="CT592" s="87"/>
      <c r="CU592" s="87"/>
      <c r="CV592" s="87">
        <f>-C592*3/7</f>
        <v>-12.578571428571431</v>
      </c>
      <c r="CW592" s="87">
        <f>-CV592</f>
        <v>12.578571428571431</v>
      </c>
      <c r="CX592" s="87"/>
      <c r="CY592" s="87"/>
      <c r="CZ592" s="87"/>
      <c r="DA592" s="87"/>
      <c r="DB592" s="87"/>
      <c r="DC592" s="87"/>
      <c r="DD592" s="87"/>
      <c r="DE592" s="87"/>
      <c r="DF592" s="87"/>
      <c r="DG592" s="87"/>
      <c r="DH592" s="87"/>
      <c r="DI592" s="87"/>
      <c r="DJ592" s="87"/>
      <c r="DK592" s="87"/>
      <c r="DL592" s="87"/>
      <c r="DM592" s="87"/>
      <c r="DN592" s="87"/>
      <c r="DO592" s="87"/>
      <c r="DP592" s="87"/>
      <c r="DQ592" s="87"/>
      <c r="DR592" s="87"/>
      <c r="DS592" s="87"/>
      <c r="DT592" s="87"/>
      <c r="DU592" s="87"/>
      <c r="DV592" s="105"/>
      <c r="DW592" s="87"/>
      <c r="DX592" s="87"/>
      <c r="DY592" s="105"/>
      <c r="DZ592" s="87"/>
      <c r="EA592" s="87"/>
      <c r="EB592" s="87"/>
      <c r="EC592" s="87"/>
      <c r="ED592" s="87"/>
      <c r="EE592" s="87"/>
      <c r="EF592" s="87"/>
      <c r="EG592" s="87"/>
      <c r="EH592" s="87"/>
      <c r="EI592" s="87"/>
    </row>
    <row r="593" spans="1:139" ht="29.25" hidden="1" thickBot="1" x14ac:dyDescent="0.35">
      <c r="A593" s="175" t="s">
        <v>256</v>
      </c>
      <c r="B593" s="176">
        <v>1</v>
      </c>
      <c r="C593" s="177">
        <f>(272*0.25)+(40*0.65)+(28*(0.85*0.3))</f>
        <v>101.14</v>
      </c>
      <c r="D593" s="217">
        <f>C593/VLOOKUP(B593,'[2]Gas Prod per PADD'!$A$1:$C$6,2,FALSE)</f>
        <v>0.21070833333333333</v>
      </c>
      <c r="E593" s="251">
        <v>45702</v>
      </c>
      <c r="F593" s="179">
        <v>45755</v>
      </c>
      <c r="G593" s="180" t="s">
        <v>1006</v>
      </c>
      <c r="H593" s="181" t="s">
        <v>1007</v>
      </c>
      <c r="I593" s="84" t="s">
        <v>1008</v>
      </c>
      <c r="J593" s="85"/>
      <c r="K593" s="85"/>
      <c r="L593" s="85"/>
      <c r="M593" s="85"/>
      <c r="N593" s="85"/>
      <c r="O593" s="85"/>
      <c r="P593" s="85"/>
      <c r="Q593" s="85">
        <f>C593*(E593-$Q$1)/28</f>
        <v>-50.57</v>
      </c>
      <c r="R593" s="85">
        <f>-C593</f>
        <v>-101.14</v>
      </c>
      <c r="S593" s="85">
        <f>C593*($R$1+1-F593)/30</f>
        <v>-23.599333333333334</v>
      </c>
      <c r="T593" s="85"/>
      <c r="U593" s="85"/>
      <c r="V593" s="84"/>
      <c r="W593" s="84"/>
      <c r="X593" s="84" t="str">
        <f t="shared" si="26"/>
        <v>OK</v>
      </c>
      <c r="Y593" s="105"/>
      <c r="Z593" s="105"/>
      <c r="AA593" s="87"/>
      <c r="AB593" s="87"/>
      <c r="AC593" s="87"/>
      <c r="AD593" s="87"/>
      <c r="AE593" s="105"/>
      <c r="AF593" s="105"/>
      <c r="AG593" s="105"/>
      <c r="AH593" s="105"/>
      <c r="AI593" s="87"/>
      <c r="AJ593" s="87"/>
      <c r="AK593" s="87"/>
      <c r="AL593" s="87"/>
      <c r="AM593" s="87"/>
      <c r="AN593" s="87"/>
      <c r="AO593" s="87"/>
      <c r="AP593" s="87"/>
      <c r="AQ593" s="87"/>
      <c r="AR593" s="87"/>
      <c r="AS593" s="87"/>
      <c r="AT593" s="87"/>
      <c r="AU593" s="87"/>
      <c r="AV593" s="87"/>
      <c r="AW593" s="87"/>
      <c r="AX593" s="87"/>
      <c r="AY593" s="87"/>
      <c r="AZ593" s="87"/>
      <c r="BA593" s="87"/>
      <c r="BB593" s="87"/>
      <c r="BC593" s="87"/>
      <c r="BD593" s="87"/>
      <c r="BE593" s="87"/>
      <c r="BF593" s="87"/>
      <c r="BG593" s="87"/>
      <c r="BH593" s="87"/>
      <c r="BI593" s="87"/>
      <c r="BJ593" s="87"/>
      <c r="BK593" s="87"/>
      <c r="BL593" s="87"/>
      <c r="BM593" s="87"/>
      <c r="BN593" s="87"/>
      <c r="BO593" s="87"/>
      <c r="BP593" s="87"/>
      <c r="BQ593" s="87"/>
      <c r="BR593" s="87"/>
      <c r="BS593" s="87"/>
      <c r="BT593" s="87"/>
      <c r="BU593" s="87"/>
      <c r="BV593" s="87"/>
      <c r="BW593" s="87"/>
      <c r="BX593" s="87"/>
      <c r="BY593" s="87"/>
      <c r="BZ593" s="87"/>
      <c r="CA593" s="87"/>
      <c r="CB593" s="87"/>
      <c r="CC593" s="87"/>
      <c r="CD593" s="87"/>
      <c r="CE593" s="87"/>
      <c r="CF593" s="87"/>
      <c r="CG593" s="87"/>
      <c r="CH593" s="87"/>
      <c r="CI593" s="87"/>
      <c r="CJ593" s="87"/>
      <c r="CK593" s="87"/>
      <c r="CL593" s="87"/>
      <c r="CM593" s="87"/>
      <c r="CN593" s="87">
        <f>-1/7*C593</f>
        <v>-14.448571428571428</v>
      </c>
      <c r="CO593" s="87">
        <f>-C593*6/7</f>
        <v>-86.691428571428574</v>
      </c>
      <c r="CP593" s="87"/>
      <c r="CQ593" s="87"/>
      <c r="CR593" s="87"/>
      <c r="CS593" s="87"/>
      <c r="CT593" s="87"/>
      <c r="CU593" s="87"/>
      <c r="CV593" s="87">
        <f>C593*4/7</f>
        <v>57.794285714285714</v>
      </c>
      <c r="CW593" s="87">
        <f>C593*3/7</f>
        <v>43.345714285714287</v>
      </c>
      <c r="CX593" s="87"/>
      <c r="CY593" s="87"/>
      <c r="CZ593" s="87"/>
      <c r="DA593" s="87"/>
      <c r="DB593" s="87"/>
      <c r="DC593" s="87"/>
      <c r="DD593" s="87"/>
      <c r="DE593" s="87"/>
      <c r="DF593" s="87"/>
      <c r="DG593" s="87"/>
      <c r="DH593" s="87"/>
      <c r="DI593" s="87"/>
      <c r="DJ593" s="87"/>
      <c r="DK593" s="87"/>
      <c r="DL593" s="87"/>
      <c r="DM593" s="87"/>
      <c r="DN593" s="87"/>
      <c r="DO593" s="87"/>
      <c r="DP593" s="87"/>
      <c r="DQ593" s="87"/>
      <c r="DR593" s="87"/>
      <c r="DS593" s="87"/>
      <c r="DT593" s="87"/>
      <c r="DU593" s="87"/>
      <c r="DV593" s="87"/>
      <c r="DW593" s="87"/>
      <c r="DX593" s="87"/>
      <c r="DY593" s="87"/>
      <c r="DZ593" s="87"/>
      <c r="EA593" s="87"/>
      <c r="EB593" s="87"/>
      <c r="EC593" s="87"/>
      <c r="ED593" s="87"/>
      <c r="EE593" s="87"/>
      <c r="EF593" s="87"/>
      <c r="EG593" s="87"/>
      <c r="EH593" s="87"/>
      <c r="EI593" s="87"/>
    </row>
    <row r="594" spans="1:139" ht="16.5" hidden="1" thickBot="1" x14ac:dyDescent="0.35">
      <c r="A594" s="218" t="s">
        <v>386</v>
      </c>
      <c r="B594" s="194">
        <v>4</v>
      </c>
      <c r="C594" s="224">
        <f>(13*0.65*0.1)</f>
        <v>0.8450000000000002</v>
      </c>
      <c r="D594" s="234">
        <f>C594/VLOOKUP(B594,'[2]Gas Prod per PADD'!$A$1:$C$6,2,FALSE)</f>
        <v>2.4852941176470595E-3</v>
      </c>
      <c r="E594" s="231">
        <v>45750</v>
      </c>
      <c r="F594" s="197">
        <v>45755</v>
      </c>
      <c r="G594" s="194" t="s">
        <v>1009</v>
      </c>
      <c r="H594" s="198"/>
      <c r="I594" s="84"/>
      <c r="J594" s="85"/>
      <c r="K594" s="85"/>
      <c r="L594" s="85"/>
      <c r="M594" s="85"/>
      <c r="N594" s="85"/>
      <c r="O594" s="85"/>
      <c r="P594" s="85"/>
      <c r="Q594" s="85"/>
      <c r="R594" s="85"/>
      <c r="S594" s="85">
        <f>C594*(E594-F594)/30</f>
        <v>-0.14083333333333339</v>
      </c>
      <c r="T594" s="85"/>
      <c r="U594" s="85"/>
      <c r="V594" s="84"/>
      <c r="W594" s="84"/>
      <c r="X594" s="84" t="str">
        <f t="shared" si="26"/>
        <v>OK</v>
      </c>
      <c r="Y594" s="105"/>
      <c r="Z594" s="105"/>
      <c r="AA594" s="87"/>
      <c r="AB594" s="87"/>
      <c r="AC594" s="87"/>
      <c r="AD594" s="87"/>
      <c r="AE594" s="105"/>
      <c r="AF594" s="105"/>
      <c r="AG594" s="105"/>
      <c r="AH594" s="105"/>
      <c r="AI594" s="87"/>
      <c r="AJ594" s="87"/>
      <c r="AK594" s="105"/>
      <c r="AL594" s="87"/>
      <c r="AM594" s="105"/>
      <c r="AN594" s="105"/>
      <c r="AO594" s="87"/>
      <c r="AP594" s="87"/>
      <c r="AQ594" s="105"/>
      <c r="AR594" s="105"/>
      <c r="AS594" s="87"/>
      <c r="AT594" s="105"/>
      <c r="AU594" s="105"/>
      <c r="AV594" s="87"/>
      <c r="AW594" s="105"/>
      <c r="AX594" s="105"/>
      <c r="AY594" s="87"/>
      <c r="AZ594" s="105"/>
      <c r="BA594" s="105"/>
      <c r="BB594" s="105"/>
      <c r="BC594" s="87"/>
      <c r="BD594" s="87"/>
      <c r="BE594" s="105"/>
      <c r="BF594" s="105"/>
      <c r="BG594" s="105"/>
      <c r="BH594" s="105"/>
      <c r="BI594" s="105"/>
      <c r="BJ594" s="87"/>
      <c r="BK594" s="87"/>
      <c r="BL594" s="87"/>
      <c r="BM594" s="87"/>
      <c r="BN594" s="87"/>
      <c r="BO594" s="87"/>
      <c r="BP594" s="87"/>
      <c r="BQ594" s="87"/>
      <c r="BR594" s="87"/>
      <c r="BS594" s="87"/>
      <c r="BT594" s="87"/>
      <c r="BU594" s="87"/>
      <c r="BV594" s="87"/>
      <c r="BW594" s="87"/>
      <c r="BX594" s="87"/>
      <c r="BY594" s="87"/>
      <c r="BZ594" s="87"/>
      <c r="CA594" s="87"/>
      <c r="CB594" s="87"/>
      <c r="CC594" s="87"/>
      <c r="CD594" s="87"/>
      <c r="CE594" s="87"/>
      <c r="CF594" s="87"/>
      <c r="CG594" s="87"/>
      <c r="CH594" s="87"/>
      <c r="CI594" s="87"/>
      <c r="CJ594" s="87"/>
      <c r="CK594" s="87"/>
      <c r="CL594" s="87"/>
      <c r="CM594" s="87"/>
      <c r="CN594" s="87"/>
      <c r="CO594" s="87"/>
      <c r="CP594" s="87"/>
      <c r="CQ594" s="87"/>
      <c r="CR594" s="87"/>
      <c r="CS594" s="87"/>
      <c r="CT594" s="87"/>
      <c r="CU594" s="87">
        <f>-C594*2/7</f>
        <v>-0.24142857142857149</v>
      </c>
      <c r="CV594" s="87">
        <f>-C594*4/7</f>
        <v>-0.48285714285714298</v>
      </c>
      <c r="CW594" s="105">
        <f>C594</f>
        <v>0.8450000000000002</v>
      </c>
      <c r="CX594" s="87"/>
      <c r="CY594" s="87"/>
      <c r="CZ594" s="87"/>
      <c r="DA594" s="87"/>
      <c r="DB594" s="87"/>
      <c r="DC594" s="87"/>
      <c r="DD594" s="87"/>
      <c r="DE594" s="87"/>
      <c r="DF594" s="87"/>
      <c r="DG594" s="87"/>
      <c r="DH594" s="87"/>
      <c r="DI594" s="87"/>
      <c r="DJ594" s="87"/>
      <c r="DK594" s="87"/>
      <c r="DL594" s="87"/>
      <c r="DM594" s="87"/>
      <c r="DN594" s="87"/>
      <c r="DO594" s="87"/>
      <c r="DP594" s="87"/>
      <c r="DQ594" s="87"/>
      <c r="DR594" s="87"/>
      <c r="DS594" s="87"/>
      <c r="DT594" s="87"/>
      <c r="DU594" s="87"/>
      <c r="DV594" s="87"/>
      <c r="DW594" s="87"/>
      <c r="DX594" s="87"/>
      <c r="DY594" s="87"/>
      <c r="DZ594" s="87"/>
      <c r="EA594" s="87"/>
      <c r="EB594" s="87"/>
      <c r="EC594" s="105"/>
      <c r="ED594" s="87"/>
      <c r="EE594" s="87"/>
      <c r="EF594" s="87"/>
      <c r="EG594" s="87"/>
      <c r="EH594" s="87"/>
      <c r="EI594" s="87"/>
    </row>
    <row r="595" spans="1:139" ht="31.5" hidden="1" thickBot="1" x14ac:dyDescent="0.35">
      <c r="A595" s="242" t="s">
        <v>519</v>
      </c>
      <c r="B595" s="194">
        <v>2</v>
      </c>
      <c r="C595" s="195">
        <f>16.5*0.25</f>
        <v>4.125</v>
      </c>
      <c r="D595" s="217">
        <v>2.9999999999999996E-3</v>
      </c>
      <c r="E595" s="287">
        <v>45747</v>
      </c>
      <c r="F595" s="281">
        <v>45756</v>
      </c>
      <c r="G595" s="194" t="s">
        <v>1010</v>
      </c>
      <c r="H595" s="198" t="s">
        <v>1011</v>
      </c>
      <c r="I595" s="365" t="s">
        <v>1012</v>
      </c>
      <c r="J595" s="366"/>
      <c r="K595" s="366"/>
      <c r="L595" s="366"/>
      <c r="M595" s="366"/>
      <c r="N595" s="366"/>
      <c r="O595" s="366"/>
      <c r="P595" s="366"/>
      <c r="Q595" s="366"/>
      <c r="R595" s="85">
        <f>C595*(E595-$R$1)/31</f>
        <v>0</v>
      </c>
      <c r="S595" s="85">
        <f>C595*($R$1+1-F595)/30</f>
        <v>-1.1000000000000001</v>
      </c>
      <c r="T595" s="85"/>
      <c r="U595" s="85"/>
      <c r="V595" s="84"/>
      <c r="W595" s="84"/>
      <c r="X595" s="84" t="str">
        <f t="shared" si="26"/>
        <v>OK</v>
      </c>
      <c r="Y595" s="87"/>
      <c r="Z595" s="87"/>
      <c r="AA595" s="87"/>
      <c r="AB595" s="87"/>
      <c r="AC595" s="87"/>
      <c r="AD595" s="87"/>
      <c r="AE595" s="87"/>
      <c r="AF595" s="87"/>
      <c r="AG595" s="87"/>
      <c r="AH595" s="87"/>
      <c r="AI595" s="87"/>
      <c r="AJ595" s="87"/>
      <c r="AK595" s="87"/>
      <c r="AL595" s="87"/>
      <c r="AM595" s="87"/>
      <c r="AN595" s="87"/>
      <c r="AO595" s="87"/>
      <c r="AP595" s="87"/>
      <c r="AQ595" s="87"/>
      <c r="AR595" s="87"/>
      <c r="AS595" s="87"/>
      <c r="AT595" s="87"/>
      <c r="AU595" s="87"/>
      <c r="AV595" s="87"/>
      <c r="AW595" s="87"/>
      <c r="AX595" s="87"/>
      <c r="AY595" s="87"/>
      <c r="AZ595" s="87"/>
      <c r="BA595" s="87"/>
      <c r="BB595" s="87"/>
      <c r="BC595" s="87"/>
      <c r="BD595" s="87"/>
      <c r="BE595" s="87"/>
      <c r="BF595" s="87"/>
      <c r="BG595" s="87"/>
      <c r="BH595" s="87"/>
      <c r="BI595" s="87"/>
      <c r="BJ595" s="87"/>
      <c r="BK595" s="87"/>
      <c r="BL595" s="87"/>
      <c r="BM595" s="87"/>
      <c r="BN595" s="87"/>
      <c r="BO595" s="87"/>
      <c r="BP595" s="87"/>
      <c r="BQ595" s="87"/>
      <c r="BR595" s="87"/>
      <c r="BS595" s="87"/>
      <c r="BT595" s="87"/>
      <c r="BU595" s="87"/>
      <c r="BV595" s="87"/>
      <c r="BW595" s="87"/>
      <c r="BX595" s="87"/>
      <c r="BY595" s="87"/>
      <c r="BZ595" s="87"/>
      <c r="CA595" s="87"/>
      <c r="CB595" s="87"/>
      <c r="CC595" s="87"/>
      <c r="CD595" s="87"/>
      <c r="CE595" s="87"/>
      <c r="CF595" s="87"/>
      <c r="CG595" s="87"/>
      <c r="CH595" s="87"/>
      <c r="CI595" s="87"/>
      <c r="CJ595" s="87"/>
      <c r="CK595" s="87"/>
      <c r="CL595" s="87"/>
      <c r="CM595" s="87"/>
      <c r="CN595" s="87"/>
      <c r="CO595" s="87"/>
      <c r="CP595" s="87"/>
      <c r="CQ595" s="87"/>
      <c r="CR595" s="87"/>
      <c r="CS595" s="87"/>
      <c r="CT595" s="87"/>
      <c r="CU595" s="87">
        <f>-C595</f>
        <v>-4.125</v>
      </c>
      <c r="CV595" s="87">
        <f>-CU595*5/7</f>
        <v>2.9464285714285716</v>
      </c>
      <c r="CW595" s="87">
        <f>-CU595*2/7</f>
        <v>1.1785714285714286</v>
      </c>
      <c r="CX595" s="87"/>
      <c r="CY595" s="87"/>
      <c r="CZ595" s="87"/>
      <c r="DA595" s="87"/>
      <c r="DB595" s="87"/>
      <c r="DC595" s="87"/>
      <c r="DD595" s="87"/>
      <c r="DE595" s="87"/>
      <c r="DF595" s="87"/>
      <c r="DG595" s="87"/>
      <c r="DH595" s="87"/>
      <c r="DI595" s="87"/>
      <c r="DJ595" s="87"/>
      <c r="DK595" s="87"/>
      <c r="DL595" s="87"/>
      <c r="DM595" s="87"/>
      <c r="DN595" s="87"/>
      <c r="DO595" s="87"/>
      <c r="DP595" s="87"/>
      <c r="DQ595" s="87"/>
      <c r="DR595" s="87"/>
      <c r="DS595" s="87"/>
      <c r="DT595" s="87"/>
      <c r="DU595" s="87"/>
      <c r="DV595" s="87"/>
      <c r="DW595" s="87"/>
      <c r="DX595" s="87"/>
      <c r="DY595" s="87"/>
      <c r="DZ595" s="87"/>
      <c r="EA595" s="87"/>
      <c r="EB595" s="87"/>
      <c r="EC595" s="87"/>
      <c r="ED595" s="87"/>
      <c r="EE595" s="87"/>
      <c r="EF595" s="87"/>
      <c r="EG595" s="87"/>
      <c r="EH595" s="87"/>
      <c r="EI595" s="87"/>
    </row>
    <row r="596" spans="1:139" ht="16.5" hidden="1" thickBot="1" x14ac:dyDescent="0.35">
      <c r="A596" s="358" t="s">
        <v>519</v>
      </c>
      <c r="B596" s="194">
        <v>2</v>
      </c>
      <c r="C596" s="195">
        <f>(190*0.175)+(14*0.85)</f>
        <v>45.15</v>
      </c>
      <c r="D596" s="234">
        <f>C596/VLOOKUP(B596,'[2]Gas Prod per PADD'!$A$1:$C$6,2,FALSE)</f>
        <v>1.8812499999999999E-2</v>
      </c>
      <c r="E596" s="196">
        <v>45753</v>
      </c>
      <c r="F596" s="359">
        <v>45756</v>
      </c>
      <c r="G596" s="194" t="s">
        <v>1013</v>
      </c>
      <c r="H596" s="198" t="s">
        <v>1014</v>
      </c>
      <c r="I596" s="84"/>
      <c r="J596" s="85"/>
      <c r="K596" s="85"/>
      <c r="L596" s="85"/>
      <c r="M596" s="85"/>
      <c r="N596" s="85"/>
      <c r="O596" s="85"/>
      <c r="P596" s="85"/>
      <c r="Q596" s="85"/>
      <c r="R596" s="85"/>
      <c r="S596" s="85">
        <f>C596*(E596-F596)/30</f>
        <v>-4.5149999999999997</v>
      </c>
      <c r="T596" s="85"/>
      <c r="U596" s="85"/>
      <c r="V596" s="84"/>
      <c r="W596" s="84"/>
      <c r="X596" s="84" t="str">
        <f t="shared" si="26"/>
        <v>OK</v>
      </c>
      <c r="Y596" s="87"/>
      <c r="Z596" s="87"/>
      <c r="AA596" s="87"/>
      <c r="AB596" s="87"/>
      <c r="AC596" s="87"/>
      <c r="AD596" s="87"/>
      <c r="AE596" s="87"/>
      <c r="AF596" s="87"/>
      <c r="AG596" s="87"/>
      <c r="AH596" s="87"/>
      <c r="AI596" s="87"/>
      <c r="AJ596" s="87"/>
      <c r="AK596" s="87"/>
      <c r="AL596" s="87"/>
      <c r="AM596" s="87"/>
      <c r="AN596" s="87"/>
      <c r="AO596" s="87"/>
      <c r="AP596" s="87"/>
      <c r="AQ596" s="87"/>
      <c r="AR596" s="87"/>
      <c r="AS596" s="87"/>
      <c r="AT596" s="87"/>
      <c r="AU596" s="87"/>
      <c r="AV596" s="87"/>
      <c r="AW596" s="87"/>
      <c r="AX596" s="87"/>
      <c r="AY596" s="87"/>
      <c r="AZ596" s="87"/>
      <c r="BA596" s="87"/>
      <c r="BB596" s="87"/>
      <c r="BC596" s="87"/>
      <c r="BD596" s="87"/>
      <c r="BE596" s="87"/>
      <c r="BF596" s="87"/>
      <c r="BG596" s="87"/>
      <c r="BH596" s="87"/>
      <c r="BI596" s="87"/>
      <c r="BJ596" s="87"/>
      <c r="BK596" s="87"/>
      <c r="BL596" s="87"/>
      <c r="BM596" s="87"/>
      <c r="BN596" s="87"/>
      <c r="BO596" s="87"/>
      <c r="BP596" s="87"/>
      <c r="BQ596" s="87"/>
      <c r="BR596" s="87"/>
      <c r="BS596" s="87"/>
      <c r="BT596" s="87"/>
      <c r="BU596" s="87"/>
      <c r="BV596" s="87"/>
      <c r="BW596" s="87"/>
      <c r="BX596" s="87"/>
      <c r="BY596" s="87"/>
      <c r="BZ596" s="87"/>
      <c r="CA596" s="87"/>
      <c r="CB596" s="87"/>
      <c r="CC596" s="87"/>
      <c r="CD596" s="87"/>
      <c r="CE596" s="87"/>
      <c r="CF596" s="87"/>
      <c r="CG596" s="87"/>
      <c r="CH596" s="87"/>
      <c r="CI596" s="87"/>
      <c r="CJ596" s="87"/>
      <c r="CK596" s="87"/>
      <c r="CL596" s="87"/>
      <c r="CM596" s="87"/>
      <c r="CN596" s="87"/>
      <c r="CO596" s="87"/>
      <c r="CP596" s="87"/>
      <c r="CQ596" s="87"/>
      <c r="CR596" s="87"/>
      <c r="CS596" s="87"/>
      <c r="CT596" s="87"/>
      <c r="CU596" s="87"/>
      <c r="CV596" s="87">
        <f>-C596*2/7</f>
        <v>-12.9</v>
      </c>
      <c r="CW596" s="87">
        <f>-CV596</f>
        <v>12.9</v>
      </c>
      <c r="CX596" s="87"/>
      <c r="CY596" s="87"/>
      <c r="CZ596" s="87"/>
      <c r="DA596" s="87"/>
      <c r="DB596" s="87"/>
      <c r="DC596" s="87"/>
      <c r="DD596" s="87"/>
      <c r="DE596" s="87"/>
      <c r="DF596" s="87"/>
      <c r="DG596" s="87"/>
      <c r="DH596" s="87"/>
      <c r="DI596" s="87"/>
      <c r="DJ596" s="87"/>
      <c r="DK596" s="87"/>
      <c r="DL596" s="87"/>
      <c r="DM596" s="87"/>
      <c r="DN596" s="87"/>
      <c r="DO596" s="87"/>
      <c r="DP596" s="87"/>
      <c r="DQ596" s="87"/>
      <c r="DR596" s="87"/>
      <c r="DS596" s="87"/>
      <c r="DT596" s="87"/>
      <c r="DU596" s="87"/>
      <c r="DV596" s="87"/>
      <c r="DW596" s="87"/>
      <c r="DX596" s="87"/>
      <c r="DY596" s="87"/>
      <c r="DZ596" s="87"/>
      <c r="EA596" s="87"/>
      <c r="EB596" s="87"/>
      <c r="EC596" s="87"/>
      <c r="ED596" s="87"/>
      <c r="EE596" s="87"/>
      <c r="EF596" s="87"/>
      <c r="EG596" s="87"/>
      <c r="EH596" s="87"/>
      <c r="EI596" s="87"/>
    </row>
    <row r="597" spans="1:139" ht="16.5" hidden="1" thickBot="1" x14ac:dyDescent="0.35">
      <c r="A597" s="161" t="s">
        <v>467</v>
      </c>
      <c r="B597" s="199">
        <v>2</v>
      </c>
      <c r="C597" s="195">
        <f>(0.25*20.5)*0.25</f>
        <v>1.28125</v>
      </c>
      <c r="D597" s="217">
        <f>C597/VLOOKUP(B597,'[2]Gas Prod per PADD'!$A$1:$C$6,2,FALSE)</f>
        <v>5.3385416666666663E-4</v>
      </c>
      <c r="E597" s="346">
        <v>45754</v>
      </c>
      <c r="F597" s="235">
        <v>45756</v>
      </c>
      <c r="G597" s="180" t="s">
        <v>663</v>
      </c>
      <c r="H597" s="221" t="s">
        <v>1015</v>
      </c>
      <c r="I597" s="84"/>
      <c r="J597" s="85"/>
      <c r="K597" s="85"/>
      <c r="L597" s="85"/>
      <c r="M597" s="85"/>
      <c r="N597" s="85"/>
      <c r="O597" s="85"/>
      <c r="P597" s="85"/>
      <c r="Q597" s="85"/>
      <c r="R597" s="85"/>
      <c r="S597" s="85">
        <f>C597*(E597-F597)/30</f>
        <v>-8.5416666666666669E-2</v>
      </c>
      <c r="T597" s="85"/>
      <c r="U597" s="85"/>
      <c r="V597" s="84"/>
      <c r="W597" s="84"/>
      <c r="X597" s="84" t="str">
        <f t="shared" si="26"/>
        <v>OK</v>
      </c>
      <c r="Y597" s="105"/>
      <c r="Z597" s="105"/>
      <c r="AA597" s="87"/>
      <c r="AB597" s="87"/>
      <c r="AC597" s="87"/>
      <c r="AD597" s="87"/>
      <c r="AE597" s="105"/>
      <c r="AF597" s="105"/>
      <c r="AG597" s="105"/>
      <c r="AH597" s="105"/>
      <c r="AI597" s="87"/>
      <c r="AJ597" s="87"/>
      <c r="AK597" s="105"/>
      <c r="AL597" s="87"/>
      <c r="AM597" s="105"/>
      <c r="AN597" s="105"/>
      <c r="AO597" s="87"/>
      <c r="AP597" s="87"/>
      <c r="AQ597" s="105"/>
      <c r="AR597" s="105"/>
      <c r="AS597" s="87"/>
      <c r="AT597" s="105"/>
      <c r="AU597" s="87"/>
      <c r="AV597" s="87"/>
      <c r="AW597" s="105"/>
      <c r="AX597" s="105"/>
      <c r="AY597" s="105"/>
      <c r="AZ597" s="105"/>
      <c r="BA597" s="105"/>
      <c r="BB597" s="105"/>
      <c r="BC597" s="105"/>
      <c r="BD597" s="87"/>
      <c r="BE597" s="87"/>
      <c r="BF597" s="87"/>
      <c r="BG597" s="87"/>
      <c r="BH597" s="87"/>
      <c r="BI597" s="87"/>
      <c r="BJ597" s="87"/>
      <c r="BK597" s="87"/>
      <c r="BL597" s="87"/>
      <c r="BM597" s="87"/>
      <c r="BN597" s="87"/>
      <c r="BO597" s="87"/>
      <c r="BP597" s="87"/>
      <c r="BQ597" s="87"/>
      <c r="BR597" s="87"/>
      <c r="BS597" s="87"/>
      <c r="BT597" s="87"/>
      <c r="BU597" s="87"/>
      <c r="BV597" s="87"/>
      <c r="BW597" s="87"/>
      <c r="BX597" s="87"/>
      <c r="BY597" s="105"/>
      <c r="BZ597" s="87"/>
      <c r="CA597" s="87"/>
      <c r="CB597" s="87"/>
      <c r="CC597" s="87"/>
      <c r="CD597" s="87"/>
      <c r="CE597" s="87"/>
      <c r="CF597" s="87"/>
      <c r="CG597" s="87"/>
      <c r="CH597" s="87"/>
      <c r="CI597" s="87"/>
      <c r="CJ597" s="87"/>
      <c r="CK597" s="87"/>
      <c r="CL597" s="87"/>
      <c r="CM597" s="87"/>
      <c r="CN597" s="87"/>
      <c r="CO597" s="87"/>
      <c r="CP597" s="87"/>
      <c r="CQ597" s="87"/>
      <c r="CR597" s="87"/>
      <c r="CS597" s="87"/>
      <c r="CT597" s="87"/>
      <c r="CU597" s="87"/>
      <c r="CV597" s="278">
        <f>-C597*2/8</f>
        <v>-0.3203125</v>
      </c>
      <c r="CW597" s="278">
        <f>-CV597</f>
        <v>0.3203125</v>
      </c>
      <c r="CX597" s="87"/>
      <c r="CY597" s="87"/>
      <c r="CZ597" s="87"/>
      <c r="DA597" s="87"/>
      <c r="DB597" s="87"/>
      <c r="DC597" s="87"/>
      <c r="DD597" s="87"/>
      <c r="DE597" s="87"/>
      <c r="DF597" s="87"/>
      <c r="DG597" s="87"/>
      <c r="DH597" s="87"/>
      <c r="DI597" s="87"/>
      <c r="DJ597" s="87"/>
      <c r="DK597" s="87"/>
      <c r="DL597" s="87"/>
      <c r="DM597" s="87"/>
      <c r="DN597" s="87"/>
      <c r="DO597" s="87"/>
      <c r="DP597" s="87"/>
      <c r="DQ597" s="87"/>
      <c r="DR597" s="87"/>
      <c r="DS597" s="87"/>
      <c r="DT597" s="87"/>
      <c r="DU597" s="87"/>
      <c r="DV597" s="87"/>
      <c r="DW597" s="87"/>
      <c r="DX597" s="87"/>
      <c r="DY597" s="87"/>
      <c r="DZ597" s="87"/>
      <c r="EA597" s="87"/>
      <c r="EB597" s="87"/>
      <c r="EC597" s="87"/>
      <c r="ED597" s="87"/>
      <c r="EE597" s="87"/>
      <c r="EF597" s="87"/>
      <c r="EG597" s="87"/>
      <c r="EH597" s="87"/>
      <c r="EI597" s="87"/>
    </row>
    <row r="598" spans="1:139" ht="29.25" hidden="1" thickBot="1" x14ac:dyDescent="0.35">
      <c r="A598" s="218" t="s">
        <v>188</v>
      </c>
      <c r="B598" s="199">
        <v>1</v>
      </c>
      <c r="C598" s="195">
        <f>56*0.25</f>
        <v>14</v>
      </c>
      <c r="D598" s="217">
        <f>C598/VLOOKUP(B598,'[2]Gas Prod per PADD'!$A$1:$C$6,2,FALSE)</f>
        <v>2.9166666666666667E-2</v>
      </c>
      <c r="E598" s="178">
        <v>45588</v>
      </c>
      <c r="F598" s="276">
        <v>45757</v>
      </c>
      <c r="G598" s="180" t="s">
        <v>1016</v>
      </c>
      <c r="H598" s="246" t="s">
        <v>1017</v>
      </c>
      <c r="I598" s="84" t="s">
        <v>1018</v>
      </c>
      <c r="J598" s="85"/>
      <c r="K598" s="85"/>
      <c r="L598" s="85"/>
      <c r="M598" s="85"/>
      <c r="N598" s="85"/>
      <c r="O598" s="85"/>
      <c r="P598" s="85">
        <f>-C598</f>
        <v>-14</v>
      </c>
      <c r="Q598" s="85">
        <f>-C598</f>
        <v>-14</v>
      </c>
      <c r="R598" s="85">
        <f>-C598</f>
        <v>-14</v>
      </c>
      <c r="S598" s="85">
        <f>C598*($R$1+1-F598)/30</f>
        <v>-4.2</v>
      </c>
      <c r="T598" s="85"/>
      <c r="U598" s="85"/>
      <c r="V598" s="84"/>
      <c r="W598" s="84"/>
      <c r="X598" s="84" t="str">
        <f t="shared" si="26"/>
        <v>OK</v>
      </c>
      <c r="Y598" s="87"/>
      <c r="Z598" s="87"/>
      <c r="AA598" s="87"/>
      <c r="AB598" s="87"/>
      <c r="AC598" s="87"/>
      <c r="AD598" s="87"/>
      <c r="AE598" s="87"/>
      <c r="AF598" s="87"/>
      <c r="AG598" s="87"/>
      <c r="AH598" s="87"/>
      <c r="AI598" s="87"/>
      <c r="AJ598" s="87"/>
      <c r="AK598" s="87"/>
      <c r="AL598" s="87"/>
      <c r="AM598" s="87"/>
      <c r="AN598" s="87"/>
      <c r="AO598" s="87"/>
      <c r="AP598" s="87"/>
      <c r="AQ598" s="87"/>
      <c r="AR598" s="87"/>
      <c r="AS598" s="87"/>
      <c r="AT598" s="87"/>
      <c r="AU598" s="87"/>
      <c r="AV598" s="87"/>
      <c r="AW598" s="87"/>
      <c r="AX598" s="87"/>
      <c r="AY598" s="87"/>
      <c r="AZ598" s="87"/>
      <c r="BA598" s="87"/>
      <c r="BB598" s="87"/>
      <c r="BC598" s="87"/>
      <c r="BD598" s="87"/>
      <c r="BE598" s="87"/>
      <c r="BF598" s="87"/>
      <c r="BG598" s="87"/>
      <c r="BH598" s="87"/>
      <c r="BI598" s="87"/>
      <c r="BJ598" s="87"/>
      <c r="BK598" s="87"/>
      <c r="BL598" s="87"/>
      <c r="BM598" s="87"/>
      <c r="BN598" s="87"/>
      <c r="BO598" s="87"/>
      <c r="BP598" s="87"/>
      <c r="BQ598" s="87"/>
      <c r="BR598" s="87"/>
      <c r="BS598" s="87"/>
      <c r="BT598" s="87"/>
      <c r="BU598" s="87"/>
      <c r="BV598" s="87"/>
      <c r="BW598" s="87"/>
      <c r="BX598" s="87">
        <f>-4.5/7*C598</f>
        <v>-9</v>
      </c>
      <c r="BY598" s="87">
        <f>-2.5/7*C598</f>
        <v>-5</v>
      </c>
      <c r="BZ598" s="87"/>
      <c r="CA598" s="87"/>
      <c r="CB598" s="87"/>
      <c r="CC598" s="87"/>
      <c r="CD598" s="87"/>
      <c r="CE598" s="105"/>
      <c r="CF598" s="105"/>
      <c r="CG598" s="87"/>
      <c r="CH598" s="87"/>
      <c r="CI598" s="87"/>
      <c r="CJ598" s="87"/>
      <c r="CK598" s="87"/>
      <c r="CL598" s="87"/>
      <c r="CM598" s="87"/>
      <c r="CN598" s="87"/>
      <c r="CO598" s="87"/>
      <c r="CP598" s="87"/>
      <c r="CQ598" s="87"/>
      <c r="CR598" s="87"/>
      <c r="CS598" s="87"/>
      <c r="CT598" s="87"/>
      <c r="CU598" s="87"/>
      <c r="CV598" s="105">
        <f>C598*2/7</f>
        <v>4</v>
      </c>
      <c r="CW598" s="105">
        <f>C598*5/7</f>
        <v>10</v>
      </c>
      <c r="CX598" s="87"/>
      <c r="CY598" s="87"/>
      <c r="CZ598" s="87"/>
      <c r="DA598" s="87"/>
      <c r="DB598" s="87"/>
      <c r="DC598" s="87"/>
      <c r="DD598" s="87"/>
      <c r="DE598" s="87"/>
      <c r="DF598" s="87"/>
      <c r="DG598" s="87"/>
      <c r="DH598" s="87"/>
      <c r="DI598" s="87"/>
      <c r="DJ598" s="87"/>
      <c r="DK598" s="87"/>
      <c r="DL598" s="87"/>
      <c r="DM598" s="87"/>
      <c r="DN598" s="87"/>
      <c r="DO598" s="87"/>
      <c r="DP598" s="87"/>
      <c r="DQ598" s="87"/>
      <c r="DR598" s="87"/>
      <c r="DS598" s="87"/>
      <c r="DT598" s="87"/>
      <c r="DU598" s="87"/>
      <c r="DV598" s="87"/>
      <c r="DW598" s="87"/>
      <c r="DX598" s="87"/>
      <c r="DY598" s="87"/>
      <c r="DZ598" s="87"/>
      <c r="EA598" s="87"/>
      <c r="EB598" s="87"/>
      <c r="EC598" s="87"/>
      <c r="ED598" s="87"/>
      <c r="EE598" s="87"/>
      <c r="EF598" s="87"/>
      <c r="EG598" s="87"/>
      <c r="EH598" s="87"/>
      <c r="EI598" s="87"/>
    </row>
    <row r="599" spans="1:139" ht="16.5" hidden="1" thickBot="1" x14ac:dyDescent="0.35">
      <c r="A599" s="190" t="s">
        <v>152</v>
      </c>
      <c r="B599" s="176">
        <v>3</v>
      </c>
      <c r="C599" s="177">
        <f>80*0.25</f>
        <v>20</v>
      </c>
      <c r="D599" s="217">
        <f>C599/VLOOKUP(B599,'[2]Gas Prod per PADD'!$A$1:$C$6,2,FALSE)</f>
        <v>4.3478260869565218E-3</v>
      </c>
      <c r="E599" s="178">
        <v>45748</v>
      </c>
      <c r="F599" s="252">
        <v>45757</v>
      </c>
      <c r="G599" s="180" t="s">
        <v>1019</v>
      </c>
      <c r="H599" s="181"/>
      <c r="I599" s="84"/>
      <c r="J599" s="85"/>
      <c r="K599" s="85"/>
      <c r="L599" s="85"/>
      <c r="M599" s="85"/>
      <c r="N599" s="85"/>
      <c r="O599" s="85"/>
      <c r="P599" s="85"/>
      <c r="Q599" s="85"/>
      <c r="R599" s="85"/>
      <c r="S599" s="85">
        <f>C599*(E599-F599)/30</f>
        <v>-6</v>
      </c>
      <c r="T599" s="85"/>
      <c r="U599" s="85"/>
      <c r="V599" s="84"/>
      <c r="W599" s="84"/>
      <c r="X599" s="84" t="str">
        <f t="shared" si="26"/>
        <v>OK</v>
      </c>
      <c r="Y599" s="87"/>
      <c r="Z599" s="87"/>
      <c r="AA599" s="87"/>
      <c r="AB599" s="87"/>
      <c r="AC599" s="87"/>
      <c r="AD599" s="87"/>
      <c r="AE599" s="87"/>
      <c r="AF599" s="87"/>
      <c r="AG599" s="87"/>
      <c r="AH599" s="87"/>
      <c r="AI599" s="87"/>
      <c r="AJ599" s="87"/>
      <c r="AK599" s="87"/>
      <c r="AL599" s="87"/>
      <c r="AM599" s="87"/>
      <c r="AN599" s="87"/>
      <c r="AO599" s="87"/>
      <c r="AP599" s="87"/>
      <c r="AQ599" s="87"/>
      <c r="AR599" s="87"/>
      <c r="AS599" s="87"/>
      <c r="AT599" s="87"/>
      <c r="AU599" s="87"/>
      <c r="AV599" s="87"/>
      <c r="AW599" s="87"/>
      <c r="AX599" s="87"/>
      <c r="AY599" s="87"/>
      <c r="AZ599" s="87"/>
      <c r="BA599" s="87"/>
      <c r="BB599" s="87"/>
      <c r="BC599" s="87"/>
      <c r="BD599" s="87"/>
      <c r="BE599" s="87"/>
      <c r="BF599" s="87"/>
      <c r="BG599" s="87"/>
      <c r="BH599" s="87"/>
      <c r="BI599" s="87"/>
      <c r="BJ599" s="87"/>
      <c r="BK599" s="87"/>
      <c r="BL599" s="87"/>
      <c r="BM599" s="87"/>
      <c r="BN599" s="87"/>
      <c r="BO599" s="87"/>
      <c r="BP599" s="87"/>
      <c r="BQ599" s="87"/>
      <c r="BR599" s="87"/>
      <c r="BS599" s="87"/>
      <c r="BT599" s="87"/>
      <c r="BU599" s="87"/>
      <c r="BV599" s="87"/>
      <c r="BW599" s="87"/>
      <c r="BX599" s="87"/>
      <c r="BY599" s="87"/>
      <c r="BZ599" s="87"/>
      <c r="CA599" s="87"/>
      <c r="CB599" s="87"/>
      <c r="CC599" s="87"/>
      <c r="CD599" s="87"/>
      <c r="CE599" s="87"/>
      <c r="CF599" s="87"/>
      <c r="CG599" s="87"/>
      <c r="CH599" s="87"/>
      <c r="CI599" s="87"/>
      <c r="CJ599" s="87"/>
      <c r="CK599" s="87"/>
      <c r="CL599" s="87"/>
      <c r="CM599" s="87"/>
      <c r="CN599" s="87"/>
      <c r="CO599" s="87"/>
      <c r="CP599" s="87"/>
      <c r="CQ599" s="87"/>
      <c r="CR599" s="87"/>
      <c r="CS599" s="87"/>
      <c r="CT599" s="87"/>
      <c r="CU599" s="87">
        <f>-3/7*C599</f>
        <v>-8.5714285714285712</v>
      </c>
      <c r="CV599" s="87">
        <f>-4/7*C599</f>
        <v>-11.428571428571427</v>
      </c>
      <c r="CW599" s="87">
        <f>-CV599</f>
        <v>11.428571428571427</v>
      </c>
      <c r="CX599" s="87">
        <f>-CU599</f>
        <v>8.5714285714285712</v>
      </c>
      <c r="CY599" s="87"/>
      <c r="CZ599" s="87"/>
      <c r="DA599" s="87"/>
      <c r="DB599" s="87"/>
      <c r="DC599" s="87"/>
      <c r="DD599" s="87"/>
      <c r="DE599" s="87"/>
      <c r="DF599" s="87"/>
      <c r="DG599" s="87"/>
      <c r="DH599" s="87"/>
      <c r="DI599" s="87"/>
      <c r="DJ599" s="87"/>
      <c r="DK599" s="87"/>
      <c r="DL599" s="87"/>
      <c r="DM599" s="87"/>
      <c r="DN599" s="87"/>
      <c r="DO599" s="87"/>
      <c r="DP599" s="87"/>
      <c r="DQ599" s="87"/>
      <c r="DR599" s="87"/>
      <c r="DS599" s="87"/>
      <c r="DT599" s="87"/>
      <c r="DU599" s="87"/>
      <c r="DV599" s="87"/>
      <c r="DW599" s="87"/>
      <c r="DX599" s="87"/>
      <c r="DY599" s="87"/>
      <c r="DZ599" s="87"/>
      <c r="EA599" s="87"/>
      <c r="EB599" s="87"/>
      <c r="EC599" s="87"/>
      <c r="ED599" s="87"/>
      <c r="EE599" s="87"/>
      <c r="EF599" s="87"/>
      <c r="EG599" s="87"/>
      <c r="EH599" s="87"/>
      <c r="EI599" s="87"/>
    </row>
    <row r="600" spans="1:139" ht="16.5" hidden="1" thickBot="1" x14ac:dyDescent="0.35">
      <c r="A600" s="190" t="s">
        <v>152</v>
      </c>
      <c r="B600" s="176">
        <v>3</v>
      </c>
      <c r="C600" s="177">
        <f>0.65*83</f>
        <v>53.95</v>
      </c>
      <c r="D600" s="217">
        <f>C600/VLOOKUP(B600,'[2]Gas Prod per PADD'!$A$1:$C$6,2,FALSE)</f>
        <v>1.1728260869565217E-2</v>
      </c>
      <c r="E600" s="178">
        <v>45749</v>
      </c>
      <c r="F600" s="252">
        <f>E600+8</f>
        <v>45757</v>
      </c>
      <c r="G600" s="180" t="s">
        <v>1020</v>
      </c>
      <c r="H600" s="181" t="s">
        <v>1021</v>
      </c>
      <c r="I600" s="84"/>
      <c r="J600" s="85"/>
      <c r="K600" s="85"/>
      <c r="L600" s="85"/>
      <c r="M600" s="85"/>
      <c r="N600" s="85"/>
      <c r="O600" s="85"/>
      <c r="P600" s="85"/>
      <c r="Q600" s="85"/>
      <c r="R600" s="85"/>
      <c r="S600" s="85">
        <f>C600*(E600-F600)/30</f>
        <v>-14.386666666666667</v>
      </c>
      <c r="T600" s="85"/>
      <c r="U600" s="85"/>
      <c r="V600" s="84"/>
      <c r="W600" s="84"/>
      <c r="X600" s="84" t="str">
        <f t="shared" si="26"/>
        <v>OK</v>
      </c>
      <c r="Y600" s="87"/>
      <c r="Z600" s="87"/>
      <c r="AA600" s="87"/>
      <c r="AB600" s="87"/>
      <c r="AC600" s="87"/>
      <c r="AD600" s="87"/>
      <c r="AE600" s="87"/>
      <c r="AF600" s="87"/>
      <c r="AG600" s="87"/>
      <c r="AH600" s="87"/>
      <c r="AI600" s="87"/>
      <c r="AJ600" s="87"/>
      <c r="AK600" s="87"/>
      <c r="AL600" s="87"/>
      <c r="AM600" s="87"/>
      <c r="AN600" s="87"/>
      <c r="AO600" s="87"/>
      <c r="AP600" s="87"/>
      <c r="AQ600" s="87"/>
      <c r="AR600" s="87"/>
      <c r="AS600" s="87"/>
      <c r="AT600" s="87"/>
      <c r="AU600" s="87"/>
      <c r="AV600" s="87"/>
      <c r="AW600" s="87"/>
      <c r="AX600" s="87"/>
      <c r="AY600" s="87"/>
      <c r="AZ600" s="87"/>
      <c r="BA600" s="87"/>
      <c r="BB600" s="87"/>
      <c r="BC600" s="87"/>
      <c r="BD600" s="87"/>
      <c r="BE600" s="87"/>
      <c r="BF600" s="87"/>
      <c r="BG600" s="87"/>
      <c r="BH600" s="87"/>
      <c r="BI600" s="87"/>
      <c r="BJ600" s="87"/>
      <c r="BK600" s="87"/>
      <c r="BL600" s="87"/>
      <c r="BM600" s="87"/>
      <c r="BN600" s="87"/>
      <c r="BO600" s="87"/>
      <c r="BP600" s="87"/>
      <c r="BQ600" s="87"/>
      <c r="BR600" s="87"/>
      <c r="BS600" s="87"/>
      <c r="BT600" s="87"/>
      <c r="BU600" s="87"/>
      <c r="BV600" s="87"/>
      <c r="BW600" s="87"/>
      <c r="BX600" s="87"/>
      <c r="BY600" s="87"/>
      <c r="BZ600" s="87"/>
      <c r="CA600" s="87"/>
      <c r="CB600" s="87"/>
      <c r="CC600" s="87"/>
      <c r="CD600" s="87"/>
      <c r="CE600" s="87"/>
      <c r="CF600" s="87"/>
      <c r="CG600" s="87"/>
      <c r="CH600" s="87"/>
      <c r="CI600" s="87"/>
      <c r="CJ600" s="87"/>
      <c r="CK600" s="87"/>
      <c r="CL600" s="87"/>
      <c r="CM600" s="87"/>
      <c r="CN600" s="87"/>
      <c r="CO600" s="87"/>
      <c r="CP600" s="87"/>
      <c r="CQ600" s="87"/>
      <c r="CR600" s="87"/>
      <c r="CS600" s="87"/>
      <c r="CT600" s="87"/>
      <c r="CU600" s="87">
        <f>-C600*5/7</f>
        <v>-38.535714285714285</v>
      </c>
      <c r="CV600" s="87">
        <f>-2/7*C600</f>
        <v>-15.414285714285715</v>
      </c>
      <c r="CW600" s="105">
        <f>C600</f>
        <v>53.95</v>
      </c>
      <c r="CX600" s="87"/>
      <c r="CY600" s="87"/>
      <c r="CZ600" s="87"/>
      <c r="DA600" s="87"/>
      <c r="DB600" s="87"/>
      <c r="DC600" s="87"/>
      <c r="DD600" s="87"/>
      <c r="DE600" s="87"/>
      <c r="DF600" s="87"/>
      <c r="DG600" s="87"/>
      <c r="DH600" s="87"/>
      <c r="DI600" s="87"/>
      <c r="DJ600" s="87"/>
      <c r="DK600" s="87"/>
      <c r="DL600" s="87"/>
      <c r="DM600" s="87"/>
      <c r="DN600" s="87"/>
      <c r="DO600" s="87"/>
      <c r="DP600" s="87"/>
      <c r="DQ600" s="87"/>
      <c r="DR600" s="87"/>
      <c r="DS600" s="87"/>
      <c r="DT600" s="87"/>
      <c r="DU600" s="87"/>
      <c r="DV600" s="87"/>
      <c r="DW600" s="87"/>
      <c r="DX600" s="87"/>
      <c r="DY600" s="87"/>
      <c r="DZ600" s="87"/>
      <c r="EA600" s="87"/>
      <c r="EB600" s="87"/>
      <c r="EC600" s="87"/>
      <c r="ED600" s="87"/>
      <c r="EE600" s="87"/>
      <c r="EF600" s="87"/>
      <c r="EG600" s="87"/>
      <c r="EH600" s="87"/>
      <c r="EI600" s="87"/>
    </row>
    <row r="601" spans="1:139" ht="16.5" hidden="1" thickBot="1" x14ac:dyDescent="0.35">
      <c r="A601" s="222" t="s">
        <v>659</v>
      </c>
      <c r="B601" s="176">
        <v>3</v>
      </c>
      <c r="C601" s="177">
        <f>11*0.85</f>
        <v>9.35</v>
      </c>
      <c r="D601" s="217">
        <f>C601/VLOOKUP(B601,'[2]Gas Prod per PADD'!$A$1:$C$6,2,FALSE)</f>
        <v>2.0326086956521739E-3</v>
      </c>
      <c r="E601" s="178">
        <v>45758</v>
      </c>
      <c r="F601" s="367">
        <v>45760</v>
      </c>
      <c r="G601" s="194" t="s">
        <v>967</v>
      </c>
      <c r="H601" s="181" t="s">
        <v>364</v>
      </c>
      <c r="I601" s="305"/>
      <c r="J601" s="306"/>
      <c r="K601" s="306"/>
      <c r="L601" s="306"/>
      <c r="M601" s="306"/>
      <c r="N601" s="306"/>
      <c r="O601" s="306"/>
      <c r="P601" s="306"/>
      <c r="Q601" s="306"/>
      <c r="R601" s="306"/>
      <c r="S601" s="85">
        <f>C601*(E601-F601)/30</f>
        <v>-0.62333333333333329</v>
      </c>
      <c r="T601" s="85"/>
      <c r="U601" s="85"/>
      <c r="V601" s="84"/>
      <c r="W601" s="84"/>
      <c r="X601" s="84"/>
      <c r="Y601" s="105"/>
      <c r="Z601" s="105"/>
      <c r="AA601" s="87"/>
      <c r="AB601" s="87"/>
      <c r="AC601" s="87"/>
      <c r="AD601" s="87"/>
      <c r="AE601" s="105"/>
      <c r="AF601" s="105"/>
      <c r="AG601" s="105"/>
      <c r="AH601" s="105"/>
      <c r="AI601" s="87"/>
      <c r="AJ601" s="87"/>
      <c r="AK601" s="105"/>
      <c r="AL601" s="87"/>
      <c r="AM601" s="105"/>
      <c r="AN601" s="105"/>
      <c r="AO601" s="87"/>
      <c r="AP601" s="87"/>
      <c r="AQ601" s="105"/>
      <c r="AR601" s="105"/>
      <c r="AS601" s="87"/>
      <c r="AT601" s="105"/>
      <c r="AU601" s="105"/>
      <c r="AV601" s="87"/>
      <c r="AW601" s="105"/>
      <c r="AX601" s="105"/>
      <c r="AY601" s="87"/>
      <c r="AZ601" s="105"/>
      <c r="BA601" s="105"/>
      <c r="BB601" s="105"/>
      <c r="BC601" s="87"/>
      <c r="BD601" s="87"/>
      <c r="BE601" s="105"/>
      <c r="BF601" s="105"/>
      <c r="BG601" s="105"/>
      <c r="BH601" s="105"/>
      <c r="BI601" s="105"/>
      <c r="BJ601" s="87"/>
      <c r="BK601" s="87"/>
      <c r="BL601" s="87"/>
      <c r="BM601" s="87"/>
      <c r="BN601" s="87"/>
      <c r="BO601" s="87"/>
      <c r="BP601" s="87"/>
      <c r="BQ601" s="87"/>
      <c r="BR601" s="87"/>
      <c r="BS601" s="87"/>
      <c r="BT601" s="87"/>
      <c r="BU601" s="87"/>
      <c r="BV601" s="87"/>
      <c r="BW601" s="87"/>
      <c r="BX601" s="87"/>
      <c r="BY601" s="87"/>
      <c r="BZ601" s="87"/>
      <c r="CA601" s="87"/>
      <c r="CB601" s="87"/>
      <c r="CC601" s="87"/>
      <c r="CD601" s="87"/>
      <c r="CE601" s="87"/>
      <c r="CF601" s="87"/>
      <c r="CG601" s="87"/>
      <c r="CH601" s="87"/>
      <c r="CI601" s="87"/>
      <c r="CJ601" s="87"/>
      <c r="CK601" s="87"/>
      <c r="CL601" s="87"/>
      <c r="CM601" s="87"/>
      <c r="CN601" s="87"/>
      <c r="CO601" s="87"/>
      <c r="CP601" s="87"/>
      <c r="CQ601" s="87"/>
      <c r="CR601" s="87"/>
      <c r="CS601" s="87"/>
      <c r="CT601" s="87"/>
      <c r="CU601" s="105"/>
      <c r="CV601" s="87">
        <f>-1/7*C601</f>
        <v>-1.3357142857142856</v>
      </c>
      <c r="CW601" s="87"/>
      <c r="CX601" s="87">
        <f>-CV601</f>
        <v>1.3357142857142856</v>
      </c>
      <c r="CY601" s="87"/>
      <c r="CZ601" s="87"/>
      <c r="DA601" s="87"/>
      <c r="DB601" s="87"/>
      <c r="DC601" s="87"/>
      <c r="DD601" s="87"/>
      <c r="DE601" s="87"/>
      <c r="DF601" s="87"/>
      <c r="DG601" s="87"/>
      <c r="DH601" s="87"/>
      <c r="DI601" s="87"/>
      <c r="DJ601" s="87"/>
      <c r="DK601" s="87"/>
      <c r="DL601" s="87"/>
      <c r="DM601" s="87"/>
      <c r="DN601" s="87"/>
      <c r="DO601" s="87"/>
      <c r="DP601" s="87"/>
      <c r="DQ601" s="87"/>
      <c r="DR601" s="87"/>
      <c r="DS601" s="87"/>
      <c r="DT601" s="87"/>
      <c r="DU601" s="87"/>
      <c r="DV601" s="87"/>
      <c r="DW601" s="87"/>
      <c r="DX601" s="87"/>
      <c r="DY601" s="87"/>
      <c r="DZ601" s="87"/>
      <c r="EA601" s="87"/>
      <c r="EB601" s="87"/>
      <c r="EC601" s="87"/>
      <c r="ED601" s="87"/>
      <c r="EE601" s="87"/>
      <c r="EF601" s="87"/>
      <c r="EG601" s="87"/>
      <c r="EH601" s="87"/>
      <c r="EI601" s="87"/>
    </row>
    <row r="602" spans="1:139" ht="16.5" hidden="1" thickBot="1" x14ac:dyDescent="0.35">
      <c r="A602" s="222" t="s">
        <v>210</v>
      </c>
      <c r="B602" s="176">
        <v>3</v>
      </c>
      <c r="C602" s="177">
        <f>30*0.65</f>
        <v>19.5</v>
      </c>
      <c r="D602" s="217">
        <f>C602/VLOOKUP(B602,'[2]Gas Prod per PADD'!$A$1:$C$6,2,FALSE)</f>
        <v>4.239130434782609E-3</v>
      </c>
      <c r="E602" s="178">
        <v>45611</v>
      </c>
      <c r="F602" s="368">
        <v>45761</v>
      </c>
      <c r="G602" s="180" t="s">
        <v>221</v>
      </c>
      <c r="H602" s="181" t="s">
        <v>1022</v>
      </c>
      <c r="I602" s="84"/>
      <c r="J602" s="85"/>
      <c r="K602" s="85"/>
      <c r="L602" s="85"/>
      <c r="M602" s="85"/>
      <c r="N602" s="85"/>
      <c r="O602" s="85"/>
      <c r="P602" s="85">
        <f>-C602</f>
        <v>-19.5</v>
      </c>
      <c r="Q602" s="85">
        <f>-C602</f>
        <v>-19.5</v>
      </c>
      <c r="R602" s="85">
        <f>-D602</f>
        <v>-4.239130434782609E-3</v>
      </c>
      <c r="S602" s="85">
        <f>C602*($R$1+1-F602)/30</f>
        <v>-8.4499999999999993</v>
      </c>
      <c r="T602" s="85"/>
      <c r="U602" s="85"/>
      <c r="V602" s="84"/>
      <c r="W602" s="84"/>
      <c r="X602" s="84" t="str">
        <f>IF(COUNTA(Y602:EI602)=0,"Missing","OK")</f>
        <v>OK</v>
      </c>
      <c r="Y602" s="105"/>
      <c r="Z602" s="105"/>
      <c r="AA602" s="87"/>
      <c r="AB602" s="87"/>
      <c r="AC602" s="87"/>
      <c r="AD602" s="87"/>
      <c r="AE602" s="105"/>
      <c r="AF602" s="105"/>
      <c r="AG602" s="105"/>
      <c r="AH602" s="105"/>
      <c r="AI602" s="87"/>
      <c r="AJ602" s="87"/>
      <c r="AK602" s="105"/>
      <c r="AL602" s="87"/>
      <c r="AM602" s="105"/>
      <c r="AN602" s="105"/>
      <c r="AO602" s="87"/>
      <c r="AP602" s="87"/>
      <c r="AQ602" s="105"/>
      <c r="AR602" s="105"/>
      <c r="AS602" s="87"/>
      <c r="AT602" s="105"/>
      <c r="AU602" s="87"/>
      <c r="AV602" s="87"/>
      <c r="AW602" s="87"/>
      <c r="AX602" s="87"/>
      <c r="AY602" s="87"/>
      <c r="AZ602" s="87"/>
      <c r="BA602" s="87"/>
      <c r="BB602" s="87"/>
      <c r="BC602" s="87"/>
      <c r="BD602" s="87"/>
      <c r="BE602" s="87"/>
      <c r="BF602" s="87"/>
      <c r="BG602" s="87"/>
      <c r="BH602" s="87"/>
      <c r="BI602" s="87"/>
      <c r="BJ602" s="87"/>
      <c r="BK602" s="87"/>
      <c r="BL602" s="87"/>
      <c r="BM602" s="87"/>
      <c r="BN602" s="87"/>
      <c r="BO602" s="87"/>
      <c r="BP602" s="87"/>
      <c r="BQ602" s="87"/>
      <c r="BR602" s="87"/>
      <c r="BS602" s="87"/>
      <c r="BT602" s="87"/>
      <c r="BU602" s="87"/>
      <c r="BV602" s="87"/>
      <c r="BW602" s="87"/>
      <c r="BX602" s="87"/>
      <c r="BY602" s="87"/>
      <c r="BZ602" s="87"/>
      <c r="CA602" s="87"/>
      <c r="CB602" s="87">
        <f>C602*-0.7</f>
        <v>-13.649999999999999</v>
      </c>
      <c r="CC602" s="87"/>
      <c r="CD602" s="87"/>
      <c r="CE602" s="87"/>
      <c r="CF602" s="87"/>
      <c r="CG602" s="87"/>
      <c r="CH602" s="87"/>
      <c r="CI602" s="87"/>
      <c r="CJ602" s="87"/>
      <c r="CK602" s="87"/>
      <c r="CL602" s="87"/>
      <c r="CM602" s="87"/>
      <c r="CN602" s="87"/>
      <c r="CO602" s="87"/>
      <c r="CP602" s="87"/>
      <c r="CQ602" s="87"/>
      <c r="CR602" s="87"/>
      <c r="CS602" s="87"/>
      <c r="CT602" s="87"/>
      <c r="CU602" s="87"/>
      <c r="CV602" s="87"/>
      <c r="CW602" s="87">
        <f>C602*4/7</f>
        <v>11.142857142857142</v>
      </c>
      <c r="CX602" s="87">
        <f>C602*3/7</f>
        <v>8.3571428571428577</v>
      </c>
      <c r="CY602" s="87"/>
      <c r="CZ602" s="87"/>
      <c r="DA602" s="87"/>
      <c r="DB602" s="87"/>
      <c r="DC602" s="87"/>
      <c r="DD602" s="87"/>
      <c r="DE602" s="87"/>
      <c r="DF602" s="87"/>
      <c r="DG602" s="87"/>
      <c r="DH602" s="87"/>
      <c r="DI602" s="87"/>
      <c r="DJ602" s="87"/>
      <c r="DK602" s="87"/>
      <c r="DL602" s="87"/>
      <c r="DM602" s="87"/>
      <c r="DN602" s="87"/>
      <c r="DO602" s="87"/>
      <c r="DP602" s="87"/>
      <c r="DQ602" s="87"/>
      <c r="DR602" s="87"/>
      <c r="DS602" s="87"/>
      <c r="DT602" s="87"/>
      <c r="DU602" s="87"/>
      <c r="DV602" s="87"/>
      <c r="DW602" s="87"/>
      <c r="DX602" s="87"/>
      <c r="DY602" s="87"/>
      <c r="DZ602" s="87"/>
      <c r="EA602" s="87"/>
      <c r="EB602" s="87"/>
      <c r="EC602" s="87"/>
      <c r="ED602" s="87"/>
      <c r="EE602" s="87"/>
      <c r="EF602" s="87"/>
      <c r="EG602" s="87"/>
      <c r="EH602" s="87"/>
      <c r="EI602" s="87"/>
    </row>
    <row r="603" spans="1:139" ht="43.5" hidden="1" thickBot="1" x14ac:dyDescent="0.35">
      <c r="A603" s="353" t="s">
        <v>115</v>
      </c>
      <c r="B603" s="191">
        <v>2</v>
      </c>
      <c r="C603" s="177">
        <f>60*0.1+(37*0.65)</f>
        <v>30.05</v>
      </c>
      <c r="D603" s="217">
        <f>C603/VLOOKUP(B603,'[2]Gas Prod per PADD'!$A$1:$C$6,2,FALSE)</f>
        <v>1.2520833333333333E-2</v>
      </c>
      <c r="E603" s="357">
        <v>45680</v>
      </c>
      <c r="F603" s="252">
        <v>45761</v>
      </c>
      <c r="G603" s="180" t="s">
        <v>1023</v>
      </c>
      <c r="H603" s="181" t="s">
        <v>1024</v>
      </c>
      <c r="I603" s="341" t="s">
        <v>1025</v>
      </c>
      <c r="J603" s="342"/>
      <c r="K603" s="342"/>
      <c r="L603" s="342"/>
      <c r="M603" s="342"/>
      <c r="N603" s="342"/>
      <c r="O603" s="342"/>
      <c r="P603" s="85">
        <f>C603*(E603-$P$1)/31</f>
        <v>-7.7548387096774194</v>
      </c>
      <c r="Q603" s="85">
        <f>-C603</f>
        <v>-30.05</v>
      </c>
      <c r="R603" s="85">
        <f>-C603</f>
        <v>-30.05</v>
      </c>
      <c r="S603" s="85">
        <f>C603*($R$1+1-F603)/30</f>
        <v>-13.021666666666668</v>
      </c>
      <c r="T603" s="85"/>
      <c r="U603" s="85"/>
      <c r="V603" s="84"/>
      <c r="W603" s="84"/>
      <c r="X603" s="84" t="str">
        <f>IF(COUNTA(Y603:EI603)=0,"Missing","OK")</f>
        <v>OK</v>
      </c>
      <c r="Y603" s="105"/>
      <c r="Z603" s="105"/>
      <c r="AA603" s="87"/>
      <c r="AB603" s="87"/>
      <c r="AC603" s="87"/>
      <c r="AD603" s="87"/>
      <c r="AE603" s="105"/>
      <c r="AF603" s="105"/>
      <c r="AG603" s="105"/>
      <c r="AH603" s="105"/>
      <c r="AI603" s="87"/>
      <c r="AJ603" s="87"/>
      <c r="AK603" s="105"/>
      <c r="AL603" s="87"/>
      <c r="AM603" s="105"/>
      <c r="AN603" s="105"/>
      <c r="AO603" s="87"/>
      <c r="AP603" s="87"/>
      <c r="AQ603" s="105"/>
      <c r="AR603" s="105"/>
      <c r="AS603" s="87"/>
      <c r="AT603" s="105"/>
      <c r="AU603" s="105"/>
      <c r="AV603" s="87"/>
      <c r="AW603" s="105"/>
      <c r="AX603" s="105"/>
      <c r="AY603" s="87"/>
      <c r="AZ603" s="105"/>
      <c r="BA603" s="105"/>
      <c r="BB603" s="105"/>
      <c r="BC603" s="87"/>
      <c r="BD603" s="87"/>
      <c r="BE603" s="105"/>
      <c r="BF603" s="105"/>
      <c r="BG603" s="105"/>
      <c r="BH603" s="105"/>
      <c r="BI603" s="105"/>
      <c r="BJ603" s="87"/>
      <c r="BK603" s="87"/>
      <c r="BL603" s="87"/>
      <c r="BM603" s="87"/>
      <c r="BN603" s="87"/>
      <c r="BO603" s="105"/>
      <c r="BP603" s="105"/>
      <c r="BQ603" s="105"/>
      <c r="BR603" s="105"/>
      <c r="BS603" s="105"/>
      <c r="BT603" s="87"/>
      <c r="BU603" s="87"/>
      <c r="BV603" s="87"/>
      <c r="BW603" s="87"/>
      <c r="BX603" s="87"/>
      <c r="BY603" s="87"/>
      <c r="BZ603" s="87"/>
      <c r="CA603" s="87"/>
      <c r="CB603" s="87"/>
      <c r="CC603" s="87"/>
      <c r="CD603" s="87"/>
      <c r="CE603" s="87"/>
      <c r="CF603" s="87"/>
      <c r="CG603" s="87"/>
      <c r="CH603" s="87"/>
      <c r="CI603" s="87"/>
      <c r="CJ603" s="87"/>
      <c r="CK603" s="87">
        <f>-1/7*C603</f>
        <v>-4.2928571428571427</v>
      </c>
      <c r="CL603" s="87">
        <f>-6/7*C603</f>
        <v>-25.757142857142856</v>
      </c>
      <c r="CM603" s="87"/>
      <c r="CN603" s="87"/>
      <c r="CO603" s="87"/>
      <c r="CP603" s="87"/>
      <c r="CQ603" s="87"/>
      <c r="CR603" s="87"/>
      <c r="CS603" s="87"/>
      <c r="CT603" s="87"/>
      <c r="CU603" s="87"/>
      <c r="CV603" s="87"/>
      <c r="CW603" s="87">
        <f>C603*(4/7)</f>
        <v>17.171428571428571</v>
      </c>
      <c r="CX603" s="87">
        <f>C603*(3/7)</f>
        <v>12.878571428571428</v>
      </c>
      <c r="CY603" s="87"/>
      <c r="CZ603" s="87"/>
      <c r="DA603" s="87"/>
      <c r="DB603" s="87"/>
      <c r="DC603" s="87"/>
      <c r="DD603" s="87"/>
      <c r="DE603" s="87"/>
      <c r="DF603" s="87"/>
      <c r="DG603" s="87"/>
      <c r="DH603" s="87"/>
      <c r="DI603" s="87"/>
      <c r="DJ603" s="87"/>
      <c r="DK603" s="87"/>
      <c r="DL603" s="87"/>
      <c r="DM603" s="87"/>
      <c r="DN603" s="87"/>
      <c r="DO603" s="87"/>
      <c r="DP603" s="87"/>
      <c r="DQ603" s="87"/>
      <c r="DR603" s="87"/>
      <c r="DS603" s="87"/>
      <c r="DT603" s="87"/>
      <c r="DU603" s="87"/>
      <c r="DV603" s="87"/>
      <c r="DW603" s="87"/>
      <c r="DX603" s="87"/>
      <c r="DY603" s="87"/>
      <c r="DZ603" s="87"/>
      <c r="EA603" s="87"/>
      <c r="EB603" s="87"/>
      <c r="EC603" s="87"/>
      <c r="ED603" s="87"/>
      <c r="EE603" s="87"/>
      <c r="EF603" s="87"/>
      <c r="EG603" s="87"/>
      <c r="EH603" s="87"/>
      <c r="EI603" s="87"/>
    </row>
    <row r="604" spans="1:139" ht="16.5" hidden="1" thickBot="1" x14ac:dyDescent="0.35">
      <c r="A604" s="190" t="s">
        <v>149</v>
      </c>
      <c r="B604" s="176">
        <v>3</v>
      </c>
      <c r="C604" s="177">
        <f>10*0.25</f>
        <v>2.5</v>
      </c>
      <c r="D604" s="217">
        <f>C604/VLOOKUP(B604,'[2]Gas Prod per PADD'!$A$1:$C$6,2,FALSE)</f>
        <v>5.4347826086956522E-4</v>
      </c>
      <c r="E604" s="357">
        <v>45751</v>
      </c>
      <c r="F604" s="179">
        <v>45761</v>
      </c>
      <c r="G604" s="180" t="s">
        <v>1026</v>
      </c>
      <c r="H604" s="181"/>
      <c r="I604" s="84"/>
      <c r="J604" s="85"/>
      <c r="K604" s="85"/>
      <c r="L604" s="85"/>
      <c r="M604" s="85"/>
      <c r="N604" s="85"/>
      <c r="O604" s="85"/>
      <c r="P604" s="85"/>
      <c r="Q604" s="85"/>
      <c r="R604" s="85"/>
      <c r="S604" s="85">
        <f>C604*(E604-F604)/30</f>
        <v>-0.83333333333333337</v>
      </c>
      <c r="T604" s="85"/>
      <c r="U604" s="85"/>
      <c r="V604" s="84"/>
      <c r="W604" s="84"/>
      <c r="X604" s="84"/>
      <c r="Y604" s="87"/>
      <c r="Z604" s="87"/>
      <c r="AA604" s="87"/>
      <c r="AB604" s="87"/>
      <c r="AC604" s="87"/>
      <c r="AD604" s="87"/>
      <c r="AE604" s="87"/>
      <c r="AF604" s="87"/>
      <c r="AG604" s="87"/>
      <c r="AH604" s="87"/>
      <c r="AI604" s="87"/>
      <c r="AJ604" s="87"/>
      <c r="AK604" s="87"/>
      <c r="AL604" s="87"/>
      <c r="AM604" s="87"/>
      <c r="AN604" s="87"/>
      <c r="AO604" s="87"/>
      <c r="AP604" s="87"/>
      <c r="AQ604" s="87"/>
      <c r="AR604" s="87"/>
      <c r="AS604" s="87"/>
      <c r="AT604" s="87"/>
      <c r="AU604" s="87"/>
      <c r="AV604" s="87"/>
      <c r="AW604" s="87"/>
      <c r="AX604" s="87"/>
      <c r="AY604" s="87"/>
      <c r="AZ604" s="87"/>
      <c r="BA604" s="87"/>
      <c r="BB604" s="87"/>
      <c r="BC604" s="87"/>
      <c r="BD604" s="87"/>
      <c r="BE604" s="87"/>
      <c r="BF604" s="87"/>
      <c r="BG604" s="87"/>
      <c r="BH604" s="87"/>
      <c r="BI604" s="87"/>
      <c r="BJ604" s="87"/>
      <c r="BK604" s="87"/>
      <c r="BL604" s="87"/>
      <c r="BM604" s="87"/>
      <c r="BN604" s="87"/>
      <c r="BO604" s="87"/>
      <c r="BP604" s="87"/>
      <c r="BQ604" s="87"/>
      <c r="BR604" s="87"/>
      <c r="BS604" s="87"/>
      <c r="BT604" s="87"/>
      <c r="BU604" s="87"/>
      <c r="BV604" s="87"/>
      <c r="BW604" s="87"/>
      <c r="BX604" s="87"/>
      <c r="BY604" s="87"/>
      <c r="BZ604" s="87"/>
      <c r="CA604" s="87"/>
      <c r="CB604" s="87"/>
      <c r="CC604" s="87"/>
      <c r="CD604" s="87"/>
      <c r="CE604" s="87"/>
      <c r="CF604" s="87"/>
      <c r="CG604" s="87"/>
      <c r="CH604" s="87"/>
      <c r="CI604" s="87"/>
      <c r="CJ604" s="87"/>
      <c r="CK604" s="87"/>
      <c r="CL604" s="87"/>
      <c r="CM604" s="87"/>
      <c r="CN604" s="87"/>
      <c r="CO604" s="87"/>
      <c r="CP604" s="87"/>
      <c r="CQ604" s="87"/>
      <c r="CR604" s="278"/>
      <c r="CS604" s="278"/>
      <c r="CT604" s="278"/>
      <c r="CU604" s="278"/>
      <c r="CV604" s="278">
        <f>-C604</f>
        <v>-2.5</v>
      </c>
      <c r="CW604" s="278"/>
      <c r="CX604" s="278">
        <f>-CV604</f>
        <v>2.5</v>
      </c>
      <c r="CY604" s="87"/>
      <c r="CZ604" s="87"/>
      <c r="DA604" s="87"/>
      <c r="DB604" s="105"/>
      <c r="DC604" s="87"/>
      <c r="DD604" s="87"/>
      <c r="DE604" s="105"/>
      <c r="DF604" s="87"/>
      <c r="DG604" s="87"/>
      <c r="DH604" s="87"/>
      <c r="DI604" s="87"/>
      <c r="DJ604" s="87"/>
      <c r="DK604" s="87"/>
      <c r="DL604" s="87"/>
      <c r="DM604" s="87"/>
      <c r="DN604" s="87"/>
      <c r="DO604" s="87"/>
      <c r="DP604" s="87"/>
      <c r="DQ604" s="87"/>
      <c r="DR604" s="87"/>
      <c r="DS604" s="87"/>
      <c r="DT604" s="87"/>
      <c r="DU604" s="87"/>
      <c r="DV604" s="87"/>
      <c r="DW604" s="87"/>
      <c r="DX604" s="87"/>
      <c r="DY604" s="87"/>
      <c r="DZ604" s="87"/>
      <c r="EA604" s="87"/>
      <c r="EB604" s="87"/>
      <c r="EC604" s="87"/>
      <c r="ED604" s="87"/>
      <c r="EE604" s="87"/>
      <c r="EF604" s="87"/>
      <c r="EG604" s="87"/>
      <c r="EH604" s="87"/>
      <c r="EI604" s="87"/>
    </row>
    <row r="605" spans="1:139" ht="16.5" hidden="1" thickBot="1" x14ac:dyDescent="0.35">
      <c r="A605" s="190" t="s">
        <v>225</v>
      </c>
      <c r="B605" s="191">
        <v>3</v>
      </c>
      <c r="C605" s="177">
        <f>81*0.65</f>
        <v>52.65</v>
      </c>
      <c r="D605" s="217">
        <f>C605/VLOOKUP(B605,'[2]Gas Prod per PADD'!$A$1:$C$6,2,FALSE)</f>
        <v>1.1445652173913043E-2</v>
      </c>
      <c r="E605" s="178">
        <v>45681</v>
      </c>
      <c r="F605" s="368">
        <v>45762</v>
      </c>
      <c r="G605" s="180" t="s">
        <v>1027</v>
      </c>
      <c r="H605" s="181" t="s">
        <v>1028</v>
      </c>
      <c r="I605" s="84" t="s">
        <v>1029</v>
      </c>
      <c r="J605" s="85"/>
      <c r="K605" s="85"/>
      <c r="L605" s="85"/>
      <c r="M605" s="85"/>
      <c r="N605" s="85"/>
      <c r="O605" s="85"/>
      <c r="P605" s="85">
        <f>C605*(E605-$P$1)/31</f>
        <v>-11.888709677419355</v>
      </c>
      <c r="Q605" s="85">
        <f>-C605</f>
        <v>-52.65</v>
      </c>
      <c r="R605" s="85">
        <f>-C605</f>
        <v>-52.65</v>
      </c>
      <c r="S605" s="85">
        <f>C605*($R$1+1-F605)/30</f>
        <v>-24.57</v>
      </c>
      <c r="T605" s="85"/>
      <c r="U605" s="85"/>
      <c r="V605" s="84"/>
      <c r="W605" s="84"/>
      <c r="X605" s="84" t="str">
        <f>IF(COUNTA(Y605:EI605)=0,"Missing","OK")</f>
        <v>OK</v>
      </c>
      <c r="Y605" s="87"/>
      <c r="Z605" s="87"/>
      <c r="AA605" s="87"/>
      <c r="AB605" s="87"/>
      <c r="AC605" s="87"/>
      <c r="AD605" s="87"/>
      <c r="AE605" s="87"/>
      <c r="AF605" s="87"/>
      <c r="AG605" s="87"/>
      <c r="AH605" s="87"/>
      <c r="AI605" s="87"/>
      <c r="AJ605" s="87"/>
      <c r="AK605" s="87"/>
      <c r="AL605" s="87"/>
      <c r="AM605" s="87"/>
      <c r="AN605" s="87"/>
      <c r="AO605" s="87"/>
      <c r="AP605" s="87"/>
      <c r="AQ605" s="87"/>
      <c r="AR605" s="87"/>
      <c r="AS605" s="87"/>
      <c r="AT605" s="87"/>
      <c r="AU605" s="87"/>
      <c r="AV605" s="87"/>
      <c r="AW605" s="87"/>
      <c r="AX605" s="87"/>
      <c r="AY605" s="87"/>
      <c r="AZ605" s="87"/>
      <c r="BA605" s="87"/>
      <c r="BB605" s="87"/>
      <c r="BC605" s="87"/>
      <c r="BD605" s="87"/>
      <c r="BE605" s="87"/>
      <c r="BF605" s="87"/>
      <c r="BG605" s="87"/>
      <c r="BH605" s="87"/>
      <c r="BI605" s="87"/>
      <c r="BJ605" s="87"/>
      <c r="BK605" s="87"/>
      <c r="BL605" s="87"/>
      <c r="BM605" s="87"/>
      <c r="BN605" s="87"/>
      <c r="BO605" s="87"/>
      <c r="BP605" s="87"/>
      <c r="BQ605" s="87"/>
      <c r="BR605" s="87"/>
      <c r="BS605" s="87"/>
      <c r="BT605" s="87"/>
      <c r="BU605" s="87"/>
      <c r="BV605" s="87"/>
      <c r="BW605" s="87"/>
      <c r="BX605" s="87"/>
      <c r="BY605" s="87"/>
      <c r="BZ605" s="87"/>
      <c r="CA605" s="87"/>
      <c r="CB605" s="87"/>
      <c r="CC605" s="87"/>
      <c r="CD605" s="87"/>
      <c r="CE605" s="87"/>
      <c r="CF605" s="87"/>
      <c r="CG605" s="87"/>
      <c r="CH605" s="87"/>
      <c r="CI605" s="87"/>
      <c r="CJ605" s="87"/>
      <c r="CK605" s="87">
        <f>-1/7*C605</f>
        <v>-7.5214285714285705</v>
      </c>
      <c r="CL605" s="87">
        <f>-6/7*C605</f>
        <v>-45.128571428571426</v>
      </c>
      <c r="CM605" s="87"/>
      <c r="CN605" s="87"/>
      <c r="CO605" s="87"/>
      <c r="CP605" s="87"/>
      <c r="CQ605" s="87"/>
      <c r="CR605" s="87"/>
      <c r="CS605" s="87"/>
      <c r="CT605" s="87"/>
      <c r="CU605" s="87"/>
      <c r="CV605" s="87"/>
      <c r="CW605" s="87">
        <f>C605*3/7</f>
        <v>22.564285714285713</v>
      </c>
      <c r="CX605" s="87">
        <f>C605*4/7</f>
        <v>30.085714285714285</v>
      </c>
      <c r="CY605" s="87"/>
      <c r="CZ605" s="87"/>
      <c r="DA605" s="87"/>
      <c r="DB605" s="87"/>
      <c r="DC605" s="87"/>
      <c r="DD605" s="87"/>
      <c r="DE605" s="87"/>
      <c r="DF605" s="87"/>
      <c r="DG605" s="87"/>
      <c r="DH605" s="87"/>
      <c r="DI605" s="87"/>
      <c r="DJ605" s="87"/>
      <c r="DK605" s="87"/>
      <c r="DL605" s="87"/>
      <c r="DM605" s="87"/>
      <c r="DN605" s="87"/>
      <c r="DO605" s="87"/>
      <c r="DP605" s="87"/>
      <c r="DQ605" s="87"/>
      <c r="DR605" s="87"/>
      <c r="DS605" s="87"/>
      <c r="DT605" s="87"/>
      <c r="DU605" s="87"/>
      <c r="DV605" s="87"/>
      <c r="DW605" s="87"/>
      <c r="DX605" s="87"/>
      <c r="DY605" s="87"/>
      <c r="DZ605" s="87"/>
      <c r="EA605" s="87"/>
      <c r="EB605" s="87"/>
      <c r="EC605" s="87"/>
      <c r="ED605" s="87"/>
      <c r="EE605" s="87"/>
      <c r="EF605" s="87"/>
      <c r="EG605" s="87"/>
      <c r="EH605" s="87"/>
      <c r="EI605" s="87"/>
    </row>
    <row r="606" spans="1:139" ht="16.5" hidden="1" thickBot="1" x14ac:dyDescent="0.35">
      <c r="A606" s="190" t="s">
        <v>152</v>
      </c>
      <c r="B606" s="176">
        <v>3</v>
      </c>
      <c r="C606" s="177">
        <f>0.65*33</f>
        <v>21.45</v>
      </c>
      <c r="D606" s="217">
        <f>C606/VLOOKUP(B606,'[2]Gas Prod per PADD'!$A$1:$C$6,2,FALSE)</f>
        <v>4.6630434782608697E-3</v>
      </c>
      <c r="E606" s="178">
        <v>45757</v>
      </c>
      <c r="F606" s="179">
        <v>45762</v>
      </c>
      <c r="G606" s="180" t="s">
        <v>1030</v>
      </c>
      <c r="H606" s="181" t="s">
        <v>1031</v>
      </c>
      <c r="I606" s="84"/>
      <c r="J606" s="85"/>
      <c r="K606" s="85"/>
      <c r="L606" s="85"/>
      <c r="M606" s="85"/>
      <c r="N606" s="85"/>
      <c r="O606" s="85"/>
      <c r="P606" s="85"/>
      <c r="Q606" s="85"/>
      <c r="R606" s="85"/>
      <c r="S606" s="85">
        <f>C606*(E606-F606)/30</f>
        <v>-3.5750000000000002</v>
      </c>
      <c r="T606" s="85"/>
      <c r="U606" s="85"/>
      <c r="V606" s="84"/>
      <c r="W606" s="84"/>
      <c r="X606" s="84"/>
      <c r="Y606" s="105"/>
      <c r="Z606" s="105"/>
      <c r="AA606" s="87"/>
      <c r="AB606" s="87"/>
      <c r="AC606" s="87"/>
      <c r="AD606" s="87"/>
      <c r="AE606" s="105"/>
      <c r="AF606" s="105"/>
      <c r="AG606" s="105"/>
      <c r="AH606" s="105"/>
      <c r="AI606" s="87"/>
      <c r="AJ606" s="87"/>
      <c r="AK606" s="105"/>
      <c r="AL606" s="87"/>
      <c r="AM606" s="105"/>
      <c r="AN606" s="105"/>
      <c r="AO606" s="87"/>
      <c r="AP606" s="87"/>
      <c r="AQ606" s="105"/>
      <c r="AR606" s="105"/>
      <c r="AS606" s="87"/>
      <c r="AT606" s="105"/>
      <c r="AU606" s="87"/>
      <c r="AV606" s="105"/>
      <c r="AW606" s="105"/>
      <c r="AX606" s="105"/>
      <c r="AY606" s="105"/>
      <c r="AZ606" s="105"/>
      <c r="BA606" s="105"/>
      <c r="BB606" s="105"/>
      <c r="BC606" s="87"/>
      <c r="BD606" s="87"/>
      <c r="BE606" s="87"/>
      <c r="BF606" s="87"/>
      <c r="BG606" s="87"/>
      <c r="BH606" s="87"/>
      <c r="BI606" s="87"/>
      <c r="BJ606" s="87"/>
      <c r="BK606" s="87"/>
      <c r="BL606" s="87"/>
      <c r="BM606" s="87"/>
      <c r="BN606" s="87"/>
      <c r="BO606" s="87"/>
      <c r="BP606" s="87"/>
      <c r="BQ606" s="87"/>
      <c r="BR606" s="87"/>
      <c r="BS606" s="87"/>
      <c r="BT606" s="87"/>
      <c r="BU606" s="87"/>
      <c r="BV606" s="87"/>
      <c r="BW606" s="87"/>
      <c r="BX606" s="87"/>
      <c r="BY606" s="87"/>
      <c r="BZ606" s="87"/>
      <c r="CA606" s="87"/>
      <c r="CB606" s="87"/>
      <c r="CC606" s="87"/>
      <c r="CD606" s="87"/>
      <c r="CE606" s="87"/>
      <c r="CF606" s="87"/>
      <c r="CG606" s="87"/>
      <c r="CH606" s="87"/>
      <c r="CI606" s="87"/>
      <c r="CJ606" s="87"/>
      <c r="CK606" s="87"/>
      <c r="CL606" s="87"/>
      <c r="CM606" s="87"/>
      <c r="CN606" s="87"/>
      <c r="CO606" s="87"/>
      <c r="CP606" s="87"/>
      <c r="CQ606" s="87"/>
      <c r="CR606" s="87"/>
      <c r="CS606" s="87"/>
      <c r="CT606" s="87"/>
      <c r="CU606" s="87"/>
      <c r="CV606" s="87">
        <f>-1/7*C606</f>
        <v>-3.0642857142857141</v>
      </c>
      <c r="CW606" s="87">
        <f>-4/7*C606</f>
        <v>-12.257142857142856</v>
      </c>
      <c r="CX606" s="87">
        <f>-CW606</f>
        <v>12.257142857142856</v>
      </c>
      <c r="CY606" s="87">
        <f>-CV606</f>
        <v>3.0642857142857141</v>
      </c>
      <c r="CZ606" s="87"/>
      <c r="DA606" s="87"/>
      <c r="DB606" s="105"/>
      <c r="DC606" s="105"/>
      <c r="DD606" s="87"/>
      <c r="DE606" s="87"/>
      <c r="DF606" s="87"/>
      <c r="DG606" s="87"/>
      <c r="DH606" s="87"/>
      <c r="DI606" s="87"/>
      <c r="DJ606" s="87"/>
      <c r="DK606" s="87"/>
      <c r="DL606" s="87"/>
      <c r="DM606" s="87"/>
      <c r="DN606" s="87"/>
      <c r="DO606" s="87"/>
      <c r="DP606" s="87"/>
      <c r="DQ606" s="87"/>
      <c r="DR606" s="87"/>
      <c r="DS606" s="87"/>
      <c r="DT606" s="87"/>
      <c r="DU606" s="87"/>
      <c r="DV606" s="87"/>
      <c r="DW606" s="87"/>
      <c r="DX606" s="87"/>
      <c r="DY606" s="87"/>
      <c r="DZ606" s="87"/>
      <c r="EA606" s="87"/>
      <c r="EB606" s="87"/>
      <c r="EC606" s="87"/>
      <c r="ED606" s="87"/>
      <c r="EE606" s="87"/>
      <c r="EF606" s="87"/>
      <c r="EG606" s="87"/>
      <c r="EH606" s="87"/>
      <c r="EI606" s="87"/>
    </row>
    <row r="607" spans="1:139" ht="57.75" hidden="1" thickBot="1" x14ac:dyDescent="0.35">
      <c r="A607" s="190" t="s">
        <v>294</v>
      </c>
      <c r="B607" s="191">
        <v>3</v>
      </c>
      <c r="C607" s="177">
        <f>14*0.05+7*0.25+25*0.65</f>
        <v>18.7</v>
      </c>
      <c r="D607" s="217">
        <f>C607/VLOOKUP(B607,'[2]Gas Prod per PADD'!$A$1:$C$6,2,FALSE)</f>
        <v>4.0652173913043477E-3</v>
      </c>
      <c r="E607" s="178">
        <v>45756</v>
      </c>
      <c r="F607" s="179">
        <v>45763</v>
      </c>
      <c r="G607" s="180" t="s">
        <v>1032</v>
      </c>
      <c r="H607" s="181" t="s">
        <v>1033</v>
      </c>
      <c r="I607" s="84"/>
      <c r="J607" s="85"/>
      <c r="K607" s="85"/>
      <c r="L607" s="85"/>
      <c r="M607" s="85"/>
      <c r="N607" s="85"/>
      <c r="O607" s="85"/>
      <c r="P607" s="85"/>
      <c r="Q607" s="85"/>
      <c r="R607" s="85"/>
      <c r="S607" s="85">
        <f>C607*(E607-F607)/30</f>
        <v>-4.3633333333333333</v>
      </c>
      <c r="T607" s="85"/>
      <c r="U607" s="85"/>
      <c r="V607" s="84"/>
      <c r="W607" s="84"/>
      <c r="X607" s="84"/>
      <c r="Y607" s="105"/>
      <c r="Z607" s="105"/>
      <c r="AA607" s="87"/>
      <c r="AB607" s="87"/>
      <c r="AC607" s="87"/>
      <c r="AD607" s="87"/>
      <c r="AE607" s="105"/>
      <c r="AF607" s="105"/>
      <c r="AG607" s="105"/>
      <c r="AH607" s="105"/>
      <c r="AI607" s="87"/>
      <c r="AJ607" s="87"/>
      <c r="AK607" s="105"/>
      <c r="AL607" s="87"/>
      <c r="AM607" s="105"/>
      <c r="AN607" s="105"/>
      <c r="AO607" s="87"/>
      <c r="AP607" s="87"/>
      <c r="AQ607" s="105"/>
      <c r="AR607" s="105"/>
      <c r="AS607" s="87"/>
      <c r="AT607" s="105"/>
      <c r="AU607" s="105"/>
      <c r="AV607" s="87"/>
      <c r="AW607" s="105"/>
      <c r="AX607" s="105"/>
      <c r="AY607" s="87"/>
      <c r="AZ607" s="105"/>
      <c r="BA607" s="105"/>
      <c r="BB607" s="105"/>
      <c r="BC607" s="87"/>
      <c r="BD607" s="87"/>
      <c r="BE607" s="105"/>
      <c r="BF607" s="105"/>
      <c r="BG607" s="105"/>
      <c r="BH607" s="105"/>
      <c r="BI607" s="105"/>
      <c r="BJ607" s="87"/>
      <c r="BK607" s="87"/>
      <c r="BL607" s="87"/>
      <c r="BM607" s="87"/>
      <c r="BN607" s="87"/>
      <c r="BO607" s="87"/>
      <c r="BP607" s="87"/>
      <c r="BQ607" s="87"/>
      <c r="BR607" s="87"/>
      <c r="BS607" s="87"/>
      <c r="BT607" s="87"/>
      <c r="BU607" s="87"/>
      <c r="BV607" s="87"/>
      <c r="BW607" s="87"/>
      <c r="BX607" s="87"/>
      <c r="BY607" s="87"/>
      <c r="BZ607" s="87"/>
      <c r="CA607" s="87"/>
      <c r="CB607" s="87"/>
      <c r="CC607" s="87"/>
      <c r="CD607" s="87"/>
      <c r="CE607" s="87"/>
      <c r="CF607" s="87"/>
      <c r="CG607" s="87"/>
      <c r="CH607" s="87"/>
      <c r="CI607" s="87"/>
      <c r="CJ607" s="87"/>
      <c r="CK607" s="87"/>
      <c r="CL607" s="87"/>
      <c r="CM607" s="87"/>
      <c r="CN607" s="87"/>
      <c r="CO607" s="105"/>
      <c r="CP607" s="87"/>
      <c r="CQ607" s="87"/>
      <c r="CR607" s="87"/>
      <c r="CS607" s="87"/>
      <c r="CT607" s="87"/>
      <c r="CU607" s="87"/>
      <c r="CV607" s="87">
        <f>-2/7*C607</f>
        <v>-5.3428571428571425</v>
      </c>
      <c r="CW607" s="87"/>
      <c r="CX607" s="87">
        <f>-CV607</f>
        <v>5.3428571428571425</v>
      </c>
      <c r="CY607" s="87"/>
      <c r="CZ607" s="87"/>
      <c r="DA607" s="87"/>
      <c r="DB607" s="87"/>
      <c r="DC607" s="87"/>
      <c r="DD607" s="87"/>
      <c r="DE607" s="87"/>
      <c r="DF607" s="87"/>
      <c r="DG607" s="87"/>
      <c r="DH607" s="87"/>
      <c r="DI607" s="87"/>
      <c r="DJ607" s="87"/>
      <c r="DK607" s="87"/>
      <c r="DL607" s="87"/>
      <c r="DM607" s="87"/>
      <c r="DN607" s="87"/>
      <c r="DO607" s="87"/>
      <c r="DP607" s="87"/>
      <c r="DQ607" s="87"/>
      <c r="DR607" s="87"/>
      <c r="DS607" s="87"/>
      <c r="DT607" s="87"/>
      <c r="DU607" s="87"/>
      <c r="DV607" s="87"/>
      <c r="DW607" s="87"/>
      <c r="DX607" s="87"/>
      <c r="DY607" s="87"/>
      <c r="DZ607" s="87"/>
      <c r="EA607" s="87"/>
      <c r="EB607" s="87"/>
      <c r="EC607" s="87"/>
      <c r="ED607" s="87"/>
      <c r="EE607" s="87"/>
      <c r="EF607" s="87"/>
      <c r="EG607" s="87"/>
      <c r="EH607" s="87"/>
      <c r="EI607" s="87"/>
    </row>
    <row r="608" spans="1:139" ht="16.5" hidden="1" thickBot="1" x14ac:dyDescent="0.35">
      <c r="A608" s="161" t="s">
        <v>212</v>
      </c>
      <c r="B608" s="199">
        <v>5</v>
      </c>
      <c r="C608" s="195">
        <f>(90*0.65)+(60*0.1)</f>
        <v>64.5</v>
      </c>
      <c r="D608" s="217">
        <f>C608/VLOOKUP(B608,'[2]Gas Prod per PADD'!$A$1:$C$6,2,FALSE)</f>
        <v>4.777777777777778E-2</v>
      </c>
      <c r="E608" s="196">
        <v>45729</v>
      </c>
      <c r="F608" s="281">
        <v>45764</v>
      </c>
      <c r="G608" s="194" t="s">
        <v>1034</v>
      </c>
      <c r="H608" s="230" t="s">
        <v>1035</v>
      </c>
      <c r="I608" s="84" t="s">
        <v>1036</v>
      </c>
      <c r="J608" s="85"/>
      <c r="K608" s="85"/>
      <c r="L608" s="85"/>
      <c r="M608" s="85"/>
      <c r="N608" s="85"/>
      <c r="O608" s="85"/>
      <c r="P608" s="85"/>
      <c r="Q608" s="85"/>
      <c r="R608" s="85">
        <f>C608*(E608-$R$1)/31</f>
        <v>-37.451612903225808</v>
      </c>
      <c r="S608" s="85">
        <f>C608*($R$1+1-F608)/30</f>
        <v>-34.4</v>
      </c>
      <c r="T608" s="85"/>
      <c r="U608" s="85"/>
      <c r="V608" s="84"/>
      <c r="W608" s="84"/>
      <c r="X608" s="84" t="str">
        <f>IF(COUNTA(Y608:EI608)=0,"Missing","OK")</f>
        <v>OK</v>
      </c>
      <c r="Y608" s="87"/>
      <c r="Z608" s="87"/>
      <c r="AA608" s="87"/>
      <c r="AB608" s="87"/>
      <c r="AC608" s="87"/>
      <c r="AD608" s="87"/>
      <c r="AE608" s="87"/>
      <c r="AF608" s="87"/>
      <c r="AG608" s="87"/>
      <c r="AH608" s="87"/>
      <c r="AI608" s="87"/>
      <c r="AJ608" s="87"/>
      <c r="AK608" s="87"/>
      <c r="AL608" s="87"/>
      <c r="AM608" s="87"/>
      <c r="AN608" s="87"/>
      <c r="AO608" s="87"/>
      <c r="AP608" s="87"/>
      <c r="AQ608" s="87"/>
      <c r="AR608" s="87"/>
      <c r="AS608" s="87"/>
      <c r="AT608" s="87"/>
      <c r="AU608" s="87"/>
      <c r="AV608" s="87"/>
      <c r="AW608" s="87"/>
      <c r="AX608" s="87"/>
      <c r="AY608" s="87"/>
      <c r="AZ608" s="87"/>
      <c r="BA608" s="87"/>
      <c r="BB608" s="87"/>
      <c r="BC608" s="87"/>
      <c r="BD608" s="87"/>
      <c r="BE608" s="87"/>
      <c r="BF608" s="87"/>
      <c r="BG608" s="87"/>
      <c r="BH608" s="87"/>
      <c r="BI608" s="87"/>
      <c r="BJ608" s="87"/>
      <c r="BK608" s="87"/>
      <c r="BL608" s="87"/>
      <c r="BM608" s="87"/>
      <c r="BN608" s="105"/>
      <c r="BO608" s="87"/>
      <c r="BP608" s="105"/>
      <c r="BQ608" s="105"/>
      <c r="BR608" s="87"/>
      <c r="BS608" s="87"/>
      <c r="BT608" s="87"/>
      <c r="BU608" s="87"/>
      <c r="BV608" s="87"/>
      <c r="BW608" s="87"/>
      <c r="BX608" s="87"/>
      <c r="BY608" s="87"/>
      <c r="BZ608" s="87"/>
      <c r="CA608" s="87"/>
      <c r="CB608" s="87"/>
      <c r="CC608" s="87"/>
      <c r="CD608" s="87"/>
      <c r="CE608" s="87"/>
      <c r="CF608" s="87"/>
      <c r="CG608" s="87"/>
      <c r="CH608" s="87"/>
      <c r="CI608" s="87"/>
      <c r="CJ608" s="87"/>
      <c r="CK608" s="87"/>
      <c r="CL608" s="87"/>
      <c r="CM608" s="87"/>
      <c r="CN608" s="87"/>
      <c r="CO608" s="87"/>
      <c r="CP608" s="87"/>
      <c r="CQ608" s="87"/>
      <c r="CR608" s="278">
        <f>-1/7*C608</f>
        <v>-9.2142857142857135</v>
      </c>
      <c r="CS608" s="278">
        <f>-6/7*C608</f>
        <v>-55.285714285714285</v>
      </c>
      <c r="CT608" s="278"/>
      <c r="CU608" s="278"/>
      <c r="CV608" s="278"/>
      <c r="CW608" s="278">
        <f>C608</f>
        <v>64.5</v>
      </c>
      <c r="CX608" s="278"/>
      <c r="CY608" s="278"/>
      <c r="CZ608" s="87"/>
      <c r="DA608" s="87"/>
      <c r="DB608" s="87"/>
      <c r="DC608" s="87"/>
      <c r="DD608" s="87"/>
      <c r="DE608" s="87"/>
      <c r="DF608" s="87"/>
      <c r="DG608" s="87"/>
      <c r="DH608" s="87"/>
      <c r="DI608" s="87"/>
      <c r="DJ608" s="87"/>
      <c r="DK608" s="87"/>
      <c r="DL608" s="87"/>
      <c r="DM608" s="87"/>
      <c r="DN608" s="87"/>
      <c r="DO608" s="87"/>
      <c r="DP608" s="87"/>
      <c r="DQ608" s="87"/>
      <c r="DR608" s="87"/>
      <c r="DS608" s="87"/>
      <c r="DT608" s="87"/>
      <c r="DU608" s="87"/>
      <c r="DV608" s="87"/>
      <c r="DW608" s="87"/>
      <c r="DX608" s="87"/>
      <c r="DY608" s="87"/>
      <c r="DZ608" s="87"/>
      <c r="EA608" s="87"/>
      <c r="EB608" s="87"/>
      <c r="EC608" s="87"/>
      <c r="ED608" s="87"/>
      <c r="EE608" s="87"/>
      <c r="EF608" s="87"/>
      <c r="EG608" s="75">
        <v>46017</v>
      </c>
      <c r="EH608" s="75">
        <v>46024</v>
      </c>
      <c r="EI608" s="75">
        <v>46031</v>
      </c>
    </row>
    <row r="609" spans="1:139" ht="43.5" hidden="1" thickBot="1" x14ac:dyDescent="0.35">
      <c r="A609" s="222" t="s">
        <v>243</v>
      </c>
      <c r="B609" s="191">
        <v>3</v>
      </c>
      <c r="C609" s="177">
        <f>30*0.65+(154*0.25*0.3)</f>
        <v>31.049999999999997</v>
      </c>
      <c r="D609" s="234">
        <f>C609/VLOOKUP(B609,'[2]Gas Prod per PADD'!$A$1:$C$6,2,FALSE)</f>
        <v>6.7499999999999991E-3</v>
      </c>
      <c r="E609" s="251">
        <v>45736</v>
      </c>
      <c r="F609" s="252">
        <v>45764</v>
      </c>
      <c r="G609" s="180" t="s">
        <v>947</v>
      </c>
      <c r="H609" s="181" t="s">
        <v>600</v>
      </c>
      <c r="I609" s="369" t="s">
        <v>1037</v>
      </c>
      <c r="J609" s="370"/>
      <c r="K609" s="370"/>
      <c r="L609" s="370"/>
      <c r="M609" s="370"/>
      <c r="N609" s="370"/>
      <c r="O609" s="370"/>
      <c r="P609" s="370"/>
      <c r="Q609" s="370"/>
      <c r="R609" s="85">
        <f>C609*(E609-$R$1)/31</f>
        <v>-11.017741935483869</v>
      </c>
      <c r="S609" s="85">
        <f>C609*($R$1+1-F609)/30</f>
        <v>-16.559999999999999</v>
      </c>
      <c r="T609" s="85"/>
      <c r="U609" s="85"/>
      <c r="V609" s="84"/>
      <c r="W609" s="84"/>
      <c r="X609" s="84" t="str">
        <f>IF(COUNTA(Y609:EI609)=0,"Missing","OK")</f>
        <v>OK</v>
      </c>
      <c r="Y609" s="86"/>
      <c r="Z609" s="87"/>
      <c r="AA609" s="87"/>
      <c r="AB609" s="87"/>
      <c r="AC609" s="87"/>
      <c r="AD609" s="87"/>
      <c r="AE609" s="87"/>
      <c r="AF609" s="87"/>
      <c r="AG609" s="87"/>
      <c r="AH609" s="87"/>
      <c r="AI609" s="87"/>
      <c r="AJ609" s="87"/>
      <c r="AK609" s="87"/>
      <c r="AL609" s="87"/>
      <c r="AM609" s="87"/>
      <c r="AN609" s="87"/>
      <c r="AO609" s="87"/>
      <c r="AP609" s="87"/>
      <c r="AQ609" s="87"/>
      <c r="AR609" s="87"/>
      <c r="AS609" s="87"/>
      <c r="AT609" s="87"/>
      <c r="AU609" s="87"/>
      <c r="AV609" s="87"/>
      <c r="AW609" s="87"/>
      <c r="AX609" s="87"/>
      <c r="AY609" s="87"/>
      <c r="AZ609" s="87"/>
      <c r="BA609" s="87"/>
      <c r="BB609" s="87"/>
      <c r="BC609" s="87"/>
      <c r="BD609" s="87"/>
      <c r="BE609" s="87"/>
      <c r="BF609" s="87"/>
      <c r="BG609" s="87"/>
      <c r="BH609" s="87"/>
      <c r="BI609" s="87"/>
      <c r="BJ609" s="105"/>
      <c r="BK609" s="87"/>
      <c r="BL609" s="105"/>
      <c r="BM609" s="87"/>
      <c r="BN609" s="87"/>
      <c r="BO609" s="87"/>
      <c r="BP609" s="87"/>
      <c r="BQ609" s="87"/>
      <c r="BR609" s="87"/>
      <c r="BS609" s="87"/>
      <c r="BT609" s="87"/>
      <c r="BU609" s="87"/>
      <c r="BV609" s="87"/>
      <c r="BW609" s="87"/>
      <c r="BX609" s="87"/>
      <c r="BY609" s="87"/>
      <c r="BZ609" s="87"/>
      <c r="CA609" s="87"/>
      <c r="CB609" s="87"/>
      <c r="CC609" s="87"/>
      <c r="CD609" s="87"/>
      <c r="CE609" s="87"/>
      <c r="CF609" s="87"/>
      <c r="CG609" s="87"/>
      <c r="CH609" s="87"/>
      <c r="CI609" s="87"/>
      <c r="CJ609" s="87"/>
      <c r="CK609" s="87"/>
      <c r="CL609" s="87"/>
      <c r="CM609" s="87"/>
      <c r="CN609" s="87"/>
      <c r="CO609" s="87"/>
      <c r="CP609" s="87"/>
      <c r="CQ609" s="87"/>
      <c r="CR609" s="87"/>
      <c r="CS609" s="87">
        <f>-1/7*C609</f>
        <v>-4.4357142857142851</v>
      </c>
      <c r="CT609" s="87">
        <f>-6/7*C609</f>
        <v>-26.61428571428571</v>
      </c>
      <c r="CU609" s="87"/>
      <c r="CV609" s="87"/>
      <c r="CW609" s="87">
        <f>C609*1/7</f>
        <v>4.4357142857142851</v>
      </c>
      <c r="CX609" s="87">
        <f>C609*6/7</f>
        <v>26.61428571428571</v>
      </c>
      <c r="CY609" s="87"/>
      <c r="CZ609" s="87"/>
      <c r="DA609" s="87"/>
      <c r="DB609" s="87"/>
      <c r="DC609" s="87"/>
      <c r="DD609" s="87"/>
      <c r="DE609" s="87"/>
      <c r="DF609" s="87"/>
      <c r="DG609" s="87"/>
      <c r="DH609" s="87"/>
      <c r="DI609" s="87"/>
      <c r="DJ609" s="87"/>
      <c r="DK609" s="87"/>
      <c r="DL609" s="87"/>
      <c r="DM609" s="87"/>
      <c r="DN609" s="87"/>
      <c r="DO609" s="87"/>
      <c r="DP609" s="87"/>
      <c r="DQ609" s="87"/>
      <c r="DR609" s="87"/>
      <c r="DS609" s="87"/>
      <c r="DT609" s="87"/>
      <c r="DU609" s="87"/>
      <c r="DV609" s="87"/>
      <c r="DW609" s="87"/>
      <c r="DX609" s="87"/>
      <c r="DY609" s="87"/>
      <c r="DZ609" s="87"/>
      <c r="EA609" s="87"/>
      <c r="EB609" s="87"/>
      <c r="EC609" s="87"/>
      <c r="ED609" s="87"/>
      <c r="EE609" s="87"/>
      <c r="EF609" s="87"/>
      <c r="EG609" s="87"/>
      <c r="EH609" s="87"/>
      <c r="EI609" s="87"/>
    </row>
    <row r="610" spans="1:139" ht="29.25" hidden="1" thickBot="1" x14ac:dyDescent="0.35">
      <c r="A610" s="161" t="s">
        <v>212</v>
      </c>
      <c r="B610" s="199">
        <v>5</v>
      </c>
      <c r="C610" s="195">
        <f>166*0.1*0.25</f>
        <v>4.1500000000000004</v>
      </c>
      <c r="D610" s="217">
        <f>C610/VLOOKUP(B610,'[2]Gas Prod per PADD'!$A$1:$C$6,2,FALSE)</f>
        <v>3.0740740740740741E-3</v>
      </c>
      <c r="E610" s="196">
        <v>45744</v>
      </c>
      <c r="F610" s="281">
        <v>45764</v>
      </c>
      <c r="G610" s="194" t="s">
        <v>1038</v>
      </c>
      <c r="H610" s="230" t="s">
        <v>1039</v>
      </c>
      <c r="I610" s="84" t="s">
        <v>1040</v>
      </c>
      <c r="J610" s="85"/>
      <c r="K610" s="85"/>
      <c r="L610" s="85"/>
      <c r="M610" s="85"/>
      <c r="N610" s="85"/>
      <c r="O610" s="85"/>
      <c r="P610" s="85"/>
      <c r="Q610" s="85"/>
      <c r="R610" s="85">
        <f>C610*(E610-$R$1)/31</f>
        <v>-0.40161290322580651</v>
      </c>
      <c r="S610" s="85">
        <f>C610*($R$1+1-F610)/30</f>
        <v>-2.2133333333333334</v>
      </c>
      <c r="T610" s="85"/>
      <c r="U610" s="85"/>
      <c r="V610" s="84"/>
      <c r="W610" s="84"/>
      <c r="X610" s="84" t="str">
        <f>IF(COUNTA(Y610:EI610)=0,"Missing","OK")</f>
        <v>OK</v>
      </c>
      <c r="Y610" s="87"/>
      <c r="Z610" s="87"/>
      <c r="AA610" s="87"/>
      <c r="AB610" s="87"/>
      <c r="AC610" s="87"/>
      <c r="AD610" s="87"/>
      <c r="AE610" s="87"/>
      <c r="AF610" s="87"/>
      <c r="AG610" s="87"/>
      <c r="AH610" s="87"/>
      <c r="AI610" s="87"/>
      <c r="AJ610" s="87"/>
      <c r="AK610" s="87"/>
      <c r="AL610" s="87"/>
      <c r="AM610" s="87"/>
      <c r="AN610" s="87"/>
      <c r="AO610" s="87"/>
      <c r="AP610" s="87"/>
      <c r="AQ610" s="87"/>
      <c r="AR610" s="87"/>
      <c r="AS610" s="87"/>
      <c r="AT610" s="87"/>
      <c r="AU610" s="87"/>
      <c r="AV610" s="87"/>
      <c r="AW610" s="87"/>
      <c r="AX610" s="87"/>
      <c r="AY610" s="87"/>
      <c r="AZ610" s="87"/>
      <c r="BA610" s="87"/>
      <c r="BB610" s="87"/>
      <c r="BC610" s="87"/>
      <c r="BD610" s="87"/>
      <c r="BE610" s="87"/>
      <c r="BF610" s="87"/>
      <c r="BG610" s="87"/>
      <c r="BH610" s="87"/>
      <c r="BI610" s="87"/>
      <c r="BJ610" s="87"/>
      <c r="BK610" s="87"/>
      <c r="BL610" s="87"/>
      <c r="BM610" s="87"/>
      <c r="BN610" s="87"/>
      <c r="BO610" s="87"/>
      <c r="BP610" s="87"/>
      <c r="BQ610" s="87"/>
      <c r="BR610" s="87"/>
      <c r="BS610" s="87"/>
      <c r="BT610" s="87"/>
      <c r="BU610" s="87"/>
      <c r="BV610" s="87"/>
      <c r="BW610" s="87"/>
      <c r="BX610" s="87"/>
      <c r="BY610" s="87"/>
      <c r="BZ610" s="87"/>
      <c r="CA610" s="87"/>
      <c r="CB610" s="87"/>
      <c r="CC610" s="87"/>
      <c r="CD610" s="87"/>
      <c r="CE610" s="87"/>
      <c r="CF610" s="87"/>
      <c r="CG610" s="87"/>
      <c r="CH610" s="87"/>
      <c r="CI610" s="87"/>
      <c r="CJ610" s="87"/>
      <c r="CK610" s="87"/>
      <c r="CL610" s="87"/>
      <c r="CM610" s="87"/>
      <c r="CN610" s="87"/>
      <c r="CO610" s="87"/>
      <c r="CP610" s="87"/>
      <c r="CQ610" s="87"/>
      <c r="CR610" s="278"/>
      <c r="CS610" s="278"/>
      <c r="CT610" s="278"/>
      <c r="CU610" s="278">
        <f>-C610*7/7</f>
        <v>-4.1500000000000004</v>
      </c>
      <c r="CV610" s="278"/>
      <c r="CW610" s="278">
        <f>2/7*C610</f>
        <v>1.1857142857142857</v>
      </c>
      <c r="CX610" s="278">
        <f>5/7*C610</f>
        <v>2.9642857142857144</v>
      </c>
      <c r="CY610" s="278"/>
      <c r="CZ610" s="87"/>
      <c r="DA610" s="87"/>
      <c r="DB610" s="105"/>
      <c r="DC610" s="87"/>
      <c r="DD610" s="87"/>
      <c r="DE610" s="105"/>
      <c r="DF610" s="87"/>
      <c r="DG610" s="87"/>
      <c r="DH610" s="87"/>
      <c r="DI610" s="87"/>
      <c r="DJ610" s="87"/>
      <c r="DK610" s="87"/>
      <c r="DL610" s="87"/>
      <c r="DM610" s="87"/>
      <c r="DN610" s="87"/>
      <c r="DO610" s="87"/>
      <c r="DP610" s="87"/>
      <c r="DQ610" s="87"/>
      <c r="DR610" s="87"/>
      <c r="DS610" s="87"/>
      <c r="DT610" s="87"/>
      <c r="DU610" s="87"/>
      <c r="DV610" s="87"/>
      <c r="DW610" s="87"/>
      <c r="DX610" s="87"/>
      <c r="DY610" s="87"/>
      <c r="DZ610" s="87"/>
      <c r="EA610" s="87"/>
      <c r="EB610" s="87"/>
      <c r="EC610" s="87"/>
      <c r="ED610" s="87"/>
      <c r="EE610" s="87"/>
      <c r="EF610" s="87"/>
      <c r="EG610" s="75">
        <v>46017</v>
      </c>
      <c r="EH610" s="75">
        <v>46024</v>
      </c>
      <c r="EI610" s="75">
        <v>46031</v>
      </c>
    </row>
    <row r="611" spans="1:139" ht="43.5" hidden="1" thickBot="1" x14ac:dyDescent="0.35">
      <c r="A611" s="352" t="s">
        <v>231</v>
      </c>
      <c r="B611" s="223">
        <v>2</v>
      </c>
      <c r="C611" s="224">
        <f>(14*0.25)+(20*0.65)+(13*0.85)+10*0.15</f>
        <v>29.049999999999997</v>
      </c>
      <c r="D611" s="217">
        <f>C611/VLOOKUP(B611,'[2]Gas Prod per PADD'!$A$1:$C$6,2,FALSE)</f>
        <v>1.2104166666666666E-2</v>
      </c>
      <c r="E611" s="363">
        <v>45754</v>
      </c>
      <c r="F611" s="356">
        <v>45764</v>
      </c>
      <c r="G611" s="180" t="s">
        <v>1041</v>
      </c>
      <c r="H611" s="221"/>
      <c r="I611" s="84"/>
      <c r="J611" s="85"/>
      <c r="K611" s="85"/>
      <c r="L611" s="85"/>
      <c r="M611" s="85"/>
      <c r="N611" s="85"/>
      <c r="O611" s="85"/>
      <c r="P611" s="85"/>
      <c r="Q611" s="85"/>
      <c r="R611" s="85"/>
      <c r="S611" s="85">
        <f>C611*(E611-F611)/30</f>
        <v>-9.6833333333333336</v>
      </c>
      <c r="T611" s="85"/>
      <c r="U611" s="85"/>
      <c r="V611" s="84"/>
      <c r="W611" s="84"/>
      <c r="X611" s="84" t="str">
        <f>IF(COUNTA(Y611:EI611)=0,"Missing","OK")</f>
        <v>OK</v>
      </c>
      <c r="Y611" s="87"/>
      <c r="Z611" s="87"/>
      <c r="AA611" s="87"/>
      <c r="AB611" s="87"/>
      <c r="AC611" s="87"/>
      <c r="AD611" s="87"/>
      <c r="AE611" s="87"/>
      <c r="AF611" s="87"/>
      <c r="AG611" s="87"/>
      <c r="AH611" s="87"/>
      <c r="AI611" s="87"/>
      <c r="AJ611" s="87"/>
      <c r="AK611" s="87"/>
      <c r="AL611" s="87"/>
      <c r="AM611" s="87"/>
      <c r="AN611" s="87"/>
      <c r="AO611" s="87"/>
      <c r="AP611" s="87"/>
      <c r="AQ611" s="87"/>
      <c r="AR611" s="87"/>
      <c r="AS611" s="87"/>
      <c r="AT611" s="87"/>
      <c r="AU611" s="87"/>
      <c r="AV611" s="87"/>
      <c r="AW611" s="87"/>
      <c r="AX611" s="87"/>
      <c r="AY611" s="87"/>
      <c r="AZ611" s="87"/>
      <c r="BA611" s="87"/>
      <c r="BB611" s="87"/>
      <c r="BC611" s="87"/>
      <c r="BD611" s="87"/>
      <c r="BE611" s="87"/>
      <c r="BF611" s="87"/>
      <c r="BG611" s="87"/>
      <c r="BH611" s="87"/>
      <c r="BI611" s="87"/>
      <c r="BJ611" s="87"/>
      <c r="BK611" s="87"/>
      <c r="BL611" s="87"/>
      <c r="BM611" s="87"/>
      <c r="BN611" s="105"/>
      <c r="BO611" s="87"/>
      <c r="BP611" s="105"/>
      <c r="BQ611" s="105"/>
      <c r="BR611" s="87"/>
      <c r="BS611" s="87"/>
      <c r="BT611" s="87"/>
      <c r="BU611" s="87"/>
      <c r="BV611" s="87"/>
      <c r="BW611" s="87"/>
      <c r="BX611" s="87"/>
      <c r="BY611" s="87"/>
      <c r="BZ611" s="87"/>
      <c r="CA611" s="87"/>
      <c r="CB611" s="87"/>
      <c r="CC611" s="87"/>
      <c r="CD611" s="87"/>
      <c r="CE611" s="87"/>
      <c r="CF611" s="87"/>
      <c r="CG611" s="87"/>
      <c r="CH611" s="87"/>
      <c r="CI611" s="87"/>
      <c r="CJ611" s="87"/>
      <c r="CK611" s="87"/>
      <c r="CL611" s="87"/>
      <c r="CM611" s="87"/>
      <c r="CN611" s="87"/>
      <c r="CO611" s="87"/>
      <c r="CP611" s="87"/>
      <c r="CQ611" s="87"/>
      <c r="CR611" s="87"/>
      <c r="CS611" s="87"/>
      <c r="CT611" s="87"/>
      <c r="CU611" s="87"/>
      <c r="CV611" s="87">
        <f>-4/7*C611</f>
        <v>-16.599999999999998</v>
      </c>
      <c r="CW611" s="87">
        <f>-3/7*C611</f>
        <v>-12.449999999999998</v>
      </c>
      <c r="CX611" s="87">
        <f>-CV611</f>
        <v>16.599999999999998</v>
      </c>
      <c r="CY611" s="87">
        <f>-CW611</f>
        <v>12.449999999999998</v>
      </c>
      <c r="CZ611" s="87"/>
      <c r="DA611" s="87"/>
      <c r="DB611" s="87"/>
      <c r="DC611" s="87"/>
      <c r="DD611" s="87"/>
      <c r="DE611" s="87"/>
      <c r="DF611" s="87"/>
      <c r="DG611" s="87"/>
      <c r="DH611" s="87"/>
      <c r="DI611" s="87"/>
      <c r="DJ611" s="87"/>
      <c r="DK611" s="87"/>
      <c r="DL611" s="87"/>
      <c r="DM611" s="87"/>
      <c r="DN611" s="87"/>
      <c r="DO611" s="87"/>
      <c r="DP611" s="87"/>
      <c r="DQ611" s="87"/>
      <c r="DR611" s="87"/>
      <c r="DS611" s="87"/>
      <c r="DT611" s="87"/>
      <c r="DU611" s="87"/>
      <c r="DV611" s="87"/>
      <c r="DW611" s="87"/>
      <c r="DX611" s="87"/>
      <c r="DY611" s="87"/>
      <c r="DZ611" s="87"/>
      <c r="EA611" s="87"/>
      <c r="EB611" s="87"/>
      <c r="EC611" s="87"/>
      <c r="ED611" s="87"/>
      <c r="EE611" s="87"/>
      <c r="EF611" s="87"/>
      <c r="EG611" s="87"/>
      <c r="EH611" s="87"/>
      <c r="EI611" s="87"/>
    </row>
    <row r="612" spans="1:139" ht="16.5" hidden="1" thickBot="1" x14ac:dyDescent="0.35">
      <c r="A612" s="237" t="s">
        <v>563</v>
      </c>
      <c r="B612" s="194">
        <v>2</v>
      </c>
      <c r="C612" s="195">
        <f>11.2*0.85</f>
        <v>9.52</v>
      </c>
      <c r="D612" s="217">
        <f>C612/VLOOKUP(B612,'[2]Gas Prod per PADD'!$A$1:$C$6,2,FALSE)</f>
        <v>3.9666666666666661E-3</v>
      </c>
      <c r="E612" s="196">
        <v>45755</v>
      </c>
      <c r="F612" s="281">
        <v>45765</v>
      </c>
      <c r="G612" s="194" t="s">
        <v>601</v>
      </c>
      <c r="H612" s="198" t="s">
        <v>640</v>
      </c>
      <c r="I612" s="84"/>
      <c r="J612" s="85"/>
      <c r="K612" s="85"/>
      <c r="L612" s="85"/>
      <c r="M612" s="85"/>
      <c r="N612" s="85"/>
      <c r="O612" s="85"/>
      <c r="P612" s="85"/>
      <c r="Q612" s="85"/>
      <c r="R612" s="85"/>
      <c r="S612" s="85">
        <f>C612*(E612-F612)/30</f>
        <v>-3.1733333333333329</v>
      </c>
      <c r="T612" s="85"/>
      <c r="U612" s="85"/>
      <c r="V612" s="84"/>
      <c r="W612" s="84"/>
      <c r="X612" s="84"/>
      <c r="Y612" s="105"/>
      <c r="Z612" s="105"/>
      <c r="AA612" s="87"/>
      <c r="AB612" s="87"/>
      <c r="AC612" s="87"/>
      <c r="AD612" s="87"/>
      <c r="AE612" s="105"/>
      <c r="AF612" s="105"/>
      <c r="AG612" s="105"/>
      <c r="AH612" s="105"/>
      <c r="AI612" s="87"/>
      <c r="AJ612" s="87"/>
      <c r="AK612" s="105"/>
      <c r="AL612" s="87"/>
      <c r="AM612" s="105"/>
      <c r="AN612" s="105"/>
      <c r="AO612" s="87"/>
      <c r="AP612" s="87"/>
      <c r="AQ612" s="105"/>
      <c r="AR612" s="105"/>
      <c r="AS612" s="87"/>
      <c r="AT612" s="105"/>
      <c r="AU612" s="105"/>
      <c r="AV612" s="87"/>
      <c r="AW612" s="105"/>
      <c r="AX612" s="105"/>
      <c r="AY612" s="87"/>
      <c r="AZ612" s="105"/>
      <c r="BA612" s="105"/>
      <c r="BB612" s="105"/>
      <c r="BC612" s="87"/>
      <c r="BD612" s="87"/>
      <c r="BE612" s="105"/>
      <c r="BF612" s="105"/>
      <c r="BG612" s="105"/>
      <c r="BH612" s="105"/>
      <c r="BI612" s="105"/>
      <c r="BJ612" s="87"/>
      <c r="BK612" s="87"/>
      <c r="BL612" s="87"/>
      <c r="BM612" s="87"/>
      <c r="BN612" s="87"/>
      <c r="BO612" s="105"/>
      <c r="BP612" s="105"/>
      <c r="BQ612" s="105"/>
      <c r="BR612" s="87"/>
      <c r="BS612" s="87"/>
      <c r="BT612" s="87"/>
      <c r="BU612" s="87"/>
      <c r="BV612" s="87"/>
      <c r="BW612" s="87"/>
      <c r="BX612" s="87"/>
      <c r="BY612" s="87"/>
      <c r="BZ612" s="87"/>
      <c r="CA612" s="87"/>
      <c r="CB612" s="87"/>
      <c r="CC612" s="87"/>
      <c r="CD612" s="87"/>
      <c r="CE612" s="87"/>
      <c r="CF612" s="87"/>
      <c r="CG612" s="87"/>
      <c r="CH612" s="87"/>
      <c r="CI612" s="87"/>
      <c r="CJ612" s="87"/>
      <c r="CK612" s="87"/>
      <c r="CL612" s="87"/>
      <c r="CM612" s="87"/>
      <c r="CN612" s="87"/>
      <c r="CO612" s="87"/>
      <c r="CP612" s="87"/>
      <c r="CQ612" s="87"/>
      <c r="CR612" s="87"/>
      <c r="CS612" s="87"/>
      <c r="CT612" s="87"/>
      <c r="CU612" s="87"/>
      <c r="CV612" s="87">
        <f>-3/7*C612</f>
        <v>-4.0799999999999992</v>
      </c>
      <c r="CW612" s="87">
        <f>-4/7*C612</f>
        <v>-5.4399999999999995</v>
      </c>
      <c r="CX612" s="87">
        <f>-CW612</f>
        <v>5.4399999999999995</v>
      </c>
      <c r="CY612" s="87">
        <f>-CV612</f>
        <v>4.0799999999999992</v>
      </c>
      <c r="CZ612" s="87"/>
      <c r="DA612" s="87"/>
      <c r="DB612" s="87"/>
      <c r="DC612" s="87"/>
      <c r="DD612" s="87"/>
      <c r="DE612" s="87"/>
      <c r="DF612" s="87"/>
      <c r="DG612" s="87"/>
      <c r="DH612" s="87"/>
      <c r="DI612" s="87"/>
      <c r="DJ612" s="87"/>
      <c r="DK612" s="87"/>
      <c r="DL612" s="87"/>
      <c r="DM612" s="87"/>
      <c r="DN612" s="87"/>
      <c r="DO612" s="87"/>
      <c r="DP612" s="87"/>
      <c r="DQ612" s="87"/>
      <c r="DR612" s="87"/>
      <c r="DS612" s="87"/>
      <c r="DT612" s="87"/>
      <c r="DU612" s="87"/>
      <c r="DV612" s="87"/>
      <c r="DW612" s="87"/>
      <c r="DX612" s="87"/>
      <c r="DY612" s="87"/>
      <c r="DZ612" s="87"/>
      <c r="EA612" s="87"/>
      <c r="EB612" s="87"/>
      <c r="EC612" s="87"/>
      <c r="ED612" s="87"/>
      <c r="EE612" s="87"/>
      <c r="EF612" s="87"/>
      <c r="EG612" s="87"/>
      <c r="EH612" s="87"/>
      <c r="EI612" s="87"/>
    </row>
    <row r="613" spans="1:139" ht="16.5" hidden="1" thickBot="1" x14ac:dyDescent="0.35">
      <c r="A613" s="190" t="s">
        <v>152</v>
      </c>
      <c r="B613" s="176">
        <v>3</v>
      </c>
      <c r="C613" s="177">
        <f>25*0.25</f>
        <v>6.25</v>
      </c>
      <c r="D613" s="217">
        <f>C613/VLOOKUP(B613,'[2]Gas Prod per PADD'!$A$1:$C$6,2,FALSE)</f>
        <v>1.358695652173913E-3</v>
      </c>
      <c r="E613" s="178">
        <v>45755</v>
      </c>
      <c r="F613" s="276">
        <v>45765</v>
      </c>
      <c r="G613" s="180" t="s">
        <v>643</v>
      </c>
      <c r="H613" s="181" t="s">
        <v>1042</v>
      </c>
      <c r="I613" s="84"/>
      <c r="J613" s="85"/>
      <c r="K613" s="85"/>
      <c r="L613" s="85"/>
      <c r="M613" s="85"/>
      <c r="N613" s="85"/>
      <c r="O613" s="85"/>
      <c r="P613" s="85"/>
      <c r="Q613" s="85"/>
      <c r="R613" s="85"/>
      <c r="S613" s="85">
        <f>C613*(E613-F613)/30</f>
        <v>-2.0833333333333335</v>
      </c>
      <c r="T613" s="85"/>
      <c r="U613" s="85"/>
      <c r="V613" s="84"/>
      <c r="W613" s="84"/>
      <c r="X613" s="84" t="str">
        <f>IF(COUNTA(Y613:EI613)=0,"Missing","OK")</f>
        <v>OK</v>
      </c>
      <c r="Y613" s="105"/>
      <c r="Z613" s="105"/>
      <c r="AA613" s="87"/>
      <c r="AB613" s="87"/>
      <c r="AC613" s="87"/>
      <c r="AD613" s="87"/>
      <c r="AE613" s="105"/>
      <c r="AF613" s="105"/>
      <c r="AG613" s="105"/>
      <c r="AH613" s="105"/>
      <c r="AI613" s="87"/>
      <c r="AJ613" s="87"/>
      <c r="AK613" s="105"/>
      <c r="AL613" s="87"/>
      <c r="AM613" s="105"/>
      <c r="AN613" s="105"/>
      <c r="AO613" s="87"/>
      <c r="AP613" s="87"/>
      <c r="AQ613" s="105"/>
      <c r="AR613" s="105"/>
      <c r="AS613" s="87"/>
      <c r="AT613" s="105"/>
      <c r="AU613" s="105"/>
      <c r="AV613" s="87"/>
      <c r="AW613" s="105"/>
      <c r="AX613" s="105"/>
      <c r="AY613" s="87"/>
      <c r="AZ613" s="105"/>
      <c r="BA613" s="105"/>
      <c r="BB613" s="105"/>
      <c r="BC613" s="87"/>
      <c r="BD613" s="87"/>
      <c r="BE613" s="105"/>
      <c r="BF613" s="105"/>
      <c r="BG613" s="105"/>
      <c r="BH613" s="105"/>
      <c r="BI613" s="105"/>
      <c r="BJ613" s="87"/>
      <c r="BK613" s="87"/>
      <c r="BL613" s="87"/>
      <c r="BM613" s="87"/>
      <c r="BN613" s="87"/>
      <c r="BO613" s="105"/>
      <c r="BP613" s="105"/>
      <c r="BQ613" s="105"/>
      <c r="BR613" s="105"/>
      <c r="BS613" s="105"/>
      <c r="BT613" s="87"/>
      <c r="BU613" s="87"/>
      <c r="BV613" s="87"/>
      <c r="BW613" s="87"/>
      <c r="BX613" s="87"/>
      <c r="BY613" s="87"/>
      <c r="BZ613" s="87"/>
      <c r="CA613" s="87"/>
      <c r="CB613" s="87"/>
      <c r="CC613" s="87"/>
      <c r="CD613" s="87"/>
      <c r="CE613" s="87"/>
      <c r="CF613" s="87"/>
      <c r="CG613" s="87"/>
      <c r="CH613" s="87"/>
      <c r="CI613" s="87"/>
      <c r="CJ613" s="87"/>
      <c r="CK613" s="87"/>
      <c r="CL613" s="87"/>
      <c r="CM613" s="87"/>
      <c r="CN613" s="87"/>
      <c r="CO613" s="87"/>
      <c r="CP613" s="87"/>
      <c r="CQ613" s="87"/>
      <c r="CR613" s="87"/>
      <c r="CS613" s="87"/>
      <c r="CT613" s="87"/>
      <c r="CU613" s="87"/>
      <c r="CV613" s="87">
        <f>-C613*3/7</f>
        <v>-2.6785714285714284</v>
      </c>
      <c r="CW613" s="87">
        <f>-C613*4/7</f>
        <v>-3.5714285714285716</v>
      </c>
      <c r="CX613" s="87">
        <f>-CW613</f>
        <v>3.5714285714285716</v>
      </c>
      <c r="CY613" s="87">
        <f>-CV613</f>
        <v>2.6785714285714284</v>
      </c>
      <c r="CZ613" s="87"/>
      <c r="DA613" s="87"/>
      <c r="DB613" s="87"/>
      <c r="DC613" s="87"/>
      <c r="DD613" s="87"/>
      <c r="DE613" s="87"/>
      <c r="DF613" s="87"/>
      <c r="DG613" s="87"/>
      <c r="DH613" s="87"/>
      <c r="DI613" s="87"/>
      <c r="DJ613" s="87"/>
      <c r="DK613" s="87"/>
      <c r="DL613" s="87"/>
      <c r="DM613" s="87"/>
      <c r="DN613" s="87"/>
      <c r="DO613" s="87"/>
      <c r="DP613" s="87"/>
      <c r="DQ613" s="87"/>
      <c r="DR613" s="87"/>
      <c r="DS613" s="87"/>
      <c r="DT613" s="87"/>
      <c r="DU613" s="87"/>
      <c r="DV613" s="87"/>
      <c r="DW613" s="87"/>
      <c r="DX613" s="87"/>
      <c r="DY613" s="87"/>
      <c r="DZ613" s="87"/>
      <c r="EA613" s="87"/>
      <c r="EB613" s="87"/>
      <c r="EC613" s="87"/>
      <c r="ED613" s="87"/>
      <c r="EE613" s="87"/>
      <c r="EF613" s="87"/>
      <c r="EG613" s="87"/>
      <c r="EH613" s="87"/>
      <c r="EI613" s="87"/>
    </row>
    <row r="614" spans="1:139" ht="16.5" hidden="1" thickBot="1" x14ac:dyDescent="0.35">
      <c r="A614" s="353" t="s">
        <v>384</v>
      </c>
      <c r="B614" s="176">
        <v>2</v>
      </c>
      <c r="C614" s="177">
        <f>(40*0.85)</f>
        <v>34</v>
      </c>
      <c r="D614" s="234">
        <f>C614/VLOOKUP(B614,'[2]Gas Prod per PADD'!$A$1:$C$6,2,FALSE)</f>
        <v>1.4166666666666666E-2</v>
      </c>
      <c r="E614" s="357">
        <v>45733</v>
      </c>
      <c r="F614" s="252">
        <v>45766</v>
      </c>
      <c r="G614" s="180" t="s">
        <v>1043</v>
      </c>
      <c r="H614" s="198" t="s">
        <v>1044</v>
      </c>
      <c r="I614" s="354"/>
      <c r="J614" s="355"/>
      <c r="K614" s="355"/>
      <c r="L614" s="355"/>
      <c r="M614" s="355"/>
      <c r="N614" s="355"/>
      <c r="O614" s="355"/>
      <c r="P614" s="355"/>
      <c r="Q614" s="355"/>
      <c r="R614" s="85">
        <f>C614*(E614-$R$1)/31</f>
        <v>-15.35483870967742</v>
      </c>
      <c r="S614" s="85">
        <f>C614*($R$1+1-F614)/30</f>
        <v>-20.399999999999999</v>
      </c>
      <c r="T614" s="85"/>
      <c r="U614" s="85"/>
      <c r="V614" s="84"/>
      <c r="W614" s="84"/>
      <c r="X614" s="84" t="str">
        <f>IF(COUNTA(Y614:EI614)=0,"Missing","OK")</f>
        <v>OK</v>
      </c>
      <c r="Y614" s="105"/>
      <c r="Z614" s="105"/>
      <c r="AA614" s="87"/>
      <c r="AB614" s="87"/>
      <c r="AC614" s="87"/>
      <c r="AD614" s="87"/>
      <c r="AE614" s="105"/>
      <c r="AF614" s="105"/>
      <c r="AG614" s="105"/>
      <c r="AH614" s="105"/>
      <c r="AI614" s="87"/>
      <c r="AJ614" s="87"/>
      <c r="AK614" s="105"/>
      <c r="AL614" s="87"/>
      <c r="AM614" s="105"/>
      <c r="AN614" s="105"/>
      <c r="AO614" s="87"/>
      <c r="AP614" s="87"/>
      <c r="AQ614" s="105"/>
      <c r="AR614" s="105"/>
      <c r="AS614" s="87"/>
      <c r="AT614" s="105"/>
      <c r="AU614" s="105"/>
      <c r="AV614" s="87"/>
      <c r="AW614" s="105"/>
      <c r="AX614" s="105"/>
      <c r="AY614" s="87"/>
      <c r="AZ614" s="105"/>
      <c r="BA614" s="105"/>
      <c r="BB614" s="105"/>
      <c r="BC614" s="87"/>
      <c r="BD614" s="87"/>
      <c r="BE614" s="105"/>
      <c r="BF614" s="105"/>
      <c r="BG614" s="105"/>
      <c r="BH614" s="105"/>
      <c r="BI614" s="105"/>
      <c r="BJ614" s="87"/>
      <c r="BK614" s="87"/>
      <c r="BL614" s="87"/>
      <c r="BM614" s="87"/>
      <c r="BN614" s="87"/>
      <c r="BO614" s="87"/>
      <c r="BP614" s="87"/>
      <c r="BQ614" s="87"/>
      <c r="BR614" s="87"/>
      <c r="BS614" s="87"/>
      <c r="BT614" s="87"/>
      <c r="BU614" s="87"/>
      <c r="BV614" s="87"/>
      <c r="BW614" s="87"/>
      <c r="BX614" s="87"/>
      <c r="BY614" s="87"/>
      <c r="BZ614" s="87"/>
      <c r="CA614" s="87"/>
      <c r="CB614" s="87"/>
      <c r="CC614" s="87"/>
      <c r="CD614" s="87"/>
      <c r="CE614" s="87"/>
      <c r="CF614" s="87"/>
      <c r="CG614" s="87"/>
      <c r="CH614" s="87"/>
      <c r="CI614" s="87"/>
      <c r="CJ614" s="87"/>
      <c r="CK614" s="87"/>
      <c r="CL614" s="87"/>
      <c r="CM614" s="87"/>
      <c r="CN614" s="87"/>
      <c r="CO614" s="87"/>
      <c r="CP614" s="87"/>
      <c r="CQ614" s="87"/>
      <c r="CR614" s="87"/>
      <c r="CS614" s="87">
        <f>-3/7*C614</f>
        <v>-14.571428571428571</v>
      </c>
      <c r="CT614" s="87">
        <f>-4/7*C614</f>
        <v>-19.428571428571427</v>
      </c>
      <c r="CU614" s="105"/>
      <c r="CV614" s="87"/>
      <c r="CW614" s="105"/>
      <c r="CX614" s="87">
        <f>6/7*C614</f>
        <v>29.142857142857142</v>
      </c>
      <c r="CY614" s="87">
        <f>1/7*C614</f>
        <v>4.8571428571428568</v>
      </c>
      <c r="CZ614" s="87"/>
      <c r="DA614" s="87"/>
      <c r="DB614" s="87"/>
      <c r="DC614" s="87"/>
      <c r="DD614" s="87"/>
      <c r="DE614" s="87"/>
      <c r="DF614" s="87"/>
      <c r="DG614" s="87"/>
      <c r="DH614" s="87"/>
      <c r="DI614" s="87"/>
      <c r="DJ614" s="87"/>
      <c r="DK614" s="87"/>
      <c r="DL614" s="87"/>
      <c r="DM614" s="87"/>
      <c r="DN614" s="87"/>
      <c r="DO614" s="87"/>
      <c r="DP614" s="87"/>
      <c r="DQ614" s="87"/>
      <c r="DR614" s="87"/>
      <c r="DS614" s="87"/>
      <c r="DT614" s="87"/>
      <c r="DU614" s="87"/>
      <c r="DV614" s="87"/>
      <c r="DW614" s="87"/>
      <c r="DX614" s="87"/>
      <c r="DY614" s="87"/>
      <c r="DZ614" s="87"/>
      <c r="EA614" s="87"/>
      <c r="EB614" s="87"/>
      <c r="EC614" s="87"/>
      <c r="ED614" s="87"/>
      <c r="EE614" s="87"/>
      <c r="EF614" s="87"/>
      <c r="EG614" s="87"/>
      <c r="EH614" s="87"/>
      <c r="EI614" s="87"/>
    </row>
    <row r="615" spans="1:139" ht="16.5" hidden="1" thickBot="1" x14ac:dyDescent="0.35">
      <c r="A615" s="222" t="s">
        <v>162</v>
      </c>
      <c r="B615" s="191">
        <v>3</v>
      </c>
      <c r="C615" s="177">
        <f>53*0.85</f>
        <v>45.05</v>
      </c>
      <c r="D615" s="234">
        <f>C615/VLOOKUP(B615,'[2]Gas Prod per PADD'!$A$1:$C$6,2,FALSE)</f>
        <v>9.7934782608695651E-3</v>
      </c>
      <c r="E615" s="334">
        <v>45747</v>
      </c>
      <c r="F615" s="252">
        <v>45766</v>
      </c>
      <c r="G615" s="180" t="s">
        <v>1045</v>
      </c>
      <c r="H615" s="181" t="s">
        <v>1046</v>
      </c>
      <c r="I615" s="371" t="s">
        <v>1047</v>
      </c>
      <c r="J615" s="372"/>
      <c r="K615" s="372"/>
      <c r="L615" s="372"/>
      <c r="M615" s="372"/>
      <c r="N615" s="372"/>
      <c r="O615" s="372"/>
      <c r="P615" s="372"/>
      <c r="Q615" s="372"/>
      <c r="R615" s="85">
        <f>C615*(E615-$R$1)/31</f>
        <v>0</v>
      </c>
      <c r="S615" s="85">
        <f>C615*($R$1+1-F615)/30</f>
        <v>-27.029999999999998</v>
      </c>
      <c r="T615" s="85"/>
      <c r="U615" s="85"/>
      <c r="V615" s="84"/>
      <c r="W615" s="84"/>
      <c r="X615" s="84" t="str">
        <f>IF(COUNTA(Y615:EI615)=0,"Missing","OK")</f>
        <v>OK</v>
      </c>
      <c r="Y615" s="105"/>
      <c r="Z615" s="105"/>
      <c r="AA615" s="87"/>
      <c r="AB615" s="87"/>
      <c r="AC615" s="87"/>
      <c r="AD615" s="87"/>
      <c r="AE615" s="105"/>
      <c r="AF615" s="105"/>
      <c r="AG615" s="105"/>
      <c r="AH615" s="105"/>
      <c r="AI615" s="87"/>
      <c r="AJ615" s="87"/>
      <c r="AK615" s="105"/>
      <c r="AL615" s="87"/>
      <c r="AM615" s="105"/>
      <c r="AN615" s="105"/>
      <c r="AO615" s="87"/>
      <c r="AP615" s="87"/>
      <c r="AQ615" s="105"/>
      <c r="AR615" s="105"/>
      <c r="AS615" s="87"/>
      <c r="AT615" s="105"/>
      <c r="AU615" s="105"/>
      <c r="AV615" s="87"/>
      <c r="AW615" s="105"/>
      <c r="AX615" s="105"/>
      <c r="AY615" s="87"/>
      <c r="AZ615" s="105"/>
      <c r="BA615" s="105"/>
      <c r="BB615" s="105"/>
      <c r="BC615" s="87"/>
      <c r="BD615" s="87"/>
      <c r="BE615" s="105"/>
      <c r="BF615" s="105"/>
      <c r="BG615" s="105"/>
      <c r="BH615" s="105"/>
      <c r="BI615" s="105"/>
      <c r="BJ615" s="87"/>
      <c r="BK615" s="87"/>
      <c r="BL615" s="87"/>
      <c r="BM615" s="87"/>
      <c r="BN615" s="87"/>
      <c r="BO615" s="87"/>
      <c r="BP615" s="87"/>
      <c r="BQ615" s="87"/>
      <c r="BR615" s="87"/>
      <c r="BS615" s="87"/>
      <c r="BT615" s="87"/>
      <c r="BU615" s="87"/>
      <c r="BV615" s="87"/>
      <c r="BW615" s="87"/>
      <c r="BX615" s="87"/>
      <c r="BY615" s="87"/>
      <c r="BZ615" s="87"/>
      <c r="CA615" s="87"/>
      <c r="CB615" s="87"/>
      <c r="CC615" s="87"/>
      <c r="CD615" s="87"/>
      <c r="CE615" s="87"/>
      <c r="CF615" s="87"/>
      <c r="CG615" s="87"/>
      <c r="CH615" s="87"/>
      <c r="CI615" s="87"/>
      <c r="CJ615" s="87"/>
      <c r="CK615" s="87"/>
      <c r="CL615" s="87"/>
      <c r="CM615" s="87"/>
      <c r="CN615" s="87"/>
      <c r="CO615" s="87"/>
      <c r="CP615" s="87"/>
      <c r="CQ615" s="87"/>
      <c r="CR615" s="87"/>
      <c r="CS615" s="87"/>
      <c r="CT615" s="87"/>
      <c r="CU615" s="87">
        <f>-C615*5/7</f>
        <v>-32.178571428571431</v>
      </c>
      <c r="CV615" s="87">
        <f>-C615*2/7</f>
        <v>-12.87142857142857</v>
      </c>
      <c r="CW615" s="87"/>
      <c r="CX615" s="87">
        <f>C615*6/7</f>
        <v>38.614285714285707</v>
      </c>
      <c r="CY615" s="87">
        <f>C615*1/7</f>
        <v>6.4357142857142851</v>
      </c>
      <c r="CZ615" s="87"/>
      <c r="DA615" s="87"/>
      <c r="DB615" s="87"/>
      <c r="DC615" s="87"/>
      <c r="DD615" s="87"/>
      <c r="DE615" s="87"/>
      <c r="DF615" s="87"/>
      <c r="DG615" s="87"/>
      <c r="DH615" s="87"/>
      <c r="DI615" s="87"/>
      <c r="DJ615" s="87"/>
      <c r="DK615" s="87"/>
      <c r="DL615" s="87"/>
      <c r="DM615" s="87"/>
      <c r="DN615" s="87"/>
      <c r="DO615" s="87"/>
      <c r="DP615" s="87"/>
      <c r="DQ615" s="87"/>
      <c r="DR615" s="87"/>
      <c r="DS615" s="87"/>
      <c r="DT615" s="105"/>
      <c r="DU615" s="87"/>
      <c r="DV615" s="87"/>
      <c r="DW615" s="87"/>
      <c r="DX615" s="87"/>
      <c r="DY615" s="87"/>
      <c r="DZ615" s="87"/>
      <c r="EA615" s="105"/>
      <c r="EB615" s="87"/>
      <c r="EC615" s="87"/>
      <c r="ED615" s="87"/>
      <c r="EE615" s="87"/>
      <c r="EF615" s="87"/>
      <c r="EG615" s="87"/>
      <c r="EH615" s="87"/>
      <c r="EI615" s="87"/>
    </row>
    <row r="616" spans="1:139" ht="29.25" hidden="1" thickBot="1" x14ac:dyDescent="0.35">
      <c r="A616" s="353" t="s">
        <v>384</v>
      </c>
      <c r="B616" s="176">
        <v>2</v>
      </c>
      <c r="C616" s="177">
        <f>266*0.1*0.25</f>
        <v>6.65</v>
      </c>
      <c r="D616" s="234">
        <f>C616/VLOOKUP(B616,'[2]Gas Prod per PADD'!$A$1:$C$6,2,FALSE)</f>
        <v>2.7708333333333335E-3</v>
      </c>
      <c r="E616" s="220">
        <v>45748</v>
      </c>
      <c r="F616" s="252">
        <v>45766</v>
      </c>
      <c r="G616" s="180" t="s">
        <v>1048</v>
      </c>
      <c r="H616" s="198"/>
      <c r="I616" s="371"/>
      <c r="J616" s="372"/>
      <c r="K616" s="372"/>
      <c r="L616" s="372"/>
      <c r="M616" s="372"/>
      <c r="N616" s="372"/>
      <c r="O616" s="372"/>
      <c r="P616" s="372"/>
      <c r="Q616" s="372"/>
      <c r="R616" s="372"/>
      <c r="S616" s="85">
        <f>C616*(E616-F616)/30</f>
        <v>-3.99</v>
      </c>
      <c r="T616" s="85"/>
      <c r="U616" s="85"/>
      <c r="V616" s="84"/>
      <c r="W616" s="84"/>
      <c r="X616" s="84"/>
      <c r="Y616" s="105"/>
      <c r="Z616" s="105"/>
      <c r="AA616" s="87"/>
      <c r="AB616" s="87"/>
      <c r="AC616" s="87"/>
      <c r="AD616" s="87"/>
      <c r="AE616" s="105"/>
      <c r="AF616" s="105"/>
      <c r="AG616" s="105"/>
      <c r="AH616" s="105"/>
      <c r="AI616" s="87"/>
      <c r="AJ616" s="87"/>
      <c r="AK616" s="105"/>
      <c r="AL616" s="87"/>
      <c r="AM616" s="105"/>
      <c r="AN616" s="105"/>
      <c r="AO616" s="87"/>
      <c r="AP616" s="87"/>
      <c r="AQ616" s="105"/>
      <c r="AR616" s="105"/>
      <c r="AS616" s="87"/>
      <c r="AT616" s="105"/>
      <c r="AU616" s="105"/>
      <c r="AV616" s="87"/>
      <c r="AW616" s="105"/>
      <c r="AX616" s="105"/>
      <c r="AY616" s="87"/>
      <c r="AZ616" s="105"/>
      <c r="BA616" s="105"/>
      <c r="BB616" s="105"/>
      <c r="BC616" s="87"/>
      <c r="BD616" s="87"/>
      <c r="BE616" s="105"/>
      <c r="BF616" s="105"/>
      <c r="BG616" s="105"/>
      <c r="BH616" s="105"/>
      <c r="BI616" s="105"/>
      <c r="BJ616" s="87"/>
      <c r="BK616" s="87"/>
      <c r="BL616" s="87"/>
      <c r="BM616" s="87"/>
      <c r="BN616" s="87"/>
      <c r="BO616" s="87"/>
      <c r="BP616" s="87"/>
      <c r="BQ616" s="87"/>
      <c r="BR616" s="87"/>
      <c r="BS616" s="87"/>
      <c r="BT616" s="87"/>
      <c r="BU616" s="87"/>
      <c r="BV616" s="87"/>
      <c r="BW616" s="87"/>
      <c r="BX616" s="87"/>
      <c r="BY616" s="87"/>
      <c r="BZ616" s="87"/>
      <c r="CA616" s="87"/>
      <c r="CB616" s="87"/>
      <c r="CC616" s="87"/>
      <c r="CD616" s="87"/>
      <c r="CE616" s="87"/>
      <c r="CF616" s="87"/>
      <c r="CG616" s="87"/>
      <c r="CH616" s="87"/>
      <c r="CI616" s="87"/>
      <c r="CJ616" s="87"/>
      <c r="CK616" s="87"/>
      <c r="CL616" s="87"/>
      <c r="CM616" s="87"/>
      <c r="CN616" s="87"/>
      <c r="CO616" s="87"/>
      <c r="CP616" s="87"/>
      <c r="CQ616" s="87"/>
      <c r="CR616" s="87"/>
      <c r="CS616" s="87"/>
      <c r="CT616" s="87"/>
      <c r="CU616" s="87">
        <f>-3/7*C616</f>
        <v>-2.85</v>
      </c>
      <c r="CV616" s="87">
        <f>-4/7*C616</f>
        <v>-3.8</v>
      </c>
      <c r="CW616" s="87"/>
      <c r="CX616" s="87">
        <f>6/7*C616</f>
        <v>5.7</v>
      </c>
      <c r="CY616" s="87">
        <f>1/7*C616</f>
        <v>0.95</v>
      </c>
      <c r="CZ616" s="87"/>
      <c r="DA616" s="105"/>
      <c r="DB616" s="87"/>
      <c r="DC616" s="87"/>
      <c r="DD616" s="87"/>
      <c r="DE616" s="87"/>
      <c r="DF616" s="87"/>
      <c r="DG616" s="87"/>
      <c r="DH616" s="87"/>
      <c r="DI616" s="87"/>
      <c r="DJ616" s="87"/>
      <c r="DK616" s="87"/>
      <c r="DL616" s="87"/>
      <c r="DM616" s="87"/>
      <c r="DN616" s="87"/>
      <c r="DO616" s="87"/>
      <c r="DP616" s="87"/>
      <c r="DQ616" s="87"/>
      <c r="DR616" s="87"/>
      <c r="DS616" s="87"/>
      <c r="DT616" s="87"/>
      <c r="DU616" s="87"/>
      <c r="DV616" s="87"/>
      <c r="DW616" s="87"/>
      <c r="DX616" s="87"/>
      <c r="DY616" s="87"/>
      <c r="DZ616" s="87"/>
      <c r="EA616" s="87"/>
      <c r="EB616" s="87"/>
      <c r="EC616" s="87"/>
      <c r="ED616" s="87"/>
      <c r="EE616" s="87"/>
      <c r="EF616" s="87"/>
      <c r="EG616" s="87"/>
      <c r="EH616" s="87"/>
      <c r="EI616" s="87"/>
    </row>
    <row r="617" spans="1:139" ht="16.5" hidden="1" thickBot="1" x14ac:dyDescent="0.35">
      <c r="A617" s="190" t="s">
        <v>330</v>
      </c>
      <c r="B617" s="279">
        <v>3</v>
      </c>
      <c r="C617" s="224">
        <f>32*0.85</f>
        <v>27.2</v>
      </c>
      <c r="D617" s="217">
        <f>C617/VLOOKUP(B617,'[2]Gas Prod per PADD'!$A$1:$C$6,2,FALSE)</f>
        <v>5.913043478260869E-3</v>
      </c>
      <c r="E617" s="225">
        <v>45750</v>
      </c>
      <c r="F617" s="276">
        <v>45766</v>
      </c>
      <c r="G617" s="180" t="s">
        <v>465</v>
      </c>
      <c r="H617" s="221" t="s">
        <v>1049</v>
      </c>
      <c r="I617" s="84" t="s">
        <v>1050</v>
      </c>
      <c r="J617" s="85"/>
      <c r="K617" s="85"/>
      <c r="L617" s="85"/>
      <c r="M617" s="85"/>
      <c r="N617" s="85"/>
      <c r="O617" s="85"/>
      <c r="P617" s="85"/>
      <c r="Q617" s="85"/>
      <c r="R617" s="85"/>
      <c r="S617" s="85">
        <f>C617*(E617-F617)/30</f>
        <v>-14.506666666666666</v>
      </c>
      <c r="T617" s="85"/>
      <c r="U617" s="85"/>
      <c r="V617" s="84"/>
      <c r="W617" s="84"/>
      <c r="X617" s="84" t="str">
        <f>IF(COUNTA(Y617:EI617)=0,"Missing","OK")</f>
        <v>OK</v>
      </c>
      <c r="Y617" s="105"/>
      <c r="Z617" s="105"/>
      <c r="AA617" s="87"/>
      <c r="AB617" s="87"/>
      <c r="AC617" s="87"/>
      <c r="AD617" s="87"/>
      <c r="AE617" s="105"/>
      <c r="AF617" s="105"/>
      <c r="AG617" s="105"/>
      <c r="AH617" s="105"/>
      <c r="AI617" s="87"/>
      <c r="AJ617" s="87"/>
      <c r="AK617" s="105"/>
      <c r="AL617" s="87"/>
      <c r="AM617" s="105"/>
      <c r="AN617" s="105"/>
      <c r="AO617" s="87"/>
      <c r="AP617" s="87"/>
      <c r="AQ617" s="105"/>
      <c r="AR617" s="105"/>
      <c r="AS617" s="87"/>
      <c r="AT617" s="105"/>
      <c r="AU617" s="87"/>
      <c r="AV617" s="87"/>
      <c r="AW617" s="105"/>
      <c r="AX617" s="105"/>
      <c r="AY617" s="105"/>
      <c r="AZ617" s="105"/>
      <c r="BA617" s="87"/>
      <c r="BB617" s="87"/>
      <c r="BC617" s="87"/>
      <c r="BD617" s="87"/>
      <c r="BE617" s="87"/>
      <c r="BF617" s="87"/>
      <c r="BG617" s="105"/>
      <c r="BH617" s="105"/>
      <c r="BI617" s="105"/>
      <c r="BJ617" s="87"/>
      <c r="BK617" s="87"/>
      <c r="BL617" s="87"/>
      <c r="BM617" s="87"/>
      <c r="BN617" s="87"/>
      <c r="BO617" s="87"/>
      <c r="BP617" s="87"/>
      <c r="BQ617" s="87"/>
      <c r="BR617" s="87"/>
      <c r="BS617" s="87"/>
      <c r="BT617" s="87"/>
      <c r="BU617" s="87"/>
      <c r="BV617" s="87"/>
      <c r="BW617" s="87"/>
      <c r="BX617" s="87"/>
      <c r="BY617" s="87"/>
      <c r="BZ617" s="87"/>
      <c r="CA617" s="87"/>
      <c r="CB617" s="87"/>
      <c r="CC617" s="87"/>
      <c r="CD617" s="87"/>
      <c r="CE617" s="87"/>
      <c r="CF617" s="87"/>
      <c r="CG617" s="87"/>
      <c r="CH617" s="87"/>
      <c r="CI617" s="87"/>
      <c r="CJ617" s="87"/>
      <c r="CK617" s="87"/>
      <c r="CL617" s="87"/>
      <c r="CM617" s="87"/>
      <c r="CN617" s="87"/>
      <c r="CO617" s="87"/>
      <c r="CP617" s="87"/>
      <c r="CQ617" s="87"/>
      <c r="CR617" s="87"/>
      <c r="CS617" s="87"/>
      <c r="CT617" s="87"/>
      <c r="CU617" s="87">
        <f>-2/7*C617</f>
        <v>-7.7714285714285705</v>
      </c>
      <c r="CV617" s="87">
        <f>-5/7*C617</f>
        <v>-19.428571428571427</v>
      </c>
      <c r="CW617" s="87"/>
      <c r="CX617" s="87">
        <f>6/7*C617</f>
        <v>23.314285714285713</v>
      </c>
      <c r="CY617" s="87">
        <f>1/7*C617</f>
        <v>3.8857142857142852</v>
      </c>
      <c r="CZ617" s="87"/>
      <c r="DA617" s="87"/>
      <c r="DB617" s="87"/>
      <c r="DC617" s="87"/>
      <c r="DD617" s="87"/>
      <c r="DE617" s="87"/>
      <c r="DF617" s="87"/>
      <c r="DG617" s="87"/>
      <c r="DH617" s="87"/>
      <c r="DI617" s="87"/>
      <c r="DJ617" s="87"/>
      <c r="DK617" s="87"/>
      <c r="DL617" s="87"/>
      <c r="DM617" s="87"/>
      <c r="DN617" s="87"/>
      <c r="DO617" s="87"/>
      <c r="DP617" s="87"/>
      <c r="DQ617" s="87"/>
      <c r="DR617" s="87"/>
      <c r="DS617" s="87"/>
      <c r="DT617" s="87"/>
      <c r="DU617" s="87"/>
      <c r="DV617" s="87"/>
      <c r="DW617" s="87"/>
      <c r="DX617" s="87"/>
      <c r="DY617" s="87"/>
      <c r="DZ617" s="87"/>
      <c r="EA617" s="87"/>
      <c r="EB617" s="87"/>
      <c r="EC617" s="87"/>
      <c r="ED617" s="87"/>
      <c r="EE617" s="87"/>
      <c r="EF617" s="87"/>
      <c r="EG617" s="87"/>
      <c r="EH617" s="87"/>
      <c r="EI617" s="87"/>
    </row>
    <row r="618" spans="1:139" ht="16.5" hidden="1" thickBot="1" x14ac:dyDescent="0.35">
      <c r="A618" s="222" t="s">
        <v>322</v>
      </c>
      <c r="B618" s="191">
        <v>3</v>
      </c>
      <c r="C618" s="177">
        <f>45*0.25</f>
        <v>11.25</v>
      </c>
      <c r="D618" s="217">
        <f>C618/VLOOKUP(B618,'[2]Gas Prod per PADD'!$A$1:$C$6,2,FALSE)</f>
        <v>2.4456521739130437E-3</v>
      </c>
      <c r="E618" s="357">
        <v>45764</v>
      </c>
      <c r="F618" s="252">
        <v>45766</v>
      </c>
      <c r="G618" s="180" t="s">
        <v>990</v>
      </c>
      <c r="H618" s="181" t="s">
        <v>364</v>
      </c>
      <c r="I618" s="84"/>
      <c r="J618" s="85"/>
      <c r="K618" s="85"/>
      <c r="L618" s="85"/>
      <c r="M618" s="85"/>
      <c r="N618" s="85"/>
      <c r="O618" s="85"/>
      <c r="P618" s="85"/>
      <c r="Q618" s="85"/>
      <c r="R618" s="85"/>
      <c r="S618" s="85">
        <f>C618*(E618-F618)/30</f>
        <v>-0.75</v>
      </c>
      <c r="T618" s="85"/>
      <c r="U618" s="85"/>
      <c r="V618" s="84"/>
      <c r="W618" s="84"/>
      <c r="X618" s="84"/>
      <c r="Y618" s="87"/>
      <c r="Z618" s="87"/>
      <c r="AA618" s="87"/>
      <c r="AB618" s="87"/>
      <c r="AC618" s="87"/>
      <c r="AD618" s="87"/>
      <c r="AE618" s="87"/>
      <c r="AF618" s="87"/>
      <c r="AG618" s="87"/>
      <c r="AH618" s="87"/>
      <c r="AI618" s="87"/>
      <c r="AJ618" s="87"/>
      <c r="AK618" s="87"/>
      <c r="AL618" s="87"/>
      <c r="AM618" s="87"/>
      <c r="AN618" s="87"/>
      <c r="AO618" s="87"/>
      <c r="AP618" s="87"/>
      <c r="AQ618" s="87"/>
      <c r="AR618" s="87"/>
      <c r="AS618" s="87"/>
      <c r="AT618" s="87"/>
      <c r="AU618" s="87"/>
      <c r="AV618" s="87"/>
      <c r="AW618" s="87"/>
      <c r="AX618" s="87"/>
      <c r="AY618" s="87"/>
      <c r="AZ618" s="87"/>
      <c r="BA618" s="87"/>
      <c r="BB618" s="87"/>
      <c r="BC618" s="87"/>
      <c r="BD618" s="87"/>
      <c r="BE618" s="87"/>
      <c r="BF618" s="87"/>
      <c r="BG618" s="87"/>
      <c r="BH618" s="87"/>
      <c r="BI618" s="87"/>
      <c r="BJ618" s="87"/>
      <c r="BK618" s="87"/>
      <c r="BL618" s="87"/>
      <c r="BM618" s="87"/>
      <c r="BN618" s="87"/>
      <c r="BO618" s="87"/>
      <c r="BP618" s="87"/>
      <c r="BQ618" s="87"/>
      <c r="BR618" s="87"/>
      <c r="BS618" s="87"/>
      <c r="BT618" s="87"/>
      <c r="BU618" s="87"/>
      <c r="BV618" s="87"/>
      <c r="BW618" s="87"/>
      <c r="BX618" s="87"/>
      <c r="BY618" s="87"/>
      <c r="BZ618" s="87"/>
      <c r="CA618" s="87"/>
      <c r="CB618" s="87"/>
      <c r="CC618" s="87"/>
      <c r="CD618" s="87"/>
      <c r="CE618" s="87"/>
      <c r="CF618" s="87"/>
      <c r="CG618" s="87"/>
      <c r="CH618" s="87"/>
      <c r="CI618" s="87"/>
      <c r="CJ618" s="87"/>
      <c r="CK618" s="87"/>
      <c r="CL618" s="87"/>
      <c r="CM618" s="87"/>
      <c r="CN618" s="87"/>
      <c r="CO618" s="87"/>
      <c r="CP618" s="87"/>
      <c r="CQ618" s="87"/>
      <c r="CR618" s="87"/>
      <c r="CS618" s="87"/>
      <c r="CT618" s="87"/>
      <c r="CU618" s="87"/>
      <c r="CV618" s="87"/>
      <c r="CW618" s="87">
        <f>-1/7*C618</f>
        <v>-1.607142857142857</v>
      </c>
      <c r="CX618" s="87">
        <f>-CW618</f>
        <v>1.607142857142857</v>
      </c>
      <c r="CY618" s="87"/>
      <c r="CZ618" s="87"/>
      <c r="DA618" s="87"/>
      <c r="DB618" s="87"/>
      <c r="DC618" s="87"/>
      <c r="DD618" s="87"/>
      <c r="DE618" s="87"/>
      <c r="DF618" s="87"/>
      <c r="DG618" s="87"/>
      <c r="DH618" s="87"/>
      <c r="DI618" s="87"/>
      <c r="DJ618" s="87"/>
      <c r="DK618" s="87"/>
      <c r="DL618" s="87"/>
      <c r="DM618" s="87"/>
      <c r="DN618" s="87"/>
      <c r="DO618" s="87"/>
      <c r="DP618" s="87"/>
      <c r="DQ618" s="87"/>
      <c r="DR618" s="87"/>
      <c r="DS618" s="87"/>
      <c r="DT618" s="87"/>
      <c r="DU618" s="87"/>
      <c r="DV618" s="87"/>
      <c r="DW618" s="87"/>
      <c r="DX618" s="87"/>
      <c r="DY618" s="87"/>
      <c r="DZ618" s="87"/>
      <c r="EA618" s="87"/>
      <c r="EB618" s="87"/>
      <c r="EC618" s="87"/>
      <c r="ED618" s="87"/>
      <c r="EE618" s="87"/>
      <c r="EF618" s="87"/>
      <c r="EG618" s="87"/>
      <c r="EH618" s="87"/>
      <c r="EI618" s="87"/>
    </row>
    <row r="619" spans="1:139" ht="16.5" hidden="1" thickBot="1" x14ac:dyDescent="0.35">
      <c r="A619" s="218" t="s">
        <v>386</v>
      </c>
      <c r="B619" s="194">
        <v>4</v>
      </c>
      <c r="C619" s="224">
        <f>0.95*5.6</f>
        <v>5.3199999999999994</v>
      </c>
      <c r="D619" s="234">
        <f>C619/VLOOKUP(B619,'[2]Gas Prod per PADD'!$A$1:$C$6,2,FALSE)</f>
        <v>1.564705882352941E-2</v>
      </c>
      <c r="E619" s="231">
        <v>45764</v>
      </c>
      <c r="F619" s="281">
        <v>45766</v>
      </c>
      <c r="G619" s="194" t="s">
        <v>1051</v>
      </c>
      <c r="H619" s="198" t="s">
        <v>1052</v>
      </c>
      <c r="I619" s="84"/>
      <c r="J619" s="85"/>
      <c r="K619" s="85"/>
      <c r="L619" s="85"/>
      <c r="M619" s="85"/>
      <c r="N619" s="85"/>
      <c r="O619" s="85"/>
      <c r="P619" s="85"/>
      <c r="Q619" s="85"/>
      <c r="R619" s="85"/>
      <c r="S619" s="85">
        <f>C619*(E619-F619)/30</f>
        <v>-0.35466666666666663</v>
      </c>
      <c r="T619" s="85"/>
      <c r="U619" s="85"/>
      <c r="V619" s="84"/>
      <c r="W619" s="84"/>
      <c r="X619" s="84"/>
      <c r="Y619" s="105"/>
      <c r="Z619" s="105"/>
      <c r="AA619" s="87"/>
      <c r="AB619" s="87"/>
      <c r="AC619" s="87"/>
      <c r="AD619" s="87"/>
      <c r="AE619" s="105"/>
      <c r="AF619" s="105"/>
      <c r="AG619" s="105"/>
      <c r="AH619" s="105"/>
      <c r="AI619" s="87"/>
      <c r="AJ619" s="87"/>
      <c r="AK619" s="87"/>
      <c r="AL619" s="87"/>
      <c r="AM619" s="87"/>
      <c r="AN619" s="87"/>
      <c r="AO619" s="87"/>
      <c r="AP619" s="87"/>
      <c r="AQ619" s="87"/>
      <c r="AR619" s="87"/>
      <c r="AS619" s="87"/>
      <c r="AT619" s="87"/>
      <c r="AU619" s="87"/>
      <c r="AV619" s="87"/>
      <c r="AW619" s="87"/>
      <c r="AX619" s="87"/>
      <c r="AY619" s="87"/>
      <c r="AZ619" s="87"/>
      <c r="BA619" s="87"/>
      <c r="BB619" s="87"/>
      <c r="BC619" s="87"/>
      <c r="BD619" s="87"/>
      <c r="BE619" s="87"/>
      <c r="BF619" s="87"/>
      <c r="BG619" s="87"/>
      <c r="BH619" s="87"/>
      <c r="BI619" s="87"/>
      <c r="BJ619" s="87"/>
      <c r="BK619" s="87"/>
      <c r="BL619" s="87"/>
      <c r="BM619" s="87"/>
      <c r="BN619" s="87"/>
      <c r="BO619" s="87"/>
      <c r="BP619" s="87"/>
      <c r="BQ619" s="87"/>
      <c r="BR619" s="87"/>
      <c r="BS619" s="87"/>
      <c r="BT619" s="87"/>
      <c r="BU619" s="87"/>
      <c r="BV619" s="87"/>
      <c r="BW619" s="87"/>
      <c r="BX619" s="87"/>
      <c r="BY619" s="87"/>
      <c r="BZ619" s="87"/>
      <c r="CA619" s="87"/>
      <c r="CB619" s="87"/>
      <c r="CC619" s="87"/>
      <c r="CD619" s="87"/>
      <c r="CE619" s="87"/>
      <c r="CF619" s="87"/>
      <c r="CG619" s="87"/>
      <c r="CH619" s="87"/>
      <c r="CI619" s="87"/>
      <c r="CJ619" s="87"/>
      <c r="CK619" s="87"/>
      <c r="CL619" s="87"/>
      <c r="CM619" s="87"/>
      <c r="CN619" s="87"/>
      <c r="CO619" s="87"/>
      <c r="CP619" s="87"/>
      <c r="CQ619" s="87"/>
      <c r="CR619" s="87"/>
      <c r="CS619" s="87"/>
      <c r="CT619" s="87"/>
      <c r="CU619" s="87"/>
      <c r="CV619" s="87"/>
      <c r="CW619" s="87">
        <f>-1/7*C619</f>
        <v>-0.7599999999999999</v>
      </c>
      <c r="CX619" s="87">
        <f>-CW619</f>
        <v>0.7599999999999999</v>
      </c>
      <c r="CY619" s="105"/>
      <c r="CZ619" s="87"/>
      <c r="DA619" s="87"/>
      <c r="DB619" s="87"/>
      <c r="DC619" s="87"/>
      <c r="DD619" s="87"/>
      <c r="DE619" s="87"/>
      <c r="DF619" s="87"/>
      <c r="DG619" s="87"/>
      <c r="DH619" s="87"/>
      <c r="DI619" s="87"/>
      <c r="DJ619" s="87"/>
      <c r="DK619" s="87"/>
      <c r="DL619" s="87"/>
      <c r="DM619" s="87"/>
      <c r="DN619" s="87"/>
      <c r="DO619" s="87"/>
      <c r="DP619" s="87"/>
      <c r="DQ619" s="87"/>
      <c r="DR619" s="87"/>
      <c r="DS619" s="87"/>
      <c r="DT619" s="87"/>
      <c r="DU619" s="87"/>
      <c r="DV619" s="87"/>
      <c r="DW619" s="87"/>
      <c r="DX619" s="87"/>
      <c r="DY619" s="87"/>
      <c r="DZ619" s="87"/>
      <c r="EA619" s="87"/>
      <c r="EB619" s="87"/>
      <c r="EC619" s="87"/>
      <c r="ED619" s="87"/>
      <c r="EE619" s="87"/>
      <c r="EF619" s="87"/>
      <c r="EG619" s="87"/>
      <c r="EH619" s="87"/>
      <c r="EI619" s="87"/>
    </row>
    <row r="620" spans="1:139" ht="16.5" hidden="1" thickBot="1" x14ac:dyDescent="0.35">
      <c r="A620" s="190" t="s">
        <v>304</v>
      </c>
      <c r="B620" s="282">
        <v>3</v>
      </c>
      <c r="C620" s="177">
        <f>65*0.25</f>
        <v>16.25</v>
      </c>
      <c r="D620" s="217">
        <f>C620/VLOOKUP(B620,'[2]Gas Prod per PADD'!$A$1:$C$6,2,FALSE)</f>
        <v>3.5326086956521739E-3</v>
      </c>
      <c r="E620" s="346">
        <v>45728</v>
      </c>
      <c r="F620" s="281">
        <v>45767</v>
      </c>
      <c r="G620" s="180" t="s">
        <v>791</v>
      </c>
      <c r="H620" s="233" t="s">
        <v>364</v>
      </c>
      <c r="I620" s="371" t="s">
        <v>1053</v>
      </c>
      <c r="J620" s="372"/>
      <c r="K620" s="372"/>
      <c r="L620" s="372"/>
      <c r="M620" s="372"/>
      <c r="N620" s="372"/>
      <c r="O620" s="372"/>
      <c r="P620" s="372"/>
      <c r="Q620" s="372"/>
      <c r="R620" s="85">
        <f>C620*(E620-$R$1)/31</f>
        <v>-9.9596774193548381</v>
      </c>
      <c r="S620" s="85">
        <f>C620*($R$1+1-F620)/30</f>
        <v>-10.291666666666666</v>
      </c>
      <c r="T620" s="85"/>
      <c r="U620" s="85"/>
      <c r="V620" s="84"/>
      <c r="W620" s="84"/>
      <c r="X620" s="84" t="str">
        <f>IF(COUNTA(Y620:EI620)=0,"Missing","OK")</f>
        <v>OK</v>
      </c>
      <c r="Y620" s="105"/>
      <c r="Z620" s="105"/>
      <c r="AA620" s="87"/>
      <c r="AB620" s="87"/>
      <c r="AC620" s="87"/>
      <c r="AD620" s="87"/>
      <c r="AE620" s="105"/>
      <c r="AF620" s="105"/>
      <c r="AG620" s="105"/>
      <c r="AH620" s="105"/>
      <c r="AI620" s="87"/>
      <c r="AJ620" s="87"/>
      <c r="AK620" s="105"/>
      <c r="AL620" s="87"/>
      <c r="AM620" s="105"/>
      <c r="AN620" s="105"/>
      <c r="AO620" s="87"/>
      <c r="AP620" s="87"/>
      <c r="AQ620" s="105"/>
      <c r="AR620" s="105"/>
      <c r="AS620" s="87"/>
      <c r="AT620" s="105"/>
      <c r="AU620" s="105"/>
      <c r="AV620" s="87"/>
      <c r="AW620" s="105"/>
      <c r="AX620" s="105"/>
      <c r="AY620" s="87"/>
      <c r="AZ620" s="105"/>
      <c r="BA620" s="105"/>
      <c r="BB620" s="105"/>
      <c r="BC620" s="87"/>
      <c r="BD620" s="87"/>
      <c r="BE620" s="105"/>
      <c r="BF620" s="105"/>
      <c r="BG620" s="105"/>
      <c r="BH620" s="105"/>
      <c r="BI620" s="105"/>
      <c r="BJ620" s="87"/>
      <c r="BK620" s="87"/>
      <c r="BL620" s="87"/>
      <c r="BM620" s="87"/>
      <c r="BN620" s="87"/>
      <c r="BO620" s="87"/>
      <c r="BP620" s="87"/>
      <c r="BQ620" s="87"/>
      <c r="BR620" s="87"/>
      <c r="BS620" s="87"/>
      <c r="BT620" s="87"/>
      <c r="BU620" s="87"/>
      <c r="BV620" s="87"/>
      <c r="BW620" s="87"/>
      <c r="BX620" s="87"/>
      <c r="BY620" s="87"/>
      <c r="BZ620" s="87"/>
      <c r="CA620" s="87"/>
      <c r="CB620" s="87"/>
      <c r="CC620" s="87"/>
      <c r="CD620" s="87"/>
      <c r="CE620" s="87"/>
      <c r="CF620" s="87"/>
      <c r="CG620" s="87"/>
      <c r="CH620" s="87"/>
      <c r="CI620" s="87"/>
      <c r="CJ620" s="87"/>
      <c r="CK620" s="87"/>
      <c r="CL620" s="87"/>
      <c r="CM620" s="87"/>
      <c r="CN620" s="87"/>
      <c r="CO620" s="87"/>
      <c r="CP620" s="87"/>
      <c r="CQ620" s="87"/>
      <c r="CR620" s="87">
        <f>-2/7*C620</f>
        <v>-4.6428571428571423</v>
      </c>
      <c r="CS620" s="87">
        <f>-5/7*C620</f>
        <v>-11.607142857142858</v>
      </c>
      <c r="CT620" s="87"/>
      <c r="CU620" s="87"/>
      <c r="CV620" s="87"/>
      <c r="CW620" s="87"/>
      <c r="CX620" s="105">
        <f>C620*5/7</f>
        <v>11.607142857142858</v>
      </c>
      <c r="CY620" s="105">
        <f>C620*2/7</f>
        <v>4.6428571428571432</v>
      </c>
      <c r="CZ620" s="87"/>
      <c r="DA620" s="87"/>
      <c r="DB620" s="87"/>
      <c r="DC620" s="87"/>
      <c r="DD620" s="87"/>
      <c r="DE620" s="87"/>
      <c r="DF620" s="87"/>
      <c r="DG620" s="87"/>
      <c r="DH620" s="87"/>
      <c r="DI620" s="87"/>
      <c r="DJ620" s="87"/>
      <c r="DK620" s="87"/>
      <c r="DL620" s="87"/>
      <c r="DM620" s="87"/>
      <c r="DN620" s="87"/>
      <c r="DO620" s="87"/>
      <c r="DP620" s="87"/>
      <c r="DQ620" s="87"/>
      <c r="DR620" s="87"/>
      <c r="DS620" s="87"/>
      <c r="DT620" s="105"/>
      <c r="DU620" s="87"/>
      <c r="DV620" s="87"/>
      <c r="DW620" s="87"/>
      <c r="DX620" s="87"/>
      <c r="DY620" s="87"/>
      <c r="DZ620" s="87"/>
      <c r="EA620" s="105"/>
      <c r="EB620" s="87"/>
      <c r="EC620" s="87"/>
      <c r="ED620" s="87"/>
      <c r="EE620" s="87"/>
      <c r="EF620" s="87"/>
      <c r="EG620" s="87"/>
      <c r="EH620" s="87"/>
      <c r="EI620" s="87"/>
    </row>
    <row r="621" spans="1:139" ht="29.25" hidden="1" thickBot="1" x14ac:dyDescent="0.35">
      <c r="A621" s="175" t="s">
        <v>483</v>
      </c>
      <c r="B621" s="191">
        <v>2</v>
      </c>
      <c r="C621" s="177">
        <f>92*0.1+19*0.85+26*0.65</f>
        <v>42.25</v>
      </c>
      <c r="D621" s="234">
        <f>C621/VLOOKUP(B621,'[2]Gas Prod per PADD'!$A$1:$C$6,2,FALSE)</f>
        <v>1.7604166666666667E-2</v>
      </c>
      <c r="E621" s="178">
        <v>45758</v>
      </c>
      <c r="F621" s="252">
        <v>45767</v>
      </c>
      <c r="G621" s="180" t="s">
        <v>1054</v>
      </c>
      <c r="H621" s="198" t="s">
        <v>1055</v>
      </c>
      <c r="I621" s="371"/>
      <c r="J621" s="372"/>
      <c r="K621" s="372"/>
      <c r="L621" s="372"/>
      <c r="M621" s="372"/>
      <c r="N621" s="372"/>
      <c r="O621" s="372"/>
      <c r="P621" s="372"/>
      <c r="Q621" s="372"/>
      <c r="R621" s="372"/>
      <c r="S621" s="85">
        <f>C621*(E621-F621)/30</f>
        <v>-12.675000000000001</v>
      </c>
      <c r="T621" s="85"/>
      <c r="U621" s="85"/>
      <c r="V621" s="84"/>
      <c r="W621" s="84"/>
      <c r="X621" s="84" t="str">
        <f>IF(COUNTA(Y621:EI621)=0,"Missing","OK")</f>
        <v>OK</v>
      </c>
      <c r="Y621" s="105"/>
      <c r="Z621" s="105"/>
      <c r="AA621" s="87"/>
      <c r="AB621" s="87"/>
      <c r="AC621" s="87"/>
      <c r="AD621" s="87"/>
      <c r="AE621" s="105"/>
      <c r="AF621" s="105"/>
      <c r="AG621" s="105"/>
      <c r="AH621" s="105"/>
      <c r="AI621" s="87"/>
      <c r="AJ621" s="87"/>
      <c r="AK621" s="105"/>
      <c r="AL621" s="87"/>
      <c r="AM621" s="105"/>
      <c r="AN621" s="105"/>
      <c r="AO621" s="87"/>
      <c r="AP621" s="87"/>
      <c r="AQ621" s="105"/>
      <c r="AR621" s="105"/>
      <c r="AS621" s="87"/>
      <c r="AT621" s="105"/>
      <c r="AU621" s="105"/>
      <c r="AV621" s="87"/>
      <c r="AW621" s="105"/>
      <c r="AX621" s="105"/>
      <c r="AY621" s="87"/>
      <c r="AZ621" s="105"/>
      <c r="BA621" s="105"/>
      <c r="BB621" s="105"/>
      <c r="BC621" s="87"/>
      <c r="BD621" s="87"/>
      <c r="BE621" s="105"/>
      <c r="BF621" s="105"/>
      <c r="BG621" s="105"/>
      <c r="BH621" s="105"/>
      <c r="BI621" s="105"/>
      <c r="BJ621" s="87"/>
      <c r="BK621" s="87"/>
      <c r="BL621" s="87"/>
      <c r="BM621" s="87"/>
      <c r="BN621" s="87"/>
      <c r="BO621" s="87"/>
      <c r="BP621" s="87"/>
      <c r="BQ621" s="87"/>
      <c r="BR621" s="87"/>
      <c r="BS621" s="87"/>
      <c r="BT621" s="87"/>
      <c r="BU621" s="87"/>
      <c r="BV621" s="87"/>
      <c r="BW621" s="87"/>
      <c r="BX621" s="87"/>
      <c r="BY621" s="87"/>
      <c r="BZ621" s="87"/>
      <c r="CA621" s="87"/>
      <c r="CB621" s="87"/>
      <c r="CC621" s="87"/>
      <c r="CD621" s="87"/>
      <c r="CE621" s="87"/>
      <c r="CF621" s="87"/>
      <c r="CG621" s="87"/>
      <c r="CH621" s="87"/>
      <c r="CI621" s="87"/>
      <c r="CJ621" s="87"/>
      <c r="CK621" s="87"/>
      <c r="CL621" s="87"/>
      <c r="CM621" s="87"/>
      <c r="CN621" s="87"/>
      <c r="CO621" s="87"/>
      <c r="CP621" s="87"/>
      <c r="CQ621" s="87"/>
      <c r="CR621" s="87"/>
      <c r="CS621" s="87"/>
      <c r="CT621" s="87"/>
      <c r="CU621" s="87"/>
      <c r="CV621" s="87">
        <f>-1/7*C621</f>
        <v>-6.0357142857142856</v>
      </c>
      <c r="CW621" s="87">
        <f>-6/7*C621</f>
        <v>-36.214285714285715</v>
      </c>
      <c r="CX621" s="87">
        <f>C621*4/7</f>
        <v>24.142857142857142</v>
      </c>
      <c r="CY621" s="87">
        <f>C621*3/7</f>
        <v>18.107142857142858</v>
      </c>
      <c r="CZ621" s="105"/>
      <c r="DA621" s="105"/>
      <c r="DB621" s="87"/>
      <c r="DC621" s="87"/>
      <c r="DD621" s="87"/>
      <c r="DE621" s="87"/>
      <c r="DF621" s="87"/>
      <c r="DG621" s="87"/>
      <c r="DH621" s="87"/>
      <c r="DI621" s="87"/>
      <c r="DJ621" s="87"/>
      <c r="DK621" s="87"/>
      <c r="DL621" s="87"/>
      <c r="DM621" s="87"/>
      <c r="DN621" s="87"/>
      <c r="DO621" s="87"/>
      <c r="DP621" s="87"/>
      <c r="DQ621" s="87"/>
      <c r="DR621" s="87"/>
      <c r="DS621" s="87"/>
      <c r="DT621" s="87"/>
      <c r="DU621" s="87"/>
      <c r="DV621" s="87"/>
      <c r="DW621" s="87"/>
      <c r="DX621" s="87"/>
      <c r="DY621" s="87"/>
      <c r="DZ621" s="87"/>
      <c r="EA621" s="87"/>
      <c r="EB621" s="87"/>
      <c r="EC621" s="87"/>
      <c r="ED621" s="87"/>
      <c r="EE621" s="87"/>
      <c r="EF621" s="87"/>
      <c r="EG621" s="87"/>
      <c r="EH621" s="87"/>
      <c r="EI621" s="87"/>
    </row>
    <row r="622" spans="1:139" ht="16.5" hidden="1" thickBot="1" x14ac:dyDescent="0.35">
      <c r="A622" s="353" t="s">
        <v>115</v>
      </c>
      <c r="B622" s="191">
        <v>2</v>
      </c>
      <c r="C622" s="177">
        <f>(19.5*0.1)</f>
        <v>1.9500000000000002</v>
      </c>
      <c r="D622" s="217">
        <f>C622/VLOOKUP(B622,'[2]Gas Prod per PADD'!$A$1:$C$6,2,FALSE)</f>
        <v>8.1250000000000007E-4</v>
      </c>
      <c r="E622" s="357">
        <v>45680</v>
      </c>
      <c r="F622" s="252">
        <v>45768</v>
      </c>
      <c r="G622" s="180" t="s">
        <v>1056</v>
      </c>
      <c r="H622" s="181" t="s">
        <v>1057</v>
      </c>
      <c r="I622" s="371"/>
      <c r="J622" s="372"/>
      <c r="K622" s="372"/>
      <c r="L622" s="372"/>
      <c r="M622" s="372"/>
      <c r="N622" s="372"/>
      <c r="O622" s="372"/>
      <c r="P622" s="85">
        <f>C622*(E622-$P$1)/31</f>
        <v>-0.50322580645161297</v>
      </c>
      <c r="Q622" s="85">
        <f>-C622</f>
        <v>-1.9500000000000002</v>
      </c>
      <c r="R622" s="85">
        <f>-C622</f>
        <v>-1.9500000000000002</v>
      </c>
      <c r="S622" s="85">
        <f>C622*($R$1+1-F622)/30</f>
        <v>-1.3</v>
      </c>
      <c r="T622" s="85"/>
      <c r="U622" s="85"/>
      <c r="V622" s="84"/>
      <c r="W622" s="84"/>
      <c r="X622" s="84"/>
      <c r="Y622" s="105"/>
      <c r="Z622" s="105"/>
      <c r="AA622" s="87"/>
      <c r="AB622" s="87"/>
      <c r="AC622" s="87"/>
      <c r="AD622" s="87"/>
      <c r="AE622" s="105"/>
      <c r="AF622" s="105"/>
      <c r="AG622" s="105"/>
      <c r="AH622" s="105"/>
      <c r="AI622" s="87"/>
      <c r="AJ622" s="87"/>
      <c r="AK622" s="105"/>
      <c r="AL622" s="87"/>
      <c r="AM622" s="105"/>
      <c r="AN622" s="105"/>
      <c r="AO622" s="87"/>
      <c r="AP622" s="87"/>
      <c r="AQ622" s="105"/>
      <c r="AR622" s="105"/>
      <c r="AS622" s="87"/>
      <c r="AT622" s="105"/>
      <c r="AU622" s="105"/>
      <c r="AV622" s="87"/>
      <c r="AW622" s="105"/>
      <c r="AX622" s="105"/>
      <c r="AY622" s="87"/>
      <c r="AZ622" s="105"/>
      <c r="BA622" s="105"/>
      <c r="BB622" s="105"/>
      <c r="BC622" s="87"/>
      <c r="BD622" s="87"/>
      <c r="BE622" s="105"/>
      <c r="BF622" s="105"/>
      <c r="BG622" s="105"/>
      <c r="BH622" s="105"/>
      <c r="BI622" s="105"/>
      <c r="BJ622" s="87"/>
      <c r="BK622" s="87"/>
      <c r="BL622" s="87"/>
      <c r="BM622" s="87"/>
      <c r="BN622" s="87"/>
      <c r="BO622" s="87"/>
      <c r="BP622" s="87"/>
      <c r="BQ622" s="87"/>
      <c r="BR622" s="87"/>
      <c r="BS622" s="87"/>
      <c r="BT622" s="87"/>
      <c r="BU622" s="87"/>
      <c r="BV622" s="87"/>
      <c r="BW622" s="87"/>
      <c r="BX622" s="87"/>
      <c r="BY622" s="87"/>
      <c r="BZ622" s="87"/>
      <c r="CA622" s="87"/>
      <c r="CB622" s="87"/>
      <c r="CC622" s="87"/>
      <c r="CD622" s="87"/>
      <c r="CE622" s="87"/>
      <c r="CF622" s="87"/>
      <c r="CG622" s="87"/>
      <c r="CH622" s="87"/>
      <c r="CI622" s="87"/>
      <c r="CJ622" s="87"/>
      <c r="CK622" s="87"/>
      <c r="CL622" s="87"/>
      <c r="CM622" s="87"/>
      <c r="CN622" s="87"/>
      <c r="CO622" s="87"/>
      <c r="CP622" s="87"/>
      <c r="CQ622" s="105">
        <f>-C622</f>
        <v>-1.9500000000000002</v>
      </c>
      <c r="CR622" s="87"/>
      <c r="CS622" s="87"/>
      <c r="CT622" s="87"/>
      <c r="CU622" s="87"/>
      <c r="CV622" s="87"/>
      <c r="CW622" s="87"/>
      <c r="CX622" s="87">
        <f>C622*(4/7)</f>
        <v>1.1142857142857143</v>
      </c>
      <c r="CY622" s="87">
        <f>C622*3/7</f>
        <v>0.83571428571428574</v>
      </c>
      <c r="CZ622" s="87"/>
      <c r="DA622" s="87"/>
      <c r="DB622" s="87"/>
      <c r="DC622" s="87"/>
      <c r="DD622" s="87"/>
      <c r="DE622" s="87"/>
      <c r="DF622" s="87"/>
      <c r="DG622" s="87"/>
      <c r="DH622" s="87"/>
      <c r="DI622" s="87"/>
      <c r="DJ622" s="87"/>
      <c r="DK622" s="87"/>
      <c r="DL622" s="87"/>
      <c r="DM622" s="87"/>
      <c r="DN622" s="87"/>
      <c r="DO622" s="87"/>
      <c r="DP622" s="87"/>
      <c r="DQ622" s="87"/>
      <c r="DR622" s="87"/>
      <c r="DS622" s="87"/>
      <c r="DT622" s="105"/>
      <c r="DU622" s="87"/>
      <c r="DV622" s="87"/>
      <c r="DW622" s="87"/>
      <c r="DX622" s="87"/>
      <c r="DY622" s="87"/>
      <c r="DZ622" s="87"/>
      <c r="EA622" s="105"/>
      <c r="EB622" s="87"/>
      <c r="EC622" s="87"/>
      <c r="ED622" s="87"/>
      <c r="EE622" s="87"/>
      <c r="EF622" s="87"/>
      <c r="EG622" s="87"/>
      <c r="EH622" s="87"/>
      <c r="EI622" s="87"/>
    </row>
    <row r="623" spans="1:139" ht="29.25" hidden="1" thickBot="1" x14ac:dyDescent="0.35">
      <c r="A623" s="353" t="s">
        <v>115</v>
      </c>
      <c r="B623" s="191">
        <v>2</v>
      </c>
      <c r="C623" s="177">
        <f>(25*0.85)+(76*0.1)</f>
        <v>28.85</v>
      </c>
      <c r="D623" s="217">
        <f>C623/VLOOKUP(B623,'[2]Gas Prod per PADD'!$A$1:$C$6,2,FALSE)</f>
        <v>1.2020833333333335E-2</v>
      </c>
      <c r="E623" s="357">
        <v>45680</v>
      </c>
      <c r="F623" s="252">
        <v>45770</v>
      </c>
      <c r="G623" s="180" t="s">
        <v>1058</v>
      </c>
      <c r="H623" s="181" t="s">
        <v>1059</v>
      </c>
      <c r="I623" s="73"/>
      <c r="J623" s="229"/>
      <c r="K623" s="229"/>
      <c r="L623" s="229"/>
      <c r="M623" s="229"/>
      <c r="N623" s="229"/>
      <c r="O623" s="229"/>
      <c r="P623" s="85">
        <f>C623*(E623-$P$1)/31</f>
        <v>-7.4451612903225808</v>
      </c>
      <c r="Q623" s="85">
        <f>-C623</f>
        <v>-28.85</v>
      </c>
      <c r="R623" s="85">
        <f>-C623</f>
        <v>-28.85</v>
      </c>
      <c r="S623" s="85">
        <f>C623*($R$1+1-F623)/30</f>
        <v>-21.15666666666667</v>
      </c>
      <c r="T623" s="85"/>
      <c r="U623" s="85"/>
      <c r="V623" s="84"/>
      <c r="W623" s="84"/>
      <c r="X623" s="84" t="str">
        <f>IF(COUNTA(Y623:EI623)=0,"Missing","OK")</f>
        <v>OK</v>
      </c>
      <c r="Y623" s="74"/>
      <c r="Z623" s="74"/>
      <c r="AA623" s="74"/>
      <c r="AB623" s="74"/>
      <c r="AC623" s="74"/>
      <c r="AD623" s="74"/>
      <c r="AE623" s="74"/>
      <c r="AF623" s="74"/>
      <c r="AG623" s="75"/>
      <c r="AH623" s="74"/>
      <c r="AI623" s="74"/>
      <c r="AJ623" s="74"/>
      <c r="AK623" s="74"/>
      <c r="AL623" s="74"/>
      <c r="AM623" s="74"/>
      <c r="AN623" s="74"/>
      <c r="AO623" s="74"/>
      <c r="AP623" s="74"/>
      <c r="AQ623" s="74"/>
      <c r="AR623" s="75"/>
      <c r="AS623" s="74"/>
      <c r="AT623" s="74"/>
      <c r="AU623" s="74"/>
      <c r="AV623" s="87"/>
      <c r="AW623" s="87"/>
      <c r="AX623" s="87"/>
      <c r="AY623" s="87"/>
      <c r="AZ623" s="87"/>
      <c r="BA623" s="87"/>
      <c r="BB623" s="87"/>
      <c r="BC623" s="87"/>
      <c r="BD623" s="87"/>
      <c r="BE623" s="87"/>
      <c r="BF623" s="74"/>
      <c r="BG623" s="74"/>
      <c r="BH623" s="74"/>
      <c r="BI623" s="74"/>
      <c r="BJ623" s="74"/>
      <c r="BK623" s="74"/>
      <c r="BL623" s="74"/>
      <c r="BM623" s="74"/>
      <c r="BN623" s="74"/>
      <c r="BO623" s="74"/>
      <c r="BP623" s="74"/>
      <c r="BQ623" s="74"/>
      <c r="BR623" s="74"/>
      <c r="BS623" s="74"/>
      <c r="BT623" s="74"/>
      <c r="BU623" s="74"/>
      <c r="BV623" s="74"/>
      <c r="BW623" s="74"/>
      <c r="BX623" s="74"/>
      <c r="BY623" s="74"/>
      <c r="BZ623" s="74"/>
      <c r="CA623" s="74"/>
      <c r="CB623" s="74"/>
      <c r="CC623" s="74"/>
      <c r="CD623" s="74"/>
      <c r="CE623" s="74"/>
      <c r="CF623" s="74"/>
      <c r="CG623" s="74"/>
      <c r="CH623" s="87"/>
      <c r="CI623" s="87"/>
      <c r="CJ623" s="87"/>
      <c r="CK623" s="87">
        <f>-1/7*C623</f>
        <v>-4.121428571428571</v>
      </c>
      <c r="CL623" s="87">
        <f>-6/7*C623</f>
        <v>-24.728571428571428</v>
      </c>
      <c r="CM623" s="87"/>
      <c r="CN623" s="87"/>
      <c r="CO623" s="87"/>
      <c r="CP623" s="87"/>
      <c r="CQ623" s="87"/>
      <c r="CR623" s="87"/>
      <c r="CS623" s="87"/>
      <c r="CT623" s="87"/>
      <c r="CU623" s="87"/>
      <c r="CV623" s="87"/>
      <c r="CW623" s="87"/>
      <c r="CX623" s="87">
        <f>2/7*C623</f>
        <v>8.242857142857142</v>
      </c>
      <c r="CY623" s="87">
        <f>C623*5/7</f>
        <v>20.607142857142858</v>
      </c>
      <c r="CZ623" s="87"/>
      <c r="DA623" s="87"/>
      <c r="DB623" s="87"/>
      <c r="DC623" s="87"/>
      <c r="DD623" s="87"/>
      <c r="DE623" s="87"/>
      <c r="DF623" s="87"/>
      <c r="DG623" s="87"/>
      <c r="DH623" s="87"/>
      <c r="DI623" s="87"/>
      <c r="DJ623" s="87"/>
      <c r="DK623" s="87"/>
      <c r="DL623" s="87"/>
      <c r="DM623" s="87"/>
      <c r="DN623" s="87"/>
      <c r="DO623" s="87"/>
      <c r="DP623" s="87"/>
      <c r="DQ623" s="87"/>
      <c r="DR623" s="87"/>
      <c r="DS623" s="87"/>
      <c r="DT623" s="87"/>
      <c r="DU623" s="87"/>
      <c r="DV623" s="87"/>
      <c r="DW623" s="87"/>
      <c r="DX623" s="87"/>
      <c r="DY623" s="87"/>
      <c r="DZ623" s="87"/>
      <c r="EA623" s="87"/>
      <c r="EB623" s="87"/>
      <c r="EC623" s="87"/>
      <c r="ED623" s="87"/>
      <c r="EE623" s="87"/>
      <c r="EF623" s="87"/>
      <c r="EG623" s="87"/>
      <c r="EH623" s="87"/>
      <c r="EI623" s="87"/>
    </row>
    <row r="624" spans="1:139" ht="16.5" hidden="1" thickBot="1" x14ac:dyDescent="0.35">
      <c r="A624" s="353" t="s">
        <v>384</v>
      </c>
      <c r="B624" s="176">
        <v>2</v>
      </c>
      <c r="C624" s="177">
        <f>28*0.05</f>
        <v>1.4000000000000001</v>
      </c>
      <c r="D624" s="234">
        <f>C624/VLOOKUP(B624,'[2]Gas Prod per PADD'!$A$1:$C$6,2,FALSE)</f>
        <v>5.8333333333333338E-4</v>
      </c>
      <c r="E624" s="357">
        <v>45733</v>
      </c>
      <c r="F624" s="252">
        <v>45770</v>
      </c>
      <c r="G624" s="180" t="s">
        <v>1060</v>
      </c>
      <c r="H624" s="198" t="s">
        <v>1061</v>
      </c>
      <c r="I624" s="84"/>
      <c r="J624" s="85"/>
      <c r="K624" s="85"/>
      <c r="L624" s="85"/>
      <c r="M624" s="85"/>
      <c r="N624" s="85"/>
      <c r="O624" s="85"/>
      <c r="P624" s="85"/>
      <c r="Q624" s="85"/>
      <c r="R624" s="85">
        <f>C624*(E624-$R$1)/31</f>
        <v>-0.63225806451612909</v>
      </c>
      <c r="S624" s="85">
        <f>C624*($R$1+1-F624)/30</f>
        <v>-1.0266666666666668</v>
      </c>
      <c r="T624" s="85"/>
      <c r="U624" s="85"/>
      <c r="V624" s="84"/>
      <c r="W624" s="84"/>
      <c r="X624" s="84"/>
      <c r="Y624" s="86"/>
      <c r="Z624" s="86"/>
      <c r="AA624" s="87"/>
      <c r="AB624" s="87"/>
      <c r="AC624" s="87"/>
      <c r="AD624" s="87"/>
      <c r="AE624" s="87"/>
      <c r="AF624" s="87"/>
      <c r="AG624" s="87"/>
      <c r="AH624" s="87"/>
      <c r="AI624" s="87"/>
      <c r="AJ624" s="87"/>
      <c r="AK624" s="87"/>
      <c r="AL624" s="87"/>
      <c r="AM624" s="87"/>
      <c r="AN624" s="87"/>
      <c r="AO624" s="87"/>
      <c r="AP624" s="87"/>
      <c r="AQ624" s="87"/>
      <c r="AR624" s="87"/>
      <c r="AS624" s="87"/>
      <c r="AT624" s="87"/>
      <c r="AU624" s="87"/>
      <c r="AV624" s="87"/>
      <c r="AW624" s="87"/>
      <c r="AX624" s="87"/>
      <c r="AY624" s="87"/>
      <c r="AZ624" s="87"/>
      <c r="BA624" s="87"/>
      <c r="BB624" s="87"/>
      <c r="BC624" s="87"/>
      <c r="BD624" s="87"/>
      <c r="BE624" s="87"/>
      <c r="BF624" s="87"/>
      <c r="BG624" s="87"/>
      <c r="BH624" s="87"/>
      <c r="BI624" s="87"/>
      <c r="BJ624" s="87"/>
      <c r="BK624" s="87"/>
      <c r="BL624" s="87"/>
      <c r="BM624" s="87"/>
      <c r="BN624" s="87"/>
      <c r="BO624" s="87"/>
      <c r="BP624" s="87"/>
      <c r="BQ624" s="87"/>
      <c r="BR624" s="87"/>
      <c r="BS624" s="87"/>
      <c r="BT624" s="87"/>
      <c r="BU624" s="87"/>
      <c r="BV624" s="87"/>
      <c r="BW624" s="87"/>
      <c r="BX624" s="87"/>
      <c r="BY624" s="87"/>
      <c r="BZ624" s="87"/>
      <c r="CA624" s="87"/>
      <c r="CB624" s="87"/>
      <c r="CC624" s="87"/>
      <c r="CD624" s="87"/>
      <c r="CE624" s="87"/>
      <c r="CF624" s="87"/>
      <c r="CG624" s="87"/>
      <c r="CH624" s="87"/>
      <c r="CI624" s="87"/>
      <c r="CJ624" s="87"/>
      <c r="CK624" s="87"/>
      <c r="CL624" s="87"/>
      <c r="CM624" s="87"/>
      <c r="CN624" s="87"/>
      <c r="CO624" s="87"/>
      <c r="CP624" s="87"/>
      <c r="CQ624" s="87"/>
      <c r="CR624" s="87"/>
      <c r="CS624" s="87">
        <f>-4/7*C624</f>
        <v>-0.8</v>
      </c>
      <c r="CT624" s="87">
        <f>-3/7*C624</f>
        <v>-0.6</v>
      </c>
      <c r="CU624" s="87"/>
      <c r="CV624" s="87"/>
      <c r="CW624" s="87"/>
      <c r="CX624" s="87">
        <f>3/7*C624</f>
        <v>0.6</v>
      </c>
      <c r="CY624" s="87">
        <f>4/7*C624</f>
        <v>0.8</v>
      </c>
      <c r="CZ624" s="87"/>
      <c r="DA624" s="87"/>
      <c r="DB624" s="105"/>
      <c r="DC624" s="87"/>
      <c r="DD624" s="87"/>
      <c r="DE624" s="87"/>
      <c r="DF624" s="87"/>
      <c r="DG624" s="87"/>
      <c r="DH624" s="87"/>
      <c r="DI624" s="87"/>
      <c r="DJ624" s="87"/>
      <c r="DK624" s="87"/>
      <c r="DL624" s="87"/>
      <c r="DM624" s="87"/>
      <c r="DN624" s="87"/>
      <c r="DO624" s="87"/>
      <c r="DP624" s="87"/>
      <c r="DQ624" s="87"/>
      <c r="DR624" s="87"/>
      <c r="DS624" s="87"/>
      <c r="DT624" s="87"/>
      <c r="DU624" s="87"/>
      <c r="DV624" s="87"/>
      <c r="DW624" s="87"/>
      <c r="DX624" s="87"/>
      <c r="DY624" s="87"/>
      <c r="DZ624" s="87"/>
      <c r="EA624" s="87"/>
      <c r="EB624" s="87"/>
      <c r="EC624" s="87"/>
      <c r="ED624" s="87"/>
      <c r="EE624" s="87"/>
      <c r="EF624" s="87"/>
      <c r="EG624" s="87"/>
      <c r="EH624" s="87"/>
      <c r="EI624" s="87"/>
    </row>
    <row r="625" spans="1:139" ht="16.5" hidden="1" thickBot="1" x14ac:dyDescent="0.35">
      <c r="A625" s="353" t="s">
        <v>1062</v>
      </c>
      <c r="B625" s="194">
        <v>4</v>
      </c>
      <c r="C625" s="195">
        <f>12.5*0.65</f>
        <v>8.125</v>
      </c>
      <c r="D625" s="217">
        <f>C625/VLOOKUP(B625,'[2]Gas Prod per PADD'!$A$1:$C$6,2,FALSE)</f>
        <v>2.389705882352941E-2</v>
      </c>
      <c r="E625" s="178">
        <v>45760</v>
      </c>
      <c r="F625" s="252">
        <f>E625+10</f>
        <v>45770</v>
      </c>
      <c r="G625" s="180" t="s">
        <v>1063</v>
      </c>
      <c r="H625" s="181" t="s">
        <v>1064</v>
      </c>
      <c r="I625" s="84"/>
      <c r="J625" s="85"/>
      <c r="K625" s="85"/>
      <c r="L625" s="85"/>
      <c r="M625" s="85"/>
      <c r="N625" s="85"/>
      <c r="O625" s="85"/>
      <c r="P625" s="85"/>
      <c r="Q625" s="85"/>
      <c r="R625" s="85"/>
      <c r="S625" s="85">
        <f t="shared" ref="S625:S632" si="27">C625*(E625-F625)/30</f>
        <v>-2.7083333333333335</v>
      </c>
      <c r="T625" s="85"/>
      <c r="U625" s="85"/>
      <c r="V625" s="84"/>
      <c r="W625" s="84"/>
      <c r="X625" s="84" t="str">
        <f>IF(COUNTA(Y625:EI625)=0,"Missing","OK")</f>
        <v>OK</v>
      </c>
      <c r="Y625" s="87"/>
      <c r="Z625" s="87"/>
      <c r="AA625" s="87"/>
      <c r="AB625" s="87"/>
      <c r="AC625" s="87"/>
      <c r="AD625" s="87"/>
      <c r="AE625" s="87"/>
      <c r="AF625" s="87"/>
      <c r="AG625" s="87"/>
      <c r="AH625" s="87"/>
      <c r="AI625" s="87"/>
      <c r="AJ625" s="87"/>
      <c r="AK625" s="87"/>
      <c r="AL625" s="87"/>
      <c r="AM625" s="87"/>
      <c r="AN625" s="87"/>
      <c r="AO625" s="87"/>
      <c r="AP625" s="87"/>
      <c r="AQ625" s="87"/>
      <c r="AR625" s="87"/>
      <c r="AS625" s="87"/>
      <c r="AT625" s="87"/>
      <c r="AU625" s="87"/>
      <c r="AV625" s="87"/>
      <c r="AW625" s="87"/>
      <c r="AX625" s="87"/>
      <c r="AY625" s="87"/>
      <c r="AZ625" s="87"/>
      <c r="BA625" s="87"/>
      <c r="BB625" s="87"/>
      <c r="BC625" s="87"/>
      <c r="BD625" s="87"/>
      <c r="BE625" s="87"/>
      <c r="BF625" s="87"/>
      <c r="BG625" s="87"/>
      <c r="BH625" s="87"/>
      <c r="BI625" s="87"/>
      <c r="BJ625" s="87"/>
      <c r="BK625" s="87"/>
      <c r="BL625" s="87"/>
      <c r="BM625" s="87"/>
      <c r="BN625" s="87"/>
      <c r="BO625" s="87"/>
      <c r="BP625" s="87"/>
      <c r="BQ625" s="87"/>
      <c r="BR625" s="87"/>
      <c r="BS625" s="87"/>
      <c r="BT625" s="87"/>
      <c r="BU625" s="87"/>
      <c r="BV625" s="87"/>
      <c r="BW625" s="87"/>
      <c r="BX625" s="87"/>
      <c r="BY625" s="87"/>
      <c r="BZ625" s="87"/>
      <c r="CA625" s="87"/>
      <c r="CB625" s="87"/>
      <c r="CC625" s="87"/>
      <c r="CD625" s="87"/>
      <c r="CE625" s="87"/>
      <c r="CF625" s="87"/>
      <c r="CG625" s="87"/>
      <c r="CH625" s="87"/>
      <c r="CI625" s="87"/>
      <c r="CJ625" s="87"/>
      <c r="CK625" s="87"/>
      <c r="CL625" s="87"/>
      <c r="CM625" s="87"/>
      <c r="CN625" s="87"/>
      <c r="CO625" s="87"/>
      <c r="CP625" s="87"/>
      <c r="CQ625" s="87"/>
      <c r="CR625" s="87"/>
      <c r="CS625" s="87"/>
      <c r="CT625" s="87"/>
      <c r="CU625" s="87"/>
      <c r="CV625" s="87"/>
      <c r="CW625" s="87">
        <f>C625*-(4/7)</f>
        <v>-4.6428571428571423</v>
      </c>
      <c r="CX625" s="87"/>
      <c r="CY625" s="87">
        <f>-CW625</f>
        <v>4.6428571428571423</v>
      </c>
      <c r="CZ625" s="87"/>
      <c r="DA625" s="87"/>
      <c r="DB625" s="87"/>
      <c r="DC625" s="87"/>
      <c r="DD625" s="87"/>
      <c r="DE625" s="87"/>
      <c r="DF625" s="87"/>
      <c r="DG625" s="87"/>
      <c r="DH625" s="87"/>
      <c r="DI625" s="87"/>
      <c r="DJ625" s="87"/>
      <c r="DK625" s="87"/>
      <c r="DL625" s="87"/>
      <c r="DM625" s="87"/>
      <c r="DN625" s="87"/>
      <c r="DO625" s="87"/>
      <c r="DP625" s="87"/>
      <c r="DQ625" s="87"/>
      <c r="DR625" s="87"/>
      <c r="DS625" s="87"/>
      <c r="DT625" s="87"/>
      <c r="DU625" s="87"/>
      <c r="DV625" s="87"/>
      <c r="DW625" s="87"/>
      <c r="DX625" s="87"/>
      <c r="DY625" s="87"/>
      <c r="DZ625" s="87"/>
      <c r="EA625" s="87"/>
      <c r="EB625" s="87"/>
      <c r="EC625" s="87"/>
      <c r="ED625" s="87"/>
      <c r="EE625" s="87"/>
      <c r="EF625" s="87"/>
      <c r="EG625" s="87"/>
      <c r="EH625" s="87"/>
      <c r="EI625" s="87"/>
    </row>
    <row r="626" spans="1:139" ht="16.5" hidden="1" thickBot="1" x14ac:dyDescent="0.35">
      <c r="A626" s="113" t="s">
        <v>519</v>
      </c>
      <c r="B626" s="194">
        <v>2</v>
      </c>
      <c r="C626" s="195">
        <f>16.5*0.25</f>
        <v>4.125</v>
      </c>
      <c r="D626" s="217">
        <v>2.9999999999999996E-3</v>
      </c>
      <c r="E626" s="346">
        <v>45762</v>
      </c>
      <c r="F626" s="281">
        <v>45770</v>
      </c>
      <c r="G626" s="194" t="s">
        <v>1065</v>
      </c>
      <c r="H626" s="198" t="s">
        <v>1066</v>
      </c>
      <c r="I626" s="84"/>
      <c r="J626" s="85"/>
      <c r="K626" s="85"/>
      <c r="L626" s="85"/>
      <c r="M626" s="85"/>
      <c r="N626" s="85"/>
      <c r="O626" s="85"/>
      <c r="P626" s="85"/>
      <c r="Q626" s="85"/>
      <c r="R626" s="85"/>
      <c r="S626" s="85">
        <f t="shared" si="27"/>
        <v>-1.1000000000000001</v>
      </c>
      <c r="T626" s="85"/>
      <c r="U626" s="85"/>
      <c r="V626" s="84"/>
      <c r="W626" s="84"/>
      <c r="X626" s="84" t="str">
        <f>IF(COUNTA(Y626:EI626)=0,"Missing","OK")</f>
        <v>OK</v>
      </c>
      <c r="Y626" s="87"/>
      <c r="Z626" s="87"/>
      <c r="AA626" s="87"/>
      <c r="AB626" s="87"/>
      <c r="AC626" s="87"/>
      <c r="AD626" s="87"/>
      <c r="AE626" s="87"/>
      <c r="AF626" s="87"/>
      <c r="AG626" s="87"/>
      <c r="AH626" s="87"/>
      <c r="AI626" s="87"/>
      <c r="AJ626" s="87"/>
      <c r="AK626" s="87"/>
      <c r="AL626" s="87"/>
      <c r="AM626" s="87"/>
      <c r="AN626" s="87"/>
      <c r="AO626" s="87"/>
      <c r="AP626" s="87"/>
      <c r="AQ626" s="87"/>
      <c r="AR626" s="87"/>
      <c r="AS626" s="87"/>
      <c r="AT626" s="87"/>
      <c r="AU626" s="87"/>
      <c r="AV626" s="87"/>
      <c r="AW626" s="87"/>
      <c r="AX626" s="87"/>
      <c r="AY626" s="87"/>
      <c r="AZ626" s="87"/>
      <c r="BA626" s="87"/>
      <c r="BB626" s="87"/>
      <c r="BC626" s="87"/>
      <c r="BD626" s="87"/>
      <c r="BE626" s="87"/>
      <c r="BF626" s="87"/>
      <c r="BG626" s="87"/>
      <c r="BH626" s="87"/>
      <c r="BI626" s="87"/>
      <c r="BJ626" s="87"/>
      <c r="BK626" s="87"/>
      <c r="BL626" s="87"/>
      <c r="BM626" s="87"/>
      <c r="BN626" s="87"/>
      <c r="BO626" s="87"/>
      <c r="BP626" s="87"/>
      <c r="BQ626" s="87"/>
      <c r="BR626" s="87"/>
      <c r="BS626" s="87"/>
      <c r="BT626" s="87"/>
      <c r="BU626" s="87"/>
      <c r="BV626" s="87"/>
      <c r="BW626" s="87"/>
      <c r="BX626" s="87"/>
      <c r="BY626" s="87"/>
      <c r="BZ626" s="87"/>
      <c r="CA626" s="87"/>
      <c r="CB626" s="87"/>
      <c r="CC626" s="87"/>
      <c r="CD626" s="87"/>
      <c r="CE626" s="87"/>
      <c r="CF626" s="87"/>
      <c r="CG626" s="87"/>
      <c r="CH626" s="87"/>
      <c r="CI626" s="87"/>
      <c r="CJ626" s="87"/>
      <c r="CK626" s="87"/>
      <c r="CL626" s="87"/>
      <c r="CM626" s="87"/>
      <c r="CN626" s="87"/>
      <c r="CO626" s="87"/>
      <c r="CP626" s="87"/>
      <c r="CQ626" s="87"/>
      <c r="CR626" s="87"/>
      <c r="CS626" s="87"/>
      <c r="CT626" s="87"/>
      <c r="CU626" s="87"/>
      <c r="CV626" s="295"/>
      <c r="CW626" s="87">
        <f>-C626*(5/7)</f>
        <v>-2.9464285714285716</v>
      </c>
      <c r="CX626" s="87"/>
      <c r="CY626" s="87">
        <f>-CW626</f>
        <v>2.9464285714285716</v>
      </c>
      <c r="CZ626" s="87"/>
      <c r="DA626" s="87"/>
      <c r="DB626" s="87"/>
      <c r="DC626" s="87"/>
      <c r="DD626" s="87"/>
      <c r="DE626" s="87"/>
      <c r="DF626" s="87"/>
      <c r="DG626" s="87"/>
      <c r="DH626" s="87"/>
      <c r="DI626" s="87"/>
      <c r="DJ626" s="87"/>
      <c r="DK626" s="87"/>
      <c r="DL626" s="87"/>
      <c r="DM626" s="87"/>
      <c r="DN626" s="87"/>
      <c r="DO626" s="87"/>
      <c r="DP626" s="87"/>
      <c r="DQ626" s="87"/>
      <c r="DR626" s="87"/>
      <c r="DS626" s="87"/>
      <c r="DT626" s="87"/>
      <c r="DU626" s="87"/>
      <c r="DV626" s="87"/>
      <c r="DW626" s="87"/>
      <c r="DX626" s="87"/>
      <c r="DY626" s="87"/>
      <c r="DZ626" s="87"/>
      <c r="EA626" s="87"/>
      <c r="EB626" s="87"/>
      <c r="EC626" s="87"/>
      <c r="ED626" s="87"/>
      <c r="EE626" s="87"/>
      <c r="EF626" s="87"/>
      <c r="EG626" s="87"/>
      <c r="EH626" s="87"/>
      <c r="EI626" s="87"/>
    </row>
    <row r="627" spans="1:139" ht="16.5" hidden="1" thickBot="1" x14ac:dyDescent="0.35">
      <c r="A627" s="222" t="s">
        <v>425</v>
      </c>
      <c r="B627" s="176">
        <v>3</v>
      </c>
      <c r="C627" s="177">
        <f>15*0.25</f>
        <v>3.75</v>
      </c>
      <c r="D627" s="234">
        <f>C627/VLOOKUP(B627,'[2]Gas Prod per PADD'!$A$1:$C$6,2,FALSE)</f>
        <v>8.1521739130434778E-4</v>
      </c>
      <c r="E627" s="178">
        <v>45768</v>
      </c>
      <c r="F627" s="252">
        <v>45770</v>
      </c>
      <c r="G627" s="180" t="s">
        <v>992</v>
      </c>
      <c r="H627" s="198" t="s">
        <v>801</v>
      </c>
      <c r="I627" s="84"/>
      <c r="J627" s="85"/>
      <c r="K627" s="85"/>
      <c r="L627" s="85"/>
      <c r="M627" s="85"/>
      <c r="N627" s="85"/>
      <c r="O627" s="85"/>
      <c r="P627" s="85"/>
      <c r="Q627" s="85"/>
      <c r="R627" s="85"/>
      <c r="S627" s="85">
        <f t="shared" si="27"/>
        <v>-0.25</v>
      </c>
      <c r="T627" s="85"/>
      <c r="U627" s="85"/>
      <c r="V627" s="84"/>
      <c r="W627" s="84"/>
      <c r="X627" s="84"/>
      <c r="Y627" s="105"/>
      <c r="Z627" s="105"/>
      <c r="AA627" s="87"/>
      <c r="AB627" s="87"/>
      <c r="AC627" s="87"/>
      <c r="AD627" s="87"/>
      <c r="AE627" s="105"/>
      <c r="AF627" s="105"/>
      <c r="AG627" s="105"/>
      <c r="AH627" s="105"/>
      <c r="AI627" s="87"/>
      <c r="AJ627" s="87"/>
      <c r="AK627" s="105"/>
      <c r="AL627" s="87"/>
      <c r="AM627" s="105"/>
      <c r="AN627" s="105"/>
      <c r="AO627" s="87"/>
      <c r="AP627" s="87"/>
      <c r="AQ627" s="105"/>
      <c r="AR627" s="105"/>
      <c r="AS627" s="87"/>
      <c r="AT627" s="105"/>
      <c r="AU627" s="105"/>
      <c r="AV627" s="87"/>
      <c r="AW627" s="105"/>
      <c r="AX627" s="105"/>
      <c r="AY627" s="87"/>
      <c r="AZ627" s="105"/>
      <c r="BA627" s="105"/>
      <c r="BB627" s="105"/>
      <c r="BC627" s="87"/>
      <c r="BD627" s="87"/>
      <c r="BE627" s="105"/>
      <c r="BF627" s="105"/>
      <c r="BG627" s="105"/>
      <c r="BH627" s="105"/>
      <c r="BI627" s="105"/>
      <c r="BJ627" s="87"/>
      <c r="BK627" s="87"/>
      <c r="BL627" s="87"/>
      <c r="BM627" s="87"/>
      <c r="BN627" s="87"/>
      <c r="BO627" s="105"/>
      <c r="BP627" s="105"/>
      <c r="BQ627" s="105"/>
      <c r="BR627" s="105"/>
      <c r="BS627" s="105"/>
      <c r="BT627" s="87"/>
      <c r="BU627" s="87"/>
      <c r="BV627" s="87"/>
      <c r="BW627" s="87"/>
      <c r="BX627" s="87"/>
      <c r="BY627" s="87"/>
      <c r="BZ627" s="87"/>
      <c r="CA627" s="87"/>
      <c r="CB627" s="87"/>
      <c r="CC627" s="87"/>
      <c r="CD627" s="87"/>
      <c r="CE627" s="87"/>
      <c r="CF627" s="87"/>
      <c r="CG627" s="87"/>
      <c r="CH627" s="87"/>
      <c r="CI627" s="87"/>
      <c r="CJ627" s="87"/>
      <c r="CK627" s="87"/>
      <c r="CL627" s="87"/>
      <c r="CM627" s="87"/>
      <c r="CN627" s="87"/>
      <c r="CO627" s="87"/>
      <c r="CP627" s="87"/>
      <c r="CQ627" s="87"/>
      <c r="CR627" s="87"/>
      <c r="CS627" s="87"/>
      <c r="CT627" s="87"/>
      <c r="CU627" s="87"/>
      <c r="CV627" s="87"/>
      <c r="CW627" s="87"/>
      <c r="CX627" s="87">
        <f>-2/7*C627</f>
        <v>-1.0714285714285714</v>
      </c>
      <c r="CY627" s="87">
        <f>-CX627</f>
        <v>1.0714285714285714</v>
      </c>
      <c r="CZ627" s="87"/>
      <c r="DA627" s="87"/>
      <c r="DB627" s="87"/>
      <c r="DC627" s="87"/>
      <c r="DD627" s="87"/>
      <c r="DE627" s="87"/>
      <c r="DF627" s="87"/>
      <c r="DG627" s="87"/>
      <c r="DH627" s="87"/>
      <c r="DI627" s="87"/>
      <c r="DJ627" s="87"/>
      <c r="DK627" s="87"/>
      <c r="DL627" s="87"/>
      <c r="DM627" s="87"/>
      <c r="DN627" s="87"/>
      <c r="DO627" s="87"/>
      <c r="DP627" s="87"/>
      <c r="DQ627" s="87"/>
      <c r="DR627" s="87"/>
      <c r="DS627" s="87"/>
      <c r="DT627" s="87"/>
      <c r="DU627" s="87"/>
      <c r="DV627" s="87"/>
      <c r="DW627" s="87"/>
      <c r="DX627" s="87"/>
      <c r="DY627" s="87"/>
      <c r="DZ627" s="87"/>
      <c r="EA627" s="87"/>
      <c r="EB627" s="87"/>
      <c r="EC627" s="87"/>
      <c r="ED627" s="87"/>
      <c r="EE627" s="87"/>
      <c r="EF627" s="87"/>
      <c r="EG627" s="87"/>
      <c r="EH627" s="87"/>
      <c r="EI627" s="87"/>
    </row>
    <row r="628" spans="1:139" ht="16.5" hidden="1" thickBot="1" x14ac:dyDescent="0.35">
      <c r="A628" s="222" t="s">
        <v>248</v>
      </c>
      <c r="B628" s="223">
        <v>3</v>
      </c>
      <c r="C628" s="224">
        <f>18*0.85+(130*0.25*0.1)</f>
        <v>18.549999999999997</v>
      </c>
      <c r="D628" s="217">
        <f>C628/VLOOKUP(B628,'[2]Gas Prod per PADD'!$A$1:$C$6,2,FALSE)</f>
        <v>4.032608695652173E-3</v>
      </c>
      <c r="E628" s="196">
        <v>45755</v>
      </c>
      <c r="F628" s="197">
        <v>45771</v>
      </c>
      <c r="G628" s="194" t="s">
        <v>881</v>
      </c>
      <c r="H628" s="230" t="s">
        <v>1067</v>
      </c>
      <c r="I628" s="84" t="s">
        <v>1068</v>
      </c>
      <c r="J628" s="85"/>
      <c r="K628" s="85"/>
      <c r="L628" s="85"/>
      <c r="M628" s="85"/>
      <c r="N628" s="85"/>
      <c r="O628" s="85"/>
      <c r="P628" s="85"/>
      <c r="Q628" s="85"/>
      <c r="R628" s="85"/>
      <c r="S628" s="85">
        <f t="shared" si="27"/>
        <v>-9.8933333333333326</v>
      </c>
      <c r="T628" s="85"/>
      <c r="U628" s="85"/>
      <c r="V628" s="84"/>
      <c r="W628" s="84"/>
      <c r="X628" s="84" t="str">
        <f>IF(COUNTA(Y628:EI628)=0,"Missing","OK")</f>
        <v>OK</v>
      </c>
      <c r="Y628" s="87"/>
      <c r="Z628" s="87"/>
      <c r="AA628" s="87"/>
      <c r="AB628" s="87"/>
      <c r="AC628" s="87"/>
      <c r="AD628" s="87"/>
      <c r="AE628" s="87"/>
      <c r="AF628" s="87"/>
      <c r="AG628" s="87"/>
      <c r="AH628" s="87"/>
      <c r="AI628" s="87"/>
      <c r="AJ628" s="87"/>
      <c r="AK628" s="87"/>
      <c r="AL628" s="87"/>
      <c r="AM628" s="87"/>
      <c r="AN628" s="87"/>
      <c r="AO628" s="87"/>
      <c r="AP628" s="87"/>
      <c r="AQ628" s="87"/>
      <c r="AR628" s="87"/>
      <c r="AS628" s="87"/>
      <c r="AT628" s="87"/>
      <c r="AU628" s="87"/>
      <c r="AV628" s="87"/>
      <c r="AW628" s="87"/>
      <c r="AX628" s="87"/>
      <c r="AY628" s="87"/>
      <c r="AZ628" s="87"/>
      <c r="BA628" s="87"/>
      <c r="BB628" s="87"/>
      <c r="BC628" s="87"/>
      <c r="BD628" s="87"/>
      <c r="BE628" s="87"/>
      <c r="BF628" s="87"/>
      <c r="BG628" s="87"/>
      <c r="BH628" s="87"/>
      <c r="BI628" s="87"/>
      <c r="BJ628" s="87"/>
      <c r="BK628" s="87"/>
      <c r="BL628" s="87"/>
      <c r="BM628" s="87"/>
      <c r="BN628" s="87"/>
      <c r="BO628" s="87"/>
      <c r="BP628" s="87"/>
      <c r="BQ628" s="87"/>
      <c r="BR628" s="87"/>
      <c r="BS628" s="87"/>
      <c r="BT628" s="87"/>
      <c r="BU628" s="87"/>
      <c r="BV628" s="87"/>
      <c r="BW628" s="87"/>
      <c r="BX628" s="87"/>
      <c r="BY628" s="87"/>
      <c r="BZ628" s="87"/>
      <c r="CA628" s="87"/>
      <c r="CB628" s="87"/>
      <c r="CC628" s="87"/>
      <c r="CD628" s="87"/>
      <c r="CE628" s="87"/>
      <c r="CF628" s="87"/>
      <c r="CG628" s="87"/>
      <c r="CH628" s="87"/>
      <c r="CI628" s="87"/>
      <c r="CJ628" s="87"/>
      <c r="CK628" s="87"/>
      <c r="CL628" s="87"/>
      <c r="CM628" s="87"/>
      <c r="CN628" s="87"/>
      <c r="CO628" s="87"/>
      <c r="CP628" s="87"/>
      <c r="CQ628" s="87"/>
      <c r="CR628" s="87"/>
      <c r="CS628" s="87"/>
      <c r="CT628" s="87"/>
      <c r="CU628" s="87"/>
      <c r="CV628" s="105">
        <f>-C628*(3/7)</f>
        <v>-7.9499999999999984</v>
      </c>
      <c r="CW628" s="87">
        <f>-C628*(4/7)</f>
        <v>-10.599999999999998</v>
      </c>
      <c r="CX628" s="87">
        <f>C628*(1/7)</f>
        <v>2.6499999999999995</v>
      </c>
      <c r="CY628" s="87">
        <f>C628*(6/7)</f>
        <v>15.899999999999997</v>
      </c>
      <c r="CZ628" s="87"/>
      <c r="DA628" s="87"/>
      <c r="DB628" s="87"/>
      <c r="DC628" s="87"/>
      <c r="DD628" s="87"/>
      <c r="DE628" s="87"/>
      <c r="DF628" s="87"/>
      <c r="DG628" s="87"/>
      <c r="DH628" s="87"/>
      <c r="DI628" s="87"/>
      <c r="DJ628" s="87"/>
      <c r="DK628" s="87"/>
      <c r="DL628" s="87"/>
      <c r="DM628" s="87"/>
      <c r="DN628" s="87"/>
      <c r="DO628" s="87"/>
      <c r="DP628" s="87"/>
      <c r="DQ628" s="87"/>
      <c r="DR628" s="87"/>
      <c r="DS628" s="87"/>
      <c r="DT628" s="87"/>
      <c r="DU628" s="87"/>
      <c r="DV628" s="87"/>
      <c r="DW628" s="87"/>
      <c r="DX628" s="87"/>
      <c r="DY628" s="87"/>
      <c r="DZ628" s="87"/>
      <c r="EA628" s="87"/>
      <c r="EB628" s="87"/>
      <c r="EC628" s="87"/>
      <c r="ED628" s="87"/>
      <c r="EE628" s="87"/>
      <c r="EF628" s="87"/>
      <c r="EG628" s="87"/>
      <c r="EH628" s="87"/>
      <c r="EI628" s="87"/>
    </row>
    <row r="629" spans="1:139" ht="16.5" hidden="1" thickBot="1" x14ac:dyDescent="0.35">
      <c r="A629" s="190" t="s">
        <v>127</v>
      </c>
      <c r="B629" s="191">
        <v>3</v>
      </c>
      <c r="C629" s="177">
        <f>40*0.25</f>
        <v>10</v>
      </c>
      <c r="D629" s="217">
        <f>C629/VLOOKUP(B629,'[2]Gas Prod per PADD'!$A$1:$C$6,2,FALSE)</f>
        <v>2.1739130434782609E-3</v>
      </c>
      <c r="E629" s="251">
        <v>45768</v>
      </c>
      <c r="F629" s="276">
        <v>45771</v>
      </c>
      <c r="G629" s="180" t="s">
        <v>1069</v>
      </c>
      <c r="H629" s="198"/>
      <c r="I629" s="347"/>
      <c r="J629" s="348"/>
      <c r="K629" s="348"/>
      <c r="L629" s="348"/>
      <c r="M629" s="348"/>
      <c r="N629" s="348"/>
      <c r="O629" s="348"/>
      <c r="P629" s="348"/>
      <c r="Q629" s="348"/>
      <c r="R629" s="348"/>
      <c r="S629" s="85">
        <f t="shared" si="27"/>
        <v>-1</v>
      </c>
      <c r="T629" s="85"/>
      <c r="U629" s="85"/>
      <c r="V629" s="84"/>
      <c r="W629" s="84"/>
      <c r="X629" s="84"/>
      <c r="Y629" s="105"/>
      <c r="Z629" s="105"/>
      <c r="AA629" s="87"/>
      <c r="AB629" s="87"/>
      <c r="AC629" s="87"/>
      <c r="AD629" s="87"/>
      <c r="AE629" s="105"/>
      <c r="AF629" s="105"/>
      <c r="AG629" s="105"/>
      <c r="AH629" s="105"/>
      <c r="AI629" s="87"/>
      <c r="AJ629" s="87"/>
      <c r="AK629" s="105"/>
      <c r="AL629" s="87"/>
      <c r="AM629" s="105"/>
      <c r="AN629" s="105"/>
      <c r="AO629" s="87"/>
      <c r="AP629" s="87"/>
      <c r="AQ629" s="105"/>
      <c r="AR629" s="105"/>
      <c r="AS629" s="87"/>
      <c r="AT629" s="105"/>
      <c r="AU629" s="105"/>
      <c r="AV629" s="87"/>
      <c r="AW629" s="105"/>
      <c r="AX629" s="105"/>
      <c r="AY629" s="87"/>
      <c r="AZ629" s="105"/>
      <c r="BA629" s="105"/>
      <c r="BB629" s="105"/>
      <c r="BC629" s="87"/>
      <c r="BD629" s="87"/>
      <c r="BE629" s="105"/>
      <c r="BF629" s="105"/>
      <c r="BG629" s="105"/>
      <c r="BH629" s="105"/>
      <c r="BI629" s="105"/>
      <c r="BJ629" s="87"/>
      <c r="BK629" s="87"/>
      <c r="BL629" s="87"/>
      <c r="BM629" s="87"/>
      <c r="BN629" s="87"/>
      <c r="BO629" s="87"/>
      <c r="BP629" s="87"/>
      <c r="BQ629" s="87"/>
      <c r="BR629" s="87"/>
      <c r="BS629" s="87"/>
      <c r="BT629" s="87"/>
      <c r="BU629" s="87"/>
      <c r="BV629" s="87"/>
      <c r="BW629" s="87"/>
      <c r="BX629" s="87"/>
      <c r="BY629" s="87"/>
      <c r="BZ629" s="87"/>
      <c r="CA629" s="87"/>
      <c r="CB629" s="87"/>
      <c r="CC629" s="87"/>
      <c r="CD629" s="87"/>
      <c r="CE629" s="87"/>
      <c r="CF629" s="87"/>
      <c r="CG629" s="87"/>
      <c r="CH629" s="87"/>
      <c r="CI629" s="87"/>
      <c r="CJ629" s="87"/>
      <c r="CK629" s="87"/>
      <c r="CL629" s="87"/>
      <c r="CM629" s="87"/>
      <c r="CN629" s="87"/>
      <c r="CO629" s="87"/>
      <c r="CP629" s="87"/>
      <c r="CQ629" s="87"/>
      <c r="CR629" s="87"/>
      <c r="CS629" s="87"/>
      <c r="CT629" s="87"/>
      <c r="CU629" s="87"/>
      <c r="CV629" s="87"/>
      <c r="CW629" s="87"/>
      <c r="CX629" s="87">
        <f>-3/7*C629</f>
        <v>-4.2857142857142856</v>
      </c>
      <c r="CY629" s="87">
        <f>-CX629</f>
        <v>4.2857142857142856</v>
      </c>
      <c r="CZ629" s="87"/>
      <c r="DA629" s="105"/>
      <c r="DB629" s="87"/>
      <c r="DC629" s="87"/>
      <c r="DD629" s="87"/>
      <c r="DE629" s="87"/>
      <c r="DF629" s="87"/>
      <c r="DG629" s="87"/>
      <c r="DH629" s="87"/>
      <c r="DI629" s="87"/>
      <c r="DJ629" s="87"/>
      <c r="DK629" s="87"/>
      <c r="DL629" s="87"/>
      <c r="DM629" s="87"/>
      <c r="DN629" s="87"/>
      <c r="DO629" s="87"/>
      <c r="DP629" s="87"/>
      <c r="DQ629" s="87"/>
      <c r="DR629" s="87"/>
      <c r="DS629" s="87"/>
      <c r="DT629" s="87"/>
      <c r="DU629" s="87"/>
      <c r="DV629" s="87"/>
      <c r="DW629" s="87"/>
      <c r="DX629" s="87"/>
      <c r="DY629" s="87"/>
      <c r="DZ629" s="87"/>
      <c r="EA629" s="87"/>
      <c r="EB629" s="87"/>
      <c r="EC629" s="87"/>
      <c r="ED629" s="87"/>
      <c r="EE629" s="87"/>
      <c r="EF629" s="87"/>
      <c r="EG629" s="87"/>
      <c r="EH629" s="87"/>
      <c r="EI629" s="87"/>
    </row>
    <row r="630" spans="1:139" ht="16.5" hidden="1" thickBot="1" x14ac:dyDescent="0.35">
      <c r="A630" s="190" t="s">
        <v>127</v>
      </c>
      <c r="B630" s="191">
        <v>3</v>
      </c>
      <c r="C630" s="177">
        <f>60*0.25</f>
        <v>15</v>
      </c>
      <c r="D630" s="217">
        <f>C630/VLOOKUP(B630,'[2]Gas Prod per PADD'!$A$1:$C$6,2,FALSE)</f>
        <v>3.2608695652173911E-3</v>
      </c>
      <c r="E630" s="251">
        <v>45770</v>
      </c>
      <c r="F630" s="276">
        <v>45771</v>
      </c>
      <c r="G630" s="180" t="s">
        <v>1070</v>
      </c>
      <c r="H630" s="198"/>
      <c r="I630" s="347"/>
      <c r="J630" s="348"/>
      <c r="K630" s="348"/>
      <c r="L630" s="348"/>
      <c r="M630" s="348"/>
      <c r="N630" s="348"/>
      <c r="O630" s="348"/>
      <c r="P630" s="348"/>
      <c r="Q630" s="348"/>
      <c r="R630" s="348"/>
      <c r="S630" s="85">
        <f t="shared" si="27"/>
        <v>-0.5</v>
      </c>
      <c r="T630" s="85"/>
      <c r="U630" s="85"/>
      <c r="V630" s="84"/>
      <c r="W630" s="84"/>
      <c r="X630" s="84"/>
      <c r="Y630" s="105"/>
      <c r="Z630" s="105"/>
      <c r="AA630" s="87"/>
      <c r="AB630" s="87"/>
      <c r="AC630" s="87"/>
      <c r="AD630" s="87"/>
      <c r="AE630" s="105"/>
      <c r="AF630" s="105"/>
      <c r="AG630" s="105"/>
      <c r="AH630" s="105"/>
      <c r="AI630" s="87"/>
      <c r="AJ630" s="87"/>
      <c r="AK630" s="105"/>
      <c r="AL630" s="87"/>
      <c r="AM630" s="105"/>
      <c r="AN630" s="105"/>
      <c r="AO630" s="87"/>
      <c r="AP630" s="87"/>
      <c r="AQ630" s="105"/>
      <c r="AR630" s="105"/>
      <c r="AS630" s="87"/>
      <c r="AT630" s="105"/>
      <c r="AU630" s="105"/>
      <c r="AV630" s="87"/>
      <c r="AW630" s="105"/>
      <c r="AX630" s="105"/>
      <c r="AY630" s="87"/>
      <c r="AZ630" s="105"/>
      <c r="BA630" s="105"/>
      <c r="BB630" s="105"/>
      <c r="BC630" s="87"/>
      <c r="BD630" s="87"/>
      <c r="BE630" s="105"/>
      <c r="BF630" s="105"/>
      <c r="BG630" s="105"/>
      <c r="BH630" s="105"/>
      <c r="BI630" s="105"/>
      <c r="BJ630" s="87"/>
      <c r="BK630" s="87"/>
      <c r="BL630" s="87"/>
      <c r="BM630" s="87"/>
      <c r="BN630" s="87"/>
      <c r="BO630" s="87"/>
      <c r="BP630" s="87"/>
      <c r="BQ630" s="87"/>
      <c r="BR630" s="87"/>
      <c r="BS630" s="87"/>
      <c r="BT630" s="87"/>
      <c r="BU630" s="87"/>
      <c r="BV630" s="87"/>
      <c r="BW630" s="87"/>
      <c r="BX630" s="87"/>
      <c r="BY630" s="87"/>
      <c r="BZ630" s="87"/>
      <c r="CA630" s="87"/>
      <c r="CB630" s="87"/>
      <c r="CC630" s="87"/>
      <c r="CD630" s="87"/>
      <c r="CE630" s="87"/>
      <c r="CF630" s="87"/>
      <c r="CG630" s="87"/>
      <c r="CH630" s="87"/>
      <c r="CI630" s="87"/>
      <c r="CJ630" s="87"/>
      <c r="CK630" s="87"/>
      <c r="CL630" s="87"/>
      <c r="CM630" s="87"/>
      <c r="CN630" s="87"/>
      <c r="CO630" s="87"/>
      <c r="CP630" s="87"/>
      <c r="CQ630" s="87"/>
      <c r="CR630" s="87"/>
      <c r="CS630" s="87"/>
      <c r="CT630" s="87"/>
      <c r="CU630" s="87"/>
      <c r="CV630" s="87"/>
      <c r="CW630" s="87"/>
      <c r="CX630" s="87">
        <f>-1/7*C630</f>
        <v>-2.1428571428571428</v>
      </c>
      <c r="CY630" s="87">
        <f>-CX630</f>
        <v>2.1428571428571428</v>
      </c>
      <c r="CZ630" s="87"/>
      <c r="DA630" s="105"/>
      <c r="DB630" s="87"/>
      <c r="DC630" s="87"/>
      <c r="DD630" s="87"/>
      <c r="DE630" s="87"/>
      <c r="DF630" s="87"/>
      <c r="DG630" s="87"/>
      <c r="DH630" s="87"/>
      <c r="DI630" s="87"/>
      <c r="DJ630" s="87"/>
      <c r="DK630" s="87"/>
      <c r="DL630" s="87"/>
      <c r="DM630" s="87"/>
      <c r="DN630" s="87"/>
      <c r="DO630" s="87"/>
      <c r="DP630" s="87"/>
      <c r="DQ630" s="87"/>
      <c r="DR630" s="87"/>
      <c r="DS630" s="87"/>
      <c r="DT630" s="87"/>
      <c r="DU630" s="87"/>
      <c r="DV630" s="87"/>
      <c r="DW630" s="87"/>
      <c r="DX630" s="87"/>
      <c r="DY630" s="87"/>
      <c r="DZ630" s="87"/>
      <c r="EA630" s="87"/>
      <c r="EB630" s="87"/>
      <c r="EC630" s="87"/>
      <c r="ED630" s="87"/>
      <c r="EE630" s="87"/>
      <c r="EF630" s="87"/>
      <c r="EG630" s="87"/>
      <c r="EH630" s="87"/>
      <c r="EI630" s="87"/>
    </row>
    <row r="631" spans="1:139" ht="16.5" hidden="1" thickBot="1" x14ac:dyDescent="0.35">
      <c r="A631" s="88" t="s">
        <v>117</v>
      </c>
      <c r="B631" s="199">
        <v>3</v>
      </c>
      <c r="C631" s="195">
        <f>30*0.85</f>
        <v>25.5</v>
      </c>
      <c r="D631" s="217">
        <f>C631/VLOOKUP(B631,'[2]Gas Prod per PADD'!$A$1:$C$6,2,FALSE)</f>
        <v>5.5434782608695648E-3</v>
      </c>
      <c r="E631" s="196">
        <v>45768</v>
      </c>
      <c r="F631" s="281">
        <v>45772</v>
      </c>
      <c r="G631" s="194" t="s">
        <v>692</v>
      </c>
      <c r="H631" s="230" t="s">
        <v>364</v>
      </c>
      <c r="I631" s="84"/>
      <c r="J631" s="85"/>
      <c r="K631" s="85"/>
      <c r="L631" s="85"/>
      <c r="M631" s="85"/>
      <c r="N631" s="85"/>
      <c r="O631" s="85"/>
      <c r="P631" s="85"/>
      <c r="Q631" s="85"/>
      <c r="R631" s="85"/>
      <c r="S631" s="85">
        <f t="shared" si="27"/>
        <v>-3.4</v>
      </c>
      <c r="T631" s="85"/>
      <c r="U631" s="85"/>
      <c r="V631" s="84"/>
      <c r="W631" s="84"/>
      <c r="X631" s="84"/>
      <c r="Y631" s="105"/>
      <c r="Z631" s="105"/>
      <c r="AA631" s="87"/>
      <c r="AB631" s="87"/>
      <c r="AC631" s="87"/>
      <c r="AD631" s="87"/>
      <c r="AE631" s="105"/>
      <c r="AF631" s="105"/>
      <c r="AG631" s="105"/>
      <c r="AH631" s="105"/>
      <c r="AI631" s="87"/>
      <c r="AJ631" s="87"/>
      <c r="AK631" s="105"/>
      <c r="AL631" s="87"/>
      <c r="AM631" s="105"/>
      <c r="AN631" s="105"/>
      <c r="AO631" s="87"/>
      <c r="AP631" s="87"/>
      <c r="AQ631" s="105"/>
      <c r="AR631" s="105"/>
      <c r="AS631" s="87"/>
      <c r="AT631" s="105"/>
      <c r="AU631" s="105"/>
      <c r="AV631" s="87"/>
      <c r="AW631" s="105"/>
      <c r="AX631" s="105"/>
      <c r="AY631" s="87"/>
      <c r="AZ631" s="105"/>
      <c r="BA631" s="105"/>
      <c r="BB631" s="105"/>
      <c r="BC631" s="87"/>
      <c r="BD631" s="87"/>
      <c r="BE631" s="105"/>
      <c r="BF631" s="105"/>
      <c r="BG631" s="105"/>
      <c r="BH631" s="105"/>
      <c r="BI631" s="105"/>
      <c r="BJ631" s="87"/>
      <c r="BK631" s="87"/>
      <c r="BL631" s="87"/>
      <c r="BM631" s="87"/>
      <c r="BN631" s="87"/>
      <c r="BO631" s="87"/>
      <c r="BP631" s="87"/>
      <c r="BQ631" s="87"/>
      <c r="BR631" s="87"/>
      <c r="BS631" s="87"/>
      <c r="BT631" s="87"/>
      <c r="BU631" s="87"/>
      <c r="BV631" s="105"/>
      <c r="BW631" s="87"/>
      <c r="BX631" s="87"/>
      <c r="BY631" s="87"/>
      <c r="BZ631" s="87"/>
      <c r="CA631" s="105"/>
      <c r="CB631" s="87"/>
      <c r="CC631" s="87"/>
      <c r="CD631" s="87"/>
      <c r="CE631" s="87"/>
      <c r="CF631" s="87"/>
      <c r="CG631" s="87"/>
      <c r="CH631" s="87"/>
      <c r="CI631" s="87"/>
      <c r="CJ631" s="87"/>
      <c r="CK631" s="87"/>
      <c r="CL631" s="87"/>
      <c r="CM631" s="87"/>
      <c r="CN631" s="87"/>
      <c r="CO631" s="87"/>
      <c r="CP631" s="87"/>
      <c r="CQ631" s="87"/>
      <c r="CR631" s="87"/>
      <c r="CS631" s="87"/>
      <c r="CT631" s="87"/>
      <c r="CU631" s="87"/>
      <c r="CV631" s="87"/>
      <c r="CW631" s="87"/>
      <c r="CX631" s="87">
        <f>-4/7*C631</f>
        <v>-14.571428571428571</v>
      </c>
      <c r="CY631" s="87">
        <f>-CX631</f>
        <v>14.571428571428571</v>
      </c>
      <c r="CZ631" s="87"/>
      <c r="DA631" s="87"/>
      <c r="DB631" s="87"/>
      <c r="DC631" s="87"/>
      <c r="DD631" s="87"/>
      <c r="DE631" s="87"/>
      <c r="DF631" s="87"/>
      <c r="DG631" s="87"/>
      <c r="DH631" s="87"/>
      <c r="DI631" s="87"/>
      <c r="DJ631" s="87"/>
      <c r="DK631" s="87"/>
      <c r="DL631" s="87"/>
      <c r="DM631" s="87"/>
      <c r="DN631" s="87"/>
      <c r="DO631" s="87"/>
      <c r="DP631" s="87"/>
      <c r="DQ631" s="87"/>
      <c r="DR631" s="87"/>
      <c r="DS631" s="87"/>
      <c r="DT631" s="87"/>
      <c r="DU631" s="87"/>
      <c r="DV631" s="87"/>
      <c r="DW631" s="87"/>
      <c r="DX631" s="87"/>
      <c r="DY631" s="87"/>
      <c r="DZ631" s="87"/>
      <c r="EA631" s="87"/>
      <c r="EB631" s="87"/>
      <c r="EC631" s="87"/>
      <c r="ED631" s="87"/>
      <c r="EE631" s="87"/>
      <c r="EF631" s="87"/>
      <c r="EG631" s="87"/>
      <c r="EH631" s="87"/>
      <c r="EI631" s="87"/>
    </row>
    <row r="632" spans="1:139" ht="43.5" hidden="1" thickBot="1" x14ac:dyDescent="0.35">
      <c r="A632" s="175" t="s">
        <v>359</v>
      </c>
      <c r="B632" s="176">
        <v>5</v>
      </c>
      <c r="C632" s="177">
        <f>26*0.25+30*0.25</f>
        <v>14</v>
      </c>
      <c r="D632" s="217">
        <f>C632/VLOOKUP(B632,'[2]Gas Prod per PADD'!$A$1:$C$6,2,FALSE)</f>
        <v>1.037037037037037E-2</v>
      </c>
      <c r="E632" s="220">
        <v>45770</v>
      </c>
      <c r="F632" s="252">
        <v>45773</v>
      </c>
      <c r="G632" s="180" t="s">
        <v>1071</v>
      </c>
      <c r="H632" s="181" t="s">
        <v>364</v>
      </c>
      <c r="I632" s="84"/>
      <c r="J632" s="85"/>
      <c r="K632" s="85"/>
      <c r="L632" s="85"/>
      <c r="M632" s="85"/>
      <c r="N632" s="85"/>
      <c r="O632" s="85"/>
      <c r="P632" s="85"/>
      <c r="Q632" s="85"/>
      <c r="R632" s="85"/>
      <c r="S632" s="85">
        <f t="shared" si="27"/>
        <v>-1.4</v>
      </c>
      <c r="T632" s="85"/>
      <c r="U632" s="85"/>
      <c r="V632" s="84"/>
      <c r="W632" s="84"/>
      <c r="X632" s="84"/>
      <c r="Y632" s="87"/>
      <c r="Z632" s="87"/>
      <c r="AA632" s="87"/>
      <c r="AB632" s="87"/>
      <c r="AC632" s="87"/>
      <c r="AD632" s="87"/>
      <c r="AE632" s="87"/>
      <c r="AF632" s="87"/>
      <c r="AG632" s="87"/>
      <c r="AH632" s="87"/>
      <c r="AI632" s="87"/>
      <c r="AJ632" s="87"/>
      <c r="AK632" s="87"/>
      <c r="AL632" s="87"/>
      <c r="AM632" s="87"/>
      <c r="AN632" s="87"/>
      <c r="AO632" s="87"/>
      <c r="AP632" s="87"/>
      <c r="AQ632" s="87"/>
      <c r="AR632" s="87"/>
      <c r="AS632" s="87"/>
      <c r="AT632" s="87"/>
      <c r="AU632" s="87"/>
      <c r="AV632" s="87"/>
      <c r="AW632" s="87"/>
      <c r="AX632" s="87"/>
      <c r="AY632" s="87"/>
      <c r="AZ632" s="87"/>
      <c r="BA632" s="87"/>
      <c r="BB632" s="87"/>
      <c r="BC632" s="87"/>
      <c r="BD632" s="87"/>
      <c r="BE632" s="87"/>
      <c r="BF632" s="87"/>
      <c r="BG632" s="87"/>
      <c r="BH632" s="87"/>
      <c r="BI632" s="87"/>
      <c r="BJ632" s="87"/>
      <c r="BK632" s="87"/>
      <c r="BL632" s="87"/>
      <c r="BM632" s="87"/>
      <c r="BN632" s="87"/>
      <c r="BO632" s="87"/>
      <c r="BP632" s="87"/>
      <c r="BQ632" s="87"/>
      <c r="BR632" s="87"/>
      <c r="BS632" s="87"/>
      <c r="BT632" s="87"/>
      <c r="BU632" s="87"/>
      <c r="BV632" s="87"/>
      <c r="BW632" s="87"/>
      <c r="BX632" s="87"/>
      <c r="BY632" s="87"/>
      <c r="BZ632" s="87"/>
      <c r="CA632" s="87"/>
      <c r="CB632" s="87"/>
      <c r="CC632" s="87"/>
      <c r="CD632" s="87"/>
      <c r="CE632" s="87"/>
      <c r="CF632" s="87"/>
      <c r="CG632" s="87"/>
      <c r="CH632" s="87"/>
      <c r="CI632" s="87"/>
      <c r="CJ632" s="87"/>
      <c r="CK632" s="87"/>
      <c r="CL632" s="87"/>
      <c r="CM632" s="87"/>
      <c r="CN632" s="87"/>
      <c r="CO632" s="87"/>
      <c r="CP632" s="87"/>
      <c r="CQ632" s="87"/>
      <c r="CR632" s="87"/>
      <c r="CS632" s="87"/>
      <c r="CT632" s="87"/>
      <c r="CU632" s="87"/>
      <c r="CV632" s="87"/>
      <c r="CW632" s="87"/>
      <c r="CX632" s="87">
        <f>-2/7*C632</f>
        <v>-4</v>
      </c>
      <c r="CY632" s="87">
        <f>-CX632</f>
        <v>4</v>
      </c>
      <c r="CZ632" s="87"/>
      <c r="DA632" s="87"/>
      <c r="DB632" s="87"/>
      <c r="DC632" s="87"/>
      <c r="DD632" s="87"/>
      <c r="DE632" s="87"/>
      <c r="DF632" s="87"/>
      <c r="DG632" s="87"/>
      <c r="DH632" s="87"/>
      <c r="DI632" s="87"/>
      <c r="DJ632" s="87"/>
      <c r="DK632" s="87"/>
      <c r="DL632" s="87"/>
      <c r="DM632" s="87"/>
      <c r="DN632" s="87"/>
      <c r="DO632" s="87"/>
      <c r="DP632" s="87"/>
      <c r="DQ632" s="87"/>
      <c r="DR632" s="87"/>
      <c r="DS632" s="87"/>
      <c r="DT632" s="87"/>
      <c r="DU632" s="87"/>
      <c r="DV632" s="87"/>
      <c r="DW632" s="87"/>
      <c r="DX632" s="87"/>
      <c r="DY632" s="87"/>
      <c r="DZ632" s="87"/>
      <c r="EA632" s="87"/>
      <c r="EB632" s="87"/>
      <c r="EC632" s="87"/>
      <c r="ED632" s="87"/>
      <c r="EE632" s="87"/>
      <c r="EF632" s="87"/>
      <c r="EG632" s="75">
        <v>46017</v>
      </c>
      <c r="EH632" s="75">
        <v>46024</v>
      </c>
      <c r="EI632" s="75">
        <v>46031</v>
      </c>
    </row>
    <row r="633" spans="1:139" ht="86.25" hidden="1" thickBot="1" x14ac:dyDescent="0.35">
      <c r="A633" s="200" t="s">
        <v>251</v>
      </c>
      <c r="B633" s="223">
        <v>5</v>
      </c>
      <c r="C633" s="224">
        <f>155*0.1+(21+25)*0.1+(42*0.05)+(29.5*0.85)+(0.65*70)</f>
        <v>92.775000000000006</v>
      </c>
      <c r="D633" s="217">
        <f>C633/VLOOKUP(B633,'[2]Gas Prod per PADD'!$A$1:$C$6,2,FALSE)</f>
        <v>6.8722222222222226E-2</v>
      </c>
      <c r="E633" s="228">
        <v>45689</v>
      </c>
      <c r="F633" s="226">
        <v>45774</v>
      </c>
      <c r="G633" s="180" t="s">
        <v>1072</v>
      </c>
      <c r="H633" s="221" t="s">
        <v>1073</v>
      </c>
      <c r="I633" s="84"/>
      <c r="J633" s="85"/>
      <c r="K633" s="85"/>
      <c r="L633" s="85"/>
      <c r="M633" s="85"/>
      <c r="N633" s="85"/>
      <c r="O633" s="85"/>
      <c r="P633" s="85"/>
      <c r="Q633" s="85">
        <f>-C633</f>
        <v>-92.775000000000006</v>
      </c>
      <c r="R633" s="85">
        <f>-C633</f>
        <v>-92.775000000000006</v>
      </c>
      <c r="S633" s="85">
        <f>C633*($R$1+1-F633)/30</f>
        <v>-80.405000000000001</v>
      </c>
      <c r="T633" s="85"/>
      <c r="U633" s="85"/>
      <c r="V633" s="84"/>
      <c r="W633" s="84"/>
      <c r="X633" s="84" t="str">
        <f>IF(COUNTA(Y633:EI633)=0,"Missing","OK")</f>
        <v>OK</v>
      </c>
      <c r="Y633" s="87"/>
      <c r="Z633" s="87"/>
      <c r="AA633" s="87"/>
      <c r="AB633" s="87"/>
      <c r="AC633" s="87"/>
      <c r="AD633" s="87"/>
      <c r="AE633" s="87"/>
      <c r="AF633" s="87"/>
      <c r="AG633" s="87"/>
      <c r="AH633" s="87"/>
      <c r="AI633" s="87"/>
      <c r="AJ633" s="87"/>
      <c r="AK633" s="87"/>
      <c r="AL633" s="87"/>
      <c r="AM633" s="87"/>
      <c r="AN633" s="87"/>
      <c r="AO633" s="87"/>
      <c r="AP633" s="87"/>
      <c r="AQ633" s="87"/>
      <c r="AR633" s="87"/>
      <c r="AS633" s="87"/>
      <c r="AT633" s="87"/>
      <c r="AU633" s="87"/>
      <c r="AV633" s="87"/>
      <c r="AW633" s="87"/>
      <c r="AX633" s="87"/>
      <c r="AY633" s="87"/>
      <c r="AZ633" s="87"/>
      <c r="BA633" s="87"/>
      <c r="BB633" s="87"/>
      <c r="BC633" s="87"/>
      <c r="BD633" s="87"/>
      <c r="BE633" s="87"/>
      <c r="BF633" s="87"/>
      <c r="BG633" s="87"/>
      <c r="BH633" s="87"/>
      <c r="BI633" s="87"/>
      <c r="BJ633" s="87"/>
      <c r="BK633" s="87"/>
      <c r="BL633" s="87"/>
      <c r="BM633" s="87"/>
      <c r="BN633" s="87"/>
      <c r="BO633" s="87"/>
      <c r="BP633" s="87"/>
      <c r="BQ633" s="87"/>
      <c r="BR633" s="87"/>
      <c r="BS633" s="87"/>
      <c r="BT633" s="87"/>
      <c r="BU633" s="87"/>
      <c r="BV633" s="87"/>
      <c r="BW633" s="87"/>
      <c r="BX633" s="87"/>
      <c r="BY633" s="87"/>
      <c r="BZ633" s="87"/>
      <c r="CA633" s="87"/>
      <c r="CB633" s="87"/>
      <c r="CC633" s="87"/>
      <c r="CD633" s="87"/>
      <c r="CE633" s="87"/>
      <c r="CF633" s="87"/>
      <c r="CG633" s="87"/>
      <c r="CH633" s="87"/>
      <c r="CI633" s="87"/>
      <c r="CJ633" s="87"/>
      <c r="CK633" s="87"/>
      <c r="CL633" s="87"/>
      <c r="CM633" s="105">
        <f>-6/7*C633</f>
        <v>-79.521428571428572</v>
      </c>
      <c r="CN633" s="105">
        <f>-1/7*C633</f>
        <v>-13.253571428571428</v>
      </c>
      <c r="CO633" s="87"/>
      <c r="CP633" s="105"/>
      <c r="CQ633" s="105"/>
      <c r="CR633" s="105"/>
      <c r="CS633" s="87"/>
      <c r="CT633" s="87"/>
      <c r="CU633" s="87"/>
      <c r="CV633" s="87"/>
      <c r="CW633" s="87"/>
      <c r="CX633" s="87"/>
      <c r="CY633" s="105">
        <f>C633</f>
        <v>92.775000000000006</v>
      </c>
      <c r="CZ633" s="87"/>
      <c r="DA633" s="87"/>
      <c r="DB633" s="87"/>
      <c r="DC633" s="87"/>
      <c r="DD633" s="87"/>
      <c r="DE633" s="87"/>
      <c r="DF633" s="87"/>
      <c r="DG633" s="87"/>
      <c r="DH633" s="87"/>
      <c r="DI633" s="87"/>
      <c r="DJ633" s="87"/>
      <c r="DK633" s="87"/>
      <c r="DL633" s="87"/>
      <c r="DM633" s="87"/>
      <c r="DN633" s="87"/>
      <c r="DO633" s="87"/>
      <c r="DP633" s="87"/>
      <c r="DQ633" s="87"/>
      <c r="DR633" s="87"/>
      <c r="DS633" s="87"/>
      <c r="DT633" s="87"/>
      <c r="DU633" s="87"/>
      <c r="DV633" s="87"/>
      <c r="DW633" s="87"/>
      <c r="DX633" s="87"/>
      <c r="DY633" s="87"/>
      <c r="DZ633" s="87"/>
      <c r="EA633" s="87"/>
      <c r="EB633" s="87"/>
      <c r="EC633" s="87"/>
      <c r="ED633" s="87"/>
      <c r="EE633" s="87"/>
      <c r="EF633" s="87"/>
      <c r="EG633" s="75">
        <v>46017</v>
      </c>
      <c r="EH633" s="75">
        <v>46024</v>
      </c>
      <c r="EI633" s="75">
        <v>46031</v>
      </c>
    </row>
    <row r="634" spans="1:139" ht="16.5" hidden="1" thickBot="1" x14ac:dyDescent="0.35">
      <c r="A634" s="190" t="s">
        <v>345</v>
      </c>
      <c r="B634" s="282">
        <v>3</v>
      </c>
      <c r="C634" s="177">
        <f>116*0.25</f>
        <v>29</v>
      </c>
      <c r="D634" s="217">
        <f>C634/VLOOKUP(B634,'[2]Gas Prod per PADD'!$A$1:$C$6,2,FALSE)</f>
        <v>6.3043478260869567E-3</v>
      </c>
      <c r="E634" s="178">
        <v>45768</v>
      </c>
      <c r="F634" s="252">
        <v>45774</v>
      </c>
      <c r="G634" s="180" t="s">
        <v>925</v>
      </c>
      <c r="H634" s="230" t="s">
        <v>364</v>
      </c>
      <c r="I634" s="84"/>
      <c r="J634" s="85"/>
      <c r="K634" s="85"/>
      <c r="L634" s="85"/>
      <c r="M634" s="85"/>
      <c r="N634" s="85"/>
      <c r="O634" s="85"/>
      <c r="P634" s="85"/>
      <c r="Q634" s="85"/>
      <c r="R634" s="85"/>
      <c r="S634" s="85">
        <f>C634*(E634-F634)/30</f>
        <v>-5.8</v>
      </c>
      <c r="T634" s="85"/>
      <c r="U634" s="85"/>
      <c r="V634" s="84"/>
      <c r="W634" s="84"/>
      <c r="X634" s="84"/>
      <c r="Y634" s="87"/>
      <c r="Z634" s="87"/>
      <c r="AA634" s="87"/>
      <c r="AB634" s="105"/>
      <c r="AC634" s="87"/>
      <c r="AD634" s="87"/>
      <c r="AE634" s="87"/>
      <c r="AF634" s="87"/>
      <c r="AG634" s="87"/>
      <c r="AH634" s="87"/>
      <c r="AI634" s="87"/>
      <c r="AJ634" s="87"/>
      <c r="AK634" s="87"/>
      <c r="AL634" s="87"/>
      <c r="AM634" s="87"/>
      <c r="AN634" s="87"/>
      <c r="AO634" s="87"/>
      <c r="AP634" s="87"/>
      <c r="AQ634" s="87"/>
      <c r="AR634" s="87"/>
      <c r="AS634" s="87"/>
      <c r="AT634" s="87"/>
      <c r="AU634" s="87"/>
      <c r="AV634" s="87"/>
      <c r="AW634" s="87"/>
      <c r="AX634" s="87"/>
      <c r="AY634" s="87"/>
      <c r="AZ634" s="87"/>
      <c r="BA634" s="87"/>
      <c r="BB634" s="87"/>
      <c r="BC634" s="87"/>
      <c r="BD634" s="87"/>
      <c r="BE634" s="87"/>
      <c r="BF634" s="87"/>
      <c r="BG634" s="87"/>
      <c r="BH634" s="87"/>
      <c r="BI634" s="87"/>
      <c r="BJ634" s="87"/>
      <c r="BK634" s="87"/>
      <c r="BL634" s="87"/>
      <c r="BM634" s="87"/>
      <c r="BN634" s="87"/>
      <c r="BO634" s="87"/>
      <c r="BP634" s="87"/>
      <c r="BQ634" s="87"/>
      <c r="BR634" s="87"/>
      <c r="BS634" s="87"/>
      <c r="BT634" s="87"/>
      <c r="BU634" s="87"/>
      <c r="BV634" s="87"/>
      <c r="BW634" s="87"/>
      <c r="BX634" s="87"/>
      <c r="BY634" s="87"/>
      <c r="BZ634" s="87"/>
      <c r="CX634">
        <f>-4/7*C634</f>
        <v>-16.571428571428569</v>
      </c>
      <c r="CY634" s="87">
        <f>-CX634</f>
        <v>16.571428571428569</v>
      </c>
    </row>
    <row r="635" spans="1:139" ht="16.5" hidden="1" thickBot="1" x14ac:dyDescent="0.35">
      <c r="A635" s="353" t="s">
        <v>115</v>
      </c>
      <c r="B635" s="191">
        <v>2</v>
      </c>
      <c r="C635" s="177">
        <f>(76*0.25)</f>
        <v>19</v>
      </c>
      <c r="D635" s="217">
        <f>C635/VLOOKUP(B635,'[2]Gas Prod per PADD'!$A$1:$C$6,2,FALSE)</f>
        <v>7.9166666666666673E-3</v>
      </c>
      <c r="E635" s="357">
        <v>45770</v>
      </c>
      <c r="F635" s="252">
        <v>45774</v>
      </c>
      <c r="G635" s="180" t="s">
        <v>1074</v>
      </c>
      <c r="H635" s="181" t="s">
        <v>1075</v>
      </c>
      <c r="I635" s="84"/>
      <c r="J635" s="85"/>
      <c r="K635" s="85"/>
      <c r="L635" s="85"/>
      <c r="M635" s="85"/>
      <c r="N635" s="85"/>
      <c r="O635" s="85"/>
      <c r="P635" s="85"/>
      <c r="Q635" s="85"/>
      <c r="R635" s="85"/>
      <c r="S635" s="85">
        <f>C635*(E635-F635)/30</f>
        <v>-2.5333333333333332</v>
      </c>
      <c r="T635" s="85"/>
      <c r="U635" s="85"/>
      <c r="V635" s="84"/>
      <c r="W635" s="84"/>
      <c r="X635" s="84"/>
      <c r="Y635" s="86"/>
      <c r="Z635" s="86"/>
      <c r="AA635" s="87"/>
      <c r="AB635" s="87"/>
      <c r="AC635" s="87"/>
      <c r="AD635" s="87"/>
      <c r="AE635" s="87"/>
      <c r="AF635" s="87"/>
      <c r="AG635" s="87"/>
      <c r="AH635" s="87"/>
      <c r="AI635" s="87"/>
      <c r="AJ635" s="87"/>
      <c r="AK635" s="87"/>
      <c r="AL635" s="87"/>
      <c r="AM635" s="87"/>
      <c r="AN635" s="87"/>
      <c r="AO635" s="87"/>
      <c r="AP635" s="87"/>
      <c r="AQ635" s="87"/>
      <c r="AR635" s="87"/>
      <c r="AS635" s="87"/>
      <c r="AT635" s="87"/>
      <c r="AU635" s="87"/>
      <c r="AV635" s="87"/>
      <c r="AW635" s="87"/>
      <c r="AX635" s="87"/>
      <c r="AY635" s="87"/>
      <c r="AZ635" s="87"/>
      <c r="BA635" s="87"/>
      <c r="BB635" s="87"/>
      <c r="BC635" s="87"/>
      <c r="BD635" s="87"/>
      <c r="BE635" s="87"/>
      <c r="BF635" s="87"/>
      <c r="BG635" s="87"/>
      <c r="BH635" s="87"/>
      <c r="BI635" s="87"/>
      <c r="BJ635" s="87"/>
      <c r="BK635" s="87"/>
      <c r="BL635" s="87"/>
      <c r="BM635" s="87"/>
      <c r="BN635" s="87"/>
      <c r="BO635" s="87"/>
      <c r="BP635" s="87"/>
      <c r="BQ635" s="87"/>
      <c r="BR635" s="87"/>
      <c r="BS635" s="87"/>
      <c r="BT635" s="87"/>
      <c r="BU635" s="87"/>
      <c r="BV635" s="87"/>
      <c r="BW635" s="87"/>
      <c r="BX635" s="87"/>
      <c r="BY635" s="87"/>
      <c r="BZ635" s="87"/>
      <c r="CA635" s="87"/>
      <c r="CB635" s="87"/>
      <c r="CC635" s="87"/>
      <c r="CD635" s="87"/>
      <c r="CE635" s="87"/>
      <c r="CF635" s="87"/>
      <c r="CG635" s="87"/>
      <c r="CH635" s="87"/>
      <c r="CI635" s="87"/>
      <c r="CJ635" s="87"/>
      <c r="CK635" s="87"/>
      <c r="CL635" s="87"/>
      <c r="CM635" s="87"/>
      <c r="CN635" s="87"/>
      <c r="CO635" s="87"/>
      <c r="CP635" s="87"/>
      <c r="CQ635" s="87"/>
      <c r="CR635" s="87"/>
      <c r="CS635" s="87"/>
      <c r="CT635" s="87"/>
      <c r="CU635" s="87"/>
      <c r="CV635" s="87"/>
      <c r="CW635" s="87"/>
      <c r="CX635" s="87">
        <f>-2/7*C635</f>
        <v>-5.4285714285714279</v>
      </c>
      <c r="CY635" s="87">
        <f>-CX635</f>
        <v>5.4285714285714279</v>
      </c>
      <c r="CZ635" s="87"/>
      <c r="DA635" s="87"/>
      <c r="DB635" s="87"/>
      <c r="DC635" s="87"/>
      <c r="DD635" s="87"/>
      <c r="DE635" s="87"/>
      <c r="DF635" s="87"/>
      <c r="DG635" s="87"/>
      <c r="DH635" s="87"/>
      <c r="DI635" s="87"/>
      <c r="DJ635" s="87"/>
      <c r="DK635" s="87"/>
      <c r="DL635" s="87"/>
      <c r="DM635" s="87"/>
      <c r="DN635" s="87"/>
      <c r="DO635" s="87"/>
      <c r="DP635" s="87"/>
      <c r="DQ635" s="87"/>
      <c r="DR635" s="87"/>
      <c r="DS635" s="87"/>
      <c r="DT635" s="87"/>
      <c r="DU635" s="87"/>
      <c r="DV635" s="87"/>
      <c r="DW635" s="87"/>
      <c r="DX635" s="87"/>
      <c r="DY635" s="87"/>
      <c r="DZ635" s="87"/>
      <c r="EA635" s="87"/>
      <c r="EB635" s="87"/>
      <c r="EC635" s="87"/>
      <c r="ED635" s="87"/>
      <c r="EE635" s="87"/>
      <c r="EF635" s="87"/>
      <c r="EG635" s="87"/>
      <c r="EH635" s="87"/>
      <c r="EI635" s="87"/>
    </row>
    <row r="636" spans="1:139" ht="16.5" hidden="1" thickBot="1" x14ac:dyDescent="0.35">
      <c r="A636" s="358" t="s">
        <v>780</v>
      </c>
      <c r="B636" s="194">
        <v>2</v>
      </c>
      <c r="C636" s="195">
        <f>8.5*0.25</f>
        <v>2.125</v>
      </c>
      <c r="D636" s="217">
        <f>C636/VLOOKUP(B636,'[2]Gas Prod per PADD'!$A$1:$C$6,2,FALSE)</f>
        <v>8.8541666666666662E-4</v>
      </c>
      <c r="E636" s="251">
        <v>45723</v>
      </c>
      <c r="F636" s="252">
        <v>45775</v>
      </c>
      <c r="G636" s="194" t="s">
        <v>781</v>
      </c>
      <c r="H636" s="181" t="s">
        <v>364</v>
      </c>
      <c r="I636" s="84"/>
      <c r="J636" s="85"/>
      <c r="K636" s="85"/>
      <c r="L636" s="85"/>
      <c r="M636" s="85"/>
      <c r="N636" s="85"/>
      <c r="O636" s="85"/>
      <c r="P636" s="85"/>
      <c r="Q636" s="85"/>
      <c r="R636" s="85">
        <f>C636*(E636-$R$1)/31</f>
        <v>-1.6451612903225807</v>
      </c>
      <c r="S636" s="85">
        <f>C636*($R$1+1-F636)/30</f>
        <v>-1.9125000000000001</v>
      </c>
      <c r="T636" s="85"/>
      <c r="U636" s="85"/>
      <c r="V636" s="84"/>
      <c r="W636" s="84"/>
      <c r="X636" s="84"/>
      <c r="Y636" s="105"/>
      <c r="Z636" s="105"/>
      <c r="AA636" s="87"/>
      <c r="AB636" s="87"/>
      <c r="AC636" s="87"/>
      <c r="AD636" s="87"/>
      <c r="AE636" s="105"/>
      <c r="AF636" s="105"/>
      <c r="AG636" s="105"/>
      <c r="AH636" s="105"/>
      <c r="AI636" s="87"/>
      <c r="AJ636" s="87"/>
      <c r="AK636" s="105"/>
      <c r="AL636" s="87"/>
      <c r="AM636" s="105"/>
      <c r="AN636" s="105"/>
      <c r="AO636" s="87"/>
      <c r="AP636" s="87"/>
      <c r="AQ636" s="105"/>
      <c r="AR636" s="105"/>
      <c r="AS636" s="87"/>
      <c r="AT636" s="105"/>
      <c r="AU636" s="105"/>
      <c r="AV636" s="87"/>
      <c r="AW636" s="105"/>
      <c r="AX636" s="105"/>
      <c r="AY636" s="87"/>
      <c r="AZ636" s="105"/>
      <c r="BA636" s="105"/>
      <c r="BB636" s="105"/>
      <c r="BC636" s="87"/>
      <c r="BD636" s="87"/>
      <c r="BE636" s="105"/>
      <c r="BF636" s="105"/>
      <c r="BG636" s="105"/>
      <c r="BH636" s="105"/>
      <c r="BI636" s="105"/>
      <c r="BJ636" s="87"/>
      <c r="BK636" s="87"/>
      <c r="BL636" s="87"/>
      <c r="BM636" s="87"/>
      <c r="BN636" s="87"/>
      <c r="BO636" s="87"/>
      <c r="BP636" s="87"/>
      <c r="BQ636" s="87"/>
      <c r="BR636" s="87"/>
      <c r="BS636" s="87"/>
      <c r="BT636" s="87"/>
      <c r="BU636" s="87"/>
      <c r="BV636" s="87"/>
      <c r="BW636" s="87"/>
      <c r="BX636" s="87"/>
      <c r="BY636" s="87"/>
      <c r="BZ636" s="87"/>
      <c r="CA636" s="87"/>
      <c r="CB636" s="87"/>
      <c r="CC636" s="87"/>
      <c r="CD636" s="87"/>
      <c r="CE636" s="87"/>
      <c r="CF636" s="87"/>
      <c r="CG636" s="87"/>
      <c r="CH636" s="87"/>
      <c r="CI636" s="87"/>
      <c r="CJ636" s="87"/>
      <c r="CK636" s="87"/>
      <c r="CL636" s="87"/>
      <c r="CM636" s="87"/>
      <c r="CN636" s="87"/>
      <c r="CO636" s="105"/>
      <c r="CP636" s="87"/>
      <c r="CQ636" s="87">
        <f>-1/7*C636</f>
        <v>-0.30357142857142855</v>
      </c>
      <c r="CR636" s="87">
        <f>-6/7*C636</f>
        <v>-1.8214285714285714</v>
      </c>
      <c r="CS636" s="87">
        <f>-1/7*C636</f>
        <v>-0.30357142857142855</v>
      </c>
      <c r="CT636" s="87"/>
      <c r="CU636" s="87"/>
      <c r="CV636" s="87"/>
      <c r="CW636" s="87"/>
      <c r="CX636" s="87"/>
      <c r="CY636" s="87">
        <f>$C636*(4/7)</f>
        <v>1.2142857142857142</v>
      </c>
      <c r="CZ636" s="87">
        <f>$C636*(3/7)</f>
        <v>0.9107142857142857</v>
      </c>
      <c r="DA636" s="87"/>
      <c r="DB636" s="87"/>
      <c r="DC636" s="87"/>
      <c r="DD636" s="87"/>
      <c r="DE636" s="87"/>
      <c r="DF636" s="87"/>
      <c r="DG636" s="87"/>
      <c r="DH636" s="87"/>
      <c r="DI636" s="87"/>
      <c r="DJ636" s="87"/>
      <c r="DK636" s="87"/>
      <c r="DL636" s="87"/>
      <c r="DM636" s="87"/>
      <c r="DN636" s="87"/>
      <c r="DO636" s="87"/>
      <c r="DP636" s="87"/>
      <c r="DQ636" s="87"/>
      <c r="DR636" s="87"/>
      <c r="DS636" s="87"/>
      <c r="DT636" s="87"/>
      <c r="DU636" s="87"/>
      <c r="DV636" s="87"/>
      <c r="DW636" s="87"/>
      <c r="DX636" s="87"/>
      <c r="DY636" s="87"/>
      <c r="DZ636" s="87"/>
      <c r="EA636" s="87"/>
      <c r="EB636" s="87"/>
      <c r="EC636" s="87"/>
      <c r="ED636" s="87"/>
      <c r="EE636" s="87"/>
      <c r="EF636" s="87"/>
      <c r="EG636" s="87"/>
      <c r="EH636" s="87"/>
      <c r="EI636" s="87"/>
    </row>
    <row r="637" spans="1:139" ht="43.5" hidden="1" thickBot="1" x14ac:dyDescent="0.35">
      <c r="A637" s="353" t="s">
        <v>229</v>
      </c>
      <c r="B637" s="176">
        <v>2</v>
      </c>
      <c r="C637" s="177">
        <f>(40*0.2)+(29*0.65*0.3)+(22*0.85*0.3)</f>
        <v>19.265000000000001</v>
      </c>
      <c r="D637" s="234">
        <f>C637/VLOOKUP(B637,'[2]Gas Prod per PADD'!$A$1:$C$6,2,FALSE)</f>
        <v>8.027083333333334E-3</v>
      </c>
      <c r="E637" s="232">
        <v>45724</v>
      </c>
      <c r="F637" s="368">
        <v>45775</v>
      </c>
      <c r="G637" s="180" t="s">
        <v>1076</v>
      </c>
      <c r="H637" s="181" t="s">
        <v>1077</v>
      </c>
      <c r="I637" s="84" t="s">
        <v>1078</v>
      </c>
      <c r="J637" s="85"/>
      <c r="K637" s="85"/>
      <c r="L637" s="85"/>
      <c r="M637" s="85"/>
      <c r="N637" s="85"/>
      <c r="O637" s="85"/>
      <c r="P637" s="85"/>
      <c r="Q637" s="85"/>
      <c r="R637" s="85">
        <f>C637*(E637-$R$1)/31</f>
        <v>-14.293387096774195</v>
      </c>
      <c r="S637" s="85">
        <f>C637*($R$1+1-F637)/30</f>
        <v>-17.3385</v>
      </c>
      <c r="T637" s="85"/>
      <c r="U637" s="85"/>
      <c r="V637" s="84"/>
      <c r="W637" s="84"/>
      <c r="X637" s="84" t="str">
        <f>IF(COUNTA(Y637:EI637)=0,"Missing","OK")</f>
        <v>OK</v>
      </c>
      <c r="Y637" s="105"/>
      <c r="Z637" s="105"/>
      <c r="AA637" s="87"/>
      <c r="AB637" s="87"/>
      <c r="AC637" s="87"/>
      <c r="AD637" s="87"/>
      <c r="AE637" s="105"/>
      <c r="AF637" s="105"/>
      <c r="AG637" s="105"/>
      <c r="AH637" s="105"/>
      <c r="AI637" s="87"/>
      <c r="AJ637" s="87"/>
      <c r="AK637" s="87"/>
      <c r="AL637" s="87"/>
      <c r="AM637" s="87"/>
      <c r="AN637" s="87"/>
      <c r="AO637" s="87"/>
      <c r="AP637" s="87"/>
      <c r="AQ637" s="87"/>
      <c r="AR637" s="105"/>
      <c r="AS637" s="105"/>
      <c r="AT637" s="105"/>
      <c r="AU637" s="87"/>
      <c r="AV637" s="87"/>
      <c r="AW637" s="87"/>
      <c r="AX637" s="87"/>
      <c r="AY637" s="87"/>
      <c r="AZ637" s="87"/>
      <c r="BA637" s="87"/>
      <c r="BB637" s="87"/>
      <c r="BC637" s="87"/>
      <c r="BD637" s="87"/>
      <c r="BE637" s="87"/>
      <c r="BF637" s="87"/>
      <c r="BG637" s="87"/>
      <c r="BH637" s="87"/>
      <c r="BI637" s="87"/>
      <c r="BJ637" s="87"/>
      <c r="BK637" s="87"/>
      <c r="BL637" s="87"/>
      <c r="BM637" s="87"/>
      <c r="BN637" s="87"/>
      <c r="BO637" s="87"/>
      <c r="BP637" s="87"/>
      <c r="BQ637" s="87"/>
      <c r="BR637" s="87"/>
      <c r="BS637" s="87"/>
      <c r="BT637" s="87"/>
      <c r="BU637" s="87"/>
      <c r="BV637" s="87"/>
      <c r="BW637" s="87"/>
      <c r="BX637" s="87"/>
      <c r="BY637" s="87"/>
      <c r="BZ637" s="87"/>
      <c r="CA637" s="87"/>
      <c r="CB637" s="87"/>
      <c r="CC637" s="87"/>
      <c r="CD637" s="87"/>
      <c r="CE637" s="87"/>
      <c r="CF637" s="87"/>
      <c r="CG637" s="87"/>
      <c r="CH637" s="87"/>
      <c r="CI637" s="87"/>
      <c r="CJ637" s="87"/>
      <c r="CK637" s="87"/>
      <c r="CL637" s="87"/>
      <c r="CM637" s="87"/>
      <c r="CN637" s="87"/>
      <c r="CO637" s="87"/>
      <c r="CP637" s="87"/>
      <c r="CQ637" s="87"/>
      <c r="CR637" s="87">
        <f>-C637*6/7</f>
        <v>-16.512857142857143</v>
      </c>
      <c r="CS637" s="87">
        <f>-C637*1/7</f>
        <v>-2.7521428571428572</v>
      </c>
      <c r="CT637" s="87"/>
      <c r="CU637" s="87"/>
      <c r="CV637" s="87"/>
      <c r="CW637" s="87"/>
      <c r="CX637" s="87"/>
      <c r="CY637" s="87">
        <f>$C637*(4/7)</f>
        <v>11.008571428571429</v>
      </c>
      <c r="CZ637" s="87">
        <f>$C637*(3/7)</f>
        <v>8.2564285714285717</v>
      </c>
      <c r="DA637" s="87"/>
      <c r="DB637" s="87"/>
      <c r="DC637" s="87"/>
      <c r="DD637" s="87"/>
      <c r="DE637" s="87"/>
      <c r="DF637" s="87"/>
      <c r="DG637" s="87"/>
      <c r="DH637" s="87"/>
      <c r="DI637" s="87"/>
      <c r="DJ637" s="87"/>
      <c r="DK637" s="87"/>
      <c r="DL637" s="87"/>
      <c r="DM637" s="87"/>
      <c r="DN637" s="87"/>
      <c r="DO637" s="87"/>
      <c r="DP637" s="87"/>
      <c r="DQ637" s="87"/>
      <c r="DR637" s="87"/>
      <c r="DS637" s="87"/>
      <c r="DT637" s="87"/>
      <c r="DU637" s="87"/>
      <c r="DV637" s="87"/>
      <c r="DW637" s="87"/>
      <c r="DX637" s="87"/>
      <c r="DY637" s="87"/>
      <c r="DZ637" s="87"/>
      <c r="EA637" s="87"/>
      <c r="EB637" s="87"/>
      <c r="EC637" s="87"/>
      <c r="ED637" s="87"/>
      <c r="EE637" s="87"/>
      <c r="EF637" s="87">
        <f>-DY637</f>
        <v>0</v>
      </c>
      <c r="EG637" s="87">
        <f>-DZ637</f>
        <v>0</v>
      </c>
      <c r="EH637" s="87"/>
      <c r="EI637" s="87"/>
    </row>
    <row r="638" spans="1:139" ht="29.25" hidden="1" thickBot="1" x14ac:dyDescent="0.35">
      <c r="A638" s="175" t="s">
        <v>405</v>
      </c>
      <c r="B638" s="191">
        <v>1</v>
      </c>
      <c r="C638" s="177">
        <f>18*0.05</f>
        <v>0.9</v>
      </c>
      <c r="D638" s="234">
        <f>C638/VLOOKUP(B638,'[2]Gas Prod per PADD'!$A$1:$C$6,2,FALSE)</f>
        <v>1.8750000000000001E-3</v>
      </c>
      <c r="E638" s="251">
        <v>45714</v>
      </c>
      <c r="F638" s="252">
        <v>45777</v>
      </c>
      <c r="G638" s="180" t="s">
        <v>1079</v>
      </c>
      <c r="H638" s="181" t="s">
        <v>1080</v>
      </c>
      <c r="I638" s="84" t="s">
        <v>1081</v>
      </c>
      <c r="J638" s="85"/>
      <c r="K638" s="85"/>
      <c r="L638" s="85"/>
      <c r="M638" s="85"/>
      <c r="N638" s="85"/>
      <c r="O638" s="85"/>
      <c r="P638" s="85"/>
      <c r="Q638" s="85">
        <f>C638*(E638-$Q$1)/28</f>
        <v>-6.4285714285714293E-2</v>
      </c>
      <c r="R638" s="85">
        <f>-C638</f>
        <v>-0.9</v>
      </c>
      <c r="S638" s="85">
        <f>C638*($R$1+1-F638)/30</f>
        <v>-0.87</v>
      </c>
      <c r="T638" s="85"/>
      <c r="U638" s="85"/>
      <c r="V638" s="84"/>
      <c r="W638" s="84"/>
      <c r="X638" s="84" t="str">
        <f>IF(COUNTA(Y638:EI638)=0,"Missing","OK")</f>
        <v>OK</v>
      </c>
      <c r="Y638" s="87"/>
      <c r="Z638" s="87"/>
      <c r="AA638" s="87"/>
      <c r="AB638" s="87"/>
      <c r="AC638" s="87"/>
      <c r="AD638" s="87"/>
      <c r="AE638" s="87"/>
      <c r="AF638" s="87"/>
      <c r="AG638" s="87"/>
      <c r="AH638" s="87"/>
      <c r="AI638" s="87"/>
      <c r="AJ638" s="87"/>
      <c r="AK638" s="87"/>
      <c r="AL638" s="87"/>
      <c r="AM638" s="87"/>
      <c r="AN638" s="87"/>
      <c r="AO638" s="87"/>
      <c r="AP638" s="87"/>
      <c r="AQ638" s="87"/>
      <c r="AR638" s="87"/>
      <c r="AS638" s="87"/>
      <c r="AT638" s="87"/>
      <c r="AU638" s="87"/>
      <c r="AV638" s="87"/>
      <c r="AW638" s="87"/>
      <c r="AX638" s="87"/>
      <c r="AY638" s="87"/>
      <c r="AZ638" s="87"/>
      <c r="BA638" s="87"/>
      <c r="BB638" s="87"/>
      <c r="BC638" s="87"/>
      <c r="BD638" s="87"/>
      <c r="BE638" s="87"/>
      <c r="BF638" s="87"/>
      <c r="BG638" s="87"/>
      <c r="BH638" s="87"/>
      <c r="BI638" s="87"/>
      <c r="BJ638" s="87"/>
      <c r="BK638" s="87"/>
      <c r="BL638" s="87"/>
      <c r="BM638" s="87"/>
      <c r="BN638" s="87"/>
      <c r="BO638" s="87"/>
      <c r="BP638" s="87"/>
      <c r="BQ638" s="87"/>
      <c r="BR638" s="87"/>
      <c r="BS638" s="87"/>
      <c r="BT638" s="87"/>
      <c r="BU638" s="87"/>
      <c r="BV638" s="87"/>
      <c r="BW638" s="87"/>
      <c r="BX638" s="87"/>
      <c r="BY638" s="105"/>
      <c r="BZ638" s="87"/>
      <c r="CA638" s="87"/>
      <c r="CB638" s="87"/>
      <c r="CC638" s="87"/>
      <c r="CD638" s="87"/>
      <c r="CE638" s="87"/>
      <c r="CF638" s="87"/>
      <c r="CG638" s="87"/>
      <c r="CH638" s="87"/>
      <c r="CI638" s="87"/>
      <c r="CJ638" s="87"/>
      <c r="CK638" s="87"/>
      <c r="CL638" s="87"/>
      <c r="CM638" s="87"/>
      <c r="CN638" s="87"/>
      <c r="CO638" s="87"/>
      <c r="CP638" s="295">
        <f>-C638*(2/7)</f>
        <v>-0.25714285714285712</v>
      </c>
      <c r="CQ638" s="295">
        <f>-C638*(5/7)</f>
        <v>-0.6428571428571429</v>
      </c>
      <c r="CR638" s="87"/>
      <c r="CS638" s="87"/>
      <c r="CT638" s="87"/>
      <c r="CU638" s="87"/>
      <c r="CV638" s="87"/>
      <c r="CW638" s="105"/>
      <c r="CX638" s="87"/>
      <c r="CY638" s="105">
        <f>C638</f>
        <v>0.9</v>
      </c>
      <c r="CZ638" s="87"/>
      <c r="DA638" s="87"/>
      <c r="DB638" s="87"/>
      <c r="DC638" s="87"/>
      <c r="DD638" s="87"/>
      <c r="DE638" s="87"/>
      <c r="DF638" s="87"/>
      <c r="DG638" s="87"/>
      <c r="DH638" s="87"/>
      <c r="DI638" s="87"/>
      <c r="DJ638" s="87"/>
      <c r="DK638" s="87"/>
      <c r="DL638" s="87"/>
      <c r="DM638" s="87"/>
      <c r="DN638" s="87"/>
      <c r="DO638" s="87"/>
      <c r="DP638" s="87"/>
      <c r="DQ638" s="87"/>
      <c r="DR638" s="87"/>
      <c r="DS638" s="87"/>
      <c r="DT638" s="87"/>
      <c r="DU638" s="87"/>
      <c r="DV638" s="87"/>
      <c r="DW638" s="87"/>
      <c r="DX638" s="87"/>
      <c r="DY638" s="87"/>
      <c r="DZ638" s="87"/>
      <c r="EA638" s="87"/>
      <c r="EB638" s="87"/>
      <c r="EC638" s="87"/>
      <c r="ED638" s="87"/>
      <c r="EE638" s="87"/>
      <c r="EF638" s="87"/>
      <c r="EG638" s="87"/>
      <c r="EH638" s="87"/>
      <c r="EI638" s="87"/>
    </row>
    <row r="639" spans="1:139" ht="16.5" hidden="1" thickBot="1" x14ac:dyDescent="0.35">
      <c r="A639" s="352" t="s">
        <v>231</v>
      </c>
      <c r="B639" s="223">
        <v>2</v>
      </c>
      <c r="C639" s="224">
        <f>8*0.25</f>
        <v>2</v>
      </c>
      <c r="D639" s="217">
        <f>C639/VLOOKUP(B639,'[2]Gas Prod per PADD'!$A$1:$C$6,2,FALSE)</f>
        <v>8.3333333333333339E-4</v>
      </c>
      <c r="E639" s="363">
        <v>45769</v>
      </c>
      <c r="F639" s="356">
        <v>45777</v>
      </c>
      <c r="G639" s="180" t="s">
        <v>1082</v>
      </c>
      <c r="H639" s="221"/>
      <c r="I639" s="369"/>
      <c r="J639" s="370"/>
      <c r="K639" s="370"/>
      <c r="L639" s="370"/>
      <c r="M639" s="370"/>
      <c r="N639" s="370"/>
      <c r="O639" s="370"/>
      <c r="P639" s="370"/>
      <c r="Q639" s="370"/>
      <c r="R639" s="370"/>
      <c r="S639" s="85">
        <f>C639*(E639-F639)/30</f>
        <v>-0.53333333333333333</v>
      </c>
      <c r="T639" s="85"/>
      <c r="U639" s="85"/>
      <c r="V639" s="84"/>
      <c r="W639" s="84"/>
      <c r="X639" s="84"/>
      <c r="Y639" s="86"/>
      <c r="Z639" s="87"/>
      <c r="AA639" s="87"/>
      <c r="AB639" s="87"/>
      <c r="AC639" s="87"/>
      <c r="AD639" s="87"/>
      <c r="AE639" s="87"/>
      <c r="AF639" s="87"/>
      <c r="AG639" s="87"/>
      <c r="AH639" s="87"/>
      <c r="AI639" s="87"/>
      <c r="AJ639" s="87"/>
      <c r="AK639" s="87"/>
      <c r="AL639" s="87"/>
      <c r="AM639" s="87"/>
      <c r="AN639" s="87"/>
      <c r="AO639" s="87"/>
      <c r="AP639" s="87"/>
      <c r="AQ639" s="87"/>
      <c r="AR639" s="87"/>
      <c r="AS639" s="87"/>
      <c r="AT639" s="87"/>
      <c r="AU639" s="87"/>
      <c r="AV639" s="87"/>
      <c r="AW639" s="87"/>
      <c r="AX639" s="87"/>
      <c r="AY639" s="87"/>
      <c r="AZ639" s="87"/>
      <c r="BA639" s="87"/>
      <c r="BB639" s="87"/>
      <c r="BC639" s="87"/>
      <c r="BD639" s="87"/>
      <c r="BE639" s="87"/>
      <c r="BF639" s="87"/>
      <c r="BG639" s="87"/>
      <c r="BH639" s="87"/>
      <c r="BI639" s="87"/>
      <c r="BJ639" s="105"/>
      <c r="BK639" s="87"/>
      <c r="BL639" s="105"/>
      <c r="BM639" s="87"/>
      <c r="BN639" s="87"/>
      <c r="BO639" s="87"/>
      <c r="BP639" s="87"/>
      <c r="BQ639" s="87"/>
      <c r="BR639" s="87"/>
      <c r="BS639" s="87"/>
      <c r="BT639" s="87"/>
      <c r="BU639" s="87"/>
      <c r="BV639" s="87"/>
      <c r="BW639" s="87"/>
      <c r="BX639" s="87"/>
      <c r="BY639" s="87"/>
      <c r="BZ639" s="87"/>
      <c r="CA639" s="87"/>
      <c r="CB639" s="87"/>
      <c r="CC639" s="87"/>
      <c r="CD639" s="87"/>
      <c r="CE639" s="87"/>
      <c r="CF639" s="87"/>
      <c r="CG639" s="87"/>
      <c r="CH639" s="87"/>
      <c r="CI639" s="87"/>
      <c r="CJ639" s="87"/>
      <c r="CK639" s="87"/>
      <c r="CL639" s="87"/>
      <c r="CM639" s="87"/>
      <c r="CN639" s="87"/>
      <c r="CO639" s="87"/>
      <c r="CP639" s="87"/>
      <c r="CQ639" s="87"/>
      <c r="CR639" s="87"/>
      <c r="CS639" s="87"/>
      <c r="CT639" s="87"/>
      <c r="CU639" s="87"/>
      <c r="CV639" s="87"/>
      <c r="CW639" s="87"/>
      <c r="CX639" s="87">
        <f>-3/7*C639</f>
        <v>-0.8571428571428571</v>
      </c>
      <c r="CY639" s="87"/>
      <c r="CZ639" s="87">
        <f>-CX639</f>
        <v>0.8571428571428571</v>
      </c>
      <c r="DA639" s="87"/>
      <c r="DB639" s="87"/>
      <c r="DC639" s="87"/>
      <c r="DD639" s="87"/>
      <c r="DE639" s="87"/>
      <c r="DF639" s="87"/>
      <c r="DG639" s="87"/>
      <c r="DH639" s="87"/>
      <c r="DI639" s="87"/>
      <c r="DJ639" s="87"/>
      <c r="DK639" s="87"/>
      <c r="DL639" s="87"/>
      <c r="DM639" s="87"/>
      <c r="DN639" s="87"/>
      <c r="DO639" s="87"/>
      <c r="DP639" s="87"/>
      <c r="DQ639" s="87"/>
      <c r="DR639" s="87"/>
      <c r="DS639" s="87"/>
      <c r="DT639" s="87"/>
      <c r="DU639" s="87"/>
      <c r="DV639" s="87"/>
      <c r="DW639" s="87"/>
      <c r="DX639" s="87"/>
      <c r="DY639" s="87"/>
      <c r="DZ639" s="87"/>
      <c r="EA639" s="87"/>
      <c r="EB639" s="87"/>
      <c r="EC639" s="87"/>
      <c r="ED639" s="87"/>
      <c r="EE639" s="87"/>
      <c r="EF639" s="87"/>
      <c r="EG639" s="87"/>
      <c r="EH639" s="87"/>
      <c r="EI639" s="87"/>
    </row>
    <row r="640" spans="1:139" ht="16.5" hidden="1" thickBot="1" x14ac:dyDescent="0.35">
      <c r="A640" s="190" t="s">
        <v>194</v>
      </c>
      <c r="B640" s="194">
        <v>3</v>
      </c>
      <c r="C640" s="195">
        <f>19*0.85+197*0.1</f>
        <v>35.85</v>
      </c>
      <c r="D640" s="217">
        <f>C640/VLOOKUP(B640,'[2]Gas Prod per PADD'!$A$1:$C$6,2,FALSE)</f>
        <v>7.7934782608695659E-3</v>
      </c>
      <c r="E640" s="196">
        <v>45773</v>
      </c>
      <c r="F640" s="281">
        <v>45777</v>
      </c>
      <c r="G640" s="194" t="s">
        <v>1083</v>
      </c>
      <c r="H640" s="198" t="s">
        <v>1084</v>
      </c>
      <c r="I640" s="84"/>
      <c r="J640" s="85"/>
      <c r="K640" s="85"/>
      <c r="L640" s="85"/>
      <c r="M640" s="85"/>
      <c r="N640" s="85"/>
      <c r="O640" s="85"/>
      <c r="P640" s="85"/>
      <c r="Q640" s="85"/>
      <c r="R640" s="85"/>
      <c r="S640" s="85">
        <f>C640*(E640-F640)/30</f>
        <v>-4.78</v>
      </c>
      <c r="T640" s="85"/>
      <c r="U640" s="85"/>
      <c r="V640" s="84"/>
      <c r="W640" s="84"/>
      <c r="X640" s="84" t="str">
        <f>IF(COUNTA(Y640:EI640)=0,"Missing","OK")</f>
        <v>OK</v>
      </c>
      <c r="Y640" s="105"/>
      <c r="Z640" s="105"/>
      <c r="AA640" s="87"/>
      <c r="AB640" s="87"/>
      <c r="AC640" s="87"/>
      <c r="AD640" s="87"/>
      <c r="AE640" s="105"/>
      <c r="AF640" s="105"/>
      <c r="AG640" s="105"/>
      <c r="AH640" s="105"/>
      <c r="AI640" s="87"/>
      <c r="AJ640" s="87"/>
      <c r="AK640" s="105"/>
      <c r="AL640" s="87"/>
      <c r="AM640" s="105"/>
      <c r="AN640" s="105"/>
      <c r="AO640" s="87"/>
      <c r="AP640" s="87"/>
      <c r="AQ640" s="105"/>
      <c r="AR640" s="105"/>
      <c r="AS640" s="87"/>
      <c r="AT640" s="105"/>
      <c r="AU640" s="105"/>
      <c r="AV640" s="87"/>
      <c r="AW640" s="105"/>
      <c r="AX640" s="105"/>
      <c r="AY640" s="87"/>
      <c r="AZ640" s="105"/>
      <c r="BA640" s="105"/>
      <c r="BB640" s="105"/>
      <c r="BC640" s="87"/>
      <c r="BD640" s="87"/>
      <c r="BE640" s="105"/>
      <c r="BF640" s="105"/>
      <c r="BG640" s="105"/>
      <c r="BH640" s="105"/>
      <c r="BI640" s="105"/>
      <c r="BJ640" s="87"/>
      <c r="BK640" s="87"/>
      <c r="BL640" s="87"/>
      <c r="BM640" s="87"/>
      <c r="BN640" s="87"/>
      <c r="BO640" s="105"/>
      <c r="BP640" s="105"/>
      <c r="BQ640" s="105"/>
      <c r="BR640" s="105"/>
      <c r="BS640" s="105"/>
      <c r="BT640" s="87"/>
      <c r="BU640" s="87"/>
      <c r="BV640" s="87"/>
      <c r="BW640" s="87"/>
      <c r="BX640" s="87"/>
      <c r="BY640" s="87"/>
      <c r="BZ640" s="87"/>
      <c r="CA640" s="87"/>
      <c r="CB640" s="87"/>
      <c r="CC640" s="87"/>
      <c r="CD640" s="87"/>
      <c r="CE640" s="87"/>
      <c r="CF640" s="87"/>
      <c r="CG640" s="87"/>
      <c r="CH640" s="87"/>
      <c r="CI640" s="87"/>
      <c r="CJ640" s="87"/>
      <c r="CK640" s="87"/>
      <c r="CL640" s="87"/>
      <c r="CM640" s="87"/>
      <c r="CN640" s="87"/>
      <c r="CO640" s="87"/>
      <c r="CP640" s="87"/>
      <c r="CQ640" s="87"/>
      <c r="CR640" s="87"/>
      <c r="CS640" s="87"/>
      <c r="CT640" s="87"/>
      <c r="CU640" s="87"/>
      <c r="CV640" s="87"/>
      <c r="CW640" s="87"/>
      <c r="CX640" s="87"/>
      <c r="CY640" s="87">
        <f>-4/7*C640</f>
        <v>-20.485714285714284</v>
      </c>
      <c r="CZ640" s="87">
        <f>-CY640</f>
        <v>20.485714285714284</v>
      </c>
      <c r="DA640" s="87"/>
      <c r="DB640" s="87"/>
      <c r="DC640" s="87"/>
      <c r="DD640" s="87"/>
      <c r="DE640" s="87"/>
      <c r="DF640" s="87"/>
      <c r="DG640" s="87"/>
      <c r="DH640" s="87"/>
      <c r="DI640" s="87"/>
      <c r="DJ640" s="87"/>
      <c r="DK640" s="87"/>
      <c r="DL640" s="87"/>
      <c r="DM640" s="87"/>
      <c r="DN640" s="87"/>
      <c r="DO640" s="87"/>
      <c r="DP640" s="87"/>
      <c r="DQ640" s="87"/>
      <c r="DR640" s="87"/>
      <c r="DS640" s="87"/>
      <c r="DT640" s="87"/>
      <c r="DU640" s="87"/>
      <c r="DV640" s="87"/>
      <c r="DW640" s="87"/>
      <c r="DX640" s="87"/>
      <c r="DY640" s="87"/>
      <c r="DZ640" s="87"/>
      <c r="EA640" s="87"/>
      <c r="EB640" s="87"/>
      <c r="EC640" s="87"/>
      <c r="ED640" s="87"/>
      <c r="EE640" s="87"/>
      <c r="EF640" s="87"/>
      <c r="EG640" s="87"/>
      <c r="EH640" s="87"/>
      <c r="EI640" s="87"/>
    </row>
    <row r="641" spans="1:139" ht="16.5" hidden="1" thickBot="1" x14ac:dyDescent="0.35">
      <c r="A641" s="113" t="s">
        <v>1085</v>
      </c>
      <c r="B641" s="199">
        <v>4</v>
      </c>
      <c r="C641" s="195">
        <f>(20*0.1)+(3.2*0.85)+(5.5*0.65)</f>
        <v>8.2950000000000017</v>
      </c>
      <c r="D641" s="217">
        <f>C641/VLOOKUP(B641,'[2]Gas Prod per PADD'!$A$1:$C$6,2,FALSE)</f>
        <v>2.4397058823529418E-2</v>
      </c>
      <c r="E641" s="196">
        <v>45700</v>
      </c>
      <c r="F641" s="281">
        <v>45778</v>
      </c>
      <c r="G641" s="194" t="s">
        <v>1086</v>
      </c>
      <c r="H641" s="275" t="s">
        <v>1087</v>
      </c>
      <c r="I641" s="373" t="s">
        <v>1088</v>
      </c>
      <c r="J641" s="374"/>
      <c r="K641" s="374"/>
      <c r="L641" s="374"/>
      <c r="M641" s="374"/>
      <c r="N641" s="374"/>
      <c r="O641" s="374"/>
      <c r="P641" s="374"/>
      <c r="Q641" s="85">
        <f>C641*(E641-$Q$1)/28</f>
        <v>-4.7400000000000011</v>
      </c>
      <c r="R641" s="85">
        <f>-C641</f>
        <v>-8.2950000000000017</v>
      </c>
      <c r="S641" s="374">
        <f>-C641</f>
        <v>-8.2950000000000017</v>
      </c>
      <c r="T641" s="85">
        <f t="shared" ref="T641:T647" si="28">C641*($S$1+1-F641)/31</f>
        <v>0</v>
      </c>
      <c r="U641" s="85"/>
      <c r="V641" s="84"/>
      <c r="W641" s="84"/>
      <c r="X641" s="84" t="str">
        <f>IF(COUNTA(Y641:EI641)=0,"Missing","OK")</f>
        <v>OK</v>
      </c>
      <c r="Y641" s="105"/>
      <c r="Z641" s="105"/>
      <c r="AA641" s="87"/>
      <c r="AB641" s="87"/>
      <c r="AC641" s="87"/>
      <c r="AD641" s="87"/>
      <c r="AE641" s="105"/>
      <c r="AF641" s="105"/>
      <c r="AG641" s="105"/>
      <c r="AH641" s="105"/>
      <c r="AI641" s="87"/>
      <c r="AJ641" s="87"/>
      <c r="AK641" s="105"/>
      <c r="AL641" s="87"/>
      <c r="AM641" s="105"/>
      <c r="AN641" s="105"/>
      <c r="AO641" s="87"/>
      <c r="AP641" s="87"/>
      <c r="AQ641" s="105"/>
      <c r="AR641" s="105"/>
      <c r="AS641" s="87"/>
      <c r="AT641" s="105"/>
      <c r="AU641" s="105"/>
      <c r="AV641" s="87"/>
      <c r="AW641" s="105"/>
      <c r="AX641" s="105"/>
      <c r="AY641" s="87"/>
      <c r="AZ641" s="105"/>
      <c r="BA641" s="105"/>
      <c r="BB641" s="105"/>
      <c r="BC641" s="87"/>
      <c r="BD641" s="87"/>
      <c r="BE641" s="105"/>
      <c r="BF641" s="105"/>
      <c r="BG641" s="105"/>
      <c r="BH641" s="105"/>
      <c r="BI641" s="105"/>
      <c r="BJ641" s="87"/>
      <c r="BK641" s="87"/>
      <c r="BL641" s="87"/>
      <c r="BM641" s="87"/>
      <c r="BN641" s="87"/>
      <c r="BO641" s="87"/>
      <c r="BP641" s="87"/>
      <c r="BQ641" s="87"/>
      <c r="BR641" s="87"/>
      <c r="BS641" s="87"/>
      <c r="BT641" s="87"/>
      <c r="BU641" s="87"/>
      <c r="BV641" s="87"/>
      <c r="BW641" s="87"/>
      <c r="BX641" s="87"/>
      <c r="BY641" s="87"/>
      <c r="BZ641" s="87"/>
      <c r="CA641" s="87"/>
      <c r="CB641" s="87"/>
      <c r="CC641" s="87"/>
      <c r="CD641" s="87"/>
      <c r="CE641" s="87"/>
      <c r="CF641" s="87"/>
      <c r="CG641" s="87"/>
      <c r="CH641" s="87"/>
      <c r="CI641" s="87"/>
      <c r="CJ641" s="87"/>
      <c r="CK641" s="87"/>
      <c r="CL641" s="87"/>
      <c r="CM641" s="87"/>
      <c r="CN641" s="87">
        <f>-C641*(2/7)</f>
        <v>-2.3700000000000006</v>
      </c>
      <c r="CO641" s="87">
        <f>-C641*(5/7)</f>
        <v>-5.9250000000000016</v>
      </c>
      <c r="CP641" s="87"/>
      <c r="CQ641" s="87"/>
      <c r="CR641" s="87"/>
      <c r="CS641" s="105"/>
      <c r="CT641" s="87"/>
      <c r="CU641" s="87"/>
      <c r="CV641" s="87"/>
      <c r="CW641" s="87"/>
      <c r="CX641" s="87"/>
      <c r="CY641" s="87">
        <f>2/7*C641</f>
        <v>2.3700000000000006</v>
      </c>
      <c r="CZ641" s="87">
        <f>5/7*C641</f>
        <v>5.9250000000000016</v>
      </c>
      <c r="DA641" s="87"/>
      <c r="DB641" s="87"/>
      <c r="DC641" s="87"/>
      <c r="DD641" s="87"/>
      <c r="DE641" s="87"/>
      <c r="DF641" s="87"/>
      <c r="DG641" s="87"/>
      <c r="DH641" s="87"/>
      <c r="DI641" s="87"/>
      <c r="DJ641" s="87"/>
      <c r="DK641" s="87"/>
      <c r="DL641" s="87"/>
      <c r="DM641" s="87"/>
      <c r="DN641" s="87"/>
      <c r="DO641" s="87"/>
      <c r="DP641" s="87"/>
      <c r="DQ641" s="87"/>
      <c r="DR641" s="87"/>
      <c r="DS641" s="87"/>
      <c r="DT641" s="87"/>
      <c r="DU641" s="87"/>
      <c r="DV641" s="87"/>
      <c r="DW641" s="87"/>
      <c r="DX641" s="87"/>
      <c r="DY641" s="87"/>
      <c r="DZ641" s="87"/>
      <c r="EA641" s="87"/>
      <c r="EB641" s="87"/>
      <c r="EC641" s="87"/>
      <c r="ED641" s="87"/>
      <c r="EE641" s="87"/>
      <c r="EF641" s="87"/>
      <c r="EG641" s="87"/>
      <c r="EH641" s="87"/>
      <c r="EI641" s="87"/>
    </row>
    <row r="642" spans="1:139" ht="29.25" hidden="1" thickBot="1" x14ac:dyDescent="0.35">
      <c r="A642" s="175" t="s">
        <v>445</v>
      </c>
      <c r="B642" s="191">
        <v>5</v>
      </c>
      <c r="C642" s="177">
        <f>120*0.1+(52*0.65)+(26*0.85)</f>
        <v>67.900000000000006</v>
      </c>
      <c r="D642" s="234">
        <f>C642/VLOOKUP(B642,'[2]Gas Prod per PADD'!$A$1:$C$6,2,FALSE)</f>
        <v>5.0296296296296297E-2</v>
      </c>
      <c r="E642" s="220">
        <v>45733</v>
      </c>
      <c r="F642" s="179">
        <f>E642+45</f>
        <v>45778</v>
      </c>
      <c r="G642" s="180" t="s">
        <v>1089</v>
      </c>
      <c r="H642" s="181" t="s">
        <v>1090</v>
      </c>
      <c r="I642" s="375" t="s">
        <v>1091</v>
      </c>
      <c r="J642" s="306"/>
      <c r="K642" s="306"/>
      <c r="L642" s="306"/>
      <c r="M642" s="306"/>
      <c r="N642" s="306"/>
      <c r="O642" s="306"/>
      <c r="P642" s="306"/>
      <c r="Q642" s="306"/>
      <c r="R642" s="85">
        <f>C642*(E642-$R$1)/31</f>
        <v>-30.664516129032261</v>
      </c>
      <c r="S642" s="374">
        <f>-C642</f>
        <v>-67.900000000000006</v>
      </c>
      <c r="T642" s="85">
        <f t="shared" si="28"/>
        <v>0</v>
      </c>
      <c r="U642" s="85"/>
      <c r="V642" s="84"/>
      <c r="W642" s="84"/>
      <c r="X642" s="84" t="str">
        <f>IF(COUNTA(Y642:EI642)=0,"Missing","OK")</f>
        <v>OK</v>
      </c>
      <c r="Y642" s="105"/>
      <c r="Z642" s="105"/>
      <c r="AA642" s="87"/>
      <c r="AB642" s="87"/>
      <c r="AC642" s="87"/>
      <c r="AD642" s="87"/>
      <c r="AE642" s="105"/>
      <c r="AF642" s="105"/>
      <c r="AG642" s="105"/>
      <c r="AH642" s="105"/>
      <c r="AI642" s="87"/>
      <c r="AJ642" s="87"/>
      <c r="AK642" s="105"/>
      <c r="AL642" s="87"/>
      <c r="AM642" s="105"/>
      <c r="AN642" s="105"/>
      <c r="AO642" s="87"/>
      <c r="AP642" s="87"/>
      <c r="AQ642" s="105"/>
      <c r="AR642" s="105"/>
      <c r="AS642" s="87"/>
      <c r="AT642" s="105"/>
      <c r="AU642" s="105"/>
      <c r="AV642" s="87"/>
      <c r="AW642" s="105"/>
      <c r="AX642" s="105"/>
      <c r="AY642" s="87"/>
      <c r="AZ642" s="105"/>
      <c r="BA642" s="105"/>
      <c r="BB642" s="105"/>
      <c r="BC642" s="87"/>
      <c r="BD642" s="87"/>
      <c r="BE642" s="105"/>
      <c r="BF642" s="105"/>
      <c r="BG642" s="105"/>
      <c r="BH642" s="105"/>
      <c r="BI642" s="105"/>
      <c r="BJ642" s="87"/>
      <c r="BK642" s="87"/>
      <c r="BL642" s="87"/>
      <c r="BM642" s="87"/>
      <c r="BN642" s="87"/>
      <c r="BO642" s="87"/>
      <c r="BP642" s="87"/>
      <c r="BQ642" s="87"/>
      <c r="BR642" s="87"/>
      <c r="BS642" s="87"/>
      <c r="BT642" s="87"/>
      <c r="BU642" s="87"/>
      <c r="BV642" s="87"/>
      <c r="BW642" s="87"/>
      <c r="BX642" s="87"/>
      <c r="BY642" s="87"/>
      <c r="BZ642" s="87"/>
      <c r="CA642" s="87"/>
      <c r="CB642" s="87"/>
      <c r="CC642" s="87"/>
      <c r="CD642" s="87"/>
      <c r="CE642" s="87"/>
      <c r="CF642" s="87"/>
      <c r="CG642" s="87"/>
      <c r="CH642" s="87"/>
      <c r="CI642" s="87"/>
      <c r="CJ642" s="87"/>
      <c r="CK642" s="87"/>
      <c r="CL642" s="87"/>
      <c r="CM642" s="87"/>
      <c r="CN642" s="87"/>
      <c r="CO642" s="87"/>
      <c r="CP642" s="87"/>
      <c r="CQ642" s="105"/>
      <c r="CR642" s="87"/>
      <c r="CS642" s="87">
        <f>-3/7*C642</f>
        <v>-29.1</v>
      </c>
      <c r="CT642" s="87">
        <f>-4/7*C642</f>
        <v>-38.800000000000004</v>
      </c>
      <c r="CU642" s="87"/>
      <c r="CV642" s="87"/>
      <c r="CW642" s="87"/>
      <c r="CX642" s="87"/>
      <c r="CY642" s="105">
        <f>C642</f>
        <v>67.900000000000006</v>
      </c>
      <c r="CZ642" s="87"/>
      <c r="DA642" s="87"/>
      <c r="DB642" s="87"/>
      <c r="DC642" s="87"/>
      <c r="DD642" s="87"/>
      <c r="DE642" s="87"/>
      <c r="DF642" s="87"/>
      <c r="DG642" s="87"/>
      <c r="DH642" s="87"/>
      <c r="DI642" s="87"/>
      <c r="DJ642" s="87"/>
      <c r="DK642" s="87"/>
      <c r="DL642" s="87"/>
      <c r="DM642" s="87"/>
      <c r="DN642" s="87"/>
      <c r="DO642" s="87"/>
      <c r="DP642" s="87"/>
      <c r="DQ642" s="87"/>
      <c r="DR642" s="87"/>
      <c r="DS642" s="87"/>
      <c r="DT642" s="87"/>
      <c r="DU642" s="87"/>
      <c r="DV642" s="87"/>
      <c r="DW642" s="87"/>
      <c r="DX642" s="87"/>
      <c r="DY642" s="87"/>
      <c r="DZ642" s="87"/>
      <c r="EA642" s="87"/>
      <c r="EB642" s="87"/>
      <c r="EC642" s="87"/>
      <c r="ED642" s="87"/>
      <c r="EE642" s="87"/>
      <c r="EF642" s="87"/>
      <c r="EG642" s="75">
        <v>46017</v>
      </c>
      <c r="EH642" s="75">
        <v>46024</v>
      </c>
      <c r="EI642" s="75">
        <v>46031</v>
      </c>
    </row>
    <row r="643" spans="1:139" ht="43.5" hidden="1" thickBot="1" x14ac:dyDescent="0.35">
      <c r="A643" s="175" t="s">
        <v>256</v>
      </c>
      <c r="B643" s="176">
        <v>1</v>
      </c>
      <c r="C643" s="177">
        <f>70*0.25</f>
        <v>17.5</v>
      </c>
      <c r="D643" s="217">
        <f>C643/VLOOKUP(B643,'[2]Gas Prod per PADD'!$A$1:$C$6,2,FALSE)</f>
        <v>3.6458333333333336E-2</v>
      </c>
      <c r="E643" s="251">
        <v>45777</v>
      </c>
      <c r="F643" s="179">
        <v>45779</v>
      </c>
      <c r="G643" s="180" t="s">
        <v>1092</v>
      </c>
      <c r="H643" s="181" t="s">
        <v>1093</v>
      </c>
      <c r="I643" s="84"/>
      <c r="J643" s="85"/>
      <c r="K643" s="85"/>
      <c r="L643" s="85"/>
      <c r="M643" s="85"/>
      <c r="N643" s="85"/>
      <c r="O643" s="85"/>
      <c r="P643" s="85"/>
      <c r="Q643" s="85"/>
      <c r="R643" s="85"/>
      <c r="S643" s="85">
        <f>C643*(E643-$S$1)/30</f>
        <v>0</v>
      </c>
      <c r="T643" s="85">
        <f t="shared" si="28"/>
        <v>-0.56451612903225812</v>
      </c>
      <c r="U643" s="85"/>
      <c r="V643" s="84"/>
      <c r="W643" s="84"/>
      <c r="X643" s="84"/>
      <c r="Y643" s="87"/>
      <c r="Z643" s="87"/>
      <c r="AA643" s="87"/>
      <c r="AB643" s="87"/>
      <c r="AC643" s="87"/>
      <c r="AD643" s="87"/>
      <c r="AE643" s="87"/>
      <c r="AF643" s="87"/>
      <c r="AG643" s="87"/>
      <c r="AH643" s="87"/>
      <c r="AI643" s="87"/>
      <c r="AJ643" s="87"/>
      <c r="AK643" s="87"/>
      <c r="AL643" s="87"/>
      <c r="AM643" s="87"/>
      <c r="AN643" s="87"/>
      <c r="AO643" s="87"/>
      <c r="AP643" s="87"/>
      <c r="AQ643" s="87"/>
      <c r="AR643" s="87"/>
      <c r="AS643" s="87"/>
      <c r="AT643" s="87"/>
      <c r="AU643" s="87"/>
      <c r="AV643" s="87"/>
      <c r="AW643" s="87"/>
      <c r="AX643" s="87"/>
      <c r="AY643" s="87"/>
      <c r="AZ643" s="87"/>
      <c r="BA643" s="87"/>
      <c r="BB643" s="87"/>
      <c r="BC643" s="87"/>
      <c r="BD643" s="87"/>
      <c r="BE643" s="87"/>
      <c r="BF643" s="87"/>
      <c r="BG643" s="87"/>
      <c r="BH643" s="87"/>
      <c r="BI643" s="87"/>
      <c r="BJ643" s="87"/>
      <c r="BK643" s="87"/>
      <c r="BL643" s="87"/>
      <c r="BM643" s="87"/>
      <c r="BN643" s="87"/>
      <c r="BO643" s="87"/>
      <c r="BP643" s="87"/>
      <c r="BQ643" s="87"/>
      <c r="BR643" s="87"/>
      <c r="BS643" s="87"/>
      <c r="BT643" s="87"/>
      <c r="BU643" s="87"/>
      <c r="BV643" s="87"/>
      <c r="BW643" s="87"/>
      <c r="BX643" s="87"/>
      <c r="BY643" s="87"/>
      <c r="BZ643" s="87"/>
      <c r="CA643" s="87"/>
      <c r="CB643" s="87"/>
      <c r="CC643" s="87"/>
      <c r="CD643" s="87"/>
      <c r="CE643" s="87"/>
      <c r="CF643" s="87"/>
      <c r="CG643" s="87"/>
      <c r="CH643" s="87"/>
      <c r="CI643" s="87"/>
      <c r="CJ643" s="87"/>
      <c r="CK643" s="87"/>
      <c r="CL643" s="87"/>
      <c r="CM643" s="87"/>
      <c r="CN643" s="87"/>
      <c r="CO643" s="87"/>
      <c r="CP643" s="87"/>
      <c r="CQ643" s="87"/>
      <c r="CR643" s="87"/>
      <c r="CS643" s="87"/>
      <c r="CT643" s="87"/>
      <c r="CU643" s="87"/>
      <c r="CV643" s="87"/>
      <c r="CW643" s="87"/>
      <c r="CX643" s="87"/>
      <c r="CY643" s="87">
        <f>-2/7*C643</f>
        <v>-5</v>
      </c>
      <c r="CZ643" s="87">
        <f>-CY643</f>
        <v>5</v>
      </c>
      <c r="DA643" s="87"/>
      <c r="DB643" s="87"/>
      <c r="DC643" s="87"/>
      <c r="DD643" s="87"/>
      <c r="DE643" s="87"/>
      <c r="DF643" s="87"/>
      <c r="DG643" s="87"/>
      <c r="DH643" s="87"/>
      <c r="DI643" s="87"/>
      <c r="DJ643" s="87"/>
      <c r="DK643" s="87"/>
      <c r="DL643" s="87"/>
      <c r="DM643" s="87"/>
      <c r="DN643" s="87"/>
      <c r="DO643" s="87"/>
      <c r="DP643" s="87"/>
      <c r="DQ643" s="87"/>
      <c r="DR643" s="87"/>
      <c r="DS643" s="87"/>
      <c r="DT643" s="87"/>
      <c r="DU643" s="87"/>
      <c r="DV643" s="87"/>
      <c r="DW643" s="87"/>
      <c r="DX643" s="87"/>
      <c r="DY643" s="87"/>
      <c r="DZ643" s="87"/>
      <c r="EA643" s="87"/>
      <c r="EB643" s="87"/>
      <c r="EC643" s="87"/>
      <c r="ED643" s="87"/>
      <c r="EE643" s="87"/>
      <c r="EF643" s="87"/>
      <c r="EG643" s="87"/>
      <c r="EH643" s="87"/>
      <c r="EI643" s="87"/>
    </row>
    <row r="644" spans="1:139" ht="29.25" hidden="1" thickBot="1" x14ac:dyDescent="0.35">
      <c r="A644" s="352" t="s">
        <v>231</v>
      </c>
      <c r="B644" s="223">
        <v>2</v>
      </c>
      <c r="C644" s="224">
        <f>55*0.25+20*0.25</f>
        <v>18.75</v>
      </c>
      <c r="D644" s="217">
        <f>C644/VLOOKUP(B644,'[2]Gas Prod per PADD'!$A$1:$C$6,2,FALSE)</f>
        <v>7.8125E-3</v>
      </c>
      <c r="E644" s="363">
        <v>45776</v>
      </c>
      <c r="F644" s="276">
        <v>45780</v>
      </c>
      <c r="G644" s="180" t="s">
        <v>1094</v>
      </c>
      <c r="H644" s="221"/>
      <c r="I644" s="369"/>
      <c r="J644" s="370"/>
      <c r="K644" s="370"/>
      <c r="L644" s="370"/>
      <c r="M644" s="370"/>
      <c r="N644" s="370"/>
      <c r="O644" s="370"/>
      <c r="P644" s="370"/>
      <c r="Q644" s="370"/>
      <c r="R644" s="370"/>
      <c r="S644" s="85">
        <f>C644*(E644-$S$1)/30</f>
        <v>-0.625</v>
      </c>
      <c r="T644" s="85">
        <f t="shared" si="28"/>
        <v>-1.2096774193548387</v>
      </c>
      <c r="U644" s="85"/>
      <c r="V644" s="84"/>
      <c r="W644" s="84"/>
      <c r="X644" s="84"/>
      <c r="Y644" s="86"/>
      <c r="Z644" s="87"/>
      <c r="AA644" s="87"/>
      <c r="AB644" s="87"/>
      <c r="AC644" s="87"/>
      <c r="AD644" s="87"/>
      <c r="AE644" s="87"/>
      <c r="AF644" s="87"/>
      <c r="AG644" s="87"/>
      <c r="AH644" s="87"/>
      <c r="AI644" s="87"/>
      <c r="AJ644" s="87"/>
      <c r="AK644" s="87"/>
      <c r="AL644" s="87"/>
      <c r="AM644" s="87"/>
      <c r="AN644" s="87"/>
      <c r="AO644" s="87"/>
      <c r="AP644" s="87"/>
      <c r="AQ644" s="87"/>
      <c r="AR644" s="87"/>
      <c r="AS644" s="87"/>
      <c r="AT644" s="87"/>
      <c r="AU644" s="87"/>
      <c r="AV644" s="87"/>
      <c r="AW644" s="87"/>
      <c r="AX644" s="87"/>
      <c r="AY644" s="87"/>
      <c r="AZ644" s="87"/>
      <c r="BA644" s="87"/>
      <c r="BB644" s="87"/>
      <c r="BC644" s="87"/>
      <c r="BD644" s="87"/>
      <c r="BE644" s="87"/>
      <c r="BF644" s="87"/>
      <c r="BG644" s="87"/>
      <c r="BH644" s="87"/>
      <c r="BI644" s="87"/>
      <c r="BJ644" s="105"/>
      <c r="BK644" s="87"/>
      <c r="BL644" s="105"/>
      <c r="BM644" s="87"/>
      <c r="BN644" s="87"/>
      <c r="BO644" s="87"/>
      <c r="BP644" s="87"/>
      <c r="BQ644" s="87"/>
      <c r="BR644" s="87"/>
      <c r="BS644" s="87"/>
      <c r="BT644" s="87"/>
      <c r="BU644" s="87"/>
      <c r="BV644" s="87"/>
      <c r="BW644" s="87"/>
      <c r="BX644" s="87"/>
      <c r="BY644" s="87"/>
      <c r="BZ644" s="87"/>
      <c r="CA644" s="87"/>
      <c r="CB644" s="87"/>
      <c r="CC644" s="87"/>
      <c r="CD644" s="87"/>
      <c r="CE644" s="87"/>
      <c r="CF644" s="87"/>
      <c r="CG644" s="87"/>
      <c r="CH644" s="87"/>
      <c r="CI644" s="87"/>
      <c r="CJ644" s="87"/>
      <c r="CK644" s="87"/>
      <c r="CL644" s="87"/>
      <c r="CM644" s="87"/>
      <c r="CN644" s="87"/>
      <c r="CO644" s="87"/>
      <c r="CP644" s="87"/>
      <c r="CQ644" s="87"/>
      <c r="CR644" s="87"/>
      <c r="CS644" s="87"/>
      <c r="CT644" s="87"/>
      <c r="CU644" s="87"/>
      <c r="CV644" s="87"/>
      <c r="CW644" s="87"/>
      <c r="CX644" s="87"/>
      <c r="CY644" s="87">
        <f>-C644*4/7</f>
        <v>-10.714285714285714</v>
      </c>
      <c r="CZ644" s="87"/>
      <c r="DA644" s="87">
        <f>-CY644</f>
        <v>10.714285714285714</v>
      </c>
      <c r="DB644" s="87"/>
      <c r="DC644" s="87"/>
      <c r="DD644" s="87"/>
      <c r="DE644" s="87"/>
      <c r="DF644" s="87"/>
      <c r="DG644" s="87"/>
      <c r="DH644" s="87"/>
      <c r="DI644" s="87"/>
      <c r="DJ644" s="87"/>
      <c r="DK644" s="87"/>
      <c r="DL644" s="87"/>
      <c r="DM644" s="87"/>
      <c r="DN644" s="87"/>
      <c r="DO644" s="87"/>
      <c r="DP644" s="87"/>
      <c r="DQ644" s="87"/>
      <c r="DR644" s="87"/>
      <c r="DS644" s="87"/>
      <c r="DT644" s="87"/>
      <c r="DU644" s="87"/>
      <c r="DV644" s="87"/>
      <c r="DW644" s="87"/>
      <c r="DX644" s="87"/>
      <c r="DY644" s="87"/>
      <c r="DZ644" s="87"/>
      <c r="EA644" s="87"/>
      <c r="EB644" s="87"/>
      <c r="EC644" s="87"/>
      <c r="ED644" s="87"/>
      <c r="EE644" s="87"/>
      <c r="EF644" s="87"/>
      <c r="EG644" s="87"/>
      <c r="EH644" s="87"/>
      <c r="EI644" s="87"/>
    </row>
    <row r="645" spans="1:139" ht="16.5" hidden="1" thickBot="1" x14ac:dyDescent="0.35">
      <c r="A645" s="113" t="s">
        <v>519</v>
      </c>
      <c r="B645" s="194">
        <v>2</v>
      </c>
      <c r="C645" s="195">
        <f>16.5*0.25</f>
        <v>4.125</v>
      </c>
      <c r="D645" s="217">
        <v>2.9999999999999996E-3</v>
      </c>
      <c r="E645" s="346">
        <v>45771</v>
      </c>
      <c r="F645" s="281">
        <v>45782</v>
      </c>
      <c r="G645" s="194" t="s">
        <v>1095</v>
      </c>
      <c r="H645" s="198" t="s">
        <v>1096</v>
      </c>
      <c r="I645" s="73"/>
      <c r="J645" s="229"/>
      <c r="K645" s="229"/>
      <c r="L645" s="229"/>
      <c r="M645" s="229"/>
      <c r="N645" s="229"/>
      <c r="O645" s="229"/>
      <c r="P645" s="229"/>
      <c r="Q645" s="229"/>
      <c r="R645" s="229"/>
      <c r="S645" s="85">
        <f>C645*(E645-$S$1)/30</f>
        <v>-0.82499999999999996</v>
      </c>
      <c r="T645" s="85">
        <f t="shared" si="28"/>
        <v>-0.532258064516129</v>
      </c>
      <c r="U645" s="85"/>
      <c r="V645" s="84"/>
      <c r="W645" s="84"/>
      <c r="X645" s="84"/>
      <c r="Y645" s="74"/>
      <c r="Z645" s="74"/>
      <c r="AA645" s="74"/>
      <c r="AB645" s="74"/>
      <c r="AC645" s="74"/>
      <c r="AD645" s="74"/>
      <c r="AE645" s="74"/>
      <c r="AF645" s="74"/>
      <c r="AG645" s="75"/>
      <c r="AH645" s="74"/>
      <c r="AI645" s="74"/>
      <c r="AJ645" s="74"/>
      <c r="AK645" s="74"/>
      <c r="AL645" s="74"/>
      <c r="AM645" s="74"/>
      <c r="AN645" s="74"/>
      <c r="AO645" s="74"/>
      <c r="AP645" s="74"/>
      <c r="AQ645" s="74"/>
      <c r="AR645" s="75"/>
      <c r="AS645" s="74"/>
      <c r="AT645" s="74"/>
      <c r="AU645" s="74"/>
      <c r="AV645" s="87"/>
      <c r="AW645" s="87"/>
      <c r="AX645" s="87"/>
      <c r="AY645" s="87"/>
      <c r="AZ645" s="87"/>
      <c r="BA645" s="87"/>
      <c r="BB645" s="87"/>
      <c r="BC645" s="87"/>
      <c r="BD645" s="87"/>
      <c r="BE645" s="87"/>
      <c r="BF645" s="74"/>
      <c r="BG645" s="74"/>
      <c r="BH645" s="74"/>
      <c r="BI645" s="74"/>
      <c r="BJ645" s="74"/>
      <c r="BK645" s="74"/>
      <c r="BL645" s="74"/>
      <c r="BM645" s="74"/>
      <c r="BN645" s="74"/>
      <c r="BO645" s="74"/>
      <c r="BP645" s="74"/>
      <c r="BQ645" s="74"/>
      <c r="BR645" s="74"/>
      <c r="BS645" s="74"/>
      <c r="BT645" s="74"/>
      <c r="BU645" s="74"/>
      <c r="BV645" s="74"/>
      <c r="BW645" s="74"/>
      <c r="BX645" s="74"/>
      <c r="BY645" s="74"/>
      <c r="BZ645" s="74"/>
      <c r="CA645" s="74"/>
      <c r="CB645" s="74"/>
      <c r="CC645" s="74"/>
      <c r="CD645" s="74"/>
      <c r="CE645" s="74"/>
      <c r="CF645" s="74"/>
      <c r="CG645" s="74"/>
      <c r="CH645" s="87"/>
      <c r="CI645" s="87"/>
      <c r="CJ645" s="87"/>
      <c r="CK645" s="87"/>
      <c r="CL645" s="87"/>
      <c r="CM645" s="87"/>
      <c r="CN645" s="87"/>
      <c r="CO645" s="87"/>
      <c r="CP645" s="87"/>
      <c r="CQ645" s="87"/>
      <c r="CR645" s="87"/>
      <c r="CS645" s="87"/>
      <c r="CT645" s="87"/>
      <c r="CU645" s="87"/>
      <c r="CV645" s="87"/>
      <c r="CW645" s="87"/>
      <c r="CX645" s="87">
        <f>-2/7*C645</f>
        <v>-1.1785714285714286</v>
      </c>
      <c r="CY645" s="87">
        <f>-5/7*C645</f>
        <v>-2.9464285714285716</v>
      </c>
      <c r="CZ645" s="87">
        <f>-CY645</f>
        <v>2.9464285714285716</v>
      </c>
      <c r="DA645" s="87">
        <f>-CX645</f>
        <v>1.1785714285714286</v>
      </c>
      <c r="DB645" s="87"/>
      <c r="DC645" s="87"/>
      <c r="DD645" s="87"/>
      <c r="DE645" s="87"/>
      <c r="DF645" s="87"/>
      <c r="DG645" s="87"/>
      <c r="DH645" s="87"/>
      <c r="DI645" s="87"/>
      <c r="DJ645" s="87"/>
      <c r="DK645" s="87"/>
      <c r="DL645" s="87"/>
      <c r="DM645" s="87"/>
      <c r="DN645" s="87"/>
      <c r="DO645" s="87"/>
      <c r="DP645" s="87"/>
      <c r="DQ645" s="87"/>
      <c r="DR645" s="87"/>
      <c r="DS645" s="87"/>
      <c r="DT645" s="87"/>
      <c r="DU645" s="87"/>
      <c r="DV645" s="87"/>
      <c r="DW645" s="87"/>
      <c r="DX645" s="87"/>
      <c r="DY645" s="87"/>
      <c r="DZ645" s="87"/>
      <c r="EA645" s="87"/>
      <c r="EB645" s="87"/>
      <c r="EC645" s="87"/>
      <c r="ED645" s="87"/>
      <c r="EE645" s="87"/>
      <c r="EF645" s="87"/>
      <c r="EG645" s="87"/>
      <c r="EH645" s="87"/>
      <c r="EI645" s="87"/>
    </row>
    <row r="646" spans="1:139" ht="16.5" hidden="1" thickBot="1" x14ac:dyDescent="0.35">
      <c r="A646" s="113" t="s">
        <v>298</v>
      </c>
      <c r="B646" s="199">
        <v>4</v>
      </c>
      <c r="C646" s="195">
        <f>26.4*0.25+(18*0.3*0.65)</f>
        <v>10.11</v>
      </c>
      <c r="D646" s="217">
        <f>C646/VLOOKUP(B646,'[2]Gas Prod per PADD'!$A$1:$C$6,2,FALSE)</f>
        <v>2.9735294117647058E-2</v>
      </c>
      <c r="E646" s="196">
        <v>45775</v>
      </c>
      <c r="F646" s="281">
        <v>45782</v>
      </c>
      <c r="G646" s="194" t="s">
        <v>1097</v>
      </c>
      <c r="H646" s="198" t="s">
        <v>1098</v>
      </c>
      <c r="I646" s="84"/>
      <c r="J646" s="85"/>
      <c r="K646" s="85"/>
      <c r="L646" s="85"/>
      <c r="M646" s="85"/>
      <c r="N646" s="85"/>
      <c r="O646" s="85"/>
      <c r="P646" s="85"/>
      <c r="Q646" s="85"/>
      <c r="R646" s="85"/>
      <c r="S646" s="85">
        <f>C646*(E646-$S$1)/30</f>
        <v>-0.67399999999999993</v>
      </c>
      <c r="T646" s="85">
        <f t="shared" si="28"/>
        <v>-1.304516129032258</v>
      </c>
      <c r="U646" s="85"/>
      <c r="V646" s="84"/>
      <c r="W646" s="84"/>
      <c r="X646" s="84"/>
      <c r="Y646" s="87"/>
      <c r="Z646" s="87"/>
      <c r="AA646" s="87"/>
      <c r="AB646" s="87"/>
      <c r="AC646" s="87"/>
      <c r="AD646" s="87"/>
      <c r="AE646" s="87"/>
      <c r="AF646" s="87"/>
      <c r="AG646" s="87"/>
      <c r="AH646" s="87"/>
      <c r="AI646" s="87"/>
      <c r="AJ646" s="87"/>
      <c r="AK646" s="87"/>
      <c r="AL646" s="87"/>
      <c r="AM646" s="87"/>
      <c r="AN646" s="87"/>
      <c r="AO646" s="87"/>
      <c r="AP646" s="87"/>
      <c r="AQ646" s="87"/>
      <c r="AR646" s="87"/>
      <c r="AS646" s="87"/>
      <c r="AT646" s="87"/>
      <c r="AU646" s="87"/>
      <c r="AV646" s="87"/>
      <c r="AW646" s="87"/>
      <c r="AX646" s="87"/>
      <c r="AY646" s="87"/>
      <c r="AZ646" s="87"/>
      <c r="BA646" s="87"/>
      <c r="BB646" s="87"/>
      <c r="BC646" s="87"/>
      <c r="BD646" s="87"/>
      <c r="BE646" s="87"/>
      <c r="BF646" s="87"/>
      <c r="BG646" s="87"/>
      <c r="BH646" s="87"/>
      <c r="BI646" s="87"/>
      <c r="BJ646" s="87"/>
      <c r="BK646" s="87"/>
      <c r="BL646" s="87"/>
      <c r="BM646" s="87"/>
      <c r="BN646" s="87"/>
      <c r="BO646" s="87"/>
      <c r="BP646" s="87"/>
      <c r="BQ646" s="87"/>
      <c r="BR646" s="87"/>
      <c r="BS646" s="87"/>
      <c r="BT646" s="87"/>
      <c r="BU646" s="87"/>
      <c r="BV646" s="87"/>
      <c r="BW646" s="87"/>
      <c r="BX646" s="87"/>
      <c r="BY646" s="87"/>
      <c r="BZ646" s="87"/>
      <c r="CA646" s="87"/>
      <c r="CB646" s="87"/>
      <c r="CC646" s="87"/>
      <c r="CD646" s="87"/>
      <c r="CE646" s="87"/>
      <c r="CF646" s="87"/>
      <c r="CG646" s="87"/>
      <c r="CH646" s="105"/>
      <c r="CI646" s="87"/>
      <c r="CJ646" s="87"/>
      <c r="CK646" s="87"/>
      <c r="CL646" s="87"/>
      <c r="CM646" s="87"/>
      <c r="CN646" s="87"/>
      <c r="CO646" s="87"/>
      <c r="CP646" s="87"/>
      <c r="CQ646" s="87"/>
      <c r="CR646" s="87"/>
      <c r="CS646" s="87"/>
      <c r="CT646" s="87"/>
      <c r="CU646" s="87"/>
      <c r="CV646" s="87"/>
      <c r="CW646" s="87"/>
      <c r="CX646" s="87"/>
      <c r="CY646" s="87">
        <f>-4/7*C646</f>
        <v>-5.7771428571428567</v>
      </c>
      <c r="CZ646" s="87"/>
      <c r="DA646" s="87">
        <f>-CY646</f>
        <v>5.7771428571428567</v>
      </c>
      <c r="DB646" s="87"/>
      <c r="DC646" s="87"/>
      <c r="DD646" s="87"/>
      <c r="DE646" s="87"/>
      <c r="DF646" s="87"/>
      <c r="DG646" s="87"/>
      <c r="DH646" s="87"/>
      <c r="DI646" s="87"/>
      <c r="DJ646" s="87"/>
      <c r="DK646" s="87"/>
      <c r="DL646" s="87"/>
      <c r="DM646" s="87"/>
      <c r="DN646" s="87"/>
      <c r="DO646" s="87"/>
      <c r="DP646" s="87"/>
      <c r="DQ646" s="87"/>
      <c r="DR646" s="87"/>
      <c r="DS646" s="87"/>
      <c r="DT646" s="87"/>
      <c r="DU646" s="87"/>
      <c r="DV646" s="87"/>
      <c r="DW646" s="87"/>
      <c r="DX646" s="87"/>
      <c r="DY646" s="87"/>
      <c r="DZ646" s="87"/>
      <c r="EA646" s="87"/>
      <c r="EB646" s="87"/>
      <c r="EC646" s="87"/>
      <c r="ED646" s="87"/>
      <c r="EE646" s="87"/>
      <c r="EF646" s="87"/>
      <c r="EG646" s="87"/>
      <c r="EH646" s="87"/>
      <c r="EI646" s="87"/>
    </row>
    <row r="647" spans="1:139" ht="16.5" hidden="1" thickBot="1" x14ac:dyDescent="0.35">
      <c r="A647" s="190" t="s">
        <v>149</v>
      </c>
      <c r="B647" s="176">
        <v>3</v>
      </c>
      <c r="C647" s="177">
        <f>20*0.65</f>
        <v>13</v>
      </c>
      <c r="D647" s="217">
        <f>C647/VLOOKUP(B647,'[2]Gas Prod per PADD'!$A$1:$C$6,2,FALSE)</f>
        <v>2.8260869565217392E-3</v>
      </c>
      <c r="E647" s="357">
        <v>45764</v>
      </c>
      <c r="F647" s="179">
        <v>45783</v>
      </c>
      <c r="G647" s="180" t="s">
        <v>1099</v>
      </c>
      <c r="H647" s="181" t="s">
        <v>1100</v>
      </c>
      <c r="I647" s="84"/>
      <c r="J647" s="85"/>
      <c r="K647" s="85"/>
      <c r="L647" s="85"/>
      <c r="M647" s="85"/>
      <c r="N647" s="85"/>
      <c r="O647" s="85"/>
      <c r="P647" s="85"/>
      <c r="Q647" s="85"/>
      <c r="R647" s="85"/>
      <c r="S647" s="85">
        <f>C647*(E647-$S$1)/30</f>
        <v>-5.6333333333333337</v>
      </c>
      <c r="T647" s="85">
        <f t="shared" si="28"/>
        <v>-2.096774193548387</v>
      </c>
      <c r="U647" s="85"/>
      <c r="V647" s="84"/>
      <c r="W647" s="84"/>
      <c r="X647" s="84"/>
      <c r="Y647" s="87"/>
      <c r="Z647" s="87"/>
      <c r="AA647" s="87"/>
      <c r="AB647" s="87"/>
      <c r="AC647" s="87"/>
      <c r="AD647" s="87"/>
      <c r="AE647" s="87"/>
      <c r="AF647" s="87"/>
      <c r="AG647" s="87"/>
      <c r="AH647" s="87"/>
      <c r="AI647" s="87"/>
      <c r="AJ647" s="87"/>
      <c r="AK647" s="87"/>
      <c r="AL647" s="87"/>
      <c r="AM647" s="87"/>
      <c r="AN647" s="87"/>
      <c r="AO647" s="87"/>
      <c r="AP647" s="87"/>
      <c r="AQ647" s="87"/>
      <c r="AR647" s="87"/>
      <c r="AS647" s="87"/>
      <c r="AT647" s="87"/>
      <c r="AU647" s="87"/>
      <c r="AV647" s="87"/>
      <c r="AW647" s="87"/>
      <c r="AX647" s="87"/>
      <c r="AY647" s="87"/>
      <c r="AZ647" s="87"/>
      <c r="BA647" s="87"/>
      <c r="BB647" s="87"/>
      <c r="BC647" s="87"/>
      <c r="BD647" s="87"/>
      <c r="BE647" s="87"/>
      <c r="BF647" s="87"/>
      <c r="BG647" s="87"/>
      <c r="BH647" s="87"/>
      <c r="BI647" s="87"/>
      <c r="BJ647" s="87"/>
      <c r="BK647" s="87"/>
      <c r="BL647" s="87"/>
      <c r="BM647" s="87"/>
      <c r="BN647" s="87"/>
      <c r="BO647" s="87"/>
      <c r="BP647" s="87"/>
      <c r="BQ647" s="87"/>
      <c r="BR647" s="87"/>
      <c r="BS647" s="87"/>
      <c r="BT647" s="87"/>
      <c r="BU647" s="87"/>
      <c r="BV647" s="87"/>
      <c r="BW647" s="87"/>
      <c r="BX647" s="87"/>
      <c r="BY647" s="87"/>
      <c r="BZ647" s="87"/>
      <c r="CA647" s="87"/>
      <c r="CB647" s="87"/>
      <c r="CC647" s="87"/>
      <c r="CD647" s="87"/>
      <c r="CE647" s="87"/>
      <c r="CF647" s="87"/>
      <c r="CG647" s="87"/>
      <c r="CH647" s="87"/>
      <c r="CI647" s="87"/>
      <c r="CJ647" s="87"/>
      <c r="CK647" s="87"/>
      <c r="CL647" s="87"/>
      <c r="CM647" s="87"/>
      <c r="CN647" s="87"/>
      <c r="CO647" s="87"/>
      <c r="CP647" s="87"/>
      <c r="CQ647" s="87"/>
      <c r="CR647" s="87"/>
      <c r="CS647" s="87"/>
      <c r="CT647" s="87"/>
      <c r="CU647" s="87"/>
      <c r="CV647" s="295"/>
      <c r="CW647" s="87">
        <f>-2/7*C647</f>
        <v>-3.714285714285714</v>
      </c>
      <c r="CX647" s="87">
        <f>-5/7*C647</f>
        <v>-9.2857142857142865</v>
      </c>
      <c r="CY647" s="87"/>
      <c r="CZ647" s="87">
        <f>C647*3/7</f>
        <v>5.5714285714285712</v>
      </c>
      <c r="DA647" s="87">
        <f>C647*4/7</f>
        <v>7.4285714285714288</v>
      </c>
      <c r="DB647" s="87"/>
      <c r="DC647" s="87"/>
      <c r="DD647" s="87"/>
      <c r="DE647" s="87"/>
      <c r="DF647" s="87"/>
      <c r="DG647" s="87"/>
      <c r="DH647" s="87"/>
      <c r="DI647" s="87"/>
      <c r="DJ647" s="87"/>
      <c r="DK647" s="87"/>
      <c r="DL647" s="87"/>
      <c r="DM647" s="87"/>
      <c r="DN647" s="87"/>
      <c r="DO647" s="87"/>
      <c r="DP647" s="87"/>
      <c r="DQ647" s="87"/>
      <c r="DR647" s="87"/>
      <c r="DS647" s="87"/>
      <c r="DT647" s="87"/>
      <c r="DU647" s="87"/>
      <c r="DV647" s="87"/>
      <c r="DW647" s="87"/>
      <c r="DX647" s="87"/>
      <c r="DY647" s="87"/>
      <c r="DZ647" s="87"/>
      <c r="EA647" s="87"/>
      <c r="EB647" s="87"/>
      <c r="EC647" s="87"/>
      <c r="ED647" s="87"/>
      <c r="EE647" s="87"/>
      <c r="EF647" s="87"/>
      <c r="EG647" s="87"/>
      <c r="EH647" s="87"/>
      <c r="EI647" s="87"/>
    </row>
    <row r="648" spans="1:139" ht="16.5" hidden="1" thickBot="1" x14ac:dyDescent="0.35">
      <c r="A648" s="175" t="s">
        <v>445</v>
      </c>
      <c r="B648" s="191">
        <v>5</v>
      </c>
      <c r="C648" s="177">
        <f>120*0.25</f>
        <v>30</v>
      </c>
      <c r="D648" s="234">
        <f>C648/VLOOKUP(B648,'[2]Gas Prod per PADD'!$A$1:$C$6,2,FALSE)</f>
        <v>2.2222222222222223E-2</v>
      </c>
      <c r="E648" s="220">
        <v>45779</v>
      </c>
      <c r="F648" s="179">
        <v>45783</v>
      </c>
      <c r="G648" s="180" t="s">
        <v>1101</v>
      </c>
      <c r="H648" s="181" t="s">
        <v>1102</v>
      </c>
      <c r="I648" s="373"/>
      <c r="J648" s="374"/>
      <c r="K648" s="374"/>
      <c r="L648" s="374"/>
      <c r="M648" s="374"/>
      <c r="N648" s="374"/>
      <c r="O648" s="374"/>
      <c r="P648" s="374"/>
      <c r="Q648" s="374"/>
      <c r="R648" s="374"/>
      <c r="S648" s="374"/>
      <c r="T648" s="85">
        <f>C648*(E648-F648)/31</f>
        <v>-3.870967741935484</v>
      </c>
      <c r="U648" s="85"/>
      <c r="V648" s="84"/>
      <c r="W648" s="84"/>
      <c r="X648" s="84"/>
      <c r="Y648" s="105"/>
      <c r="Z648" s="105"/>
      <c r="AA648" s="87"/>
      <c r="AB648" s="87"/>
      <c r="AC648" s="87"/>
      <c r="AD648" s="87"/>
      <c r="AE648" s="105"/>
      <c r="AF648" s="105"/>
      <c r="AG648" s="105"/>
      <c r="AH648" s="105"/>
      <c r="AI648" s="87"/>
      <c r="AJ648" s="87"/>
      <c r="AK648" s="105"/>
      <c r="AL648" s="87"/>
      <c r="AM648" s="105"/>
      <c r="AN648" s="105"/>
      <c r="AO648" s="87"/>
      <c r="AP648" s="87"/>
      <c r="AQ648" s="105"/>
      <c r="AR648" s="105"/>
      <c r="AS648" s="87"/>
      <c r="AT648" s="105"/>
      <c r="AU648" s="105"/>
      <c r="AV648" s="87"/>
      <c r="AW648" s="105"/>
      <c r="AX648" s="105"/>
      <c r="AY648" s="87"/>
      <c r="AZ648" s="105"/>
      <c r="BA648" s="105"/>
      <c r="BB648" s="105"/>
      <c r="BC648" s="87"/>
      <c r="BD648" s="87"/>
      <c r="BE648" s="105"/>
      <c r="BF648" s="105"/>
      <c r="BG648" s="105"/>
      <c r="BH648" s="105"/>
      <c r="BI648" s="105"/>
      <c r="BJ648" s="87"/>
      <c r="BK648" s="87"/>
      <c r="BL648" s="87"/>
      <c r="BM648" s="87"/>
      <c r="BN648" s="87"/>
      <c r="BO648" s="87"/>
      <c r="BP648" s="87"/>
      <c r="BQ648" s="87"/>
      <c r="BR648" s="87"/>
      <c r="BS648" s="87"/>
      <c r="BT648" s="87"/>
      <c r="BU648" s="87"/>
      <c r="BV648" s="87"/>
      <c r="BW648" s="87"/>
      <c r="BX648" s="87"/>
      <c r="BY648" s="87"/>
      <c r="BZ648" s="87"/>
      <c r="CA648" s="87"/>
      <c r="CB648" s="87"/>
      <c r="CC648" s="87"/>
      <c r="CD648" s="87"/>
      <c r="CE648" s="87"/>
      <c r="CF648" s="87"/>
      <c r="CG648" s="87"/>
      <c r="CH648" s="87"/>
      <c r="CI648" s="87"/>
      <c r="CJ648" s="87"/>
      <c r="CK648" s="87"/>
      <c r="CL648" s="87"/>
      <c r="CM648" s="87"/>
      <c r="CN648" s="87"/>
      <c r="CO648" s="87"/>
      <c r="CP648" s="87"/>
      <c r="CQ648" s="87"/>
      <c r="CR648" s="87"/>
      <c r="CS648" s="105"/>
      <c r="CT648" s="87"/>
      <c r="CU648" s="87"/>
      <c r="CV648" s="87"/>
      <c r="CW648" s="87"/>
      <c r="CX648" s="87"/>
      <c r="CY648" s="87">
        <f>-1/7*C648</f>
        <v>-4.2857142857142856</v>
      </c>
      <c r="CZ648" s="87"/>
      <c r="DA648" s="87">
        <f>-CY648</f>
        <v>4.2857142857142856</v>
      </c>
      <c r="DB648" s="87"/>
      <c r="DC648" s="87"/>
      <c r="DD648" s="87"/>
      <c r="DE648" s="87"/>
      <c r="DF648" s="87"/>
      <c r="DG648" s="87"/>
      <c r="DH648" s="87"/>
      <c r="DI648" s="87"/>
      <c r="DJ648" s="87"/>
      <c r="DK648" s="87"/>
      <c r="DL648" s="87"/>
      <c r="DM648" s="87"/>
      <c r="DN648" s="87"/>
      <c r="DO648" s="87"/>
      <c r="DP648" s="87"/>
      <c r="DQ648" s="87"/>
      <c r="DR648" s="87"/>
      <c r="DS648" s="87"/>
      <c r="DT648" s="87"/>
      <c r="DU648" s="87"/>
      <c r="DV648" s="87"/>
      <c r="DW648" s="87"/>
      <c r="DX648" s="87"/>
      <c r="DY648" s="87"/>
      <c r="DZ648" s="87"/>
      <c r="EA648" s="87"/>
      <c r="EB648" s="87"/>
      <c r="EC648" s="87"/>
      <c r="ED648" s="87"/>
      <c r="EE648" s="87"/>
      <c r="EF648" s="87"/>
      <c r="EG648" s="75">
        <v>46017</v>
      </c>
      <c r="EH648" s="75">
        <v>46024</v>
      </c>
      <c r="EI648" s="75">
        <v>46031</v>
      </c>
    </row>
    <row r="649" spans="1:139" ht="16.5" hidden="1" thickBot="1" x14ac:dyDescent="0.35">
      <c r="A649" s="351" t="s">
        <v>237</v>
      </c>
      <c r="B649" s="282">
        <v>2</v>
      </c>
      <c r="C649" s="177">
        <f>70*0.85</f>
        <v>59.5</v>
      </c>
      <c r="D649" s="217">
        <f>C649/VLOOKUP(B649,'[2]Gas Prod per PADD'!$A$1:$C$6,2,FALSE)</f>
        <v>2.4791666666666667E-2</v>
      </c>
      <c r="E649" s="178">
        <v>45774</v>
      </c>
      <c r="F649" s="252">
        <v>45784</v>
      </c>
      <c r="G649" s="236" t="s">
        <v>238</v>
      </c>
      <c r="H649" s="233" t="s">
        <v>364</v>
      </c>
      <c r="I649" s="84"/>
      <c r="J649" s="85"/>
      <c r="K649" s="85"/>
      <c r="L649" s="85"/>
      <c r="M649" s="85"/>
      <c r="N649" s="85"/>
      <c r="O649" s="85"/>
      <c r="P649" s="85"/>
      <c r="Q649" s="85"/>
      <c r="R649" s="85"/>
      <c r="S649" s="85">
        <f>C649*(E649-$S$1)/30</f>
        <v>-5.95</v>
      </c>
      <c r="T649" s="85">
        <f>C649*($S$1+1-F649)/31</f>
        <v>-11.516129032258064</v>
      </c>
      <c r="U649" s="85"/>
      <c r="V649" s="84"/>
      <c r="W649" s="84"/>
      <c r="X649" s="84"/>
      <c r="Y649" s="87"/>
      <c r="Z649" s="87"/>
      <c r="AA649" s="87"/>
      <c r="AB649" s="87"/>
      <c r="AC649" s="87"/>
      <c r="AD649" s="87"/>
      <c r="AE649" s="87"/>
      <c r="AF649" s="87"/>
      <c r="AG649" s="87"/>
      <c r="AH649" s="87"/>
      <c r="AI649" s="87"/>
      <c r="AJ649" s="87"/>
      <c r="AK649" s="87"/>
      <c r="AL649" s="87"/>
      <c r="AM649" s="87"/>
      <c r="AN649" s="87"/>
      <c r="AO649" s="87"/>
      <c r="AP649" s="87"/>
      <c r="AQ649" s="87"/>
      <c r="AR649" s="87"/>
      <c r="AS649" s="87"/>
      <c r="AT649" s="87"/>
      <c r="AU649" s="87"/>
      <c r="AV649" s="87"/>
      <c r="AW649" s="87"/>
      <c r="AX649" s="87"/>
      <c r="AY649" s="87"/>
      <c r="AZ649" s="87"/>
      <c r="BA649" s="87"/>
      <c r="BB649" s="87"/>
      <c r="BC649" s="87"/>
      <c r="BD649" s="87"/>
      <c r="BE649" s="87"/>
      <c r="BF649" s="87"/>
      <c r="BG649" s="87"/>
      <c r="BH649" s="87"/>
      <c r="BI649" s="87"/>
      <c r="BJ649" s="87"/>
      <c r="BK649" s="87"/>
      <c r="BL649" s="87"/>
      <c r="BM649" s="87"/>
      <c r="BN649" s="87"/>
      <c r="BO649" s="87"/>
      <c r="BP649" s="87"/>
      <c r="BQ649" s="87"/>
      <c r="BR649" s="87"/>
      <c r="BS649" s="87"/>
      <c r="BT649" s="87"/>
      <c r="BU649" s="87"/>
      <c r="BV649" s="87"/>
      <c r="BW649" s="87"/>
      <c r="BX649" s="87"/>
      <c r="BY649" s="87"/>
      <c r="BZ649" s="87"/>
      <c r="CA649" s="87"/>
      <c r="CB649" s="87"/>
      <c r="CC649" s="87"/>
      <c r="CD649" s="87"/>
      <c r="CE649" s="87"/>
      <c r="CF649" s="87"/>
      <c r="CG649" s="87"/>
      <c r="CH649" s="87"/>
      <c r="CI649" s="87"/>
      <c r="CJ649" s="87"/>
      <c r="CK649" s="87"/>
      <c r="CL649" s="87"/>
      <c r="CM649" s="87"/>
      <c r="CN649" s="87"/>
      <c r="CO649" s="87"/>
      <c r="CP649" s="87"/>
      <c r="CQ649" s="87"/>
      <c r="CR649" s="87"/>
      <c r="CS649" s="87"/>
      <c r="CT649" s="87"/>
      <c r="CU649" s="87"/>
      <c r="CV649" s="87"/>
      <c r="CW649" s="87"/>
      <c r="CX649" s="87"/>
      <c r="CY649" s="87">
        <f>-5/7*C649</f>
        <v>-42.5</v>
      </c>
      <c r="CZ649" s="87"/>
      <c r="DA649" s="87">
        <f>-CY649</f>
        <v>42.5</v>
      </c>
      <c r="DB649" s="87"/>
      <c r="DC649" s="87"/>
      <c r="DD649" s="87"/>
      <c r="DE649" s="87"/>
      <c r="DF649" s="87"/>
      <c r="DG649" s="87"/>
      <c r="DH649" s="87"/>
      <c r="DI649" s="87"/>
      <c r="DJ649" s="87"/>
      <c r="DK649" s="87"/>
      <c r="DL649" s="87"/>
      <c r="DM649" s="87"/>
      <c r="DN649" s="87"/>
      <c r="DO649" s="87"/>
      <c r="DP649" s="87"/>
      <c r="DQ649" s="87"/>
      <c r="DR649" s="87"/>
      <c r="DS649" s="87"/>
      <c r="DT649" s="87"/>
      <c r="DU649" s="87"/>
      <c r="DV649" s="87"/>
      <c r="DW649" s="87"/>
      <c r="DX649" s="87"/>
      <c r="DY649" s="87"/>
      <c r="DZ649" s="87"/>
      <c r="EA649" s="87"/>
      <c r="EB649" s="87"/>
      <c r="EC649" s="87"/>
      <c r="ED649" s="87"/>
      <c r="EE649" s="87"/>
      <c r="EF649" s="87"/>
      <c r="EG649" s="87"/>
      <c r="EH649" s="87"/>
      <c r="EI649" s="87"/>
    </row>
    <row r="650" spans="1:139" ht="16.5" hidden="1" thickBot="1" x14ac:dyDescent="0.35">
      <c r="A650" s="175" t="s">
        <v>1103</v>
      </c>
      <c r="B650" s="191">
        <v>5</v>
      </c>
      <c r="C650" s="177">
        <f>90</f>
        <v>90</v>
      </c>
      <c r="D650" s="234">
        <f>C650/VLOOKUP(B650,'[2]Gas Prod per PADD'!$A$1:$C$6,2,FALSE)</f>
        <v>6.6666666666666666E-2</v>
      </c>
      <c r="E650" s="220">
        <v>45782</v>
      </c>
      <c r="F650" s="179">
        <f>E650+3</f>
        <v>45785</v>
      </c>
      <c r="G650" s="180" t="s">
        <v>1104</v>
      </c>
      <c r="H650" s="181" t="s">
        <v>1105</v>
      </c>
      <c r="I650" s="84"/>
      <c r="J650" s="85"/>
      <c r="K650" s="85"/>
      <c r="L650" s="85"/>
      <c r="M650" s="85"/>
      <c r="N650" s="85"/>
      <c r="O650" s="85"/>
      <c r="P650" s="85"/>
      <c r="Q650" s="85"/>
      <c r="R650" s="85"/>
      <c r="S650" s="85"/>
      <c r="T650" s="85">
        <f>C650*(E650-F650)/31</f>
        <v>-8.7096774193548381</v>
      </c>
      <c r="U650" s="85"/>
      <c r="V650" s="84"/>
      <c r="W650" s="84"/>
      <c r="X650" s="84"/>
      <c r="Y650" s="87"/>
      <c r="Z650" s="87"/>
      <c r="AA650" s="87"/>
      <c r="AB650" s="87"/>
      <c r="AC650" s="87"/>
      <c r="AD650" s="87"/>
      <c r="AE650" s="87"/>
      <c r="AF650" s="87"/>
      <c r="AG650" s="87"/>
      <c r="AH650" s="87"/>
      <c r="AI650" s="87"/>
      <c r="AJ650" s="87"/>
      <c r="AK650" s="87"/>
      <c r="AL650" s="87"/>
      <c r="AM650" s="87"/>
      <c r="AN650" s="87"/>
      <c r="AO650" s="87"/>
      <c r="AP650" s="87"/>
      <c r="AQ650" s="87"/>
      <c r="AR650" s="87"/>
      <c r="AS650" s="87"/>
      <c r="AT650" s="87"/>
      <c r="AU650" s="87"/>
      <c r="AV650" s="87"/>
      <c r="AW650" s="87"/>
      <c r="AX650" s="87"/>
      <c r="AY650" s="87"/>
      <c r="AZ650" s="87"/>
      <c r="BA650" s="87"/>
      <c r="BB650" s="87"/>
      <c r="BC650" s="87"/>
      <c r="BD650" s="87"/>
      <c r="BE650" s="87"/>
      <c r="BF650" s="87"/>
      <c r="BG650" s="87"/>
      <c r="BH650" s="87"/>
      <c r="BI650" s="87"/>
      <c r="BJ650" s="87"/>
      <c r="BK650" s="87"/>
      <c r="BL650" s="87"/>
      <c r="BM650" s="87"/>
      <c r="BN650" s="87"/>
      <c r="BO650" s="87"/>
      <c r="BP650" s="87"/>
      <c r="BQ650" s="87"/>
      <c r="BR650" s="87"/>
      <c r="BS650" s="87"/>
      <c r="BT650" s="87"/>
      <c r="BU650" s="87"/>
      <c r="BV650" s="87"/>
      <c r="BW650" s="87"/>
      <c r="BX650" s="87"/>
      <c r="BY650" s="87"/>
      <c r="BZ650" s="87"/>
      <c r="CA650" s="87"/>
      <c r="CB650" s="87"/>
      <c r="CC650" s="87"/>
      <c r="CD650" s="87"/>
      <c r="CE650" s="87"/>
      <c r="CF650" s="87"/>
      <c r="CG650" s="87"/>
      <c r="CH650" s="87"/>
      <c r="CI650" s="87"/>
      <c r="CJ650" s="87"/>
      <c r="CK650" s="87"/>
      <c r="CL650" s="87"/>
      <c r="CM650" s="87"/>
      <c r="CN650" s="87"/>
      <c r="CO650" s="87"/>
      <c r="CP650" s="87"/>
      <c r="CQ650" s="87"/>
      <c r="CR650" s="87"/>
      <c r="CS650" s="87"/>
      <c r="CT650" s="87"/>
      <c r="CU650" s="87"/>
      <c r="CV650" s="87"/>
      <c r="CW650" s="87"/>
      <c r="CX650" s="87"/>
      <c r="CY650" s="87"/>
      <c r="CZ650" s="87">
        <f>-3/7*C650</f>
        <v>-38.571428571428569</v>
      </c>
      <c r="DA650" s="87">
        <f>-CZ650</f>
        <v>38.571428571428569</v>
      </c>
      <c r="DB650" s="87"/>
      <c r="DC650" s="87"/>
      <c r="DD650" s="87"/>
      <c r="DE650" s="87"/>
      <c r="DF650" s="87"/>
      <c r="DG650" s="87"/>
      <c r="DH650" s="87"/>
      <c r="DI650" s="87"/>
      <c r="DJ650" s="87"/>
      <c r="DK650" s="87"/>
      <c r="DL650" s="87"/>
      <c r="DM650" s="87"/>
      <c r="DN650" s="87"/>
      <c r="DO650" s="87"/>
      <c r="DP650" s="87"/>
      <c r="DQ650" s="105"/>
      <c r="DR650" s="87"/>
      <c r="DS650" s="87"/>
      <c r="DT650" s="87"/>
      <c r="DU650" s="87"/>
      <c r="DV650" s="87"/>
      <c r="DW650" s="87"/>
      <c r="DX650" s="87"/>
      <c r="DY650" s="87"/>
      <c r="DZ650" s="105"/>
      <c r="EA650" s="105"/>
      <c r="EB650" s="87"/>
      <c r="EC650" s="87"/>
      <c r="ED650" s="87"/>
      <c r="EE650" s="87"/>
      <c r="EF650" s="87"/>
      <c r="EG650" s="75">
        <v>46017</v>
      </c>
      <c r="EH650" s="75">
        <v>46024</v>
      </c>
      <c r="EI650" s="75">
        <v>46031</v>
      </c>
    </row>
    <row r="651" spans="1:139" ht="16.5" hidden="1" thickBot="1" x14ac:dyDescent="0.35">
      <c r="A651" s="113" t="s">
        <v>131</v>
      </c>
      <c r="B651" s="199">
        <v>2</v>
      </c>
      <c r="C651" s="195">
        <f>32*0.85+(30*0.05)+(109*0.1)+(22.7*0.65)+(25*0.1)</f>
        <v>56.855000000000004</v>
      </c>
      <c r="D651" s="234">
        <f>C651/VLOOKUP(B651,'[2]Gas Prod per PADD'!$A$1:$C$6,2,FALSE)</f>
        <v>2.3689583333333333E-2</v>
      </c>
      <c r="E651" s="346">
        <v>45732</v>
      </c>
      <c r="F651" s="281">
        <v>45786</v>
      </c>
      <c r="G651" s="194" t="s">
        <v>1106</v>
      </c>
      <c r="H651" s="198" t="s">
        <v>1107</v>
      </c>
      <c r="I651" s="84"/>
      <c r="J651" s="85"/>
      <c r="K651" s="85"/>
      <c r="L651" s="85"/>
      <c r="M651" s="85"/>
      <c r="N651" s="85"/>
      <c r="O651" s="85"/>
      <c r="P651" s="85"/>
      <c r="Q651" s="85"/>
      <c r="R651" s="85">
        <f>C651*(E651-$R$1)/31</f>
        <v>-27.510483870967743</v>
      </c>
      <c r="S651" s="374">
        <f>-C651</f>
        <v>-56.855000000000004</v>
      </c>
      <c r="T651" s="85">
        <f>C651*($S$1+1-F651)/31</f>
        <v>-14.67225806451613</v>
      </c>
      <c r="U651" s="85"/>
      <c r="V651" s="84"/>
      <c r="W651" s="84"/>
      <c r="X651" s="84" t="str">
        <f>IF(COUNTA(Y651:EI651)=0,"Missing","OK")</f>
        <v>OK</v>
      </c>
      <c r="Y651" s="86"/>
      <c r="Z651" s="86"/>
      <c r="AA651" s="87"/>
      <c r="AB651" s="87"/>
      <c r="AC651" s="87"/>
      <c r="AD651" s="87"/>
      <c r="AE651" s="87"/>
      <c r="AF651" s="87"/>
      <c r="AG651" s="87"/>
      <c r="AH651" s="87"/>
      <c r="AI651" s="87"/>
      <c r="AJ651" s="87"/>
      <c r="AK651" s="87"/>
      <c r="AL651" s="87"/>
      <c r="AM651" s="87"/>
      <c r="AN651" s="87"/>
      <c r="AO651" s="87"/>
      <c r="AP651" s="87"/>
      <c r="AQ651" s="87"/>
      <c r="AR651" s="87"/>
      <c r="AS651" s="87"/>
      <c r="AT651" s="87"/>
      <c r="AU651" s="87"/>
      <c r="AV651" s="87"/>
      <c r="AW651" s="87"/>
      <c r="AX651" s="87"/>
      <c r="AY651" s="87"/>
      <c r="AZ651" s="87"/>
      <c r="BA651" s="87"/>
      <c r="BB651" s="87"/>
      <c r="BC651" s="87"/>
      <c r="BD651" s="87"/>
      <c r="BE651" s="87"/>
      <c r="BF651" s="87"/>
      <c r="BG651" s="87"/>
      <c r="BH651" s="87"/>
      <c r="BI651" s="87"/>
      <c r="BJ651" s="87"/>
      <c r="BK651" s="87"/>
      <c r="BL651" s="87"/>
      <c r="BM651" s="87"/>
      <c r="BN651" s="87"/>
      <c r="BO651" s="87"/>
      <c r="BP651" s="87"/>
      <c r="BQ651" s="87"/>
      <c r="BR651" s="87"/>
      <c r="BS651" s="87"/>
      <c r="BT651" s="87"/>
      <c r="BU651" s="87"/>
      <c r="BV651" s="87"/>
      <c r="BW651" s="87"/>
      <c r="BX651" s="87"/>
      <c r="BY651" s="87"/>
      <c r="BZ651" s="87"/>
      <c r="CA651" s="87"/>
      <c r="CB651" s="87"/>
      <c r="CC651" s="87"/>
      <c r="CD651" s="87"/>
      <c r="CE651" s="87"/>
      <c r="CF651" s="87"/>
      <c r="CG651" s="87"/>
      <c r="CH651" s="87"/>
      <c r="CI651" s="87"/>
      <c r="CJ651" s="87"/>
      <c r="CK651" s="87"/>
      <c r="CL651" s="87"/>
      <c r="CM651" s="87"/>
      <c r="CN651" s="87"/>
      <c r="CO651" s="87"/>
      <c r="CP651" s="87"/>
      <c r="CQ651" s="87"/>
      <c r="CR651" s="87"/>
      <c r="CS651" s="87">
        <f>-C651*5/7</f>
        <v>-40.610714285714288</v>
      </c>
      <c r="CT651" s="87">
        <f>-C651*2/7</f>
        <v>-16.244285714285716</v>
      </c>
      <c r="CU651" s="87"/>
      <c r="CV651" s="87"/>
      <c r="CW651" s="87"/>
      <c r="CX651" s="87"/>
      <c r="CY651" s="87"/>
      <c r="CZ651" s="87">
        <f>C651*1/7</f>
        <v>8.1221428571428582</v>
      </c>
      <c r="DA651" s="87">
        <f>C651*6/7</f>
        <v>48.732857142857142</v>
      </c>
      <c r="DB651" s="87"/>
      <c r="DC651" s="87"/>
      <c r="DD651" s="87"/>
      <c r="DE651" s="87"/>
      <c r="DF651" s="87"/>
      <c r="DG651" s="87"/>
      <c r="DH651" s="87"/>
      <c r="DI651" s="87"/>
      <c r="DJ651" s="87"/>
      <c r="DK651" s="87"/>
      <c r="DL651" s="87"/>
      <c r="DM651" s="87"/>
      <c r="DN651" s="87"/>
      <c r="DO651" s="87"/>
      <c r="DP651" s="87"/>
      <c r="DQ651" s="87"/>
      <c r="DR651" s="87"/>
      <c r="DS651" s="87"/>
      <c r="DT651" s="87"/>
      <c r="DU651" s="87"/>
      <c r="DV651" s="87"/>
      <c r="DW651" s="87"/>
      <c r="DX651" s="87"/>
      <c r="DY651" s="87"/>
      <c r="DZ651" s="87"/>
      <c r="EA651" s="87"/>
      <c r="EB651" s="87"/>
      <c r="EC651" s="87"/>
      <c r="ED651" s="87"/>
      <c r="EE651" s="87"/>
      <c r="EF651" s="87"/>
      <c r="EG651" s="87"/>
      <c r="EH651" s="87"/>
      <c r="EI651" s="87"/>
    </row>
    <row r="652" spans="1:139" ht="16.5" hidden="1" thickBot="1" x14ac:dyDescent="0.35">
      <c r="A652" s="353" t="s">
        <v>156</v>
      </c>
      <c r="B652" s="194">
        <v>2</v>
      </c>
      <c r="C652" s="195">
        <f>44*0.25+(42*0.65)</f>
        <v>38.299999999999997</v>
      </c>
      <c r="D652" s="234">
        <f>C652/VLOOKUP(B652,'[2]Gas Prod per PADD'!$A$1:$C$6,2,FALSE)</f>
        <v>1.5958333333333331E-2</v>
      </c>
      <c r="E652" s="346">
        <v>45735</v>
      </c>
      <c r="F652" s="281">
        <v>45786</v>
      </c>
      <c r="G652" s="194" t="s">
        <v>1108</v>
      </c>
      <c r="H652" s="198" t="s">
        <v>1109</v>
      </c>
      <c r="I652" s="84" t="s">
        <v>1110</v>
      </c>
      <c r="J652" s="85"/>
      <c r="K652" s="85"/>
      <c r="L652" s="85"/>
      <c r="M652" s="85"/>
      <c r="N652" s="85"/>
      <c r="O652" s="85"/>
      <c r="P652" s="85"/>
      <c r="Q652" s="85"/>
      <c r="R652" s="85">
        <f>C652*(E652-$R$1)/31</f>
        <v>-14.825806451612902</v>
      </c>
      <c r="S652" s="374">
        <f>-C652</f>
        <v>-38.299999999999997</v>
      </c>
      <c r="T652" s="85">
        <f>C652*($S$1+1-F652)/31</f>
        <v>-9.8838709677419345</v>
      </c>
      <c r="U652" s="85"/>
      <c r="V652" s="84"/>
      <c r="W652" s="84"/>
      <c r="X652" s="84" t="str">
        <f>IF(COUNTA(Y652:EI652)=0,"Missing","OK")</f>
        <v>OK</v>
      </c>
      <c r="Y652" s="87"/>
      <c r="Z652" s="87"/>
      <c r="AA652" s="87"/>
      <c r="AB652" s="87"/>
      <c r="AC652" s="87"/>
      <c r="AD652" s="87"/>
      <c r="AE652" s="87"/>
      <c r="AF652" s="87"/>
      <c r="AG652" s="87"/>
      <c r="AH652" s="87"/>
      <c r="AI652" s="87"/>
      <c r="AJ652" s="105"/>
      <c r="AK652" s="105"/>
      <c r="AL652" s="105"/>
      <c r="AM652" s="87"/>
      <c r="AN652" s="87"/>
      <c r="AO652" s="87"/>
      <c r="AP652" s="87"/>
      <c r="AQ652" s="87"/>
      <c r="AR652" s="87"/>
      <c r="AS652" s="87"/>
      <c r="AT652" s="87"/>
      <c r="AU652" s="87"/>
      <c r="AV652" s="87"/>
      <c r="AW652" s="87"/>
      <c r="AX652" s="87"/>
      <c r="AY652" s="87"/>
      <c r="AZ652" s="87"/>
      <c r="BA652" s="87"/>
      <c r="BB652" s="87"/>
      <c r="BC652" s="87"/>
      <c r="BD652" s="87"/>
      <c r="BE652" s="87"/>
      <c r="BF652" s="87"/>
      <c r="BG652" s="87"/>
      <c r="BH652" s="87"/>
      <c r="BI652" s="87"/>
      <c r="BJ652" s="87"/>
      <c r="BK652" s="87"/>
      <c r="BL652" s="87"/>
      <c r="BM652" s="87"/>
      <c r="BN652" s="87"/>
      <c r="BO652" s="87"/>
      <c r="BP652" s="87"/>
      <c r="BQ652" s="87"/>
      <c r="BR652" s="87"/>
      <c r="BS652" s="87"/>
      <c r="BT652" s="87"/>
      <c r="BU652" s="87"/>
      <c r="BV652" s="87"/>
      <c r="BW652" s="87"/>
      <c r="BX652" s="87"/>
      <c r="BY652" s="87"/>
      <c r="BZ652" s="87"/>
      <c r="CA652" s="87"/>
      <c r="CB652" s="87"/>
      <c r="CC652" s="87"/>
      <c r="CD652" s="87"/>
      <c r="CE652" s="87"/>
      <c r="CF652" s="87"/>
      <c r="CG652" s="87"/>
      <c r="CH652" s="87"/>
      <c r="CI652" s="87"/>
      <c r="CJ652" s="87"/>
      <c r="CK652" s="87"/>
      <c r="CL652" s="87"/>
      <c r="CM652" s="87"/>
      <c r="CN652" s="87"/>
      <c r="CO652" s="87"/>
      <c r="CP652" s="87"/>
      <c r="CQ652" s="87"/>
      <c r="CR652" s="87"/>
      <c r="CS652" s="87">
        <f>-2/7*C652</f>
        <v>-10.942857142857141</v>
      </c>
      <c r="CT652" s="87">
        <f>-5/7*C652</f>
        <v>-27.357142857142854</v>
      </c>
      <c r="CU652" s="87"/>
      <c r="CV652" s="87"/>
      <c r="CW652" s="87"/>
      <c r="CX652" s="87"/>
      <c r="CY652" s="87"/>
      <c r="CZ652" s="87">
        <f>1/7*C652</f>
        <v>5.4714285714285706</v>
      </c>
      <c r="DA652" s="87">
        <f>6/7*C652</f>
        <v>32.828571428571422</v>
      </c>
      <c r="DB652" s="87"/>
      <c r="DC652" s="87"/>
      <c r="DD652" s="87"/>
      <c r="DE652" s="87"/>
      <c r="DF652" s="87"/>
      <c r="DG652" s="87"/>
      <c r="DH652" s="87"/>
      <c r="DI652" s="87"/>
      <c r="DJ652" s="87"/>
      <c r="DK652" s="87"/>
      <c r="DL652" s="87"/>
      <c r="DM652" s="87"/>
      <c r="DN652" s="87"/>
      <c r="DO652" s="87"/>
      <c r="DP652" s="87"/>
      <c r="DQ652" s="87"/>
      <c r="DR652" s="87"/>
      <c r="DS652" s="87"/>
      <c r="DT652" s="87"/>
      <c r="DU652" s="87"/>
      <c r="DV652" s="87"/>
      <c r="DW652" s="87"/>
      <c r="DX652" s="87"/>
      <c r="DY652" s="87"/>
      <c r="DZ652" s="87"/>
      <c r="EA652" s="87"/>
      <c r="EB652" s="87"/>
      <c r="EC652" s="87"/>
      <c r="ED652" s="87"/>
      <c r="EE652" s="87"/>
      <c r="EF652" s="87"/>
      <c r="EG652" s="87"/>
      <c r="EH652" s="87"/>
      <c r="EI652" s="87"/>
    </row>
    <row r="653" spans="1:139" ht="72" hidden="1" thickBot="1" x14ac:dyDescent="0.35">
      <c r="A653" s="222" t="s">
        <v>182</v>
      </c>
      <c r="B653" s="191">
        <v>3</v>
      </c>
      <c r="C653" s="177">
        <f>50*0.25+(24*0.05)+(86*0.1*0.65)+(105*0.1*0.25)+(55*0.1*0.85)</f>
        <v>26.59</v>
      </c>
      <c r="D653" s="234">
        <f>C653/VLOOKUP(B653,'[2]Gas Prod per PADD'!$A$1:$C$6,2,FALSE)</f>
        <v>5.7804347826086958E-3</v>
      </c>
      <c r="E653" s="225">
        <v>45743</v>
      </c>
      <c r="F653" s="226">
        <f>E653+43</f>
        <v>45786</v>
      </c>
      <c r="G653" s="180" t="s">
        <v>1111</v>
      </c>
      <c r="H653" s="181" t="s">
        <v>1112</v>
      </c>
      <c r="I653" s="369" t="s">
        <v>1113</v>
      </c>
      <c r="J653" s="370"/>
      <c r="K653" s="370"/>
      <c r="L653" s="370"/>
      <c r="M653" s="370"/>
      <c r="N653" s="370"/>
      <c r="O653" s="370"/>
      <c r="P653" s="370"/>
      <c r="Q653" s="370"/>
      <c r="R653" s="85">
        <f>C653*(E653-$R$1)/31</f>
        <v>-3.430967741935484</v>
      </c>
      <c r="S653" s="374">
        <f>-C653</f>
        <v>-26.59</v>
      </c>
      <c r="T653" s="85">
        <f>C653*($S$1+1-F653)/31</f>
        <v>-6.8619354838709681</v>
      </c>
      <c r="U653" s="85"/>
      <c r="V653" s="84"/>
      <c r="W653" s="84"/>
      <c r="X653" s="84" t="str">
        <f>IF(COUNTA(Y653:EI653)=0,"Missing","OK")</f>
        <v>OK</v>
      </c>
      <c r="Y653" s="105"/>
      <c r="Z653" s="105"/>
      <c r="AA653" s="87"/>
      <c r="AB653" s="87"/>
      <c r="AC653" s="87"/>
      <c r="AD653" s="87"/>
      <c r="AE653" s="105"/>
      <c r="AF653" s="105"/>
      <c r="AG653" s="105"/>
      <c r="AH653" s="105"/>
      <c r="AI653" s="87"/>
      <c r="AJ653" s="87"/>
      <c r="AK653" s="105"/>
      <c r="AL653" s="87"/>
      <c r="AM653" s="105"/>
      <c r="AN653" s="105"/>
      <c r="AO653" s="87"/>
      <c r="AP653" s="87"/>
      <c r="AQ653" s="105"/>
      <c r="AR653" s="105"/>
      <c r="AS653" s="87"/>
      <c r="AT653" s="105"/>
      <c r="AU653" s="105"/>
      <c r="AV653" s="87"/>
      <c r="AW653" s="105"/>
      <c r="AX653" s="105"/>
      <c r="AY653" s="87"/>
      <c r="AZ653" s="105"/>
      <c r="BA653" s="105"/>
      <c r="BB653" s="105"/>
      <c r="BC653" s="87"/>
      <c r="BD653" s="87"/>
      <c r="BE653" s="105"/>
      <c r="BF653" s="105"/>
      <c r="BG653" s="105"/>
      <c r="BH653" s="105"/>
      <c r="BI653" s="105"/>
      <c r="BJ653" s="87"/>
      <c r="BK653" s="87"/>
      <c r="BL653" s="87"/>
      <c r="BM653" s="87"/>
      <c r="BN653" s="87"/>
      <c r="BO653" s="87"/>
      <c r="BP653" s="87"/>
      <c r="BQ653" s="87"/>
      <c r="BR653" s="87"/>
      <c r="BS653" s="87"/>
      <c r="BT653" s="87"/>
      <c r="BU653" s="87"/>
      <c r="BV653" s="87"/>
      <c r="BW653" s="87"/>
      <c r="BX653" s="87"/>
      <c r="BY653" s="87"/>
      <c r="BZ653" s="87"/>
      <c r="CA653" s="87"/>
      <c r="CB653" s="87"/>
      <c r="CC653" s="87"/>
      <c r="CD653" s="87"/>
      <c r="CE653" s="87"/>
      <c r="CF653" s="87"/>
      <c r="CG653" s="87"/>
      <c r="CH653" s="87"/>
      <c r="CI653" s="87"/>
      <c r="CJ653" s="87"/>
      <c r="CK653" s="87"/>
      <c r="CL653" s="87"/>
      <c r="CM653" s="87"/>
      <c r="CN653" s="87"/>
      <c r="CO653" s="87"/>
      <c r="CP653" s="87"/>
      <c r="CQ653" s="87"/>
      <c r="CR653" s="87"/>
      <c r="CS653" s="87"/>
      <c r="CT653" s="87">
        <f>-C653*1/7</f>
        <v>-3.7985714285714285</v>
      </c>
      <c r="CU653" s="87">
        <f>-C653*6/7</f>
        <v>-22.791428571428572</v>
      </c>
      <c r="CV653" s="87"/>
      <c r="CW653" s="87"/>
      <c r="CX653" s="87"/>
      <c r="CY653" s="87"/>
      <c r="CZ653" s="87">
        <f>C653*1/7</f>
        <v>3.7985714285714285</v>
      </c>
      <c r="DA653" s="87">
        <f>C653*6/7</f>
        <v>22.791428571428572</v>
      </c>
      <c r="DB653" s="87"/>
      <c r="DC653" s="87"/>
      <c r="DD653" s="87"/>
      <c r="DE653" s="87"/>
      <c r="DF653" s="87"/>
      <c r="DG653" s="87"/>
      <c r="DH653" s="87"/>
      <c r="DI653" s="87"/>
      <c r="DJ653" s="87"/>
      <c r="DK653" s="87"/>
      <c r="DL653" s="87"/>
      <c r="DM653" s="87"/>
      <c r="DN653" s="87"/>
      <c r="DO653" s="87"/>
      <c r="DP653" s="87"/>
      <c r="DQ653" s="87"/>
      <c r="DR653" s="87"/>
      <c r="DS653" s="87"/>
      <c r="DT653" s="87"/>
      <c r="DU653" s="87"/>
      <c r="DV653" s="87"/>
      <c r="DW653" s="87"/>
      <c r="DX653" s="87"/>
      <c r="DY653" s="87"/>
      <c r="DZ653" s="87"/>
      <c r="EA653" s="87"/>
      <c r="EB653" s="87"/>
      <c r="EC653" s="87"/>
      <c r="ED653" s="87"/>
      <c r="EE653" s="87"/>
      <c r="EF653" s="87"/>
      <c r="EG653" s="87"/>
      <c r="EH653" s="87"/>
      <c r="EI653" s="87"/>
    </row>
    <row r="654" spans="1:139" ht="16.5" hidden="1" thickBot="1" x14ac:dyDescent="0.35">
      <c r="A654" s="175" t="s">
        <v>207</v>
      </c>
      <c r="B654" s="176">
        <v>5</v>
      </c>
      <c r="C654" s="177">
        <f>104*0.65*0.3</f>
        <v>20.28</v>
      </c>
      <c r="D654" s="234">
        <f>C654/VLOOKUP(B654,'[2]Gas Prod per PADD'!$A$1:$C$6,2,FALSE)</f>
        <v>1.5022222222222223E-2</v>
      </c>
      <c r="E654" s="220">
        <v>45784</v>
      </c>
      <c r="F654" s="179">
        <v>45786</v>
      </c>
      <c r="G654" s="180" t="s">
        <v>507</v>
      </c>
      <c r="H654" s="230" t="s">
        <v>1114</v>
      </c>
      <c r="I654" s="373"/>
      <c r="J654" s="374"/>
      <c r="K654" s="374"/>
      <c r="L654" s="374"/>
      <c r="M654" s="374"/>
      <c r="N654" s="374"/>
      <c r="O654" s="374"/>
      <c r="P654" s="374"/>
      <c r="Q654" s="374"/>
      <c r="R654" s="374"/>
      <c r="S654" s="374"/>
      <c r="T654" s="85">
        <f>C654*(E654-F654)/31</f>
        <v>-1.3083870967741935</v>
      </c>
      <c r="U654" s="85"/>
      <c r="V654" s="84"/>
      <c r="W654" s="84"/>
      <c r="X654" s="84"/>
      <c r="Y654" s="105"/>
      <c r="Z654" s="105"/>
      <c r="AA654" s="87"/>
      <c r="AB654" s="87"/>
      <c r="AC654" s="87"/>
      <c r="AD654" s="87"/>
      <c r="AE654" s="105"/>
      <c r="AF654" s="105"/>
      <c r="AG654" s="105"/>
      <c r="AH654" s="105"/>
      <c r="AI654" s="87"/>
      <c r="AJ654" s="87"/>
      <c r="AK654" s="105"/>
      <c r="AL654" s="87"/>
      <c r="AM654" s="105"/>
      <c r="AN654" s="105"/>
      <c r="AO654" s="87"/>
      <c r="AP654" s="87"/>
      <c r="AQ654" s="105"/>
      <c r="AR654" s="105"/>
      <c r="AS654" s="87"/>
      <c r="AT654" s="105"/>
      <c r="AU654" s="105"/>
      <c r="AV654" s="87"/>
      <c r="AW654" s="105"/>
      <c r="AX654" s="105"/>
      <c r="AY654" s="87"/>
      <c r="AZ654" s="105"/>
      <c r="BA654" s="105"/>
      <c r="BB654" s="105"/>
      <c r="BC654" s="87"/>
      <c r="BD654" s="87"/>
      <c r="BE654" s="105"/>
      <c r="BF654" s="105"/>
      <c r="BG654" s="105"/>
      <c r="BH654" s="105"/>
      <c r="BI654" s="105"/>
      <c r="BJ654" s="87"/>
      <c r="BK654" s="87"/>
      <c r="BL654" s="87"/>
      <c r="BM654" s="87"/>
      <c r="BN654" s="87"/>
      <c r="BO654" s="87"/>
      <c r="BP654" s="87"/>
      <c r="BQ654" s="87"/>
      <c r="BR654" s="87"/>
      <c r="BS654" s="87"/>
      <c r="BT654" s="87"/>
      <c r="BU654" s="87"/>
      <c r="BV654" s="87"/>
      <c r="BW654" s="87"/>
      <c r="BX654" s="87"/>
      <c r="BY654" s="105"/>
      <c r="BZ654" s="87"/>
      <c r="CA654" s="87"/>
      <c r="CB654" s="87"/>
      <c r="CC654" s="87"/>
      <c r="CD654" s="87"/>
      <c r="CE654" s="87"/>
      <c r="CF654" s="87"/>
      <c r="CG654" s="87"/>
      <c r="CH654" s="87"/>
      <c r="CI654" s="87"/>
      <c r="CJ654" s="87"/>
      <c r="CK654" s="87"/>
      <c r="CL654" s="87"/>
      <c r="CM654" s="87"/>
      <c r="CN654" s="87"/>
      <c r="CO654" s="87"/>
      <c r="CP654" s="87"/>
      <c r="CQ654" s="87"/>
      <c r="CR654" s="87"/>
      <c r="CS654" s="87"/>
      <c r="CT654" s="87"/>
      <c r="CU654" s="87"/>
      <c r="CV654" s="87"/>
      <c r="CW654" s="87"/>
      <c r="CX654" s="87"/>
      <c r="CY654" s="87"/>
      <c r="CZ654" s="87">
        <f>-3/7*C654</f>
        <v>-8.6914285714285722</v>
      </c>
      <c r="DA654" s="87">
        <f>-CZ654</f>
        <v>8.6914285714285722</v>
      </c>
      <c r="DB654" s="87"/>
      <c r="DC654" s="87"/>
      <c r="DD654" s="87"/>
      <c r="DE654" s="87"/>
      <c r="DF654" s="87"/>
      <c r="DG654" s="87"/>
      <c r="DH654" s="87"/>
      <c r="DI654" s="87"/>
      <c r="DJ654" s="87"/>
      <c r="DK654" s="87"/>
      <c r="DL654" s="87"/>
      <c r="DM654" s="87"/>
      <c r="DN654" s="87"/>
      <c r="DO654" s="87"/>
      <c r="DP654" s="87"/>
      <c r="DQ654" s="87"/>
      <c r="DR654" s="87"/>
      <c r="DS654" s="87"/>
      <c r="DT654" s="87"/>
      <c r="DU654" s="87"/>
      <c r="DV654" s="87"/>
      <c r="DW654" s="87"/>
      <c r="DX654" s="87"/>
      <c r="DY654" s="87"/>
      <c r="DZ654" s="87"/>
      <c r="EA654" s="87"/>
      <c r="EB654" s="87"/>
      <c r="EC654" s="87"/>
      <c r="ED654" s="87"/>
      <c r="EE654" s="87"/>
      <c r="EF654" s="87"/>
      <c r="EG654" s="75">
        <v>46017</v>
      </c>
      <c r="EH654" s="75">
        <v>46024</v>
      </c>
      <c r="EI654" s="75">
        <v>46031</v>
      </c>
    </row>
    <row r="655" spans="1:139" ht="16.5" hidden="1" thickBot="1" x14ac:dyDescent="0.35">
      <c r="A655" s="161" t="s">
        <v>119</v>
      </c>
      <c r="B655" s="279">
        <v>5</v>
      </c>
      <c r="C655" s="224">
        <f>100*0.25</f>
        <v>25</v>
      </c>
      <c r="D655" s="217">
        <f>C655/VLOOKUP(B655,'[2]Gas Prod per PADD'!$A$1:$C$6,2,FALSE)</f>
        <v>1.8518518518518517E-2</v>
      </c>
      <c r="E655" s="225">
        <v>45782</v>
      </c>
      <c r="F655" s="276">
        <v>45788</v>
      </c>
      <c r="G655" s="180" t="s">
        <v>1115</v>
      </c>
      <c r="H655" s="181" t="s">
        <v>543</v>
      </c>
      <c r="I655" s="84"/>
      <c r="J655" s="85"/>
      <c r="K655" s="85"/>
      <c r="L655" s="85"/>
      <c r="M655" s="85"/>
      <c r="N655" s="85"/>
      <c r="O655" s="85"/>
      <c r="P655" s="85"/>
      <c r="Q655" s="85"/>
      <c r="R655" s="85"/>
      <c r="S655" s="85"/>
      <c r="T655" s="85">
        <f>C655*(E655-F655)/31</f>
        <v>-4.838709677419355</v>
      </c>
      <c r="U655" s="85"/>
      <c r="V655" s="84"/>
      <c r="W655" s="84"/>
      <c r="X655" s="84" t="str">
        <f>IF(COUNTA(Y655:EI655)=0,"Missing","OK")</f>
        <v>OK</v>
      </c>
      <c r="Y655" s="105"/>
      <c r="Z655" s="105"/>
      <c r="AA655" s="87"/>
      <c r="AB655" s="87"/>
      <c r="AC655" s="87"/>
      <c r="AD655" s="87"/>
      <c r="AE655" s="105"/>
      <c r="AF655" s="105"/>
      <c r="AG655" s="105"/>
      <c r="AH655" s="105"/>
      <c r="AI655" s="87"/>
      <c r="AJ655" s="87"/>
      <c r="AK655" s="105"/>
      <c r="AL655" s="87"/>
      <c r="AM655" s="105"/>
      <c r="AN655" s="105"/>
      <c r="AO655" s="87"/>
      <c r="AP655" s="87"/>
      <c r="AQ655" s="105"/>
      <c r="AR655" s="105"/>
      <c r="AS655" s="87"/>
      <c r="AT655" s="105"/>
      <c r="AU655" s="87"/>
      <c r="AV655" s="87"/>
      <c r="AW655" s="105"/>
      <c r="AX655" s="105"/>
      <c r="AY655" s="87"/>
      <c r="AZ655" s="105"/>
      <c r="BA655" s="105"/>
      <c r="BB655" s="105"/>
      <c r="BC655" s="105"/>
      <c r="BD655" s="105"/>
      <c r="BE655" s="105"/>
      <c r="BF655" s="105"/>
      <c r="BG655" s="105"/>
      <c r="BH655" s="105"/>
      <c r="BI655" s="105"/>
      <c r="BJ655" s="87"/>
      <c r="BK655" s="87"/>
      <c r="BL655" s="87"/>
      <c r="BM655" s="87"/>
      <c r="BN655" s="87"/>
      <c r="BO655" s="87"/>
      <c r="BP655" s="87"/>
      <c r="BQ655" s="87"/>
      <c r="BR655" s="87"/>
      <c r="BS655" s="87"/>
      <c r="BT655" s="87"/>
      <c r="BU655" s="87"/>
      <c r="BV655" s="87"/>
      <c r="BW655" s="87"/>
      <c r="BX655" s="87"/>
      <c r="BY655" s="87"/>
      <c r="BZ655" s="87"/>
      <c r="CA655" s="87"/>
      <c r="CB655" s="87"/>
      <c r="CC655" s="87"/>
      <c r="CD655" s="87"/>
      <c r="CE655" s="87"/>
      <c r="CF655" s="87"/>
      <c r="CG655" s="87"/>
      <c r="CH655" s="87"/>
      <c r="CI655" s="87"/>
      <c r="CJ655" s="87"/>
      <c r="CK655" s="87"/>
      <c r="CL655" s="87"/>
      <c r="CM655" s="87"/>
      <c r="CN655" s="87"/>
      <c r="CO655" s="87"/>
      <c r="CP655" s="87"/>
      <c r="CQ655" s="105"/>
      <c r="CR655" s="105"/>
      <c r="CS655" s="87"/>
      <c r="CT655" s="87"/>
      <c r="CU655" s="87"/>
      <c r="CV655" s="87"/>
      <c r="CW655" s="87"/>
      <c r="CX655" s="87"/>
      <c r="CY655" s="87"/>
      <c r="CZ655" s="87">
        <f>-4/7*C655</f>
        <v>-14.285714285714285</v>
      </c>
      <c r="DA655" s="87"/>
      <c r="DB655" s="87">
        <f>-CZ655</f>
        <v>14.285714285714285</v>
      </c>
      <c r="DC655" s="87"/>
      <c r="DD655" s="87"/>
      <c r="DE655" s="87"/>
      <c r="DF655" s="87"/>
      <c r="DG655" s="87"/>
      <c r="DH655" s="87"/>
      <c r="DI655" s="87"/>
      <c r="DJ655" s="87"/>
      <c r="DK655" s="87"/>
      <c r="DL655" s="87"/>
      <c r="DM655" s="87"/>
      <c r="DN655" s="87"/>
      <c r="DO655" s="87"/>
      <c r="DP655" s="87"/>
      <c r="DQ655" s="87"/>
      <c r="DR655" s="87"/>
      <c r="DS655" s="87"/>
      <c r="DT655" s="87"/>
      <c r="DU655" s="87"/>
      <c r="DV655" s="87"/>
      <c r="DW655" s="87"/>
      <c r="DX655" s="87"/>
      <c r="DY655" s="87"/>
      <c r="DZ655" s="87"/>
      <c r="EA655" s="87"/>
      <c r="EB655" s="87"/>
      <c r="EC655" s="87"/>
      <c r="ED655" s="87"/>
      <c r="EE655" s="87"/>
      <c r="EF655" s="87"/>
      <c r="EG655" s="75">
        <v>46017</v>
      </c>
      <c r="EH655" s="75">
        <v>46024</v>
      </c>
      <c r="EI655" s="75">
        <v>46031</v>
      </c>
    </row>
    <row r="656" spans="1:139" ht="16.5" hidden="1" thickBot="1" x14ac:dyDescent="0.35">
      <c r="A656" s="230" t="s">
        <v>563</v>
      </c>
      <c r="B656" s="194">
        <v>2</v>
      </c>
      <c r="C656" s="195">
        <f>11.2*0.85</f>
        <v>9.52</v>
      </c>
      <c r="D656" s="217">
        <f>C656/VLOOKUP(B656,'[2]Gas Prod per PADD'!$A$1:$C$6,2,FALSE)</f>
        <v>3.9666666666666661E-3</v>
      </c>
      <c r="E656" s="196">
        <v>45783</v>
      </c>
      <c r="F656" s="281">
        <v>45788</v>
      </c>
      <c r="G656" s="194" t="s">
        <v>601</v>
      </c>
      <c r="H656" s="181" t="s">
        <v>543</v>
      </c>
      <c r="I656" s="73"/>
      <c r="J656" s="229"/>
      <c r="K656" s="229"/>
      <c r="L656" s="229"/>
      <c r="M656" s="229"/>
      <c r="N656" s="229"/>
      <c r="O656" s="229"/>
      <c r="P656" s="229"/>
      <c r="Q656" s="229"/>
      <c r="R656" s="229"/>
      <c r="S656" s="229"/>
      <c r="T656" s="85">
        <f>C656*(E656-F656)/31</f>
        <v>-1.5354838709677419</v>
      </c>
      <c r="U656" s="85"/>
      <c r="V656" s="84"/>
      <c r="W656" s="84"/>
      <c r="X656" s="84"/>
      <c r="Y656" s="74"/>
      <c r="Z656" s="74"/>
      <c r="AA656" s="74"/>
      <c r="AB656" s="74"/>
      <c r="AC656" s="74"/>
      <c r="AD656" s="74"/>
      <c r="AE656" s="74"/>
      <c r="AF656" s="74"/>
      <c r="AG656" s="75"/>
      <c r="AH656" s="74"/>
      <c r="AI656" s="74"/>
      <c r="AJ656" s="74"/>
      <c r="AK656" s="74"/>
      <c r="AL656" s="74"/>
      <c r="AM656" s="74"/>
      <c r="AN656" s="74"/>
      <c r="AO656" s="74"/>
      <c r="AP656" s="74"/>
      <c r="AQ656" s="74"/>
      <c r="AR656" s="75"/>
      <c r="AS656" s="74"/>
      <c r="AT656" s="74"/>
      <c r="AU656" s="74"/>
      <c r="AV656" s="87"/>
      <c r="AW656" s="87"/>
      <c r="AX656" s="87"/>
      <c r="AY656" s="87"/>
      <c r="AZ656" s="87"/>
      <c r="BA656" s="87"/>
      <c r="BB656" s="87"/>
      <c r="BC656" s="87"/>
      <c r="BD656" s="87"/>
      <c r="BE656" s="87"/>
      <c r="BF656" s="74"/>
      <c r="BG656" s="74"/>
      <c r="BH656" s="74"/>
      <c r="BI656" s="74"/>
      <c r="BJ656" s="74"/>
      <c r="BK656" s="74"/>
      <c r="BL656" s="74"/>
      <c r="BM656" s="74"/>
      <c r="BN656" s="74"/>
      <c r="BO656" s="74"/>
      <c r="BP656" s="74"/>
      <c r="BQ656" s="74"/>
      <c r="BR656" s="74"/>
      <c r="BS656" s="74"/>
      <c r="BT656" s="74"/>
      <c r="BU656" s="74"/>
      <c r="BV656" s="74"/>
      <c r="BW656" s="74"/>
      <c r="BX656" s="74"/>
      <c r="BY656" s="74"/>
      <c r="BZ656" s="74"/>
      <c r="CA656" s="74"/>
      <c r="CB656" s="74"/>
      <c r="CC656" s="74"/>
      <c r="CD656" s="74"/>
      <c r="CE656" s="74"/>
      <c r="CF656" s="74"/>
      <c r="CG656" s="74"/>
      <c r="CH656" s="87"/>
      <c r="CI656" s="87"/>
      <c r="CJ656" s="87"/>
      <c r="CK656" s="87"/>
      <c r="CL656" s="87"/>
      <c r="CM656" s="87"/>
      <c r="CN656" s="87"/>
      <c r="CO656" s="87"/>
      <c r="CP656" s="87"/>
      <c r="CQ656" s="87"/>
      <c r="CR656" s="87"/>
      <c r="CS656" s="87"/>
      <c r="CT656" s="87"/>
      <c r="CU656" s="87"/>
      <c r="CV656" s="87"/>
      <c r="CW656" s="87"/>
      <c r="CX656" s="87"/>
      <c r="CY656" s="87"/>
      <c r="CZ656" s="87">
        <f>-3/7*C656</f>
        <v>-4.0799999999999992</v>
      </c>
      <c r="DA656" s="87">
        <f>-CZ656</f>
        <v>4.0799999999999992</v>
      </c>
      <c r="DB656" s="87"/>
      <c r="DC656" s="87"/>
      <c r="DD656" s="87"/>
      <c r="DE656" s="87"/>
      <c r="DF656" s="87"/>
      <c r="DG656" s="87"/>
      <c r="DH656" s="87"/>
      <c r="DI656" s="87"/>
      <c r="DJ656" s="87"/>
      <c r="DK656" s="87"/>
      <c r="DL656" s="87"/>
      <c r="DM656" s="87"/>
      <c r="DN656" s="87"/>
      <c r="DO656" s="87"/>
      <c r="DP656" s="87"/>
      <c r="DQ656" s="87"/>
      <c r="DR656" s="87"/>
      <c r="DS656" s="87"/>
      <c r="DT656" s="87"/>
      <c r="DU656" s="87"/>
      <c r="DV656" s="87"/>
      <c r="DW656" s="87"/>
      <c r="DX656" s="87"/>
      <c r="DY656" s="87"/>
      <c r="DZ656" s="87"/>
      <c r="EA656" s="87"/>
      <c r="EB656" s="87"/>
      <c r="EC656" s="87"/>
      <c r="ED656" s="87"/>
      <c r="EE656" s="87"/>
      <c r="EF656" s="87"/>
      <c r="EG656" s="87"/>
      <c r="EH656" s="87"/>
      <c r="EI656" s="87"/>
    </row>
    <row r="657" spans="1:139" ht="43.5" hidden="1" thickBot="1" x14ac:dyDescent="0.35">
      <c r="A657" s="222" t="s">
        <v>1116</v>
      </c>
      <c r="B657" s="176">
        <v>3</v>
      </c>
      <c r="C657" s="177">
        <f>32*0.1+(18.5*0.05)+(22*0.85)+(63*0.1)</f>
        <v>29.125</v>
      </c>
      <c r="D657" s="217">
        <f>C657/VLOOKUP(B657,'[2]Gas Prod per PADD'!$A$1:$C$6,2,FALSE)</f>
        <v>6.3315217391304345E-3</v>
      </c>
      <c r="E657" s="178">
        <v>45784</v>
      </c>
      <c r="F657" s="179">
        <v>45788</v>
      </c>
      <c r="G657" s="180" t="s">
        <v>1117</v>
      </c>
      <c r="H657" s="181" t="s">
        <v>1118</v>
      </c>
      <c r="I657" s="371"/>
      <c r="J657" s="372"/>
      <c r="K657" s="372"/>
      <c r="L657" s="372"/>
      <c r="M657" s="372"/>
      <c r="N657" s="372"/>
      <c r="O657" s="372"/>
      <c r="P657" s="372"/>
      <c r="Q657" s="372"/>
      <c r="R657" s="372"/>
      <c r="S657" s="372"/>
      <c r="T657" s="85">
        <f>C657*(E657-F657)/31</f>
        <v>-3.7580645161290325</v>
      </c>
      <c r="U657" s="85"/>
      <c r="V657" s="84"/>
      <c r="W657" s="84"/>
      <c r="X657" s="84"/>
      <c r="Y657" s="105"/>
      <c r="Z657" s="105"/>
      <c r="AA657" s="87"/>
      <c r="AB657" s="87"/>
      <c r="AC657" s="87"/>
      <c r="AD657" s="87"/>
      <c r="AE657" s="105"/>
      <c r="AF657" s="105"/>
      <c r="AG657" s="105"/>
      <c r="AH657" s="105"/>
      <c r="AI657" s="87"/>
      <c r="AJ657" s="87"/>
      <c r="AK657" s="105"/>
      <c r="AL657" s="87"/>
      <c r="AM657" s="105"/>
      <c r="AN657" s="105"/>
      <c r="AO657" s="87"/>
      <c r="AP657" s="87"/>
      <c r="AQ657" s="105"/>
      <c r="AR657" s="105"/>
      <c r="AS657" s="87"/>
      <c r="AT657" s="105"/>
      <c r="AU657" s="105"/>
      <c r="AV657" s="87"/>
      <c r="AW657" s="105"/>
      <c r="AX657" s="105"/>
      <c r="AY657" s="87"/>
      <c r="AZ657" s="105"/>
      <c r="BA657" s="105"/>
      <c r="BB657" s="105"/>
      <c r="BC657" s="87"/>
      <c r="BD657" s="87"/>
      <c r="BE657" s="105"/>
      <c r="BF657" s="105"/>
      <c r="BG657" s="105"/>
      <c r="BH657" s="105"/>
      <c r="BI657" s="105"/>
      <c r="BJ657" s="87"/>
      <c r="BK657" s="87"/>
      <c r="BL657" s="87"/>
      <c r="BM657" s="87"/>
      <c r="BN657" s="87"/>
      <c r="BO657" s="87"/>
      <c r="BP657" s="87"/>
      <c r="BQ657" s="87"/>
      <c r="BR657" s="87"/>
      <c r="BS657" s="87"/>
      <c r="BT657" s="87"/>
      <c r="BU657" s="87"/>
      <c r="BV657" s="87"/>
      <c r="BW657" s="87"/>
      <c r="BX657" s="87"/>
      <c r="BY657" s="87"/>
      <c r="BZ657" s="87"/>
      <c r="CA657" s="87"/>
      <c r="CB657" s="87"/>
      <c r="CC657" s="87"/>
      <c r="CD657" s="87"/>
      <c r="CE657" s="87"/>
      <c r="CF657" s="87"/>
      <c r="CG657" s="87"/>
      <c r="CH657" s="87"/>
      <c r="CI657" s="87"/>
      <c r="CJ657" s="87"/>
      <c r="CK657" s="87"/>
      <c r="CL657" s="87"/>
      <c r="CM657" s="87"/>
      <c r="CN657" s="87"/>
      <c r="CO657" s="87"/>
      <c r="CP657" s="87"/>
      <c r="CQ657" s="87"/>
      <c r="CR657" s="87"/>
      <c r="CS657" s="87"/>
      <c r="CT657" s="87"/>
      <c r="CU657" s="87"/>
      <c r="CV657" s="87"/>
      <c r="CW657" s="87"/>
      <c r="CX657" s="87"/>
      <c r="CY657" s="87"/>
      <c r="CZ657" s="87">
        <f>-2/7*C657</f>
        <v>-8.3214285714285712</v>
      </c>
      <c r="DA657" s="87"/>
      <c r="DB657" s="87">
        <f>-CZ657</f>
        <v>8.3214285714285712</v>
      </c>
      <c r="DC657" s="87"/>
      <c r="DD657" s="87"/>
      <c r="DE657" s="87"/>
      <c r="DF657" s="87"/>
      <c r="DG657" s="87"/>
      <c r="DH657" s="87"/>
      <c r="DI657" s="87"/>
      <c r="DJ657" s="87"/>
      <c r="DK657" s="87"/>
      <c r="DL657" s="87"/>
      <c r="DM657" s="87"/>
      <c r="DN657" s="87"/>
      <c r="DO657" s="87"/>
      <c r="DP657" s="87"/>
      <c r="DQ657" s="87"/>
      <c r="DR657" s="87"/>
      <c r="DS657" s="87"/>
      <c r="DT657" s="87"/>
      <c r="DU657" s="87"/>
      <c r="DV657" s="87"/>
      <c r="DW657" s="87"/>
      <c r="DX657" s="87"/>
      <c r="DY657" s="87"/>
      <c r="DZ657" s="87"/>
      <c r="EA657" s="87"/>
      <c r="EB657" s="87"/>
      <c r="EC657" s="87"/>
      <c r="ED657" s="87"/>
      <c r="EE657" s="87"/>
      <c r="EF657" s="87"/>
      <c r="EG657" s="87"/>
      <c r="EH657" s="87"/>
      <c r="EI657" s="87"/>
    </row>
    <row r="658" spans="1:139" ht="16.5" hidden="1" thickBot="1" x14ac:dyDescent="0.35">
      <c r="A658" s="190" t="s">
        <v>334</v>
      </c>
      <c r="B658" s="176">
        <v>3</v>
      </c>
      <c r="C658" s="177">
        <f>64*0.25</f>
        <v>16</v>
      </c>
      <c r="D658" s="217">
        <f>C658/VLOOKUP(B658,'[2]Gas Prod per PADD'!$A$1:$C$6,2,FALSE)</f>
        <v>3.4782608695652175E-3</v>
      </c>
      <c r="E658" s="178">
        <v>45770</v>
      </c>
      <c r="F658" s="179">
        <v>45789</v>
      </c>
      <c r="G658" s="180" t="s">
        <v>669</v>
      </c>
      <c r="H658" s="181" t="s">
        <v>1075</v>
      </c>
      <c r="I658" s="84"/>
      <c r="J658" s="85"/>
      <c r="K658" s="85"/>
      <c r="L658" s="85"/>
      <c r="M658" s="85"/>
      <c r="N658" s="85"/>
      <c r="O658" s="85"/>
      <c r="P658" s="85"/>
      <c r="Q658" s="85"/>
      <c r="R658" s="85"/>
      <c r="S658" s="85">
        <f>C658*(E658-$S$1)/30</f>
        <v>-3.7333333333333334</v>
      </c>
      <c r="T658" s="85">
        <f>C658*($S$1+1-F658)/31</f>
        <v>-5.67741935483871</v>
      </c>
      <c r="U658" s="85"/>
      <c r="V658" s="84"/>
      <c r="W658" s="84"/>
      <c r="X658" s="84" t="str">
        <f>IF(COUNTA(Y658:EI658)=0,"Missing","OK")</f>
        <v>OK</v>
      </c>
      <c r="Y658" s="105"/>
      <c r="Z658" s="105"/>
      <c r="AA658" s="87"/>
      <c r="AB658" s="87"/>
      <c r="AC658" s="87"/>
      <c r="AD658" s="87"/>
      <c r="AE658" s="105"/>
      <c r="AF658" s="105"/>
      <c r="AG658" s="105"/>
      <c r="AH658" s="105"/>
      <c r="AI658" s="87"/>
      <c r="AJ658" s="87"/>
      <c r="AK658" s="105"/>
      <c r="AL658" s="87"/>
      <c r="AM658" s="105"/>
      <c r="AN658" s="105"/>
      <c r="AO658" s="87"/>
      <c r="AP658" s="87"/>
      <c r="AQ658" s="105"/>
      <c r="AR658" s="105"/>
      <c r="AS658" s="87"/>
      <c r="AT658" s="105"/>
      <c r="AU658" s="87"/>
      <c r="AV658" s="87"/>
      <c r="AW658" s="105"/>
      <c r="AX658" s="105"/>
      <c r="AY658" s="105"/>
      <c r="AZ658" s="105"/>
      <c r="BA658" s="105"/>
      <c r="BB658" s="105"/>
      <c r="BC658" s="105"/>
      <c r="BD658" s="87"/>
      <c r="BE658" s="87"/>
      <c r="BF658" s="87"/>
      <c r="BG658" s="87"/>
      <c r="BH658" s="87"/>
      <c r="BI658" s="87"/>
      <c r="BJ658" s="87"/>
      <c r="BK658" s="87"/>
      <c r="BL658" s="87"/>
      <c r="BM658" s="87"/>
      <c r="BN658" s="87"/>
      <c r="BO658" s="87"/>
      <c r="BP658" s="87"/>
      <c r="BQ658" s="87"/>
      <c r="BR658" s="87"/>
      <c r="BS658" s="87"/>
      <c r="BT658" s="87"/>
      <c r="BU658" s="87"/>
      <c r="BV658" s="87"/>
      <c r="BW658" s="87"/>
      <c r="BX658" s="87"/>
      <c r="BY658" s="87"/>
      <c r="BZ658" s="87"/>
      <c r="CA658" s="87"/>
      <c r="CB658" s="87"/>
      <c r="CC658" s="87"/>
      <c r="CD658" s="87"/>
      <c r="CE658" s="87"/>
      <c r="CF658" s="87"/>
      <c r="CG658" s="87"/>
      <c r="CH658" s="87"/>
      <c r="CI658" s="87"/>
      <c r="CJ658" s="87"/>
      <c r="CK658" s="87"/>
      <c r="CL658" s="87"/>
      <c r="CM658" s="87"/>
      <c r="CN658" s="87"/>
      <c r="CO658" s="87"/>
      <c r="CP658" s="87"/>
      <c r="CQ658" s="87"/>
      <c r="CR658" s="87"/>
      <c r="CS658" s="87"/>
      <c r="CT658" s="87"/>
      <c r="CU658" s="87"/>
      <c r="CV658" s="87"/>
      <c r="CW658" s="87"/>
      <c r="CX658" s="87">
        <f>-2/7*C658</f>
        <v>-4.5714285714285712</v>
      </c>
      <c r="CY658" s="87">
        <f>-5/7*C658</f>
        <v>-11.428571428571429</v>
      </c>
      <c r="CZ658" s="87"/>
      <c r="DA658" s="87">
        <f>-CY658</f>
        <v>11.428571428571429</v>
      </c>
      <c r="DB658" s="87">
        <f>-CX658</f>
        <v>4.5714285714285712</v>
      </c>
      <c r="DC658" s="87"/>
      <c r="DD658" s="87"/>
      <c r="DE658" s="87"/>
      <c r="DF658" s="87"/>
      <c r="DG658" s="87"/>
      <c r="DH658" s="87"/>
      <c r="DI658" s="87"/>
      <c r="DJ658" s="87"/>
      <c r="DK658" s="87"/>
      <c r="DL658" s="87"/>
      <c r="DM658" s="87"/>
      <c r="DN658" s="87"/>
      <c r="DO658" s="87"/>
      <c r="DP658" s="87"/>
      <c r="DQ658" s="87"/>
      <c r="DR658" s="87"/>
      <c r="DS658" s="87"/>
      <c r="DT658" s="87"/>
      <c r="DU658" s="87"/>
      <c r="DV658" s="87"/>
      <c r="DW658" s="87"/>
      <c r="DX658" s="87"/>
      <c r="DY658" s="87"/>
      <c r="DZ658" s="87"/>
      <c r="EA658" s="87"/>
      <c r="EB658" s="87"/>
      <c r="EC658" s="87"/>
      <c r="ED658" s="87"/>
      <c r="EE658" s="87"/>
      <c r="EF658" s="87"/>
      <c r="EG658" s="87"/>
      <c r="EH658" s="87"/>
      <c r="EI658" s="87"/>
    </row>
    <row r="659" spans="1:139" ht="16.5" hidden="1" thickBot="1" x14ac:dyDescent="0.35">
      <c r="A659" s="376" t="s">
        <v>439</v>
      </c>
      <c r="B659" s="191">
        <v>5</v>
      </c>
      <c r="C659" s="177">
        <f>(60*0.25)</f>
        <v>15</v>
      </c>
      <c r="D659" s="234">
        <f>C659/VLOOKUP(B659,'[2]Gas Prod per PADD'!$A$1:$C$6,2,FALSE)</f>
        <v>1.1111111111111112E-2</v>
      </c>
      <c r="E659" s="220">
        <v>45775</v>
      </c>
      <c r="F659" s="252">
        <v>45789</v>
      </c>
      <c r="G659" s="180" t="s">
        <v>1119</v>
      </c>
      <c r="H659" s="198" t="s">
        <v>1120</v>
      </c>
      <c r="I659" s="371"/>
      <c r="J659" s="372"/>
      <c r="K659" s="372"/>
      <c r="L659" s="372"/>
      <c r="M659" s="372"/>
      <c r="N659" s="372"/>
      <c r="O659" s="372"/>
      <c r="P659" s="372"/>
      <c r="Q659" s="372"/>
      <c r="R659" s="372"/>
      <c r="S659" s="85">
        <f>C659*(E659-$S$1)/30</f>
        <v>-1</v>
      </c>
      <c r="T659" s="85">
        <f>C659*($S$1+1-F659)/31</f>
        <v>-5.32258064516129</v>
      </c>
      <c r="U659" s="85"/>
      <c r="V659" s="84"/>
      <c r="W659" s="84"/>
      <c r="X659" s="84" t="str">
        <f>IF(COUNTA(Y659:EI659)=0,"Missing","OK")</f>
        <v>OK</v>
      </c>
      <c r="Y659" s="105"/>
      <c r="Z659" s="105"/>
      <c r="AA659" s="87"/>
      <c r="AB659" s="87"/>
      <c r="AC659" s="87"/>
      <c r="AD659" s="87"/>
      <c r="AE659" s="105"/>
      <c r="AF659" s="105"/>
      <c r="AG659" s="105"/>
      <c r="AH659" s="105"/>
      <c r="AI659" s="87"/>
      <c r="AJ659" s="87"/>
      <c r="AK659" s="105"/>
      <c r="AL659" s="87"/>
      <c r="AM659" s="105"/>
      <c r="AN659" s="105"/>
      <c r="AO659" s="87"/>
      <c r="AP659" s="87"/>
      <c r="AQ659" s="105"/>
      <c r="AR659" s="105"/>
      <c r="AS659" s="87"/>
      <c r="AT659" s="105"/>
      <c r="AU659" s="105"/>
      <c r="AV659" s="87"/>
      <c r="AW659" s="105"/>
      <c r="AX659" s="105"/>
      <c r="AY659" s="87"/>
      <c r="AZ659" s="105"/>
      <c r="BA659" s="105"/>
      <c r="BB659" s="105"/>
      <c r="BC659" s="87"/>
      <c r="BD659" s="87"/>
      <c r="BE659" s="105"/>
      <c r="BF659" s="105"/>
      <c r="BG659" s="105"/>
      <c r="BH659" s="105"/>
      <c r="BI659" s="105"/>
      <c r="BJ659" s="87"/>
      <c r="BK659" s="87"/>
      <c r="BL659" s="87"/>
      <c r="BM659" s="87"/>
      <c r="BN659" s="87"/>
      <c r="BO659" s="87"/>
      <c r="BP659" s="87"/>
      <c r="BQ659" s="87"/>
      <c r="BR659" s="87"/>
      <c r="BS659" s="87"/>
      <c r="BT659" s="87"/>
      <c r="BU659" s="87"/>
      <c r="BV659" s="87"/>
      <c r="BW659" s="87"/>
      <c r="BX659" s="87"/>
      <c r="BY659" s="87"/>
      <c r="BZ659" s="87"/>
      <c r="CA659" s="87"/>
      <c r="CB659" s="87"/>
      <c r="CC659" s="87"/>
      <c r="CD659" s="87"/>
      <c r="CE659" s="87"/>
      <c r="CF659" s="87"/>
      <c r="CG659" s="87"/>
      <c r="CH659" s="87"/>
      <c r="CI659" s="87"/>
      <c r="CJ659" s="87"/>
      <c r="CK659" s="87"/>
      <c r="CL659" s="87"/>
      <c r="CM659" s="87"/>
      <c r="CN659" s="87"/>
      <c r="CO659" s="87"/>
      <c r="CP659" s="87"/>
      <c r="CQ659" s="87"/>
      <c r="CR659" s="87"/>
      <c r="CS659" s="87"/>
      <c r="CT659" s="87"/>
      <c r="CU659" s="87"/>
      <c r="CV659" s="87"/>
      <c r="CW659" s="87"/>
      <c r="CX659" s="87"/>
      <c r="CY659" s="105">
        <f>-C659*4/7</f>
        <v>-8.5714285714285712</v>
      </c>
      <c r="CZ659" s="105">
        <f>-C659*3/7</f>
        <v>-6.4285714285714288</v>
      </c>
      <c r="DA659" s="105">
        <f>-CZ659</f>
        <v>6.4285714285714288</v>
      </c>
      <c r="DB659" s="105">
        <f>-CY659</f>
        <v>8.5714285714285712</v>
      </c>
      <c r="DC659" s="87"/>
      <c r="DD659" s="87"/>
      <c r="DE659" s="87"/>
      <c r="DF659" s="87"/>
      <c r="DG659" s="87"/>
      <c r="DH659" s="87"/>
      <c r="DI659" s="87"/>
      <c r="DJ659" s="87"/>
      <c r="DK659" s="87"/>
      <c r="DL659" s="87"/>
      <c r="DM659" s="87"/>
      <c r="DN659" s="87"/>
      <c r="DO659" s="87"/>
      <c r="DP659" s="87"/>
      <c r="DQ659" s="87"/>
      <c r="DR659" s="87"/>
      <c r="DS659" s="87"/>
      <c r="DT659" s="87"/>
      <c r="DU659" s="87"/>
      <c r="DV659" s="87"/>
      <c r="DW659" s="87"/>
      <c r="DX659" s="87"/>
      <c r="DY659" s="87"/>
      <c r="DZ659" s="87"/>
      <c r="EA659" s="87"/>
      <c r="EB659" s="87"/>
      <c r="EC659" s="87"/>
      <c r="ED659" s="87"/>
      <c r="EE659" s="87"/>
      <c r="EF659" s="87"/>
      <c r="EG659" s="75">
        <v>46017</v>
      </c>
      <c r="EH659" s="75">
        <v>46024</v>
      </c>
      <c r="EI659" s="75">
        <v>46031</v>
      </c>
    </row>
    <row r="660" spans="1:139" ht="16.5" hidden="1" thickBot="1" x14ac:dyDescent="0.35">
      <c r="A660" s="190" t="s">
        <v>194</v>
      </c>
      <c r="B660" s="194">
        <v>3</v>
      </c>
      <c r="C660" s="195">
        <f>19*0.85</f>
        <v>16.149999999999999</v>
      </c>
      <c r="D660" s="217">
        <f>C660/VLOOKUP(B660,'[2]Gas Prod per PADD'!$A$1:$C$6,2,FALSE)</f>
        <v>3.5108695652173909E-3</v>
      </c>
      <c r="E660" s="196">
        <v>45778</v>
      </c>
      <c r="F660" s="197">
        <v>45789</v>
      </c>
      <c r="G660" s="194" t="s">
        <v>309</v>
      </c>
      <c r="H660" s="198" t="s">
        <v>364</v>
      </c>
      <c r="I660" s="84"/>
      <c r="J660" s="85"/>
      <c r="K660" s="85"/>
      <c r="L660" s="85"/>
      <c r="M660" s="85"/>
      <c r="N660" s="85"/>
      <c r="O660" s="85"/>
      <c r="P660" s="85"/>
      <c r="Q660" s="85"/>
      <c r="R660" s="85"/>
      <c r="S660" s="85"/>
      <c r="T660" s="85">
        <f>C660*(E660-F660)/31</f>
        <v>-5.7306451612903215</v>
      </c>
      <c r="U660" s="85"/>
      <c r="V660" s="84"/>
      <c r="W660" s="84"/>
      <c r="X660" s="84" t="str">
        <f>IF(COUNTA(Y660:EI660)=0,"Missing","OK")</f>
        <v>OK</v>
      </c>
      <c r="Y660" s="86"/>
      <c r="Z660" s="86"/>
      <c r="AA660" s="87"/>
      <c r="AB660" s="87"/>
      <c r="AC660" s="87"/>
      <c r="AD660" s="87"/>
      <c r="AE660" s="87"/>
      <c r="AF660" s="87"/>
      <c r="AG660" s="87"/>
      <c r="AH660" s="87"/>
      <c r="AI660" s="87"/>
      <c r="AJ660" s="87"/>
      <c r="AK660" s="87"/>
      <c r="AL660" s="87"/>
      <c r="AM660" s="87"/>
      <c r="AN660" s="87"/>
      <c r="AO660" s="87"/>
      <c r="AP660" s="87"/>
      <c r="AQ660" s="87"/>
      <c r="AR660" s="87"/>
      <c r="AS660" s="87"/>
      <c r="AT660" s="87"/>
      <c r="AU660" s="87"/>
      <c r="AV660" s="87"/>
      <c r="AW660" s="87"/>
      <c r="AX660" s="87"/>
      <c r="AY660" s="87"/>
      <c r="AZ660" s="87"/>
      <c r="BA660" s="87"/>
      <c r="BB660" s="87"/>
      <c r="BC660" s="87"/>
      <c r="BD660" s="87"/>
      <c r="BE660" s="87"/>
      <c r="BF660" s="87"/>
      <c r="BG660" s="87"/>
      <c r="BH660" s="87"/>
      <c r="BI660" s="87"/>
      <c r="BJ660" s="87"/>
      <c r="BK660" s="87"/>
      <c r="BL660" s="87"/>
      <c r="BM660" s="87"/>
      <c r="BN660" s="87"/>
      <c r="BO660" s="87"/>
      <c r="BP660" s="87"/>
      <c r="BQ660" s="87"/>
      <c r="BR660" s="87"/>
      <c r="BS660" s="87"/>
      <c r="BT660" s="87"/>
      <c r="BU660" s="87"/>
      <c r="BV660" s="87"/>
      <c r="BW660" s="87"/>
      <c r="BX660" s="87"/>
      <c r="BY660" s="87"/>
      <c r="BZ660" s="87"/>
      <c r="CA660" s="87"/>
      <c r="CB660" s="87"/>
      <c r="CC660" s="87"/>
      <c r="CD660" s="87"/>
      <c r="CE660" s="87"/>
      <c r="CF660" s="87"/>
      <c r="CG660" s="87"/>
      <c r="CH660" s="87"/>
      <c r="CI660" s="87"/>
      <c r="CJ660" s="87"/>
      <c r="CK660" s="87"/>
      <c r="CL660" s="87"/>
      <c r="CM660" s="87"/>
      <c r="CN660" s="87"/>
      <c r="CO660" s="87"/>
      <c r="CP660" s="87"/>
      <c r="CQ660" s="87"/>
      <c r="CR660" s="87"/>
      <c r="CS660" s="87"/>
      <c r="CT660" s="87"/>
      <c r="CU660" s="87"/>
      <c r="CV660" s="87"/>
      <c r="CW660" s="87"/>
      <c r="CX660" s="87"/>
      <c r="CY660" s="87">
        <f>-2/7*C660</f>
        <v>-4.6142857142857139</v>
      </c>
      <c r="CZ660" s="87">
        <f>-5/7*C660</f>
        <v>-11.535714285714285</v>
      </c>
      <c r="DA660" s="87"/>
      <c r="DB660" s="87">
        <f>-CZ660</f>
        <v>11.535714285714285</v>
      </c>
      <c r="DC660" s="87">
        <f>-CY660</f>
        <v>4.6142857142857139</v>
      </c>
      <c r="DD660" s="87"/>
      <c r="DE660" s="87"/>
      <c r="DF660" s="87"/>
      <c r="DG660" s="87"/>
      <c r="DH660" s="87"/>
      <c r="DI660" s="87"/>
      <c r="DJ660" s="87"/>
      <c r="DK660" s="87"/>
      <c r="DL660" s="87"/>
      <c r="DM660" s="87"/>
      <c r="DN660" s="87"/>
      <c r="DO660" s="87"/>
      <c r="DP660" s="87"/>
      <c r="DQ660" s="87"/>
      <c r="DR660" s="87"/>
      <c r="DS660" s="87"/>
      <c r="DT660" s="87"/>
      <c r="DU660" s="87"/>
      <c r="DV660" s="87"/>
      <c r="DW660" s="87"/>
      <c r="DX660" s="87"/>
      <c r="DY660" s="87"/>
      <c r="DZ660" s="87"/>
      <c r="EA660" s="87"/>
      <c r="EB660" s="87"/>
      <c r="EC660" s="87"/>
      <c r="ED660" s="87"/>
      <c r="EE660" s="87"/>
      <c r="EF660" s="87"/>
      <c r="EG660" s="87"/>
      <c r="EH660" s="87"/>
      <c r="EI660" s="87"/>
    </row>
    <row r="661" spans="1:139" ht="16.5" hidden="1" thickBot="1" x14ac:dyDescent="0.35">
      <c r="A661" s="113" t="s">
        <v>131</v>
      </c>
      <c r="B661" s="199">
        <v>2</v>
      </c>
      <c r="C661" s="195">
        <f>(22.7*0.65)</f>
        <v>14.755000000000001</v>
      </c>
      <c r="D661" s="234">
        <f>C661/VLOOKUP(B661,'[2]Gas Prod per PADD'!$A$1:$C$6,2,FALSE)</f>
        <v>6.147916666666667E-3</v>
      </c>
      <c r="E661" s="346">
        <v>45786</v>
      </c>
      <c r="F661" s="281">
        <v>45789</v>
      </c>
      <c r="G661" s="194" t="s">
        <v>1121</v>
      </c>
      <c r="H661" s="198" t="s">
        <v>1122</v>
      </c>
      <c r="I661" s="73"/>
      <c r="J661" s="229"/>
      <c r="K661" s="229"/>
      <c r="L661" s="229"/>
      <c r="M661" s="229"/>
      <c r="N661" s="229"/>
      <c r="O661" s="229"/>
      <c r="P661" s="229"/>
      <c r="Q661" s="229"/>
      <c r="R661" s="229"/>
      <c r="S661" s="229"/>
      <c r="T661" s="85">
        <f>C661*(E661-F661)/31</f>
        <v>-1.4279032258064517</v>
      </c>
      <c r="U661" s="85"/>
      <c r="V661" s="84"/>
      <c r="W661" s="84"/>
      <c r="X661" s="84"/>
      <c r="Y661" s="74"/>
      <c r="Z661" s="74"/>
      <c r="AA661" s="74"/>
      <c r="AB661" s="74"/>
      <c r="AC661" s="74"/>
      <c r="AD661" s="74"/>
      <c r="AE661" s="74"/>
      <c r="AF661" s="74"/>
      <c r="AG661" s="75"/>
      <c r="AH661" s="74"/>
      <c r="AI661" s="74"/>
      <c r="AJ661" s="74"/>
      <c r="AK661" s="74"/>
      <c r="AL661" s="74"/>
      <c r="AM661" s="74"/>
      <c r="AN661" s="74"/>
      <c r="AO661" s="74"/>
      <c r="AP661" s="74"/>
      <c r="AQ661" s="74"/>
      <c r="AR661" s="75"/>
      <c r="AS661" s="74"/>
      <c r="AT661" s="74"/>
      <c r="AU661" s="74"/>
      <c r="AV661" s="87"/>
      <c r="AW661" s="87"/>
      <c r="AX661" s="87"/>
      <c r="AY661" s="87"/>
      <c r="AZ661" s="87"/>
      <c r="BA661" s="87"/>
      <c r="BB661" s="87"/>
      <c r="BC661" s="87"/>
      <c r="BD661" s="87"/>
      <c r="BE661" s="87"/>
      <c r="BF661" s="74"/>
      <c r="BG661" s="74"/>
      <c r="BH661" s="74"/>
      <c r="BI661" s="74"/>
      <c r="BJ661" s="74"/>
      <c r="BK661" s="74"/>
      <c r="BL661" s="74"/>
      <c r="BM661" s="74"/>
      <c r="BN661" s="74"/>
      <c r="BO661" s="74"/>
      <c r="BP661" s="74"/>
      <c r="BQ661" s="74"/>
      <c r="BR661" s="74"/>
      <c r="BS661" s="74"/>
      <c r="BT661" s="74"/>
      <c r="BU661" s="74"/>
      <c r="BV661" s="74"/>
      <c r="BW661" s="74"/>
      <c r="BX661" s="74"/>
      <c r="BY661" s="74"/>
      <c r="BZ661" s="74"/>
      <c r="CA661" s="74"/>
      <c r="CB661" s="74"/>
      <c r="CC661" s="74"/>
      <c r="CD661" s="74"/>
      <c r="CE661" s="74"/>
      <c r="CF661" s="74"/>
      <c r="CG661" s="74"/>
      <c r="CH661" s="87"/>
      <c r="CI661" s="87"/>
      <c r="CJ661" s="87"/>
      <c r="CK661" s="87"/>
      <c r="CL661" s="87"/>
      <c r="CM661" s="87"/>
      <c r="CN661" s="87"/>
      <c r="CO661" s="87"/>
      <c r="CP661" s="87"/>
      <c r="CQ661" s="87"/>
      <c r="CR661" s="87"/>
      <c r="CS661" s="87"/>
      <c r="CT661" s="87"/>
      <c r="CU661" s="87"/>
      <c r="CV661" s="87"/>
      <c r="CW661" s="87"/>
      <c r="CX661" s="87"/>
      <c r="CY661" s="87"/>
      <c r="CZ661" s="87">
        <f>C661*-1/7</f>
        <v>-2.1078571428571431</v>
      </c>
      <c r="DA661" s="87"/>
      <c r="DB661" s="87">
        <f>-CZ661</f>
        <v>2.1078571428571431</v>
      </c>
      <c r="DC661" s="87"/>
      <c r="DD661" s="87"/>
      <c r="DE661" s="87"/>
      <c r="DF661" s="87"/>
      <c r="DG661" s="87"/>
      <c r="DH661" s="87"/>
      <c r="DI661" s="87"/>
      <c r="DJ661" s="87"/>
      <c r="DK661" s="87"/>
      <c r="DL661" s="87"/>
      <c r="DM661" s="87"/>
      <c r="DN661" s="87"/>
      <c r="DO661" s="87"/>
      <c r="DP661" s="87"/>
      <c r="DQ661" s="87"/>
      <c r="DR661" s="87"/>
      <c r="DS661" s="87"/>
      <c r="DT661" s="87"/>
      <c r="DU661" s="87"/>
      <c r="DV661" s="87"/>
      <c r="DW661" s="87"/>
      <c r="DX661" s="87"/>
      <c r="DY661" s="87"/>
      <c r="DZ661" s="87"/>
      <c r="EA661" s="87"/>
      <c r="EB661" s="87"/>
      <c r="EC661" s="87"/>
      <c r="ED661" s="87"/>
      <c r="EE661" s="87"/>
      <c r="EF661" s="87"/>
      <c r="EG661" s="87"/>
      <c r="EH661" s="87"/>
      <c r="EI661" s="87"/>
    </row>
    <row r="662" spans="1:139" ht="29.25" hidden="1" thickBot="1" x14ac:dyDescent="0.35">
      <c r="A662" s="175" t="s">
        <v>1103</v>
      </c>
      <c r="B662" s="191">
        <v>5</v>
      </c>
      <c r="C662" s="177">
        <f>77*0.65+45*0.25</f>
        <v>61.300000000000004</v>
      </c>
      <c r="D662" s="234">
        <f>C662/VLOOKUP(B662,'[2]Gas Prod per PADD'!$A$1:$C$6,2,FALSE)</f>
        <v>4.540740740740741E-2</v>
      </c>
      <c r="E662" s="220">
        <v>45785</v>
      </c>
      <c r="F662" s="252">
        <f>E662+5</f>
        <v>45790</v>
      </c>
      <c r="G662" s="180" t="s">
        <v>1123</v>
      </c>
      <c r="H662" s="181" t="s">
        <v>1105</v>
      </c>
      <c r="I662" s="84"/>
      <c r="J662" s="85"/>
      <c r="K662" s="85"/>
      <c r="L662" s="85"/>
      <c r="M662" s="85"/>
      <c r="N662" s="85"/>
      <c r="O662" s="85"/>
      <c r="P662" s="85"/>
      <c r="Q662" s="85"/>
      <c r="R662" s="85"/>
      <c r="S662" s="85"/>
      <c r="T662" s="85">
        <f>C662*(E662-F662)/31</f>
        <v>-9.887096774193548</v>
      </c>
      <c r="U662" s="85"/>
      <c r="V662" s="84"/>
      <c r="W662" s="84"/>
      <c r="X662" s="84"/>
      <c r="Y662" s="87"/>
      <c r="Z662" s="87"/>
      <c r="AA662" s="87"/>
      <c r="AB662" s="87"/>
      <c r="AC662" s="87"/>
      <c r="AD662" s="87"/>
      <c r="AE662" s="87"/>
      <c r="AF662" s="87"/>
      <c r="AG662" s="87"/>
      <c r="AH662" s="87"/>
      <c r="AI662" s="87"/>
      <c r="AJ662" s="87"/>
      <c r="AK662" s="87"/>
      <c r="AL662" s="87"/>
      <c r="AM662" s="87"/>
      <c r="AN662" s="87"/>
      <c r="AO662" s="87"/>
      <c r="AP662" s="87"/>
      <c r="AQ662" s="87"/>
      <c r="AR662" s="87"/>
      <c r="AS662" s="87"/>
      <c r="AT662" s="87"/>
      <c r="AU662" s="87"/>
      <c r="AV662" s="87"/>
      <c r="AW662" s="87"/>
      <c r="AX662" s="87"/>
      <c r="AY662" s="87"/>
      <c r="AZ662" s="87"/>
      <c r="BA662" s="87"/>
      <c r="BB662" s="87"/>
      <c r="BC662" s="87"/>
      <c r="BD662" s="87"/>
      <c r="BE662" s="87"/>
      <c r="BF662" s="87"/>
      <c r="BG662" s="87"/>
      <c r="BH662" s="87"/>
      <c r="BI662" s="87"/>
      <c r="BJ662" s="87"/>
      <c r="BK662" s="87"/>
      <c r="BL662" s="87"/>
      <c r="BM662" s="87"/>
      <c r="BN662" s="87"/>
      <c r="BO662" s="87"/>
      <c r="BP662" s="87"/>
      <c r="BQ662" s="87"/>
      <c r="BR662" s="87"/>
      <c r="BS662" s="87"/>
      <c r="BT662" s="87"/>
      <c r="BU662" s="87"/>
      <c r="BV662" s="87"/>
      <c r="BW662" s="87"/>
      <c r="BX662" s="87"/>
      <c r="BY662" s="87"/>
      <c r="BZ662" s="87"/>
      <c r="CA662" s="87"/>
      <c r="CB662" s="87"/>
      <c r="CC662" s="87"/>
      <c r="CD662" s="87"/>
      <c r="CE662" s="87"/>
      <c r="CF662" s="87"/>
      <c r="CG662" s="87"/>
      <c r="CH662" s="87"/>
      <c r="CI662" s="87"/>
      <c r="CJ662" s="87"/>
      <c r="CK662" s="87"/>
      <c r="CL662" s="87"/>
      <c r="CM662" s="87"/>
      <c r="CN662" s="87"/>
      <c r="CO662" s="87"/>
      <c r="CP662" s="87"/>
      <c r="CQ662" s="87"/>
      <c r="CR662" s="87"/>
      <c r="CS662" s="87"/>
      <c r="CT662" s="87"/>
      <c r="CU662" s="87"/>
      <c r="CV662" s="87"/>
      <c r="CW662" s="87"/>
      <c r="CX662" s="87"/>
      <c r="CY662" s="87"/>
      <c r="CZ662" s="87">
        <f>-2/7*C662</f>
        <v>-17.514285714285716</v>
      </c>
      <c r="DA662" s="87"/>
      <c r="DB662" s="87">
        <f>-CZ662</f>
        <v>17.514285714285716</v>
      </c>
      <c r="DC662" s="87"/>
      <c r="DD662" s="87"/>
      <c r="DE662" s="87"/>
      <c r="DF662" s="87"/>
      <c r="DG662" s="87"/>
      <c r="DH662" s="87"/>
      <c r="DI662" s="87"/>
      <c r="DJ662" s="87"/>
      <c r="DK662" s="87"/>
      <c r="DL662" s="87"/>
      <c r="DM662" s="87"/>
      <c r="DN662" s="87"/>
      <c r="DO662" s="87"/>
      <c r="DP662" s="87"/>
      <c r="DQ662" s="105"/>
      <c r="DR662" s="87"/>
      <c r="DS662" s="87"/>
      <c r="DT662" s="87"/>
      <c r="DU662" s="87"/>
      <c r="DV662" s="87"/>
      <c r="DW662" s="87"/>
      <c r="DX662" s="87"/>
      <c r="DY662" s="87"/>
      <c r="DZ662" s="105"/>
      <c r="EA662" s="105"/>
      <c r="EB662" s="87"/>
      <c r="EC662" s="87"/>
      <c r="ED662" s="87"/>
      <c r="EE662" s="87"/>
      <c r="EF662" s="87"/>
      <c r="EG662" s="75">
        <v>46017</v>
      </c>
      <c r="EH662" s="75">
        <v>46024</v>
      </c>
      <c r="EI662" s="75">
        <v>46031</v>
      </c>
    </row>
    <row r="663" spans="1:139" ht="16.5" hidden="1" thickBot="1" x14ac:dyDescent="0.35">
      <c r="A663" s="222" t="s">
        <v>1116</v>
      </c>
      <c r="B663" s="176">
        <v>3</v>
      </c>
      <c r="C663" s="177">
        <f>32*0.25*0.3</f>
        <v>2.4</v>
      </c>
      <c r="D663" s="217">
        <f>C663/VLOOKUP(B663,'[2]Gas Prod per PADD'!$A$1:$C$6,2,FALSE)</f>
        <v>5.2173913043478256E-4</v>
      </c>
      <c r="E663" s="178">
        <v>45788</v>
      </c>
      <c r="F663" s="179">
        <v>45790</v>
      </c>
      <c r="G663" s="180" t="s">
        <v>1124</v>
      </c>
      <c r="H663" s="181" t="s">
        <v>1125</v>
      </c>
      <c r="I663" s="371"/>
      <c r="J663" s="372"/>
      <c r="K663" s="372"/>
      <c r="L663" s="372"/>
      <c r="M663" s="372"/>
      <c r="N663" s="372"/>
      <c r="O663" s="372"/>
      <c r="P663" s="372"/>
      <c r="Q663" s="372"/>
      <c r="R663" s="372"/>
      <c r="S663" s="372"/>
      <c r="T663" s="85">
        <f>C663*(E663-F663)/31</f>
        <v>-0.15483870967741936</v>
      </c>
      <c r="U663" s="85"/>
      <c r="V663" s="84"/>
      <c r="W663" s="84"/>
      <c r="X663" s="84"/>
      <c r="Y663" s="105"/>
      <c r="Z663" s="105"/>
      <c r="AA663" s="87"/>
      <c r="AB663" s="87"/>
      <c r="AC663" s="87"/>
      <c r="AD663" s="87"/>
      <c r="AE663" s="105"/>
      <c r="AF663" s="105"/>
      <c r="AG663" s="105"/>
      <c r="AH663" s="105"/>
      <c r="AI663" s="87"/>
      <c r="AJ663" s="87"/>
      <c r="AK663" s="105"/>
      <c r="AL663" s="87"/>
      <c r="AM663" s="105"/>
      <c r="AN663" s="105"/>
      <c r="AO663" s="87"/>
      <c r="AP663" s="87"/>
      <c r="AQ663" s="105"/>
      <c r="AR663" s="105"/>
      <c r="AS663" s="87"/>
      <c r="AT663" s="105"/>
      <c r="AU663" s="105"/>
      <c r="AV663" s="87"/>
      <c r="AW663" s="105"/>
      <c r="AX663" s="105"/>
      <c r="AY663" s="87"/>
      <c r="AZ663" s="105"/>
      <c r="BA663" s="105"/>
      <c r="BB663" s="105"/>
      <c r="BC663" s="87"/>
      <c r="BD663" s="87"/>
      <c r="BE663" s="105"/>
      <c r="BF663" s="105"/>
      <c r="BG663" s="105"/>
      <c r="BH663" s="105"/>
      <c r="BI663" s="105"/>
      <c r="BJ663" s="87"/>
      <c r="BK663" s="87"/>
      <c r="BL663" s="87"/>
      <c r="BM663" s="87"/>
      <c r="BN663" s="87"/>
      <c r="BO663" s="87"/>
      <c r="BP663" s="87"/>
      <c r="BQ663" s="87"/>
      <c r="BR663" s="87"/>
      <c r="BS663" s="87"/>
      <c r="BT663" s="87"/>
      <c r="BU663" s="87"/>
      <c r="BV663" s="87"/>
      <c r="BW663" s="87"/>
      <c r="BX663" s="87"/>
      <c r="BY663" s="87"/>
      <c r="BZ663" s="87"/>
      <c r="CA663" s="87"/>
      <c r="CB663" s="87"/>
      <c r="CC663" s="87"/>
      <c r="CD663" s="87"/>
      <c r="CE663" s="87"/>
      <c r="CF663" s="87"/>
      <c r="CG663" s="87"/>
      <c r="CH663" s="87"/>
      <c r="CI663" s="87"/>
      <c r="CJ663" s="87"/>
      <c r="CK663" s="87"/>
      <c r="CL663" s="87"/>
      <c r="CM663" s="87"/>
      <c r="CN663" s="87"/>
      <c r="CO663" s="87"/>
      <c r="CP663" s="87"/>
      <c r="CQ663" s="87"/>
      <c r="CR663" s="87"/>
      <c r="CS663" s="87"/>
      <c r="CT663" s="87"/>
      <c r="CU663" s="87"/>
      <c r="CV663" s="87"/>
      <c r="CW663" s="87"/>
      <c r="CX663" s="87"/>
      <c r="CY663" s="87"/>
      <c r="CZ663" s="87"/>
      <c r="DA663" s="105">
        <f>-C663</f>
        <v>-2.4</v>
      </c>
      <c r="DB663" s="105">
        <f>-DA663</f>
        <v>2.4</v>
      </c>
      <c r="DC663" s="87"/>
      <c r="DD663" s="87"/>
      <c r="DE663" s="87"/>
      <c r="DF663" s="87"/>
      <c r="DG663" s="87"/>
      <c r="DH663" s="87"/>
      <c r="DI663" s="87"/>
      <c r="DJ663" s="105"/>
      <c r="DK663" s="87"/>
      <c r="DL663" s="87"/>
      <c r="DM663" s="87"/>
      <c r="DN663" s="87"/>
      <c r="DO663" s="87"/>
      <c r="DP663" s="87"/>
      <c r="DQ663" s="87"/>
      <c r="DR663" s="87"/>
      <c r="DS663" s="87"/>
      <c r="DT663" s="87"/>
      <c r="DU663" s="87"/>
      <c r="DV663" s="87"/>
      <c r="DW663" s="87"/>
      <c r="DX663" s="87"/>
      <c r="DY663" s="87"/>
      <c r="DZ663" s="87"/>
      <c r="EA663" s="87"/>
      <c r="EB663" s="87"/>
      <c r="EC663" s="87"/>
      <c r="ED663" s="87"/>
      <c r="EE663" s="87"/>
      <c r="EF663" s="87"/>
      <c r="EG663" s="87"/>
      <c r="EH663" s="87"/>
      <c r="EI663" s="87"/>
    </row>
    <row r="664" spans="1:139" ht="16.5" hidden="1" thickBot="1" x14ac:dyDescent="0.35">
      <c r="A664" s="358" t="s">
        <v>1126</v>
      </c>
      <c r="B664" s="194">
        <v>2</v>
      </c>
      <c r="C664" s="195">
        <f>0.1*35</f>
        <v>3.5</v>
      </c>
      <c r="D664" s="234">
        <f>C664/VLOOKUP(B664,'[2]Gas Prod per PADD'!$A$1:$C$6,2,FALSE)</f>
        <v>1.4583333333333334E-3</v>
      </c>
      <c r="E664" s="196">
        <v>45771</v>
      </c>
      <c r="F664" s="281">
        <f>E664+20</f>
        <v>45791</v>
      </c>
      <c r="G664" s="194" t="s">
        <v>1127</v>
      </c>
      <c r="H664" s="198"/>
      <c r="I664" s="84"/>
      <c r="J664" s="85"/>
      <c r="K664" s="85"/>
      <c r="L664" s="85"/>
      <c r="M664" s="85"/>
      <c r="N664" s="85"/>
      <c r="O664" s="85"/>
      <c r="P664" s="85"/>
      <c r="Q664" s="85"/>
      <c r="R664" s="85"/>
      <c r="S664" s="85">
        <f>C664*(E664-$S$1)/30</f>
        <v>-0.7</v>
      </c>
      <c r="T664" s="85">
        <f>C664*($S$1+1-F664)/31</f>
        <v>-1.467741935483871</v>
      </c>
      <c r="U664" s="85"/>
      <c r="V664" s="84"/>
      <c r="W664" s="84"/>
      <c r="X664" s="84" t="str">
        <f>IF(COUNTA(Y664:EI664)=0,"Missing","OK")</f>
        <v>OK</v>
      </c>
      <c r="Y664" s="105"/>
      <c r="Z664" s="105"/>
      <c r="AA664" s="87"/>
      <c r="AB664" s="87"/>
      <c r="AC664" s="87"/>
      <c r="AD664" s="87"/>
      <c r="AE664" s="105"/>
      <c r="AF664" s="105"/>
      <c r="AG664" s="105"/>
      <c r="AH664" s="105"/>
      <c r="AI664" s="87"/>
      <c r="AJ664" s="87"/>
      <c r="AK664" s="105"/>
      <c r="AL664" s="87"/>
      <c r="AM664" s="105"/>
      <c r="AN664" s="105"/>
      <c r="AO664" s="87"/>
      <c r="AP664" s="87"/>
      <c r="AQ664" s="105"/>
      <c r="AR664" s="105"/>
      <c r="AS664" s="87"/>
      <c r="AT664" s="105"/>
      <c r="AU664" s="105"/>
      <c r="AV664" s="87"/>
      <c r="AW664" s="105"/>
      <c r="AX664" s="105"/>
      <c r="AY664" s="87"/>
      <c r="AZ664" s="105"/>
      <c r="BA664" s="105"/>
      <c r="BB664" s="105"/>
      <c r="BC664" s="87"/>
      <c r="BD664" s="87"/>
      <c r="BE664" s="105"/>
      <c r="BF664" s="105"/>
      <c r="BG664" s="105"/>
      <c r="BH664" s="105"/>
      <c r="BI664" s="105"/>
      <c r="BJ664" s="87"/>
      <c r="BK664" s="87"/>
      <c r="BL664" s="87"/>
      <c r="BM664" s="87"/>
      <c r="BN664" s="87"/>
      <c r="BO664" s="87"/>
      <c r="BP664" s="87"/>
      <c r="BQ664" s="87"/>
      <c r="BR664" s="87"/>
      <c r="BS664" s="87"/>
      <c r="BT664" s="87"/>
      <c r="BU664" s="87"/>
      <c r="BV664" s="87"/>
      <c r="BW664" s="87"/>
      <c r="BX664" s="87"/>
      <c r="BY664" s="87"/>
      <c r="BZ664" s="87"/>
      <c r="CA664" s="87"/>
      <c r="CB664" s="87"/>
      <c r="CC664" s="87"/>
      <c r="CD664" s="87"/>
      <c r="CE664" s="87"/>
      <c r="CF664" s="87"/>
      <c r="CG664" s="87"/>
      <c r="CH664" s="87"/>
      <c r="CI664" s="87"/>
      <c r="CJ664" s="87"/>
      <c r="CK664" s="87"/>
      <c r="CL664" s="87"/>
      <c r="CM664" s="87"/>
      <c r="CN664" s="87"/>
      <c r="CO664" s="87"/>
      <c r="CP664" s="87"/>
      <c r="CQ664" s="87"/>
      <c r="CR664" s="87"/>
      <c r="CS664" s="87"/>
      <c r="CT664" s="87"/>
      <c r="CU664" s="87"/>
      <c r="CV664" s="87"/>
      <c r="CW664" s="87"/>
      <c r="CX664" s="87">
        <f>-2/7*C664</f>
        <v>-1</v>
      </c>
      <c r="CY664" s="87">
        <f>-5/7*C664</f>
        <v>-2.5</v>
      </c>
      <c r="CZ664" s="87"/>
      <c r="DA664" s="87">
        <f>-CX664</f>
        <v>1</v>
      </c>
      <c r="DB664" s="87">
        <f>-CY664</f>
        <v>2.5</v>
      </c>
      <c r="DC664" s="87"/>
      <c r="DD664" s="87"/>
      <c r="DE664" s="87"/>
      <c r="DF664" s="87"/>
      <c r="DG664" s="87"/>
      <c r="DH664" s="87"/>
      <c r="DI664" s="87"/>
      <c r="DJ664" s="87"/>
      <c r="DK664" s="87"/>
      <c r="DL664" s="87"/>
      <c r="DM664" s="87"/>
      <c r="DN664" s="87"/>
      <c r="DO664" s="87"/>
      <c r="DP664" s="87"/>
      <c r="DQ664" s="87"/>
      <c r="DR664" s="87"/>
      <c r="DS664" s="87"/>
      <c r="DT664" s="87"/>
      <c r="DU664" s="87"/>
      <c r="DV664" s="87"/>
      <c r="DW664" s="87"/>
      <c r="DX664" s="87"/>
      <c r="DY664" s="87"/>
      <c r="DZ664" s="87"/>
      <c r="EA664" s="87"/>
      <c r="EB664" s="87"/>
      <c r="EC664" s="87"/>
      <c r="ED664" s="87"/>
      <c r="EE664" s="87"/>
      <c r="EF664" s="87"/>
      <c r="EG664" s="87"/>
      <c r="EH664" s="87"/>
      <c r="EI664" s="87"/>
    </row>
    <row r="665" spans="1:139" ht="16.5" hidden="1" thickBot="1" x14ac:dyDescent="0.35">
      <c r="A665" s="190" t="s">
        <v>194</v>
      </c>
      <c r="B665" s="194">
        <v>3</v>
      </c>
      <c r="C665" s="195">
        <f>12.5*0.95</f>
        <v>11.875</v>
      </c>
      <c r="D665" s="217">
        <f>C665/VLOOKUP(B665,'[2]Gas Prod per PADD'!$A$1:$C$6,2,FALSE)</f>
        <v>2.5815217391304346E-3</v>
      </c>
      <c r="E665" s="196">
        <v>45790</v>
      </c>
      <c r="F665" s="281">
        <v>45791</v>
      </c>
      <c r="G665" s="194" t="s">
        <v>401</v>
      </c>
      <c r="H665" s="198" t="s">
        <v>1128</v>
      </c>
      <c r="I665" s="84"/>
      <c r="J665" s="85"/>
      <c r="K665" s="85"/>
      <c r="L665" s="85"/>
      <c r="M665" s="85"/>
      <c r="N665" s="85"/>
      <c r="O665" s="85"/>
      <c r="P665" s="85"/>
      <c r="Q665" s="85"/>
      <c r="R665" s="85"/>
      <c r="S665" s="85"/>
      <c r="T665" s="85">
        <f>C665*(E665-F665)/31</f>
        <v>-0.38306451612903225</v>
      </c>
      <c r="U665" s="85"/>
      <c r="V665" s="84"/>
      <c r="W665" s="84"/>
      <c r="X665" s="84" t="str">
        <f>IF(COUNTA(Y665:EI665)=0,"Missing","OK")</f>
        <v>OK</v>
      </c>
      <c r="Y665" s="105"/>
      <c r="Z665" s="105"/>
      <c r="AA665" s="87"/>
      <c r="AB665" s="87"/>
      <c r="AC665" s="87"/>
      <c r="AD665" s="87"/>
      <c r="AE665" s="105"/>
      <c r="AF665" s="105"/>
      <c r="AG665" s="105"/>
      <c r="AH665" s="105"/>
      <c r="AI665" s="87"/>
      <c r="AJ665" s="87"/>
      <c r="AK665" s="105"/>
      <c r="AL665" s="87"/>
      <c r="AM665" s="105"/>
      <c r="AN665" s="105"/>
      <c r="AO665" s="87"/>
      <c r="AP665" s="87"/>
      <c r="AQ665" s="105"/>
      <c r="AR665" s="105"/>
      <c r="AS665" s="87"/>
      <c r="AT665" s="105"/>
      <c r="AU665" s="87"/>
      <c r="AV665" s="87"/>
      <c r="AW665" s="105"/>
      <c r="AX665" s="105"/>
      <c r="AY665" s="105"/>
      <c r="AZ665" s="105"/>
      <c r="BA665" s="105"/>
      <c r="BB665" s="105"/>
      <c r="BC665" s="105"/>
      <c r="BD665" s="87"/>
      <c r="BE665" s="87"/>
      <c r="BF665" s="87"/>
      <c r="BG665" s="87"/>
      <c r="BH665" s="87"/>
      <c r="BI665" s="87"/>
      <c r="BJ665" s="87"/>
      <c r="BK665" s="87"/>
      <c r="BL665" s="87"/>
      <c r="BM665" s="87"/>
      <c r="BN665" s="87"/>
      <c r="BO665" s="87"/>
      <c r="BP665" s="87"/>
      <c r="BQ665" s="87"/>
      <c r="BR665" s="87"/>
      <c r="BS665" s="87"/>
      <c r="BT665" s="87"/>
      <c r="BU665" s="87"/>
      <c r="BV665" s="87"/>
      <c r="BW665" s="87"/>
      <c r="BX665" s="87"/>
      <c r="BY665" s="87"/>
      <c r="BZ665" s="87"/>
      <c r="CA665" s="87"/>
      <c r="CB665" s="87"/>
      <c r="CC665" s="87"/>
      <c r="CD665" s="87"/>
      <c r="CE665" s="87"/>
      <c r="CF665" s="87"/>
      <c r="CG665" s="87"/>
      <c r="CH665" s="87"/>
      <c r="CI665" s="87"/>
      <c r="CJ665" s="87"/>
      <c r="CK665" s="87"/>
      <c r="CL665" s="87"/>
      <c r="CM665" s="87"/>
      <c r="CN665" s="87"/>
      <c r="CO665" s="87"/>
      <c r="CP665" s="87"/>
      <c r="CQ665" s="87"/>
      <c r="CR665" s="87"/>
      <c r="CS665" s="87"/>
      <c r="CT665" s="87"/>
      <c r="CU665" s="87"/>
      <c r="CV665" s="87"/>
      <c r="CW665" s="87"/>
      <c r="CX665" s="87"/>
      <c r="CY665" s="87"/>
      <c r="CZ665" s="87"/>
      <c r="DA665" s="87">
        <f>-2/7*C665</f>
        <v>-3.3928571428571428</v>
      </c>
      <c r="DB665" s="87">
        <f>-DA665</f>
        <v>3.3928571428571428</v>
      </c>
      <c r="DC665" s="87"/>
      <c r="DD665" s="87"/>
      <c r="DE665" s="87"/>
      <c r="DF665" s="87"/>
      <c r="DG665" s="87"/>
      <c r="DH665" s="87"/>
      <c r="DI665" s="87"/>
      <c r="DJ665" s="87"/>
      <c r="DK665" s="87"/>
      <c r="DL665" s="87"/>
      <c r="DM665" s="87"/>
      <c r="DN665" s="87"/>
      <c r="DO665" s="87"/>
      <c r="DP665" s="87"/>
      <c r="DQ665" s="87"/>
      <c r="DR665" s="87"/>
      <c r="DS665" s="87"/>
      <c r="DT665" s="87"/>
      <c r="DU665" s="87"/>
      <c r="DV665" s="87"/>
      <c r="DW665" s="87"/>
      <c r="DX665" s="87"/>
      <c r="DY665" s="87"/>
      <c r="DZ665" s="87"/>
      <c r="EA665" s="87"/>
      <c r="EB665" s="87"/>
      <c r="EC665" s="87"/>
      <c r="ED665" s="87"/>
      <c r="EE665" s="87"/>
      <c r="EF665" s="87"/>
      <c r="EG665" s="87"/>
      <c r="EH665" s="87"/>
      <c r="EI665" s="87"/>
    </row>
    <row r="666" spans="1:139" ht="16.5" hidden="1" thickBot="1" x14ac:dyDescent="0.35">
      <c r="A666" s="222" t="s">
        <v>330</v>
      </c>
      <c r="B666" s="191">
        <v>3</v>
      </c>
      <c r="C666" s="177">
        <f>128*0.25</f>
        <v>32</v>
      </c>
      <c r="D666" s="217">
        <f>C666/VLOOKUP(B666,'[2]Gas Prod per PADD'!$A$1:$C$6,2,FALSE)</f>
        <v>6.956521739130435E-3</v>
      </c>
      <c r="E666" s="220">
        <v>45790</v>
      </c>
      <c r="F666" s="252">
        <v>45791</v>
      </c>
      <c r="G666" s="180" t="s">
        <v>1129</v>
      </c>
      <c r="H666" s="181" t="s">
        <v>1130</v>
      </c>
      <c r="I666" s="371"/>
      <c r="J666" s="372"/>
      <c r="K666" s="372"/>
      <c r="L666" s="372"/>
      <c r="M666" s="372"/>
      <c r="N666" s="372"/>
      <c r="O666" s="372"/>
      <c r="P666" s="372"/>
      <c r="Q666" s="372"/>
      <c r="R666" s="372"/>
      <c r="S666" s="372"/>
      <c r="T666" s="85">
        <f>C666*(E666-F666)/31</f>
        <v>-1.032258064516129</v>
      </c>
      <c r="U666" s="85"/>
      <c r="V666" s="84"/>
      <c r="W666" s="84"/>
      <c r="X666" s="84"/>
      <c r="Y666" s="105"/>
      <c r="Z666" s="105"/>
      <c r="AA666" s="87"/>
      <c r="AB666" s="87"/>
      <c r="AC666" s="87"/>
      <c r="AD666" s="87"/>
      <c r="AE666" s="105"/>
      <c r="AF666" s="105"/>
      <c r="AG666" s="105"/>
      <c r="AH666" s="105"/>
      <c r="AI666" s="87"/>
      <c r="AJ666" s="87"/>
      <c r="AK666" s="105"/>
      <c r="AL666" s="87"/>
      <c r="AM666" s="105"/>
      <c r="AN666" s="105"/>
      <c r="AO666" s="87"/>
      <c r="AP666" s="87"/>
      <c r="AQ666" s="105"/>
      <c r="AR666" s="105"/>
      <c r="AS666" s="87"/>
      <c r="AT666" s="105"/>
      <c r="AU666" s="105"/>
      <c r="AV666" s="87"/>
      <c r="AW666" s="105"/>
      <c r="AX666" s="105"/>
      <c r="AY666" s="87"/>
      <c r="AZ666" s="105"/>
      <c r="BA666" s="105"/>
      <c r="BB666" s="105"/>
      <c r="BC666" s="87"/>
      <c r="BD666" s="87"/>
      <c r="BE666" s="105"/>
      <c r="BF666" s="105"/>
      <c r="BG666" s="105"/>
      <c r="BH666" s="105"/>
      <c r="BI666" s="105"/>
      <c r="BJ666" s="87"/>
      <c r="BK666" s="87"/>
      <c r="BL666" s="87"/>
      <c r="BM666" s="87"/>
      <c r="BN666" s="87"/>
      <c r="BO666" s="87"/>
      <c r="BP666" s="87"/>
      <c r="BQ666" s="87"/>
      <c r="BR666" s="87"/>
      <c r="BS666" s="87"/>
      <c r="BT666" s="87"/>
      <c r="BU666" s="87"/>
      <c r="BV666" s="87"/>
      <c r="BW666" s="87"/>
      <c r="BX666" s="87"/>
      <c r="BY666" s="87"/>
      <c r="BZ666" s="87"/>
      <c r="CA666" s="87"/>
      <c r="CB666" s="87"/>
      <c r="CC666" s="87"/>
      <c r="CD666" s="87"/>
      <c r="CE666" s="87"/>
      <c r="CF666" s="87"/>
      <c r="CG666" s="87"/>
      <c r="CH666" s="87"/>
      <c r="CI666" s="87"/>
      <c r="CJ666" s="87"/>
      <c r="CK666" s="87"/>
      <c r="CL666" s="87"/>
      <c r="CM666" s="87"/>
      <c r="CN666" s="87"/>
      <c r="CO666" s="87"/>
      <c r="CP666" s="87"/>
      <c r="CQ666" s="87"/>
      <c r="CR666" s="87"/>
      <c r="CS666" s="87"/>
      <c r="CT666" s="87"/>
      <c r="CU666" s="87"/>
      <c r="CV666" s="87"/>
      <c r="CW666" s="87"/>
      <c r="CX666" s="87"/>
      <c r="CY666" s="87"/>
      <c r="CZ666" s="87"/>
      <c r="DA666" s="87">
        <f>-2/7*C666</f>
        <v>-9.1428571428571423</v>
      </c>
      <c r="DB666" s="87">
        <f>-DA666</f>
        <v>9.1428571428571423</v>
      </c>
      <c r="DC666" s="87"/>
      <c r="DD666" s="87"/>
      <c r="DE666" s="87"/>
      <c r="DF666" s="87"/>
      <c r="DG666" s="87"/>
      <c r="DH666" s="87"/>
      <c r="DI666" s="87"/>
      <c r="DJ666" s="87"/>
      <c r="DK666" s="87"/>
      <c r="DL666" s="87"/>
      <c r="DM666" s="87"/>
      <c r="DN666" s="87"/>
      <c r="DO666" s="87"/>
      <c r="DP666" s="87"/>
      <c r="DQ666" s="87"/>
      <c r="DR666" s="87"/>
      <c r="DS666" s="87"/>
      <c r="DT666" s="105"/>
      <c r="DU666" s="87"/>
      <c r="DV666" s="87"/>
      <c r="DW666" s="87"/>
      <c r="DX666" s="87"/>
      <c r="DY666" s="87"/>
      <c r="DZ666" s="87"/>
      <c r="EA666" s="105"/>
      <c r="EB666" s="87"/>
      <c r="EC666" s="87"/>
      <c r="ED666" s="87"/>
      <c r="EE666" s="87"/>
      <c r="EF666" s="87"/>
      <c r="EG666" s="87"/>
      <c r="EH666" s="87"/>
      <c r="EI666" s="87"/>
    </row>
    <row r="667" spans="1:139" ht="16.5" hidden="1" thickBot="1" x14ac:dyDescent="0.35">
      <c r="A667" s="190" t="s">
        <v>280</v>
      </c>
      <c r="B667" s="191">
        <v>3</v>
      </c>
      <c r="C667" s="177">
        <f>15*0.85</f>
        <v>12.75</v>
      </c>
      <c r="D667" s="217">
        <f>C667/VLOOKUP(B667,'[2]Gas Prod per PADD'!$A$1:$C$6,2,FALSE)</f>
        <v>2.7717391304347824E-3</v>
      </c>
      <c r="E667" s="178">
        <v>45784</v>
      </c>
      <c r="F667" s="252">
        <v>45792</v>
      </c>
      <c r="G667" s="180" t="s">
        <v>1131</v>
      </c>
      <c r="H667" s="221" t="s">
        <v>1132</v>
      </c>
      <c r="I667" s="84"/>
      <c r="J667" s="85"/>
      <c r="K667" s="85"/>
      <c r="L667" s="85"/>
      <c r="M667" s="85"/>
      <c r="N667" s="85"/>
      <c r="O667" s="85"/>
      <c r="P667" s="85"/>
      <c r="Q667" s="85"/>
      <c r="R667" s="85"/>
      <c r="S667" s="85"/>
      <c r="T667" s="85">
        <f>C667*(E667-F667)/31</f>
        <v>-3.2903225806451615</v>
      </c>
      <c r="U667" s="85"/>
      <c r="V667" s="84"/>
      <c r="W667" s="84"/>
      <c r="X667" s="84"/>
      <c r="Y667" s="105"/>
      <c r="Z667" s="105"/>
      <c r="AA667" s="87"/>
      <c r="AB667" s="87"/>
      <c r="AC667" s="87"/>
      <c r="AD667" s="87"/>
      <c r="AE667" s="105"/>
      <c r="AF667" s="105"/>
      <c r="AG667" s="105"/>
      <c r="AH667" s="105"/>
      <c r="AI667" s="87"/>
      <c r="AJ667" s="87"/>
      <c r="AK667" s="105"/>
      <c r="AL667" s="87"/>
      <c r="AM667" s="105"/>
      <c r="AN667" s="105"/>
      <c r="AO667" s="87"/>
      <c r="AP667" s="87"/>
      <c r="AQ667" s="105"/>
      <c r="AR667" s="105"/>
      <c r="AS667" s="87"/>
      <c r="AT667" s="105"/>
      <c r="AU667" s="87"/>
      <c r="AV667" s="87"/>
      <c r="AW667" s="105"/>
      <c r="AX667" s="105"/>
      <c r="AY667" s="105"/>
      <c r="AZ667" s="105"/>
      <c r="BA667" s="105"/>
      <c r="BB667" s="105"/>
      <c r="BC667" s="105"/>
      <c r="BD667" s="87"/>
      <c r="BE667" s="87"/>
      <c r="BF667" s="87"/>
      <c r="BG667" s="87"/>
      <c r="BH667" s="87"/>
      <c r="BI667" s="87"/>
      <c r="BJ667" s="87"/>
      <c r="BK667" s="87"/>
      <c r="BL667" s="87"/>
      <c r="BM667" s="87"/>
      <c r="BN667" s="87"/>
      <c r="BO667" s="87"/>
      <c r="BP667" s="87"/>
      <c r="BQ667" s="87"/>
      <c r="BR667" s="87"/>
      <c r="BS667" s="87"/>
      <c r="BT667" s="87"/>
      <c r="BU667" s="87"/>
      <c r="BV667" s="87"/>
      <c r="BW667" s="87"/>
      <c r="BX667" s="87"/>
      <c r="BY667" s="87"/>
      <c r="BZ667" s="87"/>
      <c r="CA667" s="87"/>
      <c r="CB667" s="87"/>
      <c r="CC667" s="87"/>
      <c r="CD667" s="87"/>
      <c r="CE667" s="87"/>
      <c r="CF667" s="87"/>
      <c r="CG667" s="87"/>
      <c r="CH667" s="87"/>
      <c r="CI667" s="87"/>
      <c r="CJ667" s="87"/>
      <c r="CK667" s="87"/>
      <c r="CL667" s="87"/>
      <c r="CM667" s="87"/>
      <c r="CN667" s="87"/>
      <c r="CO667" s="87"/>
      <c r="CP667" s="87"/>
      <c r="CQ667" s="87"/>
      <c r="CR667" s="87"/>
      <c r="CS667" s="87"/>
      <c r="CT667" s="87"/>
      <c r="CU667" s="87"/>
      <c r="CV667" s="87"/>
      <c r="CW667" s="87"/>
      <c r="CX667" s="87"/>
      <c r="CY667" s="87"/>
      <c r="CZ667" s="87">
        <f>-3/7*C667</f>
        <v>-5.4642857142857144</v>
      </c>
      <c r="DA667" s="87"/>
      <c r="DB667" s="87">
        <f>-CZ667</f>
        <v>5.4642857142857144</v>
      </c>
      <c r="DC667" s="87"/>
      <c r="DD667" s="87"/>
      <c r="DE667" s="87"/>
      <c r="DF667" s="87"/>
      <c r="DG667" s="87"/>
      <c r="DH667" s="87"/>
      <c r="DI667" s="87"/>
      <c r="DJ667" s="87"/>
      <c r="DK667" s="87"/>
      <c r="DL667" s="87"/>
      <c r="DM667" s="87"/>
      <c r="DN667" s="87"/>
      <c r="DO667" s="87"/>
      <c r="DP667" s="87"/>
      <c r="DQ667" s="87"/>
      <c r="DR667" s="87"/>
      <c r="DS667" s="87"/>
      <c r="DT667" s="87"/>
      <c r="DU667" s="87"/>
      <c r="DV667" s="87"/>
      <c r="DW667" s="87"/>
      <c r="DX667" s="87"/>
      <c r="DY667" s="87"/>
      <c r="DZ667" s="87"/>
      <c r="EA667" s="87"/>
      <c r="EB667" s="87"/>
      <c r="EC667" s="87"/>
      <c r="ED667" s="87"/>
      <c r="EE667" s="87"/>
      <c r="EF667" s="87"/>
      <c r="EG667" s="87"/>
      <c r="EH667" s="87"/>
      <c r="EI667" s="87"/>
    </row>
    <row r="668" spans="1:139" ht="16.5" hidden="1" thickBot="1" x14ac:dyDescent="0.35">
      <c r="A668" s="190" t="s">
        <v>345</v>
      </c>
      <c r="B668" s="282">
        <v>3</v>
      </c>
      <c r="C668" s="177">
        <f>23*0.85</f>
        <v>19.55</v>
      </c>
      <c r="D668" s="217">
        <f>C668/VLOOKUP(B668,'[2]Gas Prod per PADD'!$A$1:$C$6,2,FALSE)</f>
        <v>4.2500000000000003E-3</v>
      </c>
      <c r="E668" s="178">
        <v>45789</v>
      </c>
      <c r="F668" s="252">
        <v>45792</v>
      </c>
      <c r="G668" s="180" t="s">
        <v>825</v>
      </c>
      <c r="H668" s="230" t="s">
        <v>364</v>
      </c>
      <c r="I668" s="84"/>
      <c r="J668" s="85"/>
      <c r="K668" s="85"/>
      <c r="L668" s="85"/>
      <c r="M668" s="85"/>
      <c r="N668" s="85"/>
      <c r="O668" s="85"/>
      <c r="P668" s="85"/>
      <c r="Q668" s="85"/>
      <c r="R668" s="85"/>
      <c r="S668" s="85"/>
      <c r="T668" s="85">
        <f>C668*(E668-F668)/31</f>
        <v>-1.8919354838709679</v>
      </c>
      <c r="U668" s="85"/>
      <c r="V668" s="84"/>
      <c r="W668" s="84"/>
      <c r="X668" s="84"/>
      <c r="Y668" s="86"/>
      <c r="Z668" s="86"/>
      <c r="AA668" s="87"/>
      <c r="AB668" s="87"/>
      <c r="AC668" s="87"/>
      <c r="AD668" s="87"/>
      <c r="AE668" s="87"/>
      <c r="AF668" s="87"/>
      <c r="AG668" s="87"/>
      <c r="AH668" s="87"/>
      <c r="AI668" s="87"/>
      <c r="AJ668" s="87"/>
      <c r="AK668" s="87"/>
      <c r="AL668" s="87"/>
      <c r="AM668" s="87"/>
      <c r="AN668" s="87"/>
      <c r="AO668" s="87"/>
      <c r="AP668" s="87"/>
      <c r="AQ668" s="87"/>
      <c r="AR668" s="87"/>
      <c r="AS668" s="87"/>
      <c r="AT668" s="87"/>
      <c r="AU668" s="87"/>
      <c r="AV668" s="87"/>
      <c r="AW668" s="87"/>
      <c r="AX668" s="87"/>
      <c r="AY668" s="87"/>
      <c r="AZ668" s="87"/>
      <c r="BA668" s="87"/>
      <c r="BB668" s="87"/>
      <c r="BC668" s="87"/>
      <c r="BD668" s="87"/>
      <c r="BE668" s="87"/>
      <c r="BF668" s="87"/>
      <c r="BG668" s="87"/>
      <c r="BH668" s="87"/>
      <c r="BI668" s="87"/>
      <c r="BJ668" s="87"/>
      <c r="BK668" s="87"/>
      <c r="BL668" s="87"/>
      <c r="BM668" s="87"/>
      <c r="BN668" s="87"/>
      <c r="BO668" s="87"/>
      <c r="BP668" s="87"/>
      <c r="BQ668" s="87"/>
      <c r="BR668" s="87"/>
      <c r="BS668" s="87"/>
      <c r="BT668" s="87"/>
      <c r="BU668" s="87"/>
      <c r="BV668" s="87"/>
      <c r="BW668" s="87"/>
      <c r="BX668" s="87"/>
      <c r="BY668" s="87"/>
      <c r="BZ668" s="87"/>
      <c r="CA668" s="87"/>
      <c r="CB668" s="87"/>
      <c r="CC668" s="87"/>
      <c r="CD668" s="87"/>
      <c r="CE668" s="87"/>
      <c r="CF668" s="87"/>
      <c r="CG668" s="87"/>
      <c r="CH668" s="87"/>
      <c r="CI668" s="87"/>
      <c r="CJ668" s="87"/>
      <c r="CK668" s="87"/>
      <c r="CL668" s="87"/>
      <c r="CM668" s="87"/>
      <c r="CN668" s="87"/>
      <c r="CO668" s="87"/>
      <c r="CP668" s="87"/>
      <c r="CQ668" s="87"/>
      <c r="CR668" s="87"/>
      <c r="CS668" s="87"/>
      <c r="CT668" s="87"/>
      <c r="CU668" s="87"/>
      <c r="CV668" s="87"/>
      <c r="CW668" s="87"/>
      <c r="CX668" s="87"/>
      <c r="CY668" s="87"/>
      <c r="CZ668" s="87"/>
      <c r="DA668" s="87">
        <f>-3/7*C668</f>
        <v>-8.3785714285714281</v>
      </c>
      <c r="DB668" s="87">
        <f>-DA668</f>
        <v>8.3785714285714281</v>
      </c>
      <c r="DC668" s="87"/>
      <c r="DD668" s="87"/>
      <c r="DE668" s="87"/>
      <c r="DF668" s="87"/>
      <c r="DG668" s="87"/>
      <c r="DH668" s="87"/>
      <c r="DI668" s="87"/>
      <c r="DJ668" s="87"/>
      <c r="DK668" s="87"/>
      <c r="DL668" s="87"/>
      <c r="DM668" s="87"/>
      <c r="DN668" s="87"/>
      <c r="DO668" s="87"/>
      <c r="DP668" s="87"/>
      <c r="DQ668" s="87"/>
      <c r="DR668" s="87"/>
      <c r="DS668" s="87"/>
      <c r="DT668" s="87"/>
      <c r="DU668" s="87"/>
      <c r="DV668" s="87"/>
      <c r="DW668" s="87"/>
      <c r="DX668" s="87"/>
      <c r="DY668" s="87"/>
      <c r="DZ668" s="87"/>
      <c r="EA668" s="87"/>
      <c r="EB668" s="87"/>
      <c r="EC668" s="87"/>
      <c r="ED668" s="87"/>
      <c r="EE668" s="87"/>
      <c r="EF668" s="87"/>
      <c r="EG668" s="87"/>
      <c r="EH668" s="87"/>
      <c r="EI668" s="87"/>
    </row>
    <row r="669" spans="1:139" ht="16.5" hidden="1" thickBot="1" x14ac:dyDescent="0.35">
      <c r="A669" s="175" t="s">
        <v>413</v>
      </c>
      <c r="B669" s="176">
        <v>4</v>
      </c>
      <c r="C669" s="177">
        <f>10*0.25</f>
        <v>2.5</v>
      </c>
      <c r="D669" s="234">
        <f>C669/VLOOKUP(B669,'[2]Gas Prod per PADD'!$A$1:$C$6,2,FALSE)</f>
        <v>7.3529411764705881E-3</v>
      </c>
      <c r="E669" s="178">
        <v>45773</v>
      </c>
      <c r="F669" s="252">
        <v>45793</v>
      </c>
      <c r="G669" s="180" t="s">
        <v>971</v>
      </c>
      <c r="H669" s="275" t="s">
        <v>1133</v>
      </c>
      <c r="I669" s="373"/>
      <c r="J669" s="374"/>
      <c r="K669" s="374"/>
      <c r="L669" s="374"/>
      <c r="M669" s="374"/>
      <c r="N669" s="374"/>
      <c r="O669" s="374"/>
      <c r="P669" s="374"/>
      <c r="Q669" s="374"/>
      <c r="R669" s="374"/>
      <c r="S669" s="85">
        <f>C669*(E669-$S$1)/30</f>
        <v>-0.33333333333333331</v>
      </c>
      <c r="T669" s="85">
        <f>C669*($S$1+1-F669)/31</f>
        <v>-1.2096774193548387</v>
      </c>
      <c r="U669" s="85"/>
      <c r="V669" s="84"/>
      <c r="W669" s="84"/>
      <c r="X669" s="84"/>
      <c r="Y669" s="105"/>
      <c r="Z669" s="105"/>
      <c r="AA669" s="87"/>
      <c r="AB669" s="87"/>
      <c r="AC669" s="87"/>
      <c r="AD669" s="87"/>
      <c r="AE669" s="105"/>
      <c r="AF669" s="105"/>
      <c r="AG669" s="105"/>
      <c r="AH669" s="105"/>
      <c r="AI669" s="87"/>
      <c r="AJ669" s="87"/>
      <c r="AK669" s="105"/>
      <c r="AL669" s="87"/>
      <c r="AM669" s="105"/>
      <c r="AN669" s="105"/>
      <c r="AO669" s="87"/>
      <c r="AP669" s="87"/>
      <c r="AQ669" s="105"/>
      <c r="AR669" s="105"/>
      <c r="AS669" s="87"/>
      <c r="AT669" s="105"/>
      <c r="AU669" s="105"/>
      <c r="AV669" s="87"/>
      <c r="AW669" s="105"/>
      <c r="AX669" s="105"/>
      <c r="AY669" s="87"/>
      <c r="AZ669" s="105"/>
      <c r="BA669" s="105"/>
      <c r="BB669" s="105"/>
      <c r="BC669" s="87"/>
      <c r="BD669" s="87"/>
      <c r="BE669" s="105"/>
      <c r="BF669" s="105"/>
      <c r="BG669" s="105"/>
      <c r="BH669" s="105"/>
      <c r="BI669" s="105"/>
      <c r="BJ669" s="87"/>
      <c r="BK669" s="87"/>
      <c r="BL669" s="87"/>
      <c r="BM669" s="87"/>
      <c r="BN669" s="87"/>
      <c r="BO669" s="87"/>
      <c r="BP669" s="87"/>
      <c r="BQ669" s="87"/>
      <c r="BR669" s="87"/>
      <c r="BS669" s="87"/>
      <c r="BT669" s="87"/>
      <c r="BU669" s="87"/>
      <c r="BV669" s="87"/>
      <c r="BW669" s="87"/>
      <c r="BX669" s="87"/>
      <c r="BY669" s="87"/>
      <c r="BZ669" s="87"/>
      <c r="CA669" s="87"/>
      <c r="CB669" s="87"/>
      <c r="CC669" s="87"/>
      <c r="CD669" s="87"/>
      <c r="CE669" s="87"/>
      <c r="CF669" s="87"/>
      <c r="CG669" s="87"/>
      <c r="CH669" s="87"/>
      <c r="CI669" s="87"/>
      <c r="CJ669" s="87"/>
      <c r="CK669" s="87"/>
      <c r="CL669" s="87"/>
      <c r="CM669" s="87"/>
      <c r="CN669" s="87"/>
      <c r="CO669" s="87"/>
      <c r="CP669" s="87"/>
      <c r="CQ669" s="87"/>
      <c r="CR669" s="87"/>
      <c r="CS669" s="105"/>
      <c r="CT669" s="87"/>
      <c r="CU669" s="87"/>
      <c r="CV669" s="87"/>
      <c r="CW669" s="105"/>
      <c r="CX669" s="105"/>
      <c r="CY669" s="105">
        <f>-6/7*C669</f>
        <v>-2.1428571428571428</v>
      </c>
      <c r="CZ669" s="105">
        <f>-1/7*C669</f>
        <v>-0.3571428571428571</v>
      </c>
      <c r="DA669" s="105"/>
      <c r="DB669" s="105">
        <f>-CY669</f>
        <v>2.1428571428571428</v>
      </c>
      <c r="DC669" s="105">
        <f>-CZ669</f>
        <v>0.3571428571428571</v>
      </c>
      <c r="DD669" s="87"/>
      <c r="DE669" s="87"/>
      <c r="DF669" s="87"/>
      <c r="DG669" s="87"/>
      <c r="DH669" s="87"/>
      <c r="DI669" s="87"/>
      <c r="DJ669" s="87"/>
      <c r="DK669" s="87"/>
      <c r="DL669" s="87"/>
      <c r="DM669" s="87"/>
      <c r="DN669" s="87"/>
      <c r="DO669" s="87"/>
      <c r="DP669" s="87"/>
      <c r="DQ669" s="87"/>
      <c r="DR669" s="87"/>
      <c r="DS669" s="87"/>
      <c r="DT669" s="87"/>
      <c r="DU669" s="87"/>
      <c r="DV669" s="87"/>
      <c r="DW669" s="87"/>
      <c r="DX669" s="87"/>
      <c r="DY669" s="87"/>
      <c r="DZ669" s="87"/>
      <c r="EA669" s="87"/>
      <c r="EB669" s="87"/>
      <c r="EC669" s="87"/>
      <c r="ED669" s="87"/>
      <c r="EE669" s="87"/>
      <c r="EF669" s="87"/>
      <c r="EG669" s="87"/>
      <c r="EH669" s="87"/>
      <c r="EI669" s="87"/>
    </row>
    <row r="670" spans="1:139" ht="29.25" hidden="1" thickBot="1" x14ac:dyDescent="0.35">
      <c r="A670" s="200" t="s">
        <v>251</v>
      </c>
      <c r="B670" s="223">
        <v>5</v>
      </c>
      <c r="C670" s="224">
        <f>21*0.25</f>
        <v>5.25</v>
      </c>
      <c r="D670" s="217">
        <f>C670/VLOOKUP(B670,'[2]Gas Prod per PADD'!$A$1:$C$6,2,FALSE)</f>
        <v>3.8888888888888888E-3</v>
      </c>
      <c r="E670" s="228">
        <v>45774</v>
      </c>
      <c r="F670" s="276">
        <v>45793</v>
      </c>
      <c r="G670" s="180" t="s">
        <v>337</v>
      </c>
      <c r="H670" s="221" t="s">
        <v>1134</v>
      </c>
      <c r="I670" s="84"/>
      <c r="J670" s="85"/>
      <c r="K670" s="85"/>
      <c r="L670" s="85"/>
      <c r="M670" s="85"/>
      <c r="N670" s="85"/>
      <c r="O670" s="85"/>
      <c r="P670" s="85"/>
      <c r="Q670" s="85"/>
      <c r="R670" s="85"/>
      <c r="S670" s="85">
        <f>C670*(E670-$S$1)/30</f>
        <v>-0.52500000000000002</v>
      </c>
      <c r="T670" s="85">
        <f>C670*($S$1+1-F670)/31</f>
        <v>-2.5403225806451615</v>
      </c>
      <c r="U670" s="85"/>
      <c r="V670" s="84"/>
      <c r="W670" s="84"/>
      <c r="X670" s="84"/>
      <c r="Y670" s="105"/>
      <c r="Z670" s="105"/>
      <c r="AA670" s="87"/>
      <c r="AB670" s="87"/>
      <c r="AC670" s="87"/>
      <c r="AD670" s="87"/>
      <c r="AE670" s="105"/>
      <c r="AF670" s="105"/>
      <c r="AG670" s="105"/>
      <c r="AH670" s="105"/>
      <c r="AI670" s="87"/>
      <c r="AJ670" s="87"/>
      <c r="AK670" s="105"/>
      <c r="AL670" s="87"/>
      <c r="AM670" s="105"/>
      <c r="AN670" s="105"/>
      <c r="AO670" s="87"/>
      <c r="AP670" s="87"/>
      <c r="AQ670" s="105"/>
      <c r="AR670" s="105"/>
      <c r="AS670" s="87"/>
      <c r="AT670" s="105"/>
      <c r="AU670" s="87"/>
      <c r="AV670" s="105"/>
      <c r="AW670" s="105"/>
      <c r="AX670" s="105"/>
      <c r="AY670" s="87"/>
      <c r="AZ670" s="105"/>
      <c r="BA670" s="105"/>
      <c r="BB670" s="105"/>
      <c r="BC670" s="105"/>
      <c r="BD670" s="105"/>
      <c r="BE670" s="105"/>
      <c r="BF670" s="87"/>
      <c r="BG670" s="87"/>
      <c r="BH670" s="87"/>
      <c r="BI670" s="87"/>
      <c r="BJ670" s="87"/>
      <c r="BK670" s="87"/>
      <c r="BL670" s="87"/>
      <c r="BM670" s="87"/>
      <c r="BN670" s="87"/>
      <c r="BO670" s="87"/>
      <c r="BP670" s="87"/>
      <c r="BQ670" s="87"/>
      <c r="BR670" s="87"/>
      <c r="BS670" s="87"/>
      <c r="BT670" s="87"/>
      <c r="BU670" s="87"/>
      <c r="BV670" s="87"/>
      <c r="BW670" s="87"/>
      <c r="BX670" s="87"/>
      <c r="BY670" s="87"/>
      <c r="BZ670" s="87"/>
      <c r="CA670" s="87"/>
      <c r="CB670" s="87"/>
      <c r="CC670" s="87"/>
      <c r="CD670" s="87"/>
      <c r="CE670" s="87"/>
      <c r="CF670" s="87"/>
      <c r="CG670" s="87"/>
      <c r="CH670" s="87"/>
      <c r="CI670" s="87"/>
      <c r="CJ670" s="87"/>
      <c r="CK670" s="87"/>
      <c r="CL670" s="87"/>
      <c r="CM670" s="87"/>
      <c r="CN670" s="87"/>
      <c r="CO670" s="87"/>
      <c r="CP670" s="87"/>
      <c r="CQ670" s="87"/>
      <c r="CR670" s="87"/>
      <c r="CS670" s="87"/>
      <c r="CT670" s="87"/>
      <c r="CU670" s="87"/>
      <c r="CV670" s="87"/>
      <c r="CW670" s="87"/>
      <c r="CX670" s="87"/>
      <c r="CY670" s="87">
        <f>-3/7*C670</f>
        <v>-2.25</v>
      </c>
      <c r="CZ670" s="87">
        <f>-4/7*C670</f>
        <v>-3</v>
      </c>
      <c r="DA670" s="87"/>
      <c r="DB670" s="105">
        <f>C670</f>
        <v>5.25</v>
      </c>
      <c r="DC670" s="87"/>
      <c r="DD670" s="87"/>
      <c r="DE670" s="87"/>
      <c r="DF670" s="87"/>
      <c r="DG670" s="87"/>
      <c r="DH670" s="87"/>
      <c r="DI670" s="87"/>
      <c r="DJ670" s="87"/>
      <c r="DK670" s="87"/>
      <c r="DL670" s="87"/>
      <c r="DM670" s="87"/>
      <c r="DN670" s="87"/>
      <c r="DO670" s="87"/>
      <c r="DP670" s="87"/>
      <c r="DQ670" s="87"/>
      <c r="DR670" s="87"/>
      <c r="DS670" s="87"/>
      <c r="DT670" s="87"/>
      <c r="DU670" s="87"/>
      <c r="DV670" s="87"/>
      <c r="DW670" s="87"/>
      <c r="DX670" s="87"/>
      <c r="DY670" s="87"/>
      <c r="DZ670" s="87"/>
      <c r="EA670" s="87"/>
      <c r="EB670" s="87"/>
      <c r="EC670" s="87"/>
      <c r="ED670" s="87"/>
      <c r="EE670" s="87"/>
      <c r="EF670" s="87"/>
      <c r="EG670" s="75"/>
      <c r="EH670" s="75"/>
      <c r="EI670" s="75"/>
    </row>
    <row r="671" spans="1:139" ht="16.5" hidden="1" thickBot="1" x14ac:dyDescent="0.35">
      <c r="A671" s="353" t="s">
        <v>387</v>
      </c>
      <c r="B671" s="176">
        <v>2</v>
      </c>
      <c r="C671" s="177">
        <f>14*0.85</f>
        <v>11.9</v>
      </c>
      <c r="D671" s="234">
        <f>C671/VLOOKUP(B671,'[2]Gas Prod per PADD'!$A$1:$C$6,2,FALSE)</f>
        <v>4.9583333333333337E-3</v>
      </c>
      <c r="E671" s="220">
        <v>45788</v>
      </c>
      <c r="F671" s="252">
        <v>45793</v>
      </c>
      <c r="G671" s="180" t="s">
        <v>1135</v>
      </c>
      <c r="H671" s="230" t="s">
        <v>1136</v>
      </c>
      <c r="I671" s="373"/>
      <c r="J671" s="374"/>
      <c r="K671" s="374"/>
      <c r="L671" s="374"/>
      <c r="M671" s="374"/>
      <c r="N671" s="374"/>
      <c r="O671" s="374"/>
      <c r="P671" s="374"/>
      <c r="Q671" s="374"/>
      <c r="R671" s="374"/>
      <c r="S671" s="374"/>
      <c r="T671" s="85">
        <f>C671*(E671-F671)/31</f>
        <v>-1.9193548387096775</v>
      </c>
      <c r="U671" s="85"/>
      <c r="V671" s="84"/>
      <c r="W671" s="84"/>
      <c r="X671" s="84"/>
      <c r="Y671" s="105"/>
      <c r="Z671" s="105"/>
      <c r="AA671" s="87"/>
      <c r="AB671" s="87"/>
      <c r="AC671" s="87"/>
      <c r="AD671" s="87"/>
      <c r="AE671" s="105"/>
      <c r="AF671" s="105"/>
      <c r="AG671" s="105"/>
      <c r="AH671" s="105"/>
      <c r="AI671" s="87"/>
      <c r="AJ671" s="87"/>
      <c r="AK671" s="105"/>
      <c r="AL671" s="87"/>
      <c r="AM671" s="105"/>
      <c r="AN671" s="105"/>
      <c r="AO671" s="87"/>
      <c r="AP671" s="87"/>
      <c r="AQ671" s="105"/>
      <c r="AR671" s="105"/>
      <c r="AS671" s="87"/>
      <c r="AT671" s="105"/>
      <c r="AU671" s="105"/>
      <c r="AV671" s="87"/>
      <c r="AW671" s="105"/>
      <c r="AX671" s="105"/>
      <c r="AY671" s="87"/>
      <c r="AZ671" s="105"/>
      <c r="BA671" s="105"/>
      <c r="BB671" s="105"/>
      <c r="BC671" s="87"/>
      <c r="BD671" s="87"/>
      <c r="BE671" s="105"/>
      <c r="BF671" s="105"/>
      <c r="BG671" s="105"/>
      <c r="BH671" s="105"/>
      <c r="BI671" s="105"/>
      <c r="BJ671" s="87"/>
      <c r="BK671" s="87"/>
      <c r="BL671" s="87"/>
      <c r="BM671" s="87"/>
      <c r="BN671" s="87"/>
      <c r="BO671" s="87"/>
      <c r="BP671" s="87"/>
      <c r="BQ671" s="87"/>
      <c r="BR671" s="87"/>
      <c r="BS671" s="87"/>
      <c r="BT671" s="87"/>
      <c r="BU671" s="87"/>
      <c r="BV671" s="87"/>
      <c r="BW671" s="87"/>
      <c r="BX671" s="87"/>
      <c r="BY671" s="105"/>
      <c r="BZ671" s="87"/>
      <c r="CA671" s="87"/>
      <c r="CB671" s="87"/>
      <c r="CC671" s="87"/>
      <c r="CD671" s="87"/>
      <c r="CE671" s="87"/>
      <c r="CF671" s="87"/>
      <c r="CG671" s="87"/>
      <c r="CH671" s="87"/>
      <c r="CI671" s="87"/>
      <c r="CJ671" s="87"/>
      <c r="CK671" s="87"/>
      <c r="CL671" s="87"/>
      <c r="CM671" s="87"/>
      <c r="CN671" s="87"/>
      <c r="CO671" s="87"/>
      <c r="CP671" s="87"/>
      <c r="CQ671" s="87"/>
      <c r="CR671" s="87"/>
      <c r="CS671" s="87"/>
      <c r="CT671" s="87"/>
      <c r="CU671" s="87"/>
      <c r="CV671" s="87"/>
      <c r="CW671" s="87"/>
      <c r="CX671" s="87"/>
      <c r="CY671" s="87"/>
      <c r="CZ671" s="87"/>
      <c r="DA671" s="87">
        <f>-3/7*C671</f>
        <v>-5.0999999999999996</v>
      </c>
      <c r="DB671" s="87">
        <f>-DA671</f>
        <v>5.0999999999999996</v>
      </c>
      <c r="DC671" s="87"/>
      <c r="DD671" s="87"/>
      <c r="DE671" s="87"/>
      <c r="DF671" s="87"/>
      <c r="DG671" s="87"/>
      <c r="DH671" s="87"/>
      <c r="DI671" s="87"/>
      <c r="DJ671" s="87"/>
      <c r="DK671" s="87"/>
      <c r="DL671" s="87"/>
      <c r="DM671" s="87"/>
      <c r="DN671" s="87"/>
      <c r="DO671" s="87"/>
      <c r="DP671" s="87"/>
      <c r="DQ671" s="87"/>
      <c r="DR671" s="87"/>
      <c r="DS671" s="87"/>
      <c r="DT671" s="87"/>
      <c r="DU671" s="87"/>
      <c r="DV671" s="87"/>
      <c r="DW671" s="87"/>
      <c r="DX671" s="87"/>
      <c r="DY671" s="87"/>
      <c r="DZ671" s="87"/>
      <c r="EA671" s="87"/>
      <c r="EB671" s="87"/>
      <c r="EC671" s="87"/>
      <c r="ED671" s="87"/>
      <c r="EE671" s="87"/>
      <c r="EF671" s="87"/>
      <c r="EG671" s="87"/>
      <c r="EH671" s="87"/>
      <c r="EI671" s="87"/>
    </row>
    <row r="672" spans="1:139" ht="16.5" hidden="1" thickBot="1" x14ac:dyDescent="0.35">
      <c r="A672" s="190" t="s">
        <v>334</v>
      </c>
      <c r="B672" s="176">
        <v>3</v>
      </c>
      <c r="C672" s="177">
        <f>73*0.25</f>
        <v>18.25</v>
      </c>
      <c r="D672" s="217">
        <f>C672/VLOOKUP(B672,'[2]Gas Prod per PADD'!$A$1:$C$6,2,FALSE)</f>
        <v>3.9673913043478263E-3</v>
      </c>
      <c r="E672" s="178">
        <v>45769</v>
      </c>
      <c r="F672" s="252">
        <v>45794</v>
      </c>
      <c r="G672" s="180" t="s">
        <v>705</v>
      </c>
      <c r="H672" s="181" t="s">
        <v>477</v>
      </c>
      <c r="I672" s="84" t="s">
        <v>1137</v>
      </c>
      <c r="J672" s="85"/>
      <c r="K672" s="85"/>
      <c r="L672" s="85"/>
      <c r="M672" s="85"/>
      <c r="N672" s="85"/>
      <c r="O672" s="85"/>
      <c r="P672" s="85"/>
      <c r="Q672" s="85"/>
      <c r="R672" s="85"/>
      <c r="S672" s="85">
        <f>C672*(E672-$S$1)/30</f>
        <v>-4.8666666666666663</v>
      </c>
      <c r="T672" s="85">
        <f>C672*($S$1+1-F672)/31</f>
        <v>-9.4193548387096779</v>
      </c>
      <c r="U672" s="85"/>
      <c r="V672" s="84"/>
      <c r="W672" s="84"/>
      <c r="X672" s="84" t="str">
        <f>IF(COUNTA(Y672:EI672)=0,"Missing","OK")</f>
        <v>OK</v>
      </c>
      <c r="Y672" s="105"/>
      <c r="Z672" s="105"/>
      <c r="AA672" s="87"/>
      <c r="AB672" s="87"/>
      <c r="AC672" s="87"/>
      <c r="AD672" s="87"/>
      <c r="AE672" s="105"/>
      <c r="AF672" s="105"/>
      <c r="AG672" s="105"/>
      <c r="AH672" s="105"/>
      <c r="AI672" s="87"/>
      <c r="AJ672" s="87"/>
      <c r="AK672" s="105"/>
      <c r="AL672" s="87"/>
      <c r="AM672" s="105"/>
      <c r="AN672" s="105"/>
      <c r="AO672" s="87"/>
      <c r="AP672" s="87"/>
      <c r="AQ672" s="105"/>
      <c r="AR672" s="105"/>
      <c r="AS672" s="87"/>
      <c r="AT672" s="105"/>
      <c r="AU672" s="87"/>
      <c r="AV672" s="87"/>
      <c r="AW672" s="105"/>
      <c r="AX672" s="105"/>
      <c r="AY672" s="105"/>
      <c r="AZ672" s="105"/>
      <c r="BA672" s="105"/>
      <c r="BB672" s="105"/>
      <c r="BC672" s="105"/>
      <c r="BD672" s="87"/>
      <c r="BE672" s="87"/>
      <c r="BF672" s="87"/>
      <c r="BG672" s="87"/>
      <c r="BH672" s="87"/>
      <c r="BI672" s="87"/>
      <c r="BJ672" s="87"/>
      <c r="BK672" s="87"/>
      <c r="BL672" s="87"/>
      <c r="BM672" s="87"/>
      <c r="BN672" s="87"/>
      <c r="BO672" s="87"/>
      <c r="BP672" s="87"/>
      <c r="BQ672" s="87"/>
      <c r="BR672" s="87"/>
      <c r="BS672" s="87"/>
      <c r="BT672" s="87"/>
      <c r="BU672" s="87"/>
      <c r="BV672" s="87"/>
      <c r="BW672" s="87"/>
      <c r="BX672" s="87"/>
      <c r="BY672" s="87"/>
      <c r="BZ672" s="87"/>
      <c r="CA672" s="87"/>
      <c r="CB672" s="87"/>
      <c r="CC672" s="87"/>
      <c r="CD672" s="87"/>
      <c r="CE672" s="87"/>
      <c r="CF672" s="87"/>
      <c r="CG672" s="87"/>
      <c r="CH672" s="87"/>
      <c r="CI672" s="87"/>
      <c r="CJ672" s="87"/>
      <c r="CK672" s="87"/>
      <c r="CL672" s="87"/>
      <c r="CM672" s="87"/>
      <c r="CN672" s="87"/>
      <c r="CO672" s="87"/>
      <c r="CP672" s="87"/>
      <c r="CQ672" s="87"/>
      <c r="CR672" s="87"/>
      <c r="CS672" s="87"/>
      <c r="CT672" s="87"/>
      <c r="CU672" s="87"/>
      <c r="CV672" s="87"/>
      <c r="CW672" s="87"/>
      <c r="CX672" s="87">
        <f>-3/7*C672</f>
        <v>-7.8214285714285712</v>
      </c>
      <c r="CY672" s="87">
        <f>-4/7*C672</f>
        <v>-10.428571428571429</v>
      </c>
      <c r="CZ672" s="87"/>
      <c r="DA672" s="87"/>
      <c r="DB672" s="105">
        <f>C672*6/7</f>
        <v>15.642857142857142</v>
      </c>
      <c r="DC672" s="105">
        <f>C672-DB672</f>
        <v>2.6071428571428577</v>
      </c>
      <c r="DD672" s="87"/>
      <c r="DE672" s="87"/>
      <c r="DF672" s="87"/>
      <c r="DG672" s="87"/>
      <c r="DH672" s="87"/>
      <c r="DI672" s="87"/>
      <c r="DJ672" s="87"/>
      <c r="DK672" s="87"/>
      <c r="DL672" s="87"/>
      <c r="DM672" s="87"/>
      <c r="DN672" s="87"/>
      <c r="DO672" s="87"/>
      <c r="DP672" s="87"/>
      <c r="DQ672" s="87"/>
      <c r="DR672" s="87"/>
      <c r="DS672" s="87"/>
      <c r="DT672" s="87"/>
      <c r="DU672" s="87"/>
      <c r="DV672" s="87"/>
      <c r="DW672" s="87"/>
      <c r="DX672" s="87"/>
      <c r="DY672" s="87"/>
      <c r="DZ672" s="87"/>
      <c r="EA672" s="87"/>
      <c r="EB672" s="87"/>
      <c r="EC672" s="87"/>
      <c r="ED672" s="87"/>
      <c r="EE672" s="87"/>
      <c r="EF672" s="87"/>
      <c r="EG672" s="87"/>
      <c r="EH672" s="87"/>
      <c r="EI672" s="87"/>
    </row>
    <row r="673" spans="1:139" ht="16.5" hidden="1" thickBot="1" x14ac:dyDescent="0.35">
      <c r="A673" s="219" t="s">
        <v>858</v>
      </c>
      <c r="B673" s="194">
        <v>3</v>
      </c>
      <c r="C673" s="195">
        <f>34*0.25</f>
        <v>8.5</v>
      </c>
      <c r="D673" s="217">
        <f>C673/VLOOKUP(B673,'[2]Gas Prod per PADD'!$A$1:$C$6,2,FALSE)</f>
        <v>1.8478260869565217E-3</v>
      </c>
      <c r="E673" s="178">
        <v>45791</v>
      </c>
      <c r="F673" s="359">
        <v>45795</v>
      </c>
      <c r="G673" s="194" t="s">
        <v>1138</v>
      </c>
      <c r="H673" s="230" t="s">
        <v>518</v>
      </c>
      <c r="I673" s="84"/>
      <c r="J673" s="85"/>
      <c r="K673" s="85"/>
      <c r="L673" s="85"/>
      <c r="M673" s="85"/>
      <c r="N673" s="85"/>
      <c r="O673" s="85"/>
      <c r="P673" s="85"/>
      <c r="Q673" s="85"/>
      <c r="R673" s="85"/>
      <c r="S673" s="85"/>
      <c r="T673" s="85">
        <f>C673*(E673-F673)/31</f>
        <v>-1.096774193548387</v>
      </c>
      <c r="U673" s="85"/>
      <c r="V673" s="84"/>
      <c r="W673" s="84"/>
      <c r="X673" s="84"/>
      <c r="Y673" s="87"/>
      <c r="Z673" s="87"/>
      <c r="AA673" s="87"/>
      <c r="AB673" s="87"/>
      <c r="AC673" s="87"/>
      <c r="AD673" s="87"/>
      <c r="AE673" s="87"/>
      <c r="AF673" s="87"/>
      <c r="AG673" s="87"/>
      <c r="AH673" s="87"/>
      <c r="AI673" s="87"/>
      <c r="AJ673" s="87"/>
      <c r="AK673" s="87"/>
      <c r="AL673" s="87"/>
      <c r="AM673" s="87"/>
      <c r="AN673" s="87"/>
      <c r="AO673" s="87"/>
      <c r="AP673" s="87"/>
      <c r="AQ673" s="87"/>
      <c r="AR673" s="87"/>
      <c r="AS673" s="87"/>
      <c r="AT673" s="87"/>
      <c r="AU673" s="87"/>
      <c r="AV673" s="87"/>
      <c r="AW673" s="87"/>
      <c r="AX673" s="87"/>
      <c r="AY673" s="87"/>
      <c r="AZ673" s="87"/>
      <c r="BA673" s="87"/>
      <c r="BB673" s="87"/>
      <c r="BC673" s="87"/>
      <c r="BD673" s="87"/>
      <c r="BE673" s="87"/>
      <c r="BF673" s="87"/>
      <c r="BG673" s="87"/>
      <c r="BH673" s="87"/>
      <c r="BI673" s="87"/>
      <c r="BJ673" s="87"/>
      <c r="BK673" s="87"/>
      <c r="BL673" s="87"/>
      <c r="BM673" s="87"/>
      <c r="BN673" s="87"/>
      <c r="BO673" s="87"/>
      <c r="BP673" s="87"/>
      <c r="BQ673" s="87"/>
      <c r="BR673" s="87"/>
      <c r="BS673" s="87"/>
      <c r="BT673" s="87"/>
      <c r="BU673" s="87"/>
      <c r="BV673" s="87"/>
      <c r="BW673" s="87"/>
      <c r="BX673" s="87"/>
      <c r="BY673" s="87"/>
      <c r="BZ673" s="87"/>
      <c r="CA673" s="87"/>
      <c r="CB673" s="87"/>
      <c r="CC673" s="87"/>
      <c r="CD673" s="87"/>
      <c r="CE673" s="87"/>
      <c r="CF673" s="87"/>
      <c r="CG673" s="87"/>
      <c r="CH673" s="87"/>
      <c r="CI673" s="87"/>
      <c r="CJ673" s="105"/>
      <c r="CK673" s="87"/>
      <c r="CL673" s="87"/>
      <c r="CM673" s="87"/>
      <c r="CN673" s="105"/>
      <c r="CO673" s="87"/>
      <c r="CP673" s="87"/>
      <c r="CQ673" s="87"/>
      <c r="CR673" s="87"/>
      <c r="CS673" s="87"/>
      <c r="CT673" s="87"/>
      <c r="CU673" s="87"/>
      <c r="CV673" s="87"/>
      <c r="CW673" s="87"/>
      <c r="CX673" s="87"/>
      <c r="CY673" s="87"/>
      <c r="CZ673" s="87"/>
      <c r="DA673" s="87">
        <f>-2/7*C673</f>
        <v>-2.4285714285714284</v>
      </c>
      <c r="DB673" s="87">
        <f>-DA673</f>
        <v>2.4285714285714284</v>
      </c>
      <c r="DC673" s="87"/>
      <c r="DD673" s="87"/>
      <c r="DE673" s="87"/>
      <c r="DF673" s="87"/>
      <c r="DG673" s="87"/>
      <c r="DH673" s="87"/>
      <c r="DI673" s="87"/>
      <c r="DJ673" s="87"/>
      <c r="DK673" s="87"/>
      <c r="DL673" s="87"/>
      <c r="DM673" s="87"/>
      <c r="DN673" s="87"/>
      <c r="DO673" s="87"/>
      <c r="DP673" s="87"/>
      <c r="DQ673" s="87"/>
      <c r="DR673" s="87"/>
      <c r="DS673" s="87"/>
      <c r="DT673" s="87"/>
      <c r="DU673" s="87"/>
      <c r="DV673" s="87"/>
      <c r="DW673" s="87"/>
      <c r="DX673" s="87"/>
      <c r="DY673" s="87"/>
      <c r="DZ673" s="87"/>
      <c r="EA673" s="87"/>
      <c r="EB673" s="87"/>
      <c r="EC673" s="87"/>
      <c r="ED673" s="87"/>
      <c r="EE673" s="87"/>
      <c r="EF673" s="87"/>
      <c r="EG673" s="87"/>
      <c r="EH673" s="87"/>
      <c r="EI673" s="87"/>
    </row>
    <row r="674" spans="1:139" ht="29.25" hidden="1" thickBot="1" x14ac:dyDescent="0.35">
      <c r="A674" s="358" t="s">
        <v>519</v>
      </c>
      <c r="B674" s="194">
        <v>2</v>
      </c>
      <c r="C674" s="195">
        <f>0.65*85</f>
        <v>55.25</v>
      </c>
      <c r="D674" s="234">
        <f>C674/VLOOKUP(B674,'[2]Gas Prod per PADD'!$A$1:$C$6,2,FALSE)</f>
        <v>2.3020833333333334E-2</v>
      </c>
      <c r="E674" s="196">
        <v>45747</v>
      </c>
      <c r="F674" s="359">
        <v>45797</v>
      </c>
      <c r="G674" s="194" t="s">
        <v>1139</v>
      </c>
      <c r="H674" s="237" t="s">
        <v>1140</v>
      </c>
      <c r="I674" s="73" t="s">
        <v>1141</v>
      </c>
      <c r="J674" s="229"/>
      <c r="K674" s="229"/>
      <c r="L674" s="229"/>
      <c r="M674" s="229"/>
      <c r="N674" s="229"/>
      <c r="O674" s="229"/>
      <c r="P674" s="229"/>
      <c r="Q674" s="229"/>
      <c r="R674" s="85">
        <f>C674*(E674-$R$1)/31</f>
        <v>0</v>
      </c>
      <c r="S674" s="374">
        <f>-C674</f>
        <v>-55.25</v>
      </c>
      <c r="T674" s="85">
        <f>C674*($S$1+1-F674)/31</f>
        <v>-33.862903225806448</v>
      </c>
      <c r="U674" s="85"/>
      <c r="V674" s="84"/>
      <c r="W674" s="84"/>
      <c r="X674" s="84" t="str">
        <f>IF(COUNTA(Y674:EI674)=0,"Missing","OK")</f>
        <v>OK</v>
      </c>
      <c r="Y674" s="74"/>
      <c r="Z674" s="74"/>
      <c r="AA674" s="74"/>
      <c r="AB674" s="74"/>
      <c r="AC674" s="74"/>
      <c r="AD674" s="74"/>
      <c r="AE674" s="74"/>
      <c r="AF674" s="74"/>
      <c r="AG674" s="75"/>
      <c r="AH674" s="74"/>
      <c r="AI674" s="74"/>
      <c r="AJ674" s="74"/>
      <c r="AK674" s="74"/>
      <c r="AL674" s="74"/>
      <c r="AM674" s="74"/>
      <c r="AN674" s="74"/>
      <c r="AO674" s="74"/>
      <c r="AP674" s="74"/>
      <c r="AQ674" s="74"/>
      <c r="AR674" s="75"/>
      <c r="AS674" s="74"/>
      <c r="AT674" s="74"/>
      <c r="AU674" s="74"/>
      <c r="AV674" s="87"/>
      <c r="AW674" s="87"/>
      <c r="AX674" s="87"/>
      <c r="AY674" s="87"/>
      <c r="AZ674" s="87"/>
      <c r="BA674" s="87"/>
      <c r="BB674" s="87"/>
      <c r="BC674" s="87"/>
      <c r="BD674" s="87"/>
      <c r="BE674" s="87"/>
      <c r="BF674" s="74"/>
      <c r="BG674" s="74"/>
      <c r="BH674" s="74"/>
      <c r="BI674" s="74"/>
      <c r="BJ674" s="74"/>
      <c r="BK674" s="74"/>
      <c r="BL674" s="74"/>
      <c r="BM674" s="74"/>
      <c r="BN674" s="74"/>
      <c r="BO674" s="74"/>
      <c r="BP674" s="74"/>
      <c r="BQ674" s="74"/>
      <c r="BR674" s="74"/>
      <c r="BS674" s="74"/>
      <c r="BT674" s="74"/>
      <c r="BU674" s="74"/>
      <c r="BV674" s="74"/>
      <c r="BW674" s="74"/>
      <c r="BX674" s="74"/>
      <c r="BY674" s="74"/>
      <c r="BZ674" s="74"/>
      <c r="CA674" s="74"/>
      <c r="CB674" s="74"/>
      <c r="CC674" s="74"/>
      <c r="CD674" s="74"/>
      <c r="CE674" s="74"/>
      <c r="CF674" s="74"/>
      <c r="CG674" s="74"/>
      <c r="CH674" s="87"/>
      <c r="CI674" s="87"/>
      <c r="CJ674" s="87"/>
      <c r="CK674" s="87"/>
      <c r="CL674" s="87"/>
      <c r="CM674" s="87"/>
      <c r="CN674" s="87"/>
      <c r="CO674" s="87"/>
      <c r="CP674" s="87"/>
      <c r="CQ674" s="87"/>
      <c r="CR674" s="87"/>
      <c r="CS674" s="87"/>
      <c r="CT674" s="87"/>
      <c r="CU674" s="86">
        <f>-C674*4/7</f>
        <v>-31.571428571428573</v>
      </c>
      <c r="CV674" s="86">
        <f>-C674*3/7</f>
        <v>-23.678571428571427</v>
      </c>
      <c r="CW674" s="86"/>
      <c r="CX674" s="86"/>
      <c r="CY674" s="86"/>
      <c r="CZ674" s="86"/>
      <c r="DA674" s="86"/>
      <c r="DB674" s="86">
        <f>C674*3/7</f>
        <v>23.678571428571427</v>
      </c>
      <c r="DC674" s="87">
        <f>4/7*C674</f>
        <v>31.571428571428569</v>
      </c>
      <c r="DD674" s="87"/>
      <c r="DE674" s="87"/>
      <c r="DF674" s="87"/>
      <c r="DG674" s="87"/>
      <c r="DH674" s="87"/>
      <c r="DI674" s="87"/>
      <c r="DJ674" s="87"/>
      <c r="DK674" s="87"/>
      <c r="DL674" s="87"/>
      <c r="DM674" s="87"/>
      <c r="DN674" s="87"/>
      <c r="DO674" s="87"/>
      <c r="DP674" s="87"/>
      <c r="DQ674" s="87"/>
      <c r="DR674" s="87"/>
      <c r="DS674" s="87"/>
      <c r="DT674" s="87"/>
      <c r="DU674" s="87"/>
      <c r="DV674" s="87"/>
      <c r="DW674" s="87"/>
      <c r="DX674" s="87"/>
      <c r="DY674" s="87"/>
      <c r="DZ674" s="87"/>
      <c r="EA674" s="87"/>
      <c r="EB674" s="87"/>
      <c r="EC674" s="87"/>
      <c r="ED674" s="87"/>
      <c r="EE674" s="87"/>
      <c r="EF674" s="87"/>
      <c r="EG674" s="87"/>
      <c r="EH674" s="87"/>
      <c r="EI674" s="87"/>
    </row>
    <row r="675" spans="1:139" ht="16.5" hidden="1" thickBot="1" x14ac:dyDescent="0.35">
      <c r="A675" s="113" t="s">
        <v>519</v>
      </c>
      <c r="B675" s="194">
        <v>2</v>
      </c>
      <c r="C675" s="195">
        <f>57*0.25</f>
        <v>14.25</v>
      </c>
      <c r="D675" s="217">
        <v>2.9999999999999996E-3</v>
      </c>
      <c r="E675" s="346">
        <v>45756</v>
      </c>
      <c r="F675" s="281">
        <v>45797</v>
      </c>
      <c r="G675" s="194" t="s">
        <v>1142</v>
      </c>
      <c r="H675" s="198" t="s">
        <v>1143</v>
      </c>
      <c r="I675" s="84"/>
      <c r="J675" s="85"/>
      <c r="K675" s="85"/>
      <c r="L675" s="85"/>
      <c r="M675" s="85"/>
      <c r="N675" s="85"/>
      <c r="O675" s="85"/>
      <c r="P675" s="85"/>
      <c r="Q675" s="85"/>
      <c r="R675" s="85"/>
      <c r="S675" s="85">
        <f>C675*(E675-$S$1)/30</f>
        <v>-9.9749999999999996</v>
      </c>
      <c r="T675" s="85">
        <f>C675*($S$1+1-F675)/31</f>
        <v>-8.7338709677419359</v>
      </c>
      <c r="U675" s="85"/>
      <c r="V675" s="84"/>
      <c r="W675" s="84"/>
      <c r="X675" s="84" t="str">
        <f>IF(COUNTA(Y675:EI675)=0,"Missing","OK")</f>
        <v>OK</v>
      </c>
      <c r="Y675" s="105"/>
      <c r="Z675" s="105"/>
      <c r="AA675" s="87"/>
      <c r="AB675" s="87"/>
      <c r="AC675" s="87"/>
      <c r="AD675" s="87"/>
      <c r="AE675" s="105"/>
      <c r="AF675" s="105"/>
      <c r="AG675" s="105"/>
      <c r="AH675" s="105"/>
      <c r="AI675" s="87"/>
      <c r="AJ675" s="87"/>
      <c r="AK675" s="87"/>
      <c r="AL675" s="87"/>
      <c r="AM675" s="87"/>
      <c r="AN675" s="87"/>
      <c r="AO675" s="87"/>
      <c r="AP675" s="87"/>
      <c r="AQ675" s="87"/>
      <c r="AR675" s="105"/>
      <c r="AS675" s="105"/>
      <c r="AT675" s="105"/>
      <c r="AU675" s="87"/>
      <c r="AV675" s="87"/>
      <c r="AW675" s="87"/>
      <c r="AX675" s="87"/>
      <c r="AY675" s="87"/>
      <c r="AZ675" s="87"/>
      <c r="BA675" s="87"/>
      <c r="BB675" s="87"/>
      <c r="BC675" s="87"/>
      <c r="BD675" s="87"/>
      <c r="BE675" s="87"/>
      <c r="BF675" s="87"/>
      <c r="BG675" s="87"/>
      <c r="BH675" s="87"/>
      <c r="BI675" s="87"/>
      <c r="BJ675" s="87"/>
      <c r="BK675" s="87"/>
      <c r="BL675" s="87"/>
      <c r="BM675" s="87"/>
      <c r="BN675" s="87"/>
      <c r="BO675" s="87"/>
      <c r="BP675" s="87"/>
      <c r="BQ675" s="87"/>
      <c r="BR675" s="87"/>
      <c r="BS675" s="87"/>
      <c r="BT675" s="87"/>
      <c r="BU675" s="87"/>
      <c r="BV675" s="87"/>
      <c r="BW675" s="87"/>
      <c r="BX675" s="87"/>
      <c r="BY675" s="87"/>
      <c r="BZ675" s="87"/>
      <c r="CA675" s="87"/>
      <c r="CB675" s="87"/>
      <c r="CC675" s="87"/>
      <c r="CD675" s="87"/>
      <c r="CE675" s="87"/>
      <c r="CF675" s="87"/>
      <c r="CG675" s="87"/>
      <c r="CH675" s="87"/>
      <c r="CI675" s="87"/>
      <c r="CJ675" s="87"/>
      <c r="CK675" s="87"/>
      <c r="CL675" s="87"/>
      <c r="CM675" s="87"/>
      <c r="CN675" s="87"/>
      <c r="CO675" s="87"/>
      <c r="CP675" s="87"/>
      <c r="CQ675" s="87"/>
      <c r="CR675" s="87"/>
      <c r="CS675" s="87"/>
      <c r="CT675" s="87"/>
      <c r="CU675" s="87"/>
      <c r="CV675" s="87">
        <f>-2/7*C675</f>
        <v>-4.0714285714285712</v>
      </c>
      <c r="CW675" s="87">
        <f>-5/7*C675</f>
        <v>-10.178571428571429</v>
      </c>
      <c r="CX675" s="87"/>
      <c r="CY675" s="87"/>
      <c r="CZ675" s="87"/>
      <c r="DA675" s="87"/>
      <c r="DB675" s="87">
        <f>2/7*C675</f>
        <v>4.0714285714285712</v>
      </c>
      <c r="DC675" s="105">
        <f>C675-DB675</f>
        <v>10.178571428571429</v>
      </c>
      <c r="DD675" s="87"/>
      <c r="DE675" s="87"/>
      <c r="DF675" s="87"/>
      <c r="DG675" s="87"/>
      <c r="DH675" s="87"/>
      <c r="DI675" s="87"/>
      <c r="DJ675" s="87"/>
      <c r="DK675" s="87"/>
      <c r="DL675" s="87"/>
      <c r="DM675" s="87"/>
      <c r="DN675" s="87"/>
      <c r="DO675" s="87"/>
      <c r="DP675" s="87"/>
      <c r="DQ675" s="87"/>
      <c r="DR675" s="87"/>
      <c r="DS675" s="87"/>
      <c r="DT675" s="87"/>
      <c r="DU675" s="87"/>
      <c r="DV675" s="87"/>
      <c r="DW675" s="87"/>
      <c r="DX675" s="87"/>
      <c r="DY675" s="87"/>
      <c r="DZ675" s="87"/>
      <c r="EA675" s="87"/>
      <c r="EB675" s="87"/>
      <c r="EC675" s="87"/>
      <c r="ED675" s="87"/>
      <c r="EE675" s="87"/>
      <c r="EF675" s="87"/>
      <c r="EG675" s="87"/>
      <c r="EH675" s="87"/>
      <c r="EI675" s="87"/>
    </row>
    <row r="676" spans="1:139" ht="36" hidden="1" customHeight="1" thickBot="1" x14ac:dyDescent="0.35">
      <c r="A676" s="219" t="s">
        <v>1144</v>
      </c>
      <c r="B676" s="194">
        <v>3</v>
      </c>
      <c r="C676" s="195">
        <f>96*0.65</f>
        <v>62.400000000000006</v>
      </c>
      <c r="D676" s="217">
        <f>C676/VLOOKUP(B676,'[2]Gas Prod per PADD'!$A$1:$C$6,2,FALSE)</f>
        <v>1.3565217391304349E-2</v>
      </c>
      <c r="E676" s="178">
        <v>45796</v>
      </c>
      <c r="F676" s="359">
        <v>45797</v>
      </c>
      <c r="G676" s="194" t="s">
        <v>1145</v>
      </c>
      <c r="H676" s="230" t="s">
        <v>1146</v>
      </c>
      <c r="I676" s="84"/>
      <c r="J676" s="85"/>
      <c r="K676" s="85"/>
      <c r="L676" s="85"/>
      <c r="M676" s="85"/>
      <c r="N676" s="85"/>
      <c r="O676" s="85"/>
      <c r="P676" s="85"/>
      <c r="Q676" s="85"/>
      <c r="R676" s="85"/>
      <c r="S676" s="85"/>
      <c r="T676" s="85">
        <f>C676*(E676-F676)/31</f>
        <v>-2.0129032258064519</v>
      </c>
      <c r="U676" s="85"/>
      <c r="V676" s="84"/>
      <c r="W676" s="84"/>
      <c r="X676" s="84"/>
      <c r="Y676" s="105"/>
      <c r="Z676" s="105"/>
      <c r="AA676" s="87"/>
      <c r="AB676" s="87"/>
      <c r="AC676" s="87"/>
      <c r="AD676" s="87"/>
      <c r="AE676" s="105"/>
      <c r="AF676" s="105"/>
      <c r="AG676" s="105"/>
      <c r="AH676" s="105"/>
      <c r="AI676" s="87"/>
      <c r="AJ676" s="87"/>
      <c r="AK676" s="87"/>
      <c r="AL676" s="87"/>
      <c r="AM676" s="87"/>
      <c r="AN676" s="87"/>
      <c r="AO676" s="87"/>
      <c r="AP676" s="87"/>
      <c r="AQ676" s="87"/>
      <c r="AR676" s="87"/>
      <c r="AS676" s="87"/>
      <c r="AT676" s="87"/>
      <c r="AU676" s="87"/>
      <c r="AV676" s="87"/>
      <c r="AW676" s="87"/>
      <c r="AX676" s="87"/>
      <c r="AY676" s="87"/>
      <c r="AZ676" s="87"/>
      <c r="BA676" s="87"/>
      <c r="BB676" s="87"/>
      <c r="BC676" s="87"/>
      <c r="BD676" s="87"/>
      <c r="BE676" s="87"/>
      <c r="BF676" s="87"/>
      <c r="BG676" s="87"/>
      <c r="BH676" s="87"/>
      <c r="BI676" s="87"/>
      <c r="BJ676" s="87"/>
      <c r="BK676" s="87"/>
      <c r="BL676" s="87"/>
      <c r="BM676" s="87"/>
      <c r="BN676" s="87"/>
      <c r="BO676" s="87"/>
      <c r="BP676" s="87"/>
      <c r="BQ676" s="87"/>
      <c r="BR676" s="87"/>
      <c r="BS676" s="87"/>
      <c r="BT676" s="87"/>
      <c r="BU676" s="87"/>
      <c r="BV676" s="87"/>
      <c r="BW676" s="87"/>
      <c r="BX676" s="87"/>
      <c r="BY676" s="87"/>
      <c r="BZ676" s="87"/>
      <c r="CA676" s="87"/>
      <c r="CB676" s="87"/>
      <c r="CC676" s="87"/>
      <c r="CD676" s="87"/>
      <c r="CE676" s="87"/>
      <c r="CF676" s="87"/>
      <c r="CG676" s="87"/>
      <c r="CH676" s="87"/>
      <c r="CI676" s="87"/>
      <c r="CJ676" s="87"/>
      <c r="CK676" s="87"/>
      <c r="CL676" s="87"/>
      <c r="CM676" s="87"/>
      <c r="CN676" s="87"/>
      <c r="CO676" s="87"/>
      <c r="CP676" s="87"/>
      <c r="CQ676" s="87"/>
      <c r="CR676" s="87"/>
      <c r="CS676" s="87"/>
      <c r="CT676" s="87"/>
      <c r="CU676" s="87"/>
      <c r="CV676" s="87"/>
      <c r="CW676" s="87"/>
      <c r="CX676" s="87"/>
      <c r="CY676" s="87"/>
      <c r="CZ676" s="87"/>
      <c r="DA676" s="87"/>
      <c r="DB676" s="87">
        <f>-2/7*C676</f>
        <v>-17.828571428571429</v>
      </c>
      <c r="DC676" s="105">
        <f>-DB676</f>
        <v>17.828571428571429</v>
      </c>
      <c r="DD676" s="87"/>
      <c r="DE676" s="87"/>
      <c r="DF676" s="87"/>
      <c r="DG676" s="87"/>
      <c r="DH676" s="87"/>
      <c r="DI676" s="87"/>
      <c r="DJ676" s="87"/>
      <c r="DK676" s="87"/>
      <c r="DL676" s="87"/>
      <c r="DM676" s="87"/>
      <c r="DN676" s="87"/>
      <c r="DO676" s="87"/>
      <c r="DP676" s="87"/>
      <c r="DQ676" s="87"/>
      <c r="DR676" s="87"/>
      <c r="DS676" s="87"/>
      <c r="DT676" s="87"/>
      <c r="DU676" s="87"/>
      <c r="DV676" s="87"/>
      <c r="DW676" s="87"/>
      <c r="DX676" s="87"/>
      <c r="DY676" s="87"/>
      <c r="DZ676" s="87"/>
      <c r="EA676" s="87"/>
      <c r="EB676" s="87"/>
      <c r="EC676" s="87"/>
      <c r="ED676" s="87"/>
      <c r="EE676" s="87"/>
      <c r="EF676" s="87"/>
      <c r="EG676" s="87"/>
      <c r="EH676" s="87"/>
      <c r="EI676" s="87"/>
    </row>
    <row r="677" spans="1:139" ht="16.5" hidden="1" thickBot="1" x14ac:dyDescent="0.35">
      <c r="A677" s="113" t="s">
        <v>1147</v>
      </c>
      <c r="B677" s="199">
        <v>4</v>
      </c>
      <c r="C677" s="195">
        <f>12.5*0.85+(26*0.1)+(88*0.1*0.3)+(16*0.1*0.3)</f>
        <v>16.344999999999999</v>
      </c>
      <c r="D677" s="217">
        <f>C677/VLOOKUP(B677,'[2]Gas Prod per PADD'!$A$1:$C$6,2,FALSE)</f>
        <v>4.8073529411764702E-2</v>
      </c>
      <c r="E677" s="235">
        <v>45759</v>
      </c>
      <c r="F677" s="281">
        <v>45798</v>
      </c>
      <c r="G677" s="194" t="s">
        <v>1148</v>
      </c>
      <c r="H677" s="181" t="s">
        <v>1149</v>
      </c>
      <c r="I677" s="84"/>
      <c r="J677" s="85"/>
      <c r="K677" s="85"/>
      <c r="L677" s="85"/>
      <c r="M677" s="85"/>
      <c r="N677" s="85"/>
      <c r="O677" s="85"/>
      <c r="P677" s="85"/>
      <c r="Q677" s="85"/>
      <c r="R677" s="85"/>
      <c r="S677" s="85">
        <f>C677*(E677-$S$1)/30</f>
        <v>-9.8069999999999986</v>
      </c>
      <c r="T677" s="85">
        <f>C677*($S$1+1-F677)/31</f>
        <v>-10.54516129032258</v>
      </c>
      <c r="U677" s="85"/>
      <c r="V677" s="84"/>
      <c r="W677" s="84"/>
      <c r="X677" s="84"/>
      <c r="Y677" s="87"/>
      <c r="Z677" s="87"/>
      <c r="AA677" s="87"/>
      <c r="AB677" s="87"/>
      <c r="AC677" s="87"/>
      <c r="AD677" s="87"/>
      <c r="AE677" s="87"/>
      <c r="AF677" s="87"/>
      <c r="AG677" s="87"/>
      <c r="AH677" s="87"/>
      <c r="AI677" s="87"/>
      <c r="AJ677" s="87"/>
      <c r="AK677" s="87"/>
      <c r="AL677" s="87"/>
      <c r="AM677" s="87"/>
      <c r="AN677" s="87"/>
      <c r="AO677" s="87"/>
      <c r="AP677" s="87"/>
      <c r="AQ677" s="87"/>
      <c r="AR677" s="87"/>
      <c r="AS677" s="87"/>
      <c r="AT677" s="87"/>
      <c r="AU677" s="87"/>
      <c r="AV677" s="87"/>
      <c r="AW677" s="87"/>
      <c r="AX677" s="87"/>
      <c r="AY677" s="87"/>
      <c r="AZ677" s="87"/>
      <c r="BA677" s="87"/>
      <c r="BB677" s="87"/>
      <c r="BC677" s="87"/>
      <c r="BD677" s="87"/>
      <c r="BE677" s="87"/>
      <c r="BF677" s="87"/>
      <c r="BG677" s="87"/>
      <c r="BH677" s="87"/>
      <c r="BI677" s="87"/>
      <c r="BJ677" s="87"/>
      <c r="BK677" s="87"/>
      <c r="BL677" s="87"/>
      <c r="BM677" s="87"/>
      <c r="BN677" s="87"/>
      <c r="BO677" s="87"/>
      <c r="BP677" s="87"/>
      <c r="BQ677" s="87"/>
      <c r="BR677" s="87"/>
      <c r="BS677" s="87"/>
      <c r="BT677" s="87"/>
      <c r="BU677" s="87"/>
      <c r="BV677" s="87"/>
      <c r="BW677" s="87"/>
      <c r="BX677" s="87"/>
      <c r="BY677" s="87"/>
      <c r="BZ677" s="87"/>
      <c r="CA677" s="87"/>
      <c r="CB677" s="87"/>
      <c r="CC677" s="87"/>
      <c r="CD677" s="87"/>
      <c r="CE677" s="87"/>
      <c r="CF677" s="87"/>
      <c r="CG677" s="87"/>
      <c r="CH677" s="87"/>
      <c r="CI677" s="87"/>
      <c r="CJ677" s="87"/>
      <c r="CK677" s="87"/>
      <c r="CL677" s="87"/>
      <c r="CM677" s="87"/>
      <c r="CN677" s="87"/>
      <c r="CO677" s="87"/>
      <c r="CP677" s="87"/>
      <c r="CQ677" s="87"/>
      <c r="CR677" s="87"/>
      <c r="CS677" s="87"/>
      <c r="CT677" s="87"/>
      <c r="CU677" s="87"/>
      <c r="CV677" s="87"/>
      <c r="CW677" s="87">
        <f>-6/7*C677</f>
        <v>-14.009999999999998</v>
      </c>
      <c r="CX677" s="87">
        <f>-C677*1/7</f>
        <v>-2.335</v>
      </c>
      <c r="CY677" s="87"/>
      <c r="CZ677" s="87"/>
      <c r="DA677" s="87"/>
      <c r="DB677" s="87">
        <f>-CX677</f>
        <v>2.335</v>
      </c>
      <c r="DC677" s="87">
        <f>-CW677</f>
        <v>14.009999999999998</v>
      </c>
      <c r="DD677" s="87"/>
      <c r="DE677" s="87"/>
      <c r="DF677" s="87"/>
      <c r="DG677" s="87"/>
      <c r="DH677" s="87"/>
      <c r="DI677" s="87"/>
      <c r="DJ677" s="87"/>
      <c r="DK677" s="87"/>
      <c r="DL677" s="87"/>
      <c r="DM677" s="87"/>
      <c r="DN677" s="87"/>
      <c r="DO677" s="87"/>
      <c r="DP677" s="87"/>
      <c r="DQ677" s="87"/>
      <c r="DR677" s="87"/>
      <c r="DS677" s="87"/>
      <c r="DT677" s="87"/>
      <c r="DU677" s="87"/>
      <c r="DV677" s="87"/>
      <c r="DW677" s="87"/>
      <c r="DX677" s="87"/>
      <c r="DY677" s="87"/>
      <c r="DZ677" s="87"/>
      <c r="EA677" s="87"/>
      <c r="EB677" s="87"/>
      <c r="EC677" s="87"/>
      <c r="ED677" s="87"/>
      <c r="EE677" s="87"/>
      <c r="EF677" s="87"/>
      <c r="EG677" s="87"/>
      <c r="EH677" s="87"/>
      <c r="EI677" s="87"/>
    </row>
    <row r="678" spans="1:139" ht="16.5" hidden="1" thickBot="1" x14ac:dyDescent="0.35">
      <c r="A678" s="218" t="s">
        <v>780</v>
      </c>
      <c r="B678" s="194">
        <v>2</v>
      </c>
      <c r="C678" s="195">
        <f>0.25*91.2</f>
        <v>22.8</v>
      </c>
      <c r="D678" s="217">
        <f>C678/VLOOKUP(B678,'[2]Gas Prod per PADD'!$A$1:$C$6,2,FALSE)</f>
        <v>9.4999999999999998E-3</v>
      </c>
      <c r="E678" s="346">
        <v>45796</v>
      </c>
      <c r="F678" s="252">
        <v>45798</v>
      </c>
      <c r="G678" s="180" t="s">
        <v>917</v>
      </c>
      <c r="H678" s="377" t="s">
        <v>1150</v>
      </c>
      <c r="I678" s="84"/>
      <c r="J678" s="85"/>
      <c r="K678" s="85"/>
      <c r="L678" s="85"/>
      <c r="M678" s="85"/>
      <c r="N678" s="85"/>
      <c r="O678" s="85"/>
      <c r="P678" s="85"/>
      <c r="Q678" s="85"/>
      <c r="R678" s="85"/>
      <c r="S678" s="85"/>
      <c r="T678" s="85">
        <f>C678*(E678-F678)/31</f>
        <v>-1.4709677419354839</v>
      </c>
      <c r="U678" s="85"/>
      <c r="V678" s="84"/>
      <c r="W678" s="84"/>
      <c r="X678" s="84"/>
      <c r="Y678" s="87"/>
      <c r="Z678" s="87"/>
      <c r="AA678" s="87"/>
      <c r="AB678" s="87"/>
      <c r="AC678" s="87"/>
      <c r="AD678" s="87"/>
      <c r="AE678" s="87"/>
      <c r="AF678" s="87"/>
      <c r="AG678" s="87"/>
      <c r="AH678" s="87"/>
      <c r="AI678" s="87"/>
      <c r="AJ678" s="87"/>
      <c r="AK678" s="87"/>
      <c r="AL678" s="87"/>
      <c r="AM678" s="87"/>
      <c r="AN678" s="87"/>
      <c r="AO678" s="87"/>
      <c r="AP678" s="87"/>
      <c r="AQ678" s="87"/>
      <c r="AR678" s="87"/>
      <c r="AS678" s="87"/>
      <c r="AT678" s="87"/>
      <c r="AU678" s="87"/>
      <c r="AV678" s="87"/>
      <c r="AW678" s="87"/>
      <c r="AX678" s="87"/>
      <c r="AY678" s="87"/>
      <c r="AZ678" s="87"/>
      <c r="BA678" s="87"/>
      <c r="BB678" s="87"/>
      <c r="BC678" s="87"/>
      <c r="BD678" s="87"/>
      <c r="BE678" s="87"/>
      <c r="BF678" s="87"/>
      <c r="BG678" s="87"/>
      <c r="BH678" s="87"/>
      <c r="BI678" s="87"/>
      <c r="BJ678" s="87"/>
      <c r="BK678" s="87"/>
      <c r="BL678" s="87"/>
      <c r="BM678" s="87"/>
      <c r="BN678" s="87"/>
      <c r="BO678" s="87"/>
      <c r="BP678" s="87"/>
      <c r="BQ678" s="87"/>
      <c r="BR678" s="87"/>
      <c r="BS678" s="87"/>
      <c r="BT678" s="87"/>
      <c r="BU678" s="87"/>
      <c r="BV678" s="87"/>
      <c r="BW678" s="87"/>
      <c r="BX678" s="87"/>
      <c r="BY678" s="87"/>
      <c r="BZ678" s="87"/>
      <c r="CA678" s="87"/>
      <c r="CB678" s="87"/>
      <c r="CC678" s="87"/>
      <c r="CD678" s="87"/>
      <c r="CE678" s="87"/>
      <c r="CF678" s="87"/>
      <c r="CG678" s="87"/>
      <c r="CH678" s="87"/>
      <c r="CI678" s="87"/>
      <c r="CJ678" s="87"/>
      <c r="CK678" s="87"/>
      <c r="CL678" s="87"/>
      <c r="CM678" s="87"/>
      <c r="CN678" s="87"/>
      <c r="CO678" s="87"/>
      <c r="CP678" s="87"/>
      <c r="CQ678" s="87"/>
      <c r="CR678" s="87"/>
      <c r="CS678" s="87"/>
      <c r="CT678" s="87"/>
      <c r="CU678" s="87"/>
      <c r="CV678" s="87"/>
      <c r="CW678" s="87"/>
      <c r="CX678" s="87"/>
      <c r="CY678" s="87"/>
      <c r="CZ678" s="87"/>
      <c r="DA678" s="87"/>
      <c r="DB678" s="87">
        <f>-C678*2/7</f>
        <v>-6.5142857142857142</v>
      </c>
      <c r="DC678" s="87">
        <f>-DB678</f>
        <v>6.5142857142857142</v>
      </c>
      <c r="DD678" s="87"/>
      <c r="DE678" s="87"/>
      <c r="DF678" s="87"/>
      <c r="DG678" s="87"/>
      <c r="DH678" s="87"/>
      <c r="DI678" s="87"/>
      <c r="DJ678" s="87"/>
      <c r="DK678" s="87"/>
      <c r="DL678" s="87"/>
      <c r="DM678" s="87"/>
      <c r="DN678" s="87"/>
      <c r="DO678" s="87"/>
      <c r="DP678" s="87"/>
      <c r="DQ678" s="87"/>
      <c r="DR678" s="87"/>
      <c r="DS678" s="87"/>
      <c r="DT678" s="87"/>
      <c r="DU678" s="87"/>
      <c r="DV678" s="87"/>
      <c r="DW678" s="87"/>
      <c r="DX678" s="87"/>
      <c r="DY678" s="87"/>
      <c r="DZ678" s="87"/>
      <c r="EA678" s="87"/>
      <c r="EB678" s="87"/>
      <c r="EC678" s="87"/>
      <c r="ED678" s="87"/>
      <c r="EE678" s="87"/>
      <c r="EF678" s="87"/>
      <c r="EG678" s="87"/>
      <c r="EH678" s="87"/>
      <c r="EI678" s="87"/>
    </row>
    <row r="679" spans="1:139" ht="29.25" hidden="1" thickBot="1" x14ac:dyDescent="0.35">
      <c r="A679" s="222" t="s">
        <v>330</v>
      </c>
      <c r="B679" s="191">
        <v>3</v>
      </c>
      <c r="C679" s="177">
        <f>128*0.1+(32*0.85)</f>
        <v>40</v>
      </c>
      <c r="D679" s="217">
        <f>C679/VLOOKUP(B679,'[2]Gas Prod per PADD'!$A$1:$C$6,2,FALSE)</f>
        <v>8.6956521739130436E-3</v>
      </c>
      <c r="E679" s="220">
        <v>45792</v>
      </c>
      <c r="F679" s="252">
        <v>45799</v>
      </c>
      <c r="G679" s="180" t="s">
        <v>1151</v>
      </c>
      <c r="H679" s="181" t="s">
        <v>1152</v>
      </c>
      <c r="I679" s="84" t="s">
        <v>1153</v>
      </c>
      <c r="J679" s="85"/>
      <c r="K679" s="85"/>
      <c r="L679" s="85"/>
      <c r="M679" s="85"/>
      <c r="N679" s="85"/>
      <c r="O679" s="85"/>
      <c r="P679" s="85"/>
      <c r="Q679" s="85"/>
      <c r="R679" s="85"/>
      <c r="S679" s="85"/>
      <c r="T679" s="85">
        <f>C679*(E679-F679)/31</f>
        <v>-9.0322580645161299</v>
      </c>
      <c r="U679" s="85"/>
      <c r="V679" s="84"/>
      <c r="W679" s="84"/>
      <c r="X679" s="84"/>
      <c r="Y679" s="86"/>
      <c r="Z679" s="86"/>
      <c r="AA679" s="87"/>
      <c r="AB679" s="87"/>
      <c r="AC679" s="87"/>
      <c r="AD679" s="87"/>
      <c r="AE679" s="87"/>
      <c r="AF679" s="87"/>
      <c r="AG679" s="87"/>
      <c r="AH679" s="87"/>
      <c r="AI679" s="87"/>
      <c r="AJ679" s="87"/>
      <c r="AK679" s="87"/>
      <c r="AL679" s="87"/>
      <c r="AM679" s="87"/>
      <c r="AN679" s="87"/>
      <c r="AO679" s="87"/>
      <c r="AP679" s="87"/>
      <c r="AQ679" s="87"/>
      <c r="AR679" s="87"/>
      <c r="AS679" s="87"/>
      <c r="AT679" s="87"/>
      <c r="AU679" s="87"/>
      <c r="AV679" s="87"/>
      <c r="AW679" s="87"/>
      <c r="AX679" s="87"/>
      <c r="AY679" s="87"/>
      <c r="AZ679" s="87"/>
      <c r="BA679" s="87"/>
      <c r="BB679" s="87"/>
      <c r="BC679" s="87"/>
      <c r="BD679" s="87"/>
      <c r="BE679" s="87"/>
      <c r="BF679" s="87"/>
      <c r="BG679" s="87"/>
      <c r="BH679" s="87"/>
      <c r="BI679" s="87"/>
      <c r="BJ679" s="87"/>
      <c r="BK679" s="87"/>
      <c r="BL679" s="87"/>
      <c r="BM679" s="87"/>
      <c r="BN679" s="87"/>
      <c r="BO679" s="87"/>
      <c r="BP679" s="87"/>
      <c r="BQ679" s="87"/>
      <c r="BR679" s="87"/>
      <c r="BS679" s="87"/>
      <c r="BT679" s="87"/>
      <c r="BU679" s="87"/>
      <c r="BV679" s="87"/>
      <c r="BW679" s="87"/>
      <c r="BX679" s="87"/>
      <c r="BY679" s="87"/>
      <c r="BZ679" s="87"/>
      <c r="CA679" s="87"/>
      <c r="CB679" s="87"/>
      <c r="CC679" s="87"/>
      <c r="CD679" s="87"/>
      <c r="CE679" s="87"/>
      <c r="CF679" s="87"/>
      <c r="CG679" s="87"/>
      <c r="CH679" s="87"/>
      <c r="CI679" s="87"/>
      <c r="CJ679" s="87"/>
      <c r="CK679" s="87"/>
      <c r="CL679" s="87"/>
      <c r="CM679" s="87"/>
      <c r="CN679" s="87"/>
      <c r="CO679" s="87"/>
      <c r="CP679" s="87"/>
      <c r="CQ679" s="87"/>
      <c r="CR679" s="87"/>
      <c r="CS679" s="87"/>
      <c r="CT679" s="87"/>
      <c r="CU679" s="87"/>
      <c r="CV679" s="87"/>
      <c r="CW679" s="87"/>
      <c r="CX679" s="87"/>
      <c r="CY679" s="87"/>
      <c r="CZ679" s="87"/>
      <c r="DA679" s="87">
        <f>-2/7*C679</f>
        <v>-11.428571428571427</v>
      </c>
      <c r="DB679" s="87">
        <f>-C679*5/7</f>
        <v>-28.571428571428573</v>
      </c>
      <c r="DC679" s="87">
        <f>C679*1/7</f>
        <v>5.7142857142857144</v>
      </c>
      <c r="DD679" s="87">
        <f>C679*6/7</f>
        <v>34.285714285714285</v>
      </c>
      <c r="DE679" s="87"/>
      <c r="DF679" s="87"/>
      <c r="DG679" s="87"/>
      <c r="DH679" s="87"/>
      <c r="DI679" s="87"/>
      <c r="DJ679" s="87"/>
      <c r="DK679" s="87"/>
      <c r="DL679" s="87"/>
      <c r="DM679" s="87"/>
      <c r="DN679" s="87"/>
      <c r="DO679" s="87"/>
      <c r="DP679" s="87"/>
      <c r="DQ679" s="87"/>
      <c r="DR679" s="87"/>
      <c r="DS679" s="87"/>
      <c r="DT679" s="87"/>
      <c r="DU679" s="87"/>
      <c r="DV679" s="87"/>
      <c r="DW679" s="87"/>
      <c r="DX679" s="87"/>
      <c r="DY679" s="87"/>
      <c r="DZ679" s="87"/>
      <c r="EA679" s="87"/>
      <c r="EB679" s="87"/>
      <c r="EC679" s="87"/>
      <c r="ED679" s="87"/>
      <c r="EE679" s="87"/>
      <c r="EF679" s="87"/>
      <c r="EG679" s="87"/>
      <c r="EH679" s="87"/>
      <c r="EI679" s="87"/>
    </row>
    <row r="680" spans="1:139" ht="16.5" hidden="1" thickBot="1" x14ac:dyDescent="0.35">
      <c r="A680" s="175" t="s">
        <v>630</v>
      </c>
      <c r="B680" s="191">
        <v>5</v>
      </c>
      <c r="C680" s="177">
        <f>15*0.25</f>
        <v>3.75</v>
      </c>
      <c r="D680" s="234">
        <f>C680/VLOOKUP(B680,'[2]Gas Prod per PADD'!$A$1:$C$6,2,FALSE)</f>
        <v>2.7777777777777779E-3</v>
      </c>
      <c r="E680" s="220">
        <v>45798</v>
      </c>
      <c r="F680" s="252">
        <v>45799</v>
      </c>
      <c r="G680" s="180" t="s">
        <v>1154</v>
      </c>
      <c r="H680" s="198" t="s">
        <v>543</v>
      </c>
      <c r="I680" s="305"/>
      <c r="J680" s="306"/>
      <c r="K680" s="306"/>
      <c r="L680" s="306"/>
      <c r="M680" s="306"/>
      <c r="N680" s="306"/>
      <c r="O680" s="306"/>
      <c r="P680" s="306"/>
      <c r="Q680" s="306"/>
      <c r="R680" s="306"/>
      <c r="S680" s="306"/>
      <c r="T680" s="85">
        <f>C680*(E680-F680)/31</f>
        <v>-0.12096774193548387</v>
      </c>
      <c r="U680" s="85"/>
      <c r="V680" s="84"/>
      <c r="W680" s="84"/>
      <c r="X680" s="84"/>
      <c r="Y680" s="105"/>
      <c r="Z680" s="105"/>
      <c r="AA680" s="87"/>
      <c r="AB680" s="87"/>
      <c r="AC680" s="87"/>
      <c r="AD680" s="87"/>
      <c r="AE680" s="105"/>
      <c r="AF680" s="105"/>
      <c r="AG680" s="105"/>
      <c r="AH680" s="105"/>
      <c r="AI680" s="87"/>
      <c r="AJ680" s="87"/>
      <c r="AK680" s="105"/>
      <c r="AL680" s="87"/>
      <c r="AM680" s="105"/>
      <c r="AN680" s="105"/>
      <c r="AO680" s="87"/>
      <c r="AP680" s="87"/>
      <c r="AQ680" s="105"/>
      <c r="AR680" s="105"/>
      <c r="AS680" s="87"/>
      <c r="AT680" s="105"/>
      <c r="AU680" s="105"/>
      <c r="AV680" s="87"/>
      <c r="AW680" s="105"/>
      <c r="AX680" s="105"/>
      <c r="AY680" s="87"/>
      <c r="AZ680" s="105"/>
      <c r="BA680" s="105"/>
      <c r="BB680" s="105"/>
      <c r="BC680" s="87"/>
      <c r="BD680" s="87"/>
      <c r="BE680" s="105"/>
      <c r="BF680" s="105"/>
      <c r="BG680" s="105"/>
      <c r="BH680" s="105"/>
      <c r="BI680" s="105"/>
      <c r="BJ680" s="87"/>
      <c r="BK680" s="87"/>
      <c r="BL680" s="87"/>
      <c r="BM680" s="87"/>
      <c r="BN680" s="87"/>
      <c r="BO680" s="87"/>
      <c r="BP680" s="87"/>
      <c r="BQ680" s="87"/>
      <c r="BR680" s="87"/>
      <c r="BS680" s="87"/>
      <c r="BT680" s="87"/>
      <c r="BU680" s="87"/>
      <c r="BV680" s="87"/>
      <c r="BW680" s="87"/>
      <c r="BX680" s="87"/>
      <c r="BY680" s="87"/>
      <c r="BZ680" s="87"/>
      <c r="CA680" s="87"/>
      <c r="CB680" s="87"/>
      <c r="CC680" s="87"/>
      <c r="CD680" s="87"/>
      <c r="CE680" s="87"/>
      <c r="CF680" s="87"/>
      <c r="CG680" s="87"/>
      <c r="CH680" s="87"/>
      <c r="CI680" s="87"/>
      <c r="CJ680" s="87"/>
      <c r="CK680" s="87"/>
      <c r="CL680" s="87"/>
      <c r="CM680" s="87"/>
      <c r="CN680" s="87"/>
      <c r="CO680" s="87"/>
      <c r="CP680" s="87"/>
      <c r="CQ680" s="105"/>
      <c r="CR680" s="87"/>
      <c r="CS680" s="87"/>
      <c r="CT680" s="87"/>
      <c r="CU680" s="87"/>
      <c r="CV680" s="87"/>
      <c r="CW680" s="87"/>
      <c r="CX680" s="87"/>
      <c r="CY680" s="105"/>
      <c r="CZ680" s="87"/>
      <c r="DA680" s="87"/>
      <c r="DB680" s="87">
        <f>-1/7*C680</f>
        <v>-0.5357142857142857</v>
      </c>
      <c r="DC680" s="87">
        <f>-DB680</f>
        <v>0.5357142857142857</v>
      </c>
      <c r="DD680" s="87"/>
      <c r="DE680" s="87"/>
      <c r="DF680" s="87"/>
      <c r="DG680" s="87"/>
      <c r="DH680" s="87"/>
      <c r="DI680" s="87"/>
      <c r="DJ680" s="87"/>
      <c r="DK680" s="87"/>
      <c r="DL680" s="87"/>
      <c r="DM680" s="87"/>
      <c r="DN680" s="87"/>
      <c r="DO680" s="87"/>
      <c r="DP680" s="87"/>
      <c r="DQ680" s="87"/>
      <c r="DR680" s="87"/>
      <c r="DS680" s="87"/>
      <c r="DT680" s="87"/>
      <c r="DU680" s="87"/>
      <c r="DV680" s="87"/>
      <c r="DW680" s="87"/>
      <c r="DX680" s="87"/>
      <c r="DY680" s="87"/>
      <c r="DZ680" s="105"/>
      <c r="EA680" s="87"/>
      <c r="EB680" s="87"/>
      <c r="EC680" s="87"/>
      <c r="ED680" s="87"/>
      <c r="EE680" s="87"/>
      <c r="EF680" s="87"/>
      <c r="EG680" s="75"/>
      <c r="EH680" s="75"/>
      <c r="EI680" s="75"/>
    </row>
    <row r="681" spans="1:139" ht="16.5" hidden="1" thickBot="1" x14ac:dyDescent="0.35">
      <c r="A681" s="358" t="s">
        <v>1126</v>
      </c>
      <c r="B681" s="194">
        <v>2</v>
      </c>
      <c r="C681" s="195">
        <f>(0.85*6.5)+(2*0.65)</f>
        <v>6.8249999999999993</v>
      </c>
      <c r="D681" s="234">
        <f>C681/VLOOKUP(B681,'[2]Gas Prod per PADD'!$A$1:$C$6,2,FALSE)</f>
        <v>2.8437499999999995E-3</v>
      </c>
      <c r="E681" s="196">
        <v>45771</v>
      </c>
      <c r="F681" s="281">
        <v>45800</v>
      </c>
      <c r="G681" s="194" t="s">
        <v>1155</v>
      </c>
      <c r="H681" s="198"/>
      <c r="I681" s="84"/>
      <c r="J681" s="85"/>
      <c r="K681" s="85"/>
      <c r="L681" s="85"/>
      <c r="M681" s="85"/>
      <c r="N681" s="85"/>
      <c r="O681" s="85"/>
      <c r="P681" s="85"/>
      <c r="Q681" s="85"/>
      <c r="R681" s="85"/>
      <c r="S681" s="85">
        <f>C681*(E681-$S$1)/30</f>
        <v>-1.3649999999999998</v>
      </c>
      <c r="T681" s="85">
        <f>C681*($S$1+1-F681)/31</f>
        <v>-4.8435483870967735</v>
      </c>
      <c r="U681" s="85"/>
      <c r="V681" s="84"/>
      <c r="W681" s="84"/>
      <c r="X681" s="84" t="str">
        <f>IF(COUNTA(Y681:EI681)=0,"Missing","OK")</f>
        <v>OK</v>
      </c>
      <c r="Y681" s="87"/>
      <c r="Z681" s="87"/>
      <c r="AA681" s="87"/>
      <c r="AB681" s="87"/>
      <c r="AC681" s="87"/>
      <c r="AD681" s="87"/>
      <c r="AE681" s="87"/>
      <c r="AF681" s="87"/>
      <c r="AG681" s="87"/>
      <c r="AH681" s="87"/>
      <c r="AI681" s="87"/>
      <c r="AJ681" s="87"/>
      <c r="AK681" s="87"/>
      <c r="AL681" s="87"/>
      <c r="AM681" s="87"/>
      <c r="AN681" s="87"/>
      <c r="AO681" s="87"/>
      <c r="AP681" s="87"/>
      <c r="AQ681" s="87"/>
      <c r="AR681" s="87"/>
      <c r="AS681" s="87"/>
      <c r="AT681" s="87"/>
      <c r="AU681" s="87"/>
      <c r="AV681" s="87"/>
      <c r="AW681" s="87"/>
      <c r="AX681" s="87"/>
      <c r="AY681" s="87"/>
      <c r="AZ681" s="87"/>
      <c r="BA681" s="87"/>
      <c r="BB681" s="87"/>
      <c r="BC681" s="87"/>
      <c r="BD681" s="87"/>
      <c r="BE681" s="87"/>
      <c r="BF681" s="87"/>
      <c r="BG681" s="87"/>
      <c r="BH681" s="87"/>
      <c r="BI681" s="87"/>
      <c r="BJ681" s="87"/>
      <c r="BK681" s="87"/>
      <c r="BL681" s="87"/>
      <c r="BM681" s="87"/>
      <c r="BN681" s="87"/>
      <c r="BO681" s="87"/>
      <c r="BP681" s="87"/>
      <c r="BQ681" s="87"/>
      <c r="BR681" s="87"/>
      <c r="BS681" s="87"/>
      <c r="BT681" s="87"/>
      <c r="BU681" s="87"/>
      <c r="BV681" s="87"/>
      <c r="BW681" s="87"/>
      <c r="BX681" s="87"/>
      <c r="BY681" s="87"/>
      <c r="BZ681" s="87"/>
      <c r="CA681" s="87"/>
      <c r="CB681" s="87"/>
      <c r="CC681" s="87"/>
      <c r="CD681" s="87"/>
      <c r="CE681" s="87"/>
      <c r="CF681" s="87"/>
      <c r="CG681" s="87"/>
      <c r="CH681" s="87"/>
      <c r="CI681" s="87"/>
      <c r="CJ681" s="87"/>
      <c r="CK681" s="87"/>
      <c r="CL681" s="87"/>
      <c r="CM681" s="87"/>
      <c r="CN681" s="87"/>
      <c r="CO681" s="87"/>
      <c r="CP681" s="87"/>
      <c r="CQ681" s="87"/>
      <c r="CR681" s="87"/>
      <c r="CS681" s="87"/>
      <c r="CT681" s="87"/>
      <c r="CU681" s="87"/>
      <c r="CV681" s="87"/>
      <c r="CW681" s="87"/>
      <c r="CX681" s="87">
        <f>-2/7*C681</f>
        <v>-1.9499999999999997</v>
      </c>
      <c r="CY681" s="87">
        <f>-5/7*C681</f>
        <v>-4.875</v>
      </c>
      <c r="CZ681" s="87"/>
      <c r="DA681" s="87"/>
      <c r="DB681" s="87">
        <f>-CX681</f>
        <v>1.9499999999999997</v>
      </c>
      <c r="DC681" s="87">
        <f>-CY681</f>
        <v>4.875</v>
      </c>
      <c r="DD681" s="87"/>
      <c r="DE681" s="87"/>
      <c r="DF681" s="87"/>
      <c r="DG681" s="87"/>
      <c r="DH681" s="87"/>
      <c r="DI681" s="87"/>
      <c r="DJ681" s="87"/>
      <c r="DK681" s="87"/>
      <c r="DL681" s="87"/>
      <c r="DM681" s="87"/>
      <c r="DN681" s="87"/>
      <c r="DO681" s="87"/>
      <c r="DP681" s="87"/>
      <c r="DQ681" s="87"/>
      <c r="DR681" s="87"/>
      <c r="DS681" s="87"/>
      <c r="DT681" s="87"/>
      <c r="DU681" s="87"/>
      <c r="DV681" s="87"/>
      <c r="DW681" s="87"/>
      <c r="DX681" s="87"/>
      <c r="DY681" s="87"/>
      <c r="DZ681" s="87"/>
      <c r="EA681" s="87"/>
      <c r="EB681" s="87"/>
      <c r="EC681" s="87"/>
      <c r="ED681" s="87"/>
      <c r="EE681" s="87"/>
      <c r="EF681" s="87"/>
      <c r="EG681" s="87"/>
      <c r="EH681" s="87"/>
      <c r="EI681" s="87"/>
    </row>
    <row r="682" spans="1:139" ht="43.5" hidden="1" thickBot="1" x14ac:dyDescent="0.35">
      <c r="A682" s="222" t="s">
        <v>425</v>
      </c>
      <c r="B682" s="176">
        <v>3</v>
      </c>
      <c r="C682" s="177">
        <f>15*0.25</f>
        <v>3.75</v>
      </c>
      <c r="D682" s="234">
        <f>C682/VLOOKUP(B682,'[2]Gas Prod per PADD'!$A$1:$C$6,2,FALSE)</f>
        <v>8.1521739130434778E-4</v>
      </c>
      <c r="E682" s="178">
        <v>45790</v>
      </c>
      <c r="F682" s="252">
        <v>45800</v>
      </c>
      <c r="G682" s="180" t="s">
        <v>992</v>
      </c>
      <c r="H682" s="198" t="s">
        <v>1156</v>
      </c>
      <c r="I682" s="378" t="s">
        <v>1157</v>
      </c>
      <c r="J682" s="379"/>
      <c r="K682" s="379"/>
      <c r="L682" s="379"/>
      <c r="M682" s="379"/>
      <c r="N682" s="379"/>
      <c r="O682" s="379"/>
      <c r="P682" s="379"/>
      <c r="Q682" s="379"/>
      <c r="R682" s="379"/>
      <c r="S682" s="379"/>
      <c r="T682" s="85">
        <f>C682*(E682-F682)/31</f>
        <v>-1.2096774193548387</v>
      </c>
      <c r="U682" s="85"/>
      <c r="V682" s="84"/>
      <c r="W682" s="84"/>
      <c r="X682" s="84"/>
      <c r="Y682" s="74"/>
      <c r="Z682" s="74"/>
      <c r="AA682" s="74"/>
      <c r="AB682" s="74"/>
      <c r="AC682" s="74"/>
      <c r="AD682" s="74"/>
      <c r="AE682" s="74"/>
      <c r="AF682" s="74"/>
      <c r="AG682" s="75"/>
      <c r="AH682" s="74"/>
      <c r="AI682" s="74"/>
      <c r="AJ682" s="74"/>
      <c r="AK682" s="74"/>
      <c r="AL682" s="74"/>
      <c r="AM682" s="74"/>
      <c r="AN682" s="74"/>
      <c r="AO682" s="74"/>
      <c r="AP682" s="74"/>
      <c r="AQ682" s="74"/>
      <c r="AR682" s="75"/>
      <c r="AS682" s="74"/>
      <c r="AT682" s="74"/>
      <c r="AU682" s="74"/>
      <c r="AV682" s="87"/>
      <c r="AW682" s="87"/>
      <c r="AX682" s="87"/>
      <c r="AY682" s="87"/>
      <c r="AZ682" s="87"/>
      <c r="BA682" s="87"/>
      <c r="BB682" s="87"/>
      <c r="BC682" s="87"/>
      <c r="BD682" s="87"/>
      <c r="BE682" s="87"/>
      <c r="BF682" s="74"/>
      <c r="BG682" s="74"/>
      <c r="BH682" s="74"/>
      <c r="BI682" s="74"/>
      <c r="BJ682" s="74"/>
      <c r="BK682" s="74"/>
      <c r="BL682" s="74"/>
      <c r="BM682" s="74"/>
      <c r="BN682" s="74"/>
      <c r="BO682" s="74"/>
      <c r="BP682" s="74"/>
      <c r="BQ682" s="74"/>
      <c r="BR682" s="74"/>
      <c r="BS682" s="74"/>
      <c r="BT682" s="74"/>
      <c r="BU682" s="74"/>
      <c r="BV682" s="74"/>
      <c r="BW682" s="74"/>
      <c r="BX682" s="74"/>
      <c r="BY682" s="74"/>
      <c r="BZ682" s="74"/>
      <c r="CA682" s="74"/>
      <c r="CB682" s="74"/>
      <c r="CC682" s="74"/>
      <c r="CD682" s="74"/>
      <c r="CE682" s="74"/>
      <c r="CF682" s="74"/>
      <c r="CG682" s="74"/>
      <c r="CH682" s="87"/>
      <c r="CI682" s="87"/>
      <c r="CJ682" s="87"/>
      <c r="CK682" s="87"/>
      <c r="CL682" s="87"/>
      <c r="CM682" s="87"/>
      <c r="CN682" s="87"/>
      <c r="CO682" s="87"/>
      <c r="CP682" s="87"/>
      <c r="CQ682" s="87"/>
      <c r="CR682" s="87"/>
      <c r="CS682" s="87"/>
      <c r="CT682" s="87"/>
      <c r="CU682" s="87"/>
      <c r="CV682" s="87"/>
      <c r="CW682" s="87"/>
      <c r="CX682" s="87"/>
      <c r="CY682" s="87"/>
      <c r="CZ682" s="87"/>
      <c r="DA682" s="87">
        <f>-3/7*C682</f>
        <v>-1.607142857142857</v>
      </c>
      <c r="DB682" s="87">
        <f>-4/7*C682</f>
        <v>-2.1428571428571428</v>
      </c>
      <c r="DC682" s="87">
        <f>-DB682</f>
        <v>2.1428571428571428</v>
      </c>
      <c r="DD682" s="87">
        <f>-DA682</f>
        <v>1.607142857142857</v>
      </c>
      <c r="DE682" s="87"/>
      <c r="DF682" s="87"/>
      <c r="DG682" s="87"/>
      <c r="DH682" s="87"/>
      <c r="DI682" s="87"/>
      <c r="DJ682" s="87"/>
      <c r="DK682" s="87"/>
      <c r="DL682" s="87"/>
      <c r="DM682" s="87"/>
      <c r="DN682" s="87"/>
      <c r="DO682" s="87"/>
      <c r="DP682" s="87"/>
      <c r="DQ682" s="87"/>
      <c r="DR682" s="87"/>
      <c r="DS682" s="87"/>
      <c r="DT682" s="87"/>
      <c r="DU682" s="87"/>
      <c r="DV682" s="87"/>
      <c r="DW682" s="87"/>
      <c r="DX682" s="87"/>
      <c r="DY682" s="87"/>
      <c r="DZ682" s="87"/>
      <c r="EA682" s="87"/>
      <c r="EB682" s="87"/>
      <c r="EC682" s="87"/>
      <c r="ED682" s="87"/>
      <c r="EE682" s="87"/>
      <c r="EF682" s="87"/>
      <c r="EG682" s="87"/>
      <c r="EH682" s="87"/>
      <c r="EI682" s="87"/>
    </row>
    <row r="683" spans="1:139" ht="16.5" hidden="1" thickBot="1" x14ac:dyDescent="0.35">
      <c r="A683" s="358" t="s">
        <v>1126</v>
      </c>
      <c r="B683" s="194">
        <v>2</v>
      </c>
      <c r="C683" s="195">
        <f>0.1*10</f>
        <v>1</v>
      </c>
      <c r="D683" s="234">
        <f>C683/VLOOKUP(B683,'[2]Gas Prod per PADD'!$A$1:$C$6,2,FALSE)</f>
        <v>4.1666666666666669E-4</v>
      </c>
      <c r="E683" s="196">
        <v>45791</v>
      </c>
      <c r="F683" s="281">
        <v>45800</v>
      </c>
      <c r="G683" s="194" t="s">
        <v>1158</v>
      </c>
      <c r="H683" s="198"/>
      <c r="I683" s="84"/>
      <c r="J683" s="85"/>
      <c r="K683" s="85"/>
      <c r="L683" s="85"/>
      <c r="M683" s="85"/>
      <c r="N683" s="85"/>
      <c r="O683" s="85"/>
      <c r="P683" s="85"/>
      <c r="Q683" s="85"/>
      <c r="R683" s="85"/>
      <c r="S683" s="85"/>
      <c r="T683" s="85">
        <f>C683*(E683-F683)/31</f>
        <v>-0.29032258064516131</v>
      </c>
      <c r="U683" s="85"/>
      <c r="V683" s="84"/>
      <c r="W683" s="84"/>
      <c r="X683" s="84" t="str">
        <f>IF(COUNTA(Y683:EI683)=0,"Missing","OK")</f>
        <v>OK</v>
      </c>
      <c r="Y683" s="105"/>
      <c r="Z683" s="105"/>
      <c r="AA683" s="87"/>
      <c r="AB683" s="87"/>
      <c r="AC683" s="87"/>
      <c r="AD683" s="87"/>
      <c r="AE683" s="105"/>
      <c r="AF683" s="105"/>
      <c r="AG683" s="105"/>
      <c r="AH683" s="105"/>
      <c r="AI683" s="87"/>
      <c r="AJ683" s="87"/>
      <c r="AK683" s="105"/>
      <c r="AL683" s="87"/>
      <c r="AM683" s="105"/>
      <c r="AN683" s="105"/>
      <c r="AO683" s="87"/>
      <c r="AP683" s="87"/>
      <c r="AQ683" s="105"/>
      <c r="AR683" s="105"/>
      <c r="AS683" s="87"/>
      <c r="AT683" s="105"/>
      <c r="AU683" s="105"/>
      <c r="AV683" s="87"/>
      <c r="AW683" s="105"/>
      <c r="AX683" s="105"/>
      <c r="AY683" s="87"/>
      <c r="AZ683" s="105"/>
      <c r="BA683" s="105"/>
      <c r="BB683" s="105"/>
      <c r="BC683" s="87"/>
      <c r="BD683" s="87"/>
      <c r="BE683" s="105"/>
      <c r="BF683" s="105"/>
      <c r="BG683" s="105"/>
      <c r="BH683" s="105"/>
      <c r="BI683" s="105"/>
      <c r="BJ683" s="87"/>
      <c r="BK683" s="87"/>
      <c r="BL683" s="87"/>
      <c r="BM683" s="87"/>
      <c r="BN683" s="87"/>
      <c r="BO683" s="87"/>
      <c r="BP683" s="87"/>
      <c r="BQ683" s="87"/>
      <c r="BR683" s="87"/>
      <c r="BS683" s="87"/>
      <c r="BT683" s="87"/>
      <c r="BU683" s="87"/>
      <c r="BV683" s="87"/>
      <c r="BW683" s="87"/>
      <c r="BX683" s="87"/>
      <c r="BY683" s="87"/>
      <c r="BZ683" s="87"/>
      <c r="CA683" s="87"/>
      <c r="CB683" s="87"/>
      <c r="CC683" s="87"/>
      <c r="CD683" s="87"/>
      <c r="CE683" s="87"/>
      <c r="CF683" s="87"/>
      <c r="CG683" s="87"/>
      <c r="CH683" s="87"/>
      <c r="CI683" s="87"/>
      <c r="CJ683" s="87"/>
      <c r="CK683" s="87"/>
      <c r="CL683" s="87"/>
      <c r="CM683" s="87"/>
      <c r="CN683" s="87"/>
      <c r="CO683" s="87"/>
      <c r="CP683" s="87"/>
      <c r="CQ683" s="87"/>
      <c r="CR683" s="87"/>
      <c r="CS683" s="87"/>
      <c r="CT683" s="87"/>
      <c r="CU683" s="87"/>
      <c r="CV683" s="87"/>
      <c r="CW683" s="87"/>
      <c r="CX683" s="87"/>
      <c r="CY683" s="87"/>
      <c r="CZ683" s="87"/>
      <c r="DA683" s="87">
        <f>-2/7*C683</f>
        <v>-0.2857142857142857</v>
      </c>
      <c r="DB683" s="87">
        <f>-5/7*C683</f>
        <v>-0.7142857142857143</v>
      </c>
      <c r="DC683" s="105">
        <f>C683</f>
        <v>1</v>
      </c>
      <c r="DD683" s="87"/>
      <c r="DE683" s="87"/>
      <c r="DF683" s="87"/>
      <c r="DG683" s="87"/>
      <c r="DH683" s="87"/>
      <c r="DI683" s="87"/>
      <c r="DJ683" s="87"/>
      <c r="DK683" s="87"/>
      <c r="DL683" s="87"/>
      <c r="DM683" s="87"/>
      <c r="DN683" s="87"/>
      <c r="DO683" s="87"/>
      <c r="DP683" s="87"/>
      <c r="DQ683" s="87"/>
      <c r="DR683" s="87"/>
      <c r="DS683" s="87"/>
      <c r="DT683" s="87"/>
      <c r="DU683" s="87"/>
      <c r="DV683" s="87"/>
      <c r="DW683" s="87"/>
      <c r="DX683" s="87"/>
      <c r="DY683" s="87"/>
      <c r="DZ683" s="87"/>
      <c r="EA683" s="87"/>
      <c r="EB683" s="87"/>
      <c r="EC683" s="87"/>
      <c r="ED683" s="87"/>
      <c r="EE683" s="87"/>
      <c r="EF683" s="87"/>
      <c r="EG683" s="87"/>
      <c r="EH683" s="87"/>
      <c r="EI683" s="87"/>
    </row>
    <row r="684" spans="1:139" ht="16.5" hidden="1" thickBot="1" x14ac:dyDescent="0.35">
      <c r="A684" s="219" t="s">
        <v>1144</v>
      </c>
      <c r="B684" s="176">
        <v>3</v>
      </c>
      <c r="C684" s="177">
        <f>35*0.85</f>
        <v>29.75</v>
      </c>
      <c r="D684" s="217">
        <f>C684/VLOOKUP(B684,'[2]Gas Prod per PADD'!$A$1:$C$6,2,FALSE)</f>
        <v>6.4673913043478259E-3</v>
      </c>
      <c r="E684" s="178">
        <v>45797</v>
      </c>
      <c r="F684" s="252">
        <f>E684+3</f>
        <v>45800</v>
      </c>
      <c r="G684" s="180" t="s">
        <v>1159</v>
      </c>
      <c r="H684" s="198" t="s">
        <v>640</v>
      </c>
      <c r="I684" s="84"/>
      <c r="J684" s="85"/>
      <c r="K684" s="85"/>
      <c r="L684" s="85"/>
      <c r="M684" s="85"/>
      <c r="N684" s="85"/>
      <c r="O684" s="85"/>
      <c r="P684" s="85"/>
      <c r="Q684" s="85"/>
      <c r="R684" s="85"/>
      <c r="S684" s="85"/>
      <c r="T684" s="85">
        <f>C684*(E684-F684)/31</f>
        <v>-2.879032258064516</v>
      </c>
      <c r="U684" s="85"/>
      <c r="V684" s="84"/>
      <c r="W684" s="84"/>
      <c r="X684" s="84"/>
      <c r="Y684" s="105"/>
      <c r="Z684" s="105"/>
      <c r="AA684" s="87"/>
      <c r="AB684" s="87"/>
      <c r="AC684" s="87"/>
      <c r="AD684" s="87"/>
      <c r="AE684" s="105"/>
      <c r="AF684" s="105"/>
      <c r="AG684" s="105"/>
      <c r="AH684" s="105"/>
      <c r="AI684" s="87"/>
      <c r="AJ684" s="87"/>
      <c r="AK684" s="87"/>
      <c r="AL684" s="87"/>
      <c r="AM684" s="87"/>
      <c r="AN684" s="87"/>
      <c r="AO684" s="87"/>
      <c r="AP684" s="87"/>
      <c r="AQ684" s="87"/>
      <c r="AR684" s="87"/>
      <c r="AS684" s="87"/>
      <c r="AT684" s="87"/>
      <c r="AU684" s="87"/>
      <c r="AV684" s="87"/>
      <c r="AW684" s="87"/>
      <c r="AX684" s="87"/>
      <c r="AY684" s="87"/>
      <c r="AZ684" s="87"/>
      <c r="BA684" s="87"/>
      <c r="BB684" s="87"/>
      <c r="BC684" s="87"/>
      <c r="BD684" s="87"/>
      <c r="BE684" s="87"/>
      <c r="BF684" s="87"/>
      <c r="BG684" s="87"/>
      <c r="BH684" s="87"/>
      <c r="BI684" s="87"/>
      <c r="BJ684" s="87"/>
      <c r="BK684" s="87"/>
      <c r="BL684" s="87"/>
      <c r="BM684" s="87"/>
      <c r="BN684" s="87"/>
      <c r="BO684" s="87"/>
      <c r="BP684" s="87"/>
      <c r="BQ684" s="87"/>
      <c r="BR684" s="87"/>
      <c r="BS684" s="87"/>
      <c r="BT684" s="87"/>
      <c r="BU684" s="87"/>
      <c r="BV684" s="87"/>
      <c r="BW684" s="87"/>
      <c r="BX684" s="87"/>
      <c r="BY684" s="87"/>
      <c r="BZ684" s="87"/>
      <c r="CA684" s="87"/>
      <c r="CB684" s="87"/>
      <c r="CC684" s="87"/>
      <c r="CD684" s="87"/>
      <c r="CE684" s="87"/>
      <c r="CF684" s="87"/>
      <c r="CG684" s="87"/>
      <c r="CH684" s="87"/>
      <c r="CI684" s="87"/>
      <c r="CJ684" s="87"/>
      <c r="CK684" s="87"/>
      <c r="CL684" s="87"/>
      <c r="CM684" s="87"/>
      <c r="CN684" s="87"/>
      <c r="CO684" s="87"/>
      <c r="CP684" s="87"/>
      <c r="CQ684" s="87"/>
      <c r="CR684" s="87"/>
      <c r="CS684" s="87"/>
      <c r="CT684" s="87"/>
      <c r="CU684" s="87"/>
      <c r="CV684" s="87"/>
      <c r="CW684" s="87"/>
      <c r="CX684" s="87"/>
      <c r="CY684" s="87"/>
      <c r="CZ684" s="87"/>
      <c r="DA684" s="87"/>
      <c r="DB684" s="87">
        <f>-3/7*C684</f>
        <v>-12.75</v>
      </c>
      <c r="DC684" s="105">
        <f>-DB684</f>
        <v>12.75</v>
      </c>
      <c r="DD684" s="87"/>
      <c r="DE684" s="87"/>
      <c r="DF684" s="87"/>
      <c r="DG684" s="87"/>
      <c r="DH684" s="87"/>
      <c r="DI684" s="87"/>
      <c r="DJ684" s="87"/>
      <c r="DK684" s="87"/>
      <c r="DL684" s="87"/>
      <c r="DM684" s="87"/>
      <c r="DN684" s="87"/>
      <c r="DO684" s="87"/>
      <c r="DP684" s="87"/>
      <c r="DQ684" s="87"/>
      <c r="DR684" s="87"/>
      <c r="DS684" s="87"/>
      <c r="DT684" s="87"/>
      <c r="DU684" s="87"/>
      <c r="DV684" s="87"/>
      <c r="DW684" s="87"/>
      <c r="DX684" s="87"/>
      <c r="DY684" s="87"/>
      <c r="DZ684" s="87"/>
      <c r="EA684" s="87"/>
      <c r="EB684" s="87"/>
      <c r="EC684" s="87"/>
      <c r="ED684" s="87"/>
      <c r="EE684" s="87"/>
      <c r="EF684" s="87"/>
      <c r="EG684" s="87"/>
      <c r="EH684" s="87"/>
      <c r="EI684" s="87"/>
    </row>
    <row r="685" spans="1:139" ht="16.5" hidden="1" thickBot="1" x14ac:dyDescent="0.35">
      <c r="A685" s="353" t="s">
        <v>384</v>
      </c>
      <c r="B685" s="176">
        <v>2</v>
      </c>
      <c r="C685" s="177">
        <f>12*0.25</f>
        <v>3</v>
      </c>
      <c r="D685" s="234">
        <f>C685/VLOOKUP(B685,'[2]Gas Prod per PADD'!$A$1:$C$6,2,FALSE)</f>
        <v>1.25E-3</v>
      </c>
      <c r="E685" s="178">
        <v>45795</v>
      </c>
      <c r="F685" s="252">
        <v>45801</v>
      </c>
      <c r="G685" s="180" t="s">
        <v>871</v>
      </c>
      <c r="H685" s="198" t="s">
        <v>543</v>
      </c>
      <c r="I685" s="84"/>
      <c r="J685" s="85"/>
      <c r="K685" s="85"/>
      <c r="L685" s="85"/>
      <c r="M685" s="85"/>
      <c r="N685" s="85"/>
      <c r="O685" s="85"/>
      <c r="P685" s="85"/>
      <c r="Q685" s="85"/>
      <c r="R685" s="85"/>
      <c r="S685" s="85"/>
      <c r="T685" s="85">
        <f>C685*(E685-F685)/31</f>
        <v>-0.58064516129032262</v>
      </c>
      <c r="U685" s="85"/>
      <c r="V685" s="84"/>
      <c r="W685" s="84"/>
      <c r="X685" s="84"/>
      <c r="Y685" s="87"/>
      <c r="Z685" s="87"/>
      <c r="AA685" s="87"/>
      <c r="AB685" s="87"/>
      <c r="AC685" s="87"/>
      <c r="AD685" s="87"/>
      <c r="AE685" s="87"/>
      <c r="AF685" s="87"/>
      <c r="AG685" s="87"/>
      <c r="AH685" s="87"/>
      <c r="AI685" s="87"/>
      <c r="AJ685" s="87"/>
      <c r="AK685" s="87"/>
      <c r="AL685" s="87"/>
      <c r="AM685" s="87"/>
      <c r="AN685" s="87"/>
      <c r="AO685" s="87"/>
      <c r="AP685" s="87"/>
      <c r="AQ685" s="87"/>
      <c r="AR685" s="87"/>
      <c r="AS685" s="87"/>
      <c r="AT685" s="87"/>
      <c r="AU685" s="87"/>
      <c r="AV685" s="87"/>
      <c r="AW685" s="87"/>
      <c r="AX685" s="87"/>
      <c r="AY685" s="87"/>
      <c r="AZ685" s="87"/>
      <c r="BA685" s="87"/>
      <c r="BB685" s="87"/>
      <c r="BC685" s="87"/>
      <c r="BD685" s="87"/>
      <c r="BE685" s="87"/>
      <c r="BF685" s="87"/>
      <c r="BG685" s="87"/>
      <c r="BH685" s="87"/>
      <c r="BI685" s="87"/>
      <c r="BJ685" s="87"/>
      <c r="BK685" s="87"/>
      <c r="BL685" s="87"/>
      <c r="BM685" s="87"/>
      <c r="BN685" s="87"/>
      <c r="BO685" s="87"/>
      <c r="BP685" s="87"/>
      <c r="BQ685" s="87"/>
      <c r="BR685" s="87"/>
      <c r="BS685" s="87"/>
      <c r="BT685" s="87"/>
      <c r="BU685" s="87"/>
      <c r="BV685" s="87"/>
      <c r="BW685" s="87"/>
      <c r="BX685" s="87"/>
      <c r="BY685" s="87"/>
      <c r="BZ685" s="87"/>
      <c r="CA685" s="87"/>
      <c r="CB685" s="87"/>
      <c r="CC685" s="87"/>
      <c r="CD685" s="87"/>
      <c r="CE685" s="87"/>
      <c r="CF685" s="87"/>
      <c r="CG685" s="87"/>
      <c r="CH685" s="87"/>
      <c r="CI685" s="87"/>
      <c r="CJ685" s="87"/>
      <c r="CK685" s="87"/>
      <c r="CL685" s="87"/>
      <c r="CM685" s="87"/>
      <c r="CN685" s="87"/>
      <c r="CO685" s="87"/>
      <c r="CP685" s="87"/>
      <c r="CQ685" s="87"/>
      <c r="CR685" s="87"/>
      <c r="CS685" s="87"/>
      <c r="CT685" s="87"/>
      <c r="CU685" s="87"/>
      <c r="CV685" s="295"/>
      <c r="CW685" s="87"/>
      <c r="CX685" s="87"/>
      <c r="CY685" s="87"/>
      <c r="CZ685" s="87"/>
      <c r="DA685" s="87"/>
      <c r="DB685" s="105">
        <f>-C685</f>
        <v>-3</v>
      </c>
      <c r="DC685" s="105">
        <f>-DB685</f>
        <v>3</v>
      </c>
      <c r="DD685" s="105"/>
      <c r="DE685" s="87"/>
      <c r="DF685" s="87"/>
      <c r="DG685" s="87"/>
      <c r="DH685" s="87"/>
      <c r="DI685" s="87"/>
      <c r="DJ685" s="87"/>
      <c r="DK685" s="87"/>
      <c r="DL685" s="87"/>
      <c r="DM685" s="87"/>
      <c r="DN685" s="87"/>
      <c r="DO685" s="87"/>
      <c r="DP685" s="87"/>
      <c r="DQ685" s="87"/>
      <c r="DR685" s="87"/>
      <c r="DS685" s="87"/>
      <c r="DT685" s="87"/>
      <c r="DU685" s="87"/>
      <c r="DV685" s="87"/>
      <c r="DW685" s="87"/>
      <c r="DX685" s="87"/>
      <c r="DY685" s="87"/>
      <c r="DZ685" s="87"/>
      <c r="EA685" s="87"/>
      <c r="EB685" s="87"/>
      <c r="EC685" s="87"/>
      <c r="ED685" s="87"/>
      <c r="EE685" s="87"/>
      <c r="EF685" s="87"/>
      <c r="EG685" s="87"/>
      <c r="EH685" s="87"/>
      <c r="EI685" s="87"/>
    </row>
    <row r="686" spans="1:139" ht="29.25" hidden="1" thickBot="1" x14ac:dyDescent="0.35">
      <c r="A686" s="358" t="s">
        <v>534</v>
      </c>
      <c r="B686" s="194">
        <v>2</v>
      </c>
      <c r="C686" s="195">
        <f>40*0.85+(35*0.05)+(50*0.1)+(10*0.1)+20*0.65</f>
        <v>54.75</v>
      </c>
      <c r="D686" s="234">
        <f>C686/VLOOKUP(B686,'[2]Gas Prod per PADD'!$A$1:$C$6,2,FALSE)</f>
        <v>2.2812499999999999E-2</v>
      </c>
      <c r="E686" s="178">
        <v>45747</v>
      </c>
      <c r="F686" s="281">
        <v>45802</v>
      </c>
      <c r="G686" s="194" t="s">
        <v>1160</v>
      </c>
      <c r="H686" s="230" t="s">
        <v>1161</v>
      </c>
      <c r="I686" s="84" t="s">
        <v>1162</v>
      </c>
      <c r="J686" s="85"/>
      <c r="K686" s="85"/>
      <c r="L686" s="85"/>
      <c r="M686" s="85"/>
      <c r="N686" s="85"/>
      <c r="O686" s="85"/>
      <c r="P686" s="85"/>
      <c r="Q686" s="85"/>
      <c r="R686" s="85">
        <f>C686*(E686-$R$1)/31</f>
        <v>0</v>
      </c>
      <c r="S686" s="374">
        <f>-C686</f>
        <v>-54.75</v>
      </c>
      <c r="T686" s="85">
        <f>C686*($S$1+1-F686)/31</f>
        <v>-42.387096774193552</v>
      </c>
      <c r="U686" s="85"/>
      <c r="V686" s="84"/>
      <c r="W686" s="84"/>
      <c r="X686" s="84" t="str">
        <f>IF(COUNTA(Y686:EI686)=0,"Missing","OK")</f>
        <v>OK</v>
      </c>
      <c r="Y686" s="86"/>
      <c r="Z686" s="86"/>
      <c r="AA686" s="87"/>
      <c r="AB686" s="87"/>
      <c r="AC686" s="87"/>
      <c r="AD686" s="87"/>
      <c r="AE686" s="87"/>
      <c r="AF686" s="87"/>
      <c r="AG686" s="87"/>
      <c r="AH686" s="87"/>
      <c r="AI686" s="87"/>
      <c r="AJ686" s="87"/>
      <c r="AK686" s="87"/>
      <c r="AL686" s="87"/>
      <c r="AM686" s="87"/>
      <c r="AN686" s="87"/>
      <c r="AO686" s="87"/>
      <c r="AP686" s="87"/>
      <c r="AQ686" s="87"/>
      <c r="AR686" s="87"/>
      <c r="AS686" s="87"/>
      <c r="AT686" s="87"/>
      <c r="AU686" s="87"/>
      <c r="AV686" s="87"/>
      <c r="AW686" s="87"/>
      <c r="AX686" s="87"/>
      <c r="AY686" s="87"/>
      <c r="AZ686" s="87"/>
      <c r="BA686" s="87"/>
      <c r="BB686" s="87"/>
      <c r="BC686" s="87"/>
      <c r="BD686" s="87"/>
      <c r="BE686" s="87"/>
      <c r="BF686" s="87"/>
      <c r="BG686" s="87"/>
      <c r="BH686" s="87"/>
      <c r="BI686" s="87"/>
      <c r="BJ686" s="87"/>
      <c r="BK686" s="87"/>
      <c r="BL686" s="87"/>
      <c r="BM686" s="87"/>
      <c r="BN686" s="87"/>
      <c r="BO686" s="87"/>
      <c r="BP686" s="87"/>
      <c r="BQ686" s="87"/>
      <c r="BR686" s="87"/>
      <c r="BS686" s="87"/>
      <c r="BT686" s="87"/>
      <c r="BU686" s="87"/>
      <c r="BV686" s="87"/>
      <c r="BW686" s="87"/>
      <c r="BX686" s="87"/>
      <c r="BY686" s="87"/>
      <c r="BZ686" s="87"/>
      <c r="CA686" s="87"/>
      <c r="CB686" s="87"/>
      <c r="CC686" s="87"/>
      <c r="CD686" s="87"/>
      <c r="CE686" s="87"/>
      <c r="CF686" s="87"/>
      <c r="CG686" s="87"/>
      <c r="CH686" s="87"/>
      <c r="CI686" s="87"/>
      <c r="CJ686" s="87"/>
      <c r="CK686" s="87"/>
      <c r="CL686" s="87"/>
      <c r="CM686" s="87"/>
      <c r="CN686" s="87"/>
      <c r="CO686" s="87"/>
      <c r="CP686" s="87"/>
      <c r="CQ686" s="87"/>
      <c r="CR686" s="87"/>
      <c r="CS686" s="87"/>
      <c r="CT686" s="87"/>
      <c r="CU686" s="87">
        <f>-4/7*C686</f>
        <v>-31.285714285714285</v>
      </c>
      <c r="CV686" s="87">
        <f>-3/7*C686</f>
        <v>-23.464285714285712</v>
      </c>
      <c r="CW686" s="87"/>
      <c r="CX686" s="87"/>
      <c r="CY686" s="87"/>
      <c r="CZ686" s="87"/>
      <c r="DA686" s="87"/>
      <c r="DB686" s="87"/>
      <c r="DC686" s="87">
        <f>4/7*C686</f>
        <v>31.285714285714285</v>
      </c>
      <c r="DD686" s="87">
        <f>3/7*C686</f>
        <v>23.464285714285712</v>
      </c>
      <c r="DE686" s="87"/>
      <c r="DF686" s="87"/>
      <c r="DG686" s="87"/>
      <c r="DH686" s="87"/>
      <c r="DI686" s="87"/>
      <c r="DJ686" s="87"/>
      <c r="DK686" s="87"/>
      <c r="DL686" s="87"/>
      <c r="DM686" s="87"/>
      <c r="DN686" s="87"/>
      <c r="DO686" s="87"/>
      <c r="DP686" s="87"/>
      <c r="DQ686" s="87"/>
      <c r="DR686" s="87"/>
      <c r="DS686" s="87"/>
      <c r="DT686" s="87"/>
      <c r="DU686" s="87"/>
      <c r="DV686" s="87"/>
      <c r="DW686" s="87"/>
      <c r="DX686" s="87"/>
      <c r="DY686" s="87"/>
      <c r="DZ686" s="87"/>
      <c r="EA686" s="87"/>
      <c r="EB686" s="87"/>
      <c r="EC686" s="87"/>
      <c r="ED686" s="87"/>
      <c r="EE686" s="87"/>
      <c r="EF686" s="87"/>
      <c r="EG686" s="87"/>
      <c r="EH686" s="87"/>
      <c r="EI686" s="87"/>
    </row>
    <row r="687" spans="1:139" ht="16.5" hidden="1" thickBot="1" x14ac:dyDescent="0.35">
      <c r="A687" s="200" t="s">
        <v>1163</v>
      </c>
      <c r="B687" s="176">
        <v>4</v>
      </c>
      <c r="C687" s="177">
        <f>(3.4*0.1)+(3*0.85)</f>
        <v>2.8899999999999997</v>
      </c>
      <c r="D687" s="234">
        <f>C687/VLOOKUP(B687,'[2]Gas Prod per PADD'!$A$1:$C$6,2,FALSE)</f>
        <v>8.4999999999999989E-3</v>
      </c>
      <c r="E687" s="178">
        <v>45786</v>
      </c>
      <c r="F687" s="252">
        <v>45802</v>
      </c>
      <c r="G687" s="180" t="s">
        <v>1164</v>
      </c>
      <c r="H687" s="198" t="s">
        <v>1165</v>
      </c>
      <c r="I687" s="84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>
        <f>C687*(E687-F687)/31</f>
        <v>-1.4916129032258063</v>
      </c>
      <c r="U687" s="85"/>
      <c r="V687" s="84"/>
      <c r="W687" s="84"/>
      <c r="X687" s="84" t="str">
        <f>IF(COUNTA(Y687:EI687)=0,"Missing","OK")</f>
        <v>OK</v>
      </c>
      <c r="Y687" s="105"/>
      <c r="Z687" s="105"/>
      <c r="AA687" s="87"/>
      <c r="AB687" s="87"/>
      <c r="AC687" s="87"/>
      <c r="AD687" s="87"/>
      <c r="AE687" s="105"/>
      <c r="AF687" s="105"/>
      <c r="AG687" s="105"/>
      <c r="AH687" s="105"/>
      <c r="AI687" s="87"/>
      <c r="AJ687" s="87"/>
      <c r="AK687" s="105"/>
      <c r="AL687" s="87"/>
      <c r="AM687" s="105"/>
      <c r="AN687" s="105"/>
      <c r="AO687" s="87"/>
      <c r="AP687" s="87"/>
      <c r="AQ687" s="105"/>
      <c r="AR687" s="105"/>
      <c r="AS687" s="87"/>
      <c r="AT687" s="105"/>
      <c r="AU687" s="87"/>
      <c r="AV687" s="105"/>
      <c r="AW687" s="105"/>
      <c r="AX687" s="105"/>
      <c r="AY687" s="87"/>
      <c r="AZ687" s="105"/>
      <c r="BA687" s="105"/>
      <c r="BB687" s="105"/>
      <c r="BC687" s="105"/>
      <c r="BD687" s="105"/>
      <c r="BE687" s="105"/>
      <c r="BF687" s="87"/>
      <c r="BG687" s="87"/>
      <c r="BH687" s="87"/>
      <c r="BI687" s="87"/>
      <c r="BJ687" s="87"/>
      <c r="BK687" s="87"/>
      <c r="BL687" s="87"/>
      <c r="BM687" s="87"/>
      <c r="BN687" s="87"/>
      <c r="BO687" s="87"/>
      <c r="BP687" s="87"/>
      <c r="BQ687" s="87"/>
      <c r="BR687" s="87"/>
      <c r="BS687" s="87"/>
      <c r="BT687" s="87"/>
      <c r="BU687" s="87"/>
      <c r="BV687" s="87"/>
      <c r="BW687" s="87"/>
      <c r="BX687" s="87"/>
      <c r="BY687" s="87"/>
      <c r="BZ687" s="87"/>
      <c r="CA687" s="87"/>
      <c r="CB687" s="87"/>
      <c r="CC687" s="87"/>
      <c r="CD687" s="87"/>
      <c r="CE687" s="87"/>
      <c r="CF687" s="87"/>
      <c r="CG687" s="87"/>
      <c r="CH687" s="87"/>
      <c r="CI687" s="87"/>
      <c r="CJ687" s="87"/>
      <c r="CK687" s="87"/>
      <c r="CL687" s="87"/>
      <c r="CM687" s="87"/>
      <c r="CN687" s="87"/>
      <c r="CO687" s="87"/>
      <c r="CP687" s="87"/>
      <c r="CQ687" s="87"/>
      <c r="CR687" s="87"/>
      <c r="CS687" s="87"/>
      <c r="CT687" s="87"/>
      <c r="CU687" s="87"/>
      <c r="CV687" s="87"/>
      <c r="CW687" s="87"/>
      <c r="CX687" s="87"/>
      <c r="CY687" s="87"/>
      <c r="CZ687" s="87">
        <f>-4/7*C687</f>
        <v>-1.6514285714285712</v>
      </c>
      <c r="DA687" s="87">
        <f>-3/7*C687</f>
        <v>-1.2385714285714284</v>
      </c>
      <c r="DB687" s="87"/>
      <c r="DC687" s="87">
        <f>C687*(5/7)</f>
        <v>2.0642857142857141</v>
      </c>
      <c r="DD687" s="87">
        <f>C687*(2/7)</f>
        <v>0.82571428571428562</v>
      </c>
      <c r="DE687" s="87"/>
      <c r="DF687" s="87"/>
      <c r="DG687" s="87"/>
      <c r="DH687" s="87"/>
      <c r="DI687" s="87"/>
      <c r="DJ687" s="87"/>
      <c r="DK687" s="87"/>
      <c r="DL687" s="87"/>
      <c r="DM687" s="87"/>
      <c r="DN687" s="87"/>
      <c r="DO687" s="87"/>
      <c r="DP687" s="87"/>
      <c r="DQ687" s="87"/>
      <c r="DR687" s="87"/>
      <c r="DS687" s="87"/>
      <c r="DT687" s="87"/>
      <c r="DU687" s="87"/>
      <c r="DV687" s="87"/>
      <c r="DW687" s="87"/>
      <c r="DX687" s="87"/>
      <c r="DY687" s="87"/>
      <c r="DZ687" s="87"/>
      <c r="EA687" s="87"/>
      <c r="EB687" s="87"/>
      <c r="EC687" s="87"/>
      <c r="ED687" s="87"/>
      <c r="EE687" s="87"/>
      <c r="EF687" s="87"/>
      <c r="EG687" s="87"/>
      <c r="EH687" s="87"/>
      <c r="EI687" s="87"/>
    </row>
    <row r="688" spans="1:139" ht="29.25" hidden="1" thickBot="1" x14ac:dyDescent="0.35">
      <c r="A688" s="175" t="s">
        <v>413</v>
      </c>
      <c r="B688" s="176">
        <v>4</v>
      </c>
      <c r="C688" s="177">
        <f>21*0.65+(63*0.25*0.3)</f>
        <v>18.375</v>
      </c>
      <c r="D688" s="234">
        <f>C688/VLOOKUP(B688,'[2]Gas Prod per PADD'!$A$1:$C$6,2,FALSE)</f>
        <v>5.4044117647058826E-2</v>
      </c>
      <c r="E688" s="178">
        <v>45748</v>
      </c>
      <c r="F688" s="252">
        <v>45803</v>
      </c>
      <c r="G688" s="180" t="s">
        <v>1166</v>
      </c>
      <c r="H688" s="181" t="s">
        <v>1167</v>
      </c>
      <c r="I688" s="380" t="s">
        <v>1168</v>
      </c>
      <c r="J688" s="381"/>
      <c r="K688" s="381"/>
      <c r="L688" s="381"/>
      <c r="M688" s="381"/>
      <c r="N688" s="381"/>
      <c r="O688" s="381"/>
      <c r="P688" s="381"/>
      <c r="Q688" s="381"/>
      <c r="R688" s="381"/>
      <c r="S688" s="85">
        <f>C688*(E688-$S$1)/30</f>
        <v>-17.762499999999999</v>
      </c>
      <c r="T688" s="85">
        <f>C688*($S$1+1-F688)/31</f>
        <v>-14.818548387096774</v>
      </c>
      <c r="U688" s="85"/>
      <c r="V688" s="84"/>
      <c r="W688" s="84"/>
      <c r="X688" s="84" t="str">
        <f>IF(COUNTA(Y688:EI688)=0,"Missing","OK")</f>
        <v>OK</v>
      </c>
      <c r="Y688" s="105"/>
      <c r="Z688" s="105"/>
      <c r="AA688" s="87"/>
      <c r="AB688" s="87"/>
      <c r="AC688" s="87"/>
      <c r="AD688" s="87"/>
      <c r="AE688" s="105"/>
      <c r="AF688" s="105"/>
      <c r="AG688" s="105"/>
      <c r="AH688" s="105"/>
      <c r="AI688" s="87"/>
      <c r="AJ688" s="87"/>
      <c r="AK688" s="105"/>
      <c r="AL688" s="87"/>
      <c r="AM688" s="105"/>
      <c r="AN688" s="105"/>
      <c r="AO688" s="87"/>
      <c r="AP688" s="87"/>
      <c r="AQ688" s="105"/>
      <c r="AR688" s="105"/>
      <c r="AS688" s="87"/>
      <c r="AT688" s="105"/>
      <c r="AU688" s="87"/>
      <c r="AV688" s="105"/>
      <c r="AW688" s="105"/>
      <c r="AX688" s="105"/>
      <c r="AY688" s="105"/>
      <c r="AZ688" s="105"/>
      <c r="BA688" s="105"/>
      <c r="BB688" s="105"/>
      <c r="BC688" s="87"/>
      <c r="BD688" s="87"/>
      <c r="BE688" s="87"/>
      <c r="BF688" s="87"/>
      <c r="BG688" s="87"/>
      <c r="BH688" s="87"/>
      <c r="BI688" s="87"/>
      <c r="BJ688" s="87"/>
      <c r="BK688" s="87"/>
      <c r="BL688" s="87"/>
      <c r="BM688" s="87"/>
      <c r="BN688" s="87"/>
      <c r="BO688" s="87"/>
      <c r="BP688" s="87"/>
      <c r="BQ688" s="87"/>
      <c r="BR688" s="87"/>
      <c r="BS688" s="87"/>
      <c r="BT688" s="87"/>
      <c r="BU688" s="87"/>
      <c r="BV688" s="87"/>
      <c r="BW688" s="87"/>
      <c r="BX688" s="87"/>
      <c r="BY688" s="87"/>
      <c r="BZ688" s="87"/>
      <c r="CA688" s="87"/>
      <c r="CB688" s="87"/>
      <c r="CC688" s="87"/>
      <c r="CD688" s="87"/>
      <c r="CE688" s="87"/>
      <c r="CF688" s="87"/>
      <c r="CG688" s="87"/>
      <c r="CH688" s="87"/>
      <c r="CI688" s="87"/>
      <c r="CJ688" s="87"/>
      <c r="CK688" s="87"/>
      <c r="CL688" s="87"/>
      <c r="CM688" s="87"/>
      <c r="CN688" s="87"/>
      <c r="CO688" s="87"/>
      <c r="CP688" s="87"/>
      <c r="CQ688" s="87"/>
      <c r="CR688" s="87"/>
      <c r="CS688" s="87"/>
      <c r="CT688" s="87"/>
      <c r="CU688" s="87">
        <f>-C688*(4/7)</f>
        <v>-10.5</v>
      </c>
      <c r="CV688" s="87">
        <f>-C688*(3/7)</f>
        <v>-7.875</v>
      </c>
      <c r="CW688" s="87"/>
      <c r="CX688" s="87"/>
      <c r="CY688" s="87"/>
      <c r="CZ688" s="87"/>
      <c r="DA688" s="87"/>
      <c r="DB688" s="105"/>
      <c r="DC688" s="105">
        <f>C688 *4/7</f>
        <v>10.5</v>
      </c>
      <c r="DD688" s="105">
        <f>C688*3/7</f>
        <v>7.875</v>
      </c>
      <c r="DE688" s="87"/>
      <c r="DF688" s="87"/>
      <c r="DG688" s="87"/>
      <c r="DH688" s="87"/>
      <c r="DI688" s="87"/>
      <c r="DJ688" s="87"/>
      <c r="DK688" s="87"/>
      <c r="DL688" s="87"/>
      <c r="DM688" s="87"/>
      <c r="DN688" s="87"/>
      <c r="DO688" s="87"/>
      <c r="DP688" s="87"/>
      <c r="DQ688" s="87"/>
      <c r="DR688" s="87"/>
      <c r="DS688" s="87"/>
      <c r="DT688" s="87"/>
      <c r="DU688" s="87"/>
      <c r="DV688" s="87"/>
      <c r="DW688" s="87"/>
      <c r="DX688" s="87"/>
      <c r="DY688" s="87"/>
      <c r="DZ688" s="87"/>
      <c r="EA688" s="87"/>
      <c r="EB688" s="87"/>
      <c r="EC688" s="87"/>
      <c r="ED688" s="87"/>
      <c r="EE688" s="87"/>
      <c r="EF688" s="87"/>
      <c r="EG688" s="87"/>
      <c r="EH688" s="87"/>
      <c r="EI688" s="87"/>
    </row>
    <row r="689" spans="1:139" ht="16.5" hidden="1" thickBot="1" x14ac:dyDescent="0.35">
      <c r="A689" s="376" t="s">
        <v>1169</v>
      </c>
      <c r="B689" s="191">
        <v>5</v>
      </c>
      <c r="C689" s="177">
        <f>22*0.25</f>
        <v>5.5</v>
      </c>
      <c r="D689" s="234">
        <f>C689/VLOOKUP(B689,'[2]Gas Prod per PADD'!$A$1:$C$6,2,FALSE)</f>
        <v>4.0740740740740737E-3</v>
      </c>
      <c r="E689" s="220">
        <v>45794</v>
      </c>
      <c r="F689" s="252">
        <v>45803</v>
      </c>
      <c r="G689" s="180" t="s">
        <v>1170</v>
      </c>
      <c r="H689" s="198" t="s">
        <v>1171</v>
      </c>
      <c r="I689" s="371"/>
      <c r="J689" s="372"/>
      <c r="K689" s="372"/>
      <c r="L689" s="372"/>
      <c r="M689" s="372"/>
      <c r="N689" s="372"/>
      <c r="O689" s="372"/>
      <c r="P689" s="372"/>
      <c r="Q689" s="372"/>
      <c r="R689" s="372"/>
      <c r="S689" s="372"/>
      <c r="T689" s="85">
        <f t="shared" ref="T689:T700" si="29">C689*(E689-F689)/31</f>
        <v>-1.596774193548387</v>
      </c>
      <c r="U689" s="85"/>
      <c r="V689" s="84"/>
      <c r="W689" s="84"/>
      <c r="X689" s="84" t="str">
        <f>IF(COUNTA(Y689:EI689)=0,"Missing","OK")</f>
        <v>OK</v>
      </c>
      <c r="Y689" s="105"/>
      <c r="Z689" s="105"/>
      <c r="AA689" s="87"/>
      <c r="AB689" s="87"/>
      <c r="AC689" s="87"/>
      <c r="AD689" s="87"/>
      <c r="AE689" s="105"/>
      <c r="AF689" s="105"/>
      <c r="AG689" s="105"/>
      <c r="AH689" s="105"/>
      <c r="AI689" s="87"/>
      <c r="AJ689" s="87"/>
      <c r="AK689" s="105"/>
      <c r="AL689" s="87"/>
      <c r="AM689" s="105"/>
      <c r="AN689" s="105"/>
      <c r="AO689" s="87"/>
      <c r="AP689" s="87"/>
      <c r="AQ689" s="105"/>
      <c r="AR689" s="105"/>
      <c r="AS689" s="87"/>
      <c r="AT689" s="105"/>
      <c r="AU689" s="105"/>
      <c r="AV689" s="87"/>
      <c r="AW689" s="105"/>
      <c r="AX689" s="105"/>
      <c r="AY689" s="87"/>
      <c r="AZ689" s="105"/>
      <c r="BA689" s="105"/>
      <c r="BB689" s="105"/>
      <c r="BC689" s="87"/>
      <c r="BD689" s="87"/>
      <c r="BE689" s="105"/>
      <c r="BF689" s="105"/>
      <c r="BG689" s="105"/>
      <c r="BH689" s="105"/>
      <c r="BI689" s="105"/>
      <c r="BJ689" s="87"/>
      <c r="BK689" s="87"/>
      <c r="BL689" s="87"/>
      <c r="BM689" s="87"/>
      <c r="BN689" s="87"/>
      <c r="BO689" s="87"/>
      <c r="BP689" s="87"/>
      <c r="BQ689" s="87"/>
      <c r="BR689" s="87"/>
      <c r="BS689" s="87"/>
      <c r="BT689" s="87"/>
      <c r="BU689" s="87"/>
      <c r="BV689" s="87"/>
      <c r="BW689" s="87"/>
      <c r="BX689" s="87"/>
      <c r="BY689" s="87"/>
      <c r="BZ689" s="87"/>
      <c r="CA689" s="87"/>
      <c r="CB689" s="87"/>
      <c r="CC689" s="87"/>
      <c r="CD689" s="87"/>
      <c r="CE689" s="87"/>
      <c r="CF689" s="87"/>
      <c r="CG689" s="87"/>
      <c r="CH689" s="87"/>
      <c r="CI689" s="87"/>
      <c r="CJ689" s="87"/>
      <c r="CK689" s="87"/>
      <c r="CL689" s="87"/>
      <c r="CM689" s="87"/>
      <c r="CN689" s="87"/>
      <c r="CO689" s="87"/>
      <c r="CP689" s="87"/>
      <c r="CQ689" s="87"/>
      <c r="CR689" s="87"/>
      <c r="CS689" s="87"/>
      <c r="CT689" s="87"/>
      <c r="CU689" s="87"/>
      <c r="CV689" s="87"/>
      <c r="CW689" s="87"/>
      <c r="CX689" s="87"/>
      <c r="CY689" s="87"/>
      <c r="CZ689" s="105"/>
      <c r="DA689" s="105"/>
      <c r="DB689" s="105">
        <f>-C689</f>
        <v>-5.5</v>
      </c>
      <c r="DC689" s="87">
        <f>C689*(4/7)</f>
        <v>3.1428571428571428</v>
      </c>
      <c r="DD689" s="105">
        <f>C689-DC689</f>
        <v>2.3571428571428572</v>
      </c>
      <c r="DE689" s="87"/>
      <c r="DF689" s="87"/>
      <c r="DG689" s="87"/>
      <c r="DH689" s="87"/>
      <c r="DI689" s="87"/>
      <c r="DJ689" s="87"/>
      <c r="DK689" s="87"/>
      <c r="DL689" s="87"/>
      <c r="DM689" s="87"/>
      <c r="DN689" s="87"/>
      <c r="DO689" s="87"/>
      <c r="DP689" s="87"/>
      <c r="DQ689" s="87"/>
      <c r="DR689" s="87"/>
      <c r="DS689" s="87"/>
      <c r="DT689" s="87"/>
      <c r="DU689" s="87"/>
      <c r="DV689" s="87"/>
      <c r="DW689" s="87"/>
      <c r="DX689" s="87"/>
      <c r="DY689" s="87"/>
      <c r="DZ689" s="87"/>
      <c r="EA689" s="87"/>
      <c r="EB689" s="87"/>
      <c r="EC689" s="87"/>
      <c r="ED689" s="87"/>
      <c r="EE689" s="87"/>
      <c r="EF689" s="87"/>
      <c r="EG689" s="87"/>
      <c r="EH689" s="87"/>
      <c r="EI689" s="87"/>
    </row>
    <row r="690" spans="1:139" ht="29.25" hidden="1" thickBot="1" x14ac:dyDescent="0.35">
      <c r="A690" s="219" t="s">
        <v>1144</v>
      </c>
      <c r="B690" s="194">
        <v>3</v>
      </c>
      <c r="C690" s="195">
        <f>49*0.05</f>
        <v>2.4500000000000002</v>
      </c>
      <c r="D690" s="217">
        <f>C690/VLOOKUP(B690,'[2]Gas Prod per PADD'!$A$1:$C$6,2,FALSE)</f>
        <v>5.3260869565217395E-4</v>
      </c>
      <c r="E690" s="178">
        <v>45796</v>
      </c>
      <c r="F690" s="359">
        <f>E690+7</f>
        <v>45803</v>
      </c>
      <c r="G690" s="194" t="s">
        <v>1172</v>
      </c>
      <c r="H690" s="230" t="s">
        <v>1173</v>
      </c>
      <c r="I690" s="84">
        <f>40*0.1+35*0.85+96*0.65+49*0.05</f>
        <v>98.600000000000009</v>
      </c>
      <c r="J690" s="85"/>
      <c r="K690" s="85"/>
      <c r="L690" s="85"/>
      <c r="M690" s="85"/>
      <c r="N690" s="85"/>
      <c r="O690" s="85"/>
      <c r="P690" s="85"/>
      <c r="Q690" s="85"/>
      <c r="R690" s="85"/>
      <c r="S690" s="85"/>
      <c r="T690" s="85">
        <f t="shared" si="29"/>
        <v>-0.55322580645161301</v>
      </c>
      <c r="U690" s="85"/>
      <c r="V690" s="84"/>
      <c r="W690" s="84"/>
      <c r="X690" s="84"/>
      <c r="Y690" s="105"/>
      <c r="Z690" s="105"/>
      <c r="AA690" s="87"/>
      <c r="AB690" s="87"/>
      <c r="AC690" s="87"/>
      <c r="AD690" s="87"/>
      <c r="AE690" s="105"/>
      <c r="AF690" s="105"/>
      <c r="AG690" s="105"/>
      <c r="AH690" s="105"/>
      <c r="AI690" s="87"/>
      <c r="AJ690" s="87"/>
      <c r="AK690" s="87"/>
      <c r="AL690" s="87"/>
      <c r="AM690" s="87"/>
      <c r="AN690" s="87"/>
      <c r="AO690" s="87"/>
      <c r="AP690" s="87"/>
      <c r="AQ690" s="87"/>
      <c r="AR690" s="87"/>
      <c r="AS690" s="87"/>
      <c r="AT690" s="87"/>
      <c r="AU690" s="87"/>
      <c r="AV690" s="87"/>
      <c r="AW690" s="87"/>
      <c r="AX690" s="87"/>
      <c r="AY690" s="87"/>
      <c r="AZ690" s="87"/>
      <c r="BA690" s="87"/>
      <c r="BB690" s="87"/>
      <c r="BC690" s="87"/>
      <c r="BD690" s="87"/>
      <c r="BE690" s="87"/>
      <c r="BF690" s="87"/>
      <c r="BG690" s="87"/>
      <c r="BH690" s="87"/>
      <c r="BI690" s="87"/>
      <c r="BJ690" s="87"/>
      <c r="BK690" s="87"/>
      <c r="BL690" s="87"/>
      <c r="BM690" s="87"/>
      <c r="BN690" s="87"/>
      <c r="BO690" s="87"/>
      <c r="BP690" s="87"/>
      <c r="BQ690" s="87"/>
      <c r="BR690" s="87"/>
      <c r="BS690" s="87"/>
      <c r="BT690" s="87"/>
      <c r="BU690" s="87"/>
      <c r="BV690" s="87"/>
      <c r="BW690" s="87"/>
      <c r="BX690" s="87"/>
      <c r="BY690" s="87"/>
      <c r="BZ690" s="87"/>
      <c r="CA690" s="87"/>
      <c r="CB690" s="87"/>
      <c r="CC690" s="87"/>
      <c r="CD690" s="87"/>
      <c r="CE690" s="87"/>
      <c r="CF690" s="87"/>
      <c r="CG690" s="87"/>
      <c r="CH690" s="87"/>
      <c r="CI690" s="87"/>
      <c r="CJ690" s="87"/>
      <c r="CK690" s="87"/>
      <c r="CL690" s="87"/>
      <c r="CM690" s="87"/>
      <c r="CN690" s="87"/>
      <c r="CO690" s="87"/>
      <c r="CP690" s="87"/>
      <c r="CQ690" s="87"/>
      <c r="CR690" s="87"/>
      <c r="CS690" s="87"/>
      <c r="CT690" s="87"/>
      <c r="CU690" s="87"/>
      <c r="CV690" s="87"/>
      <c r="CW690" s="87"/>
      <c r="CX690" s="87"/>
      <c r="CY690" s="87"/>
      <c r="CZ690" s="87"/>
      <c r="DA690" s="87"/>
      <c r="DB690" s="87">
        <f>-4/7*C690</f>
        <v>-1.4000000000000001</v>
      </c>
      <c r="DC690" s="105">
        <f>-C690-DB690</f>
        <v>-1.05</v>
      </c>
      <c r="DD690" s="87">
        <f>-DB690</f>
        <v>1.4000000000000001</v>
      </c>
      <c r="DE690" s="105">
        <f>-DC690</f>
        <v>1.05</v>
      </c>
      <c r="DF690" s="87"/>
      <c r="DG690" s="87"/>
      <c r="DH690" s="87"/>
      <c r="DI690" s="87"/>
      <c r="DJ690" s="87"/>
      <c r="DK690" s="87"/>
      <c r="DL690" s="87"/>
      <c r="DM690" s="87"/>
      <c r="DN690" s="87"/>
      <c r="DO690" s="87"/>
      <c r="DP690" s="87"/>
      <c r="DQ690" s="87"/>
      <c r="DR690" s="87"/>
      <c r="DS690" s="87"/>
      <c r="DT690" s="87"/>
      <c r="DU690" s="87"/>
      <c r="DV690" s="87"/>
      <c r="DW690" s="87"/>
      <c r="DX690" s="87"/>
      <c r="DY690" s="87"/>
      <c r="DZ690" s="87"/>
      <c r="EA690" s="87"/>
      <c r="EB690" s="87"/>
      <c r="EC690" s="87"/>
      <c r="ED690" s="87"/>
      <c r="EE690" s="87"/>
      <c r="EF690" s="87"/>
      <c r="EG690" s="87"/>
      <c r="EH690" s="87"/>
      <c r="EI690" s="87"/>
    </row>
    <row r="691" spans="1:139" ht="16.5" hidden="1" thickBot="1" x14ac:dyDescent="0.35">
      <c r="A691" s="382" t="s">
        <v>168</v>
      </c>
      <c r="B691" s="176">
        <v>2</v>
      </c>
      <c r="C691" s="177">
        <f>(0.85*40)</f>
        <v>34</v>
      </c>
      <c r="D691" s="217">
        <f>C691/VLOOKUP(B691,'[2]Gas Prod per PADD'!$A$1:$C$6,2,FALSE)</f>
        <v>1.4166666666666666E-2</v>
      </c>
      <c r="E691" s="178">
        <v>45790</v>
      </c>
      <c r="F691" s="252">
        <v>45804</v>
      </c>
      <c r="G691" s="180" t="s">
        <v>376</v>
      </c>
      <c r="H691" s="221" t="s">
        <v>1174</v>
      </c>
      <c r="I691" s="84"/>
      <c r="J691" s="85"/>
      <c r="K691" s="85"/>
      <c r="L691" s="85"/>
      <c r="M691" s="85"/>
      <c r="N691" s="85"/>
      <c r="O691" s="85"/>
      <c r="P691" s="85"/>
      <c r="Q691" s="85"/>
      <c r="R691" s="85"/>
      <c r="S691" s="85"/>
      <c r="T691" s="85">
        <f t="shared" si="29"/>
        <v>-15.35483870967742</v>
      </c>
      <c r="U691" s="85"/>
      <c r="V691" s="84"/>
      <c r="W691" s="84"/>
      <c r="X691" s="84"/>
      <c r="Y691" s="105"/>
      <c r="Z691" s="105"/>
      <c r="AA691" s="87"/>
      <c r="AB691" s="87"/>
      <c r="AC691" s="87"/>
      <c r="AD691" s="87"/>
      <c r="AE691" s="105"/>
      <c r="AF691" s="105"/>
      <c r="AG691" s="105"/>
      <c r="AH691" s="105"/>
      <c r="AI691" s="87"/>
      <c r="AJ691" s="87"/>
      <c r="AK691" s="105"/>
      <c r="AL691" s="87"/>
      <c r="AM691" s="105"/>
      <c r="AN691" s="105"/>
      <c r="AO691" s="87"/>
      <c r="AP691" s="87"/>
      <c r="AQ691" s="105"/>
      <c r="AR691" s="105"/>
      <c r="AS691" s="87"/>
      <c r="AT691" s="105"/>
      <c r="AU691" s="87"/>
      <c r="AV691" s="87"/>
      <c r="AW691" s="105"/>
      <c r="AX691" s="105"/>
      <c r="AY691" s="105"/>
      <c r="AZ691" s="105"/>
      <c r="BA691" s="105"/>
      <c r="BB691" s="105"/>
      <c r="BC691" s="105"/>
      <c r="BD691" s="105"/>
      <c r="BE691" s="105"/>
      <c r="BF691" s="105"/>
      <c r="BG691" s="87"/>
      <c r="BH691" s="87"/>
      <c r="BI691" s="87"/>
      <c r="BJ691" s="87"/>
      <c r="BK691" s="87"/>
      <c r="BL691" s="87"/>
      <c r="BM691" s="87"/>
      <c r="BN691" s="87"/>
      <c r="BO691" s="87"/>
      <c r="BP691" s="87"/>
      <c r="BQ691" s="87"/>
      <c r="BR691" s="87"/>
      <c r="BS691" s="87"/>
      <c r="BT691" s="87"/>
      <c r="BU691" s="87"/>
      <c r="BV691" s="87"/>
      <c r="BW691" s="87"/>
      <c r="BX691" s="87"/>
      <c r="BY691" s="87"/>
      <c r="BZ691" s="87"/>
      <c r="CA691" s="87"/>
      <c r="CB691" s="87"/>
      <c r="CC691" s="87"/>
      <c r="CD691" s="87"/>
      <c r="CE691" s="87"/>
      <c r="CF691" s="87"/>
      <c r="CG691" s="87"/>
      <c r="CH691" s="87"/>
      <c r="CI691" s="87"/>
      <c r="CJ691" s="87"/>
      <c r="CK691" s="87"/>
      <c r="CL691" s="87"/>
      <c r="CM691" s="87"/>
      <c r="CN691" s="87"/>
      <c r="CO691" s="87"/>
      <c r="CP691" s="87"/>
      <c r="CQ691" s="87"/>
      <c r="CR691" s="87"/>
      <c r="CS691" s="87"/>
      <c r="CT691" s="87"/>
      <c r="CU691" s="87"/>
      <c r="CV691" s="87"/>
      <c r="CW691" s="87"/>
      <c r="CX691" s="87"/>
      <c r="CY691" s="87"/>
      <c r="CZ691" s="87"/>
      <c r="DA691" s="87">
        <f>-3/7*C691</f>
        <v>-14.571428571428571</v>
      </c>
      <c r="DB691" s="87">
        <f>-4/7*C691</f>
        <v>-19.428571428571427</v>
      </c>
      <c r="DC691" s="87"/>
      <c r="DD691" s="87">
        <f>-DB691</f>
        <v>19.428571428571427</v>
      </c>
      <c r="DE691" s="87">
        <f>-DA691</f>
        <v>14.571428571428571</v>
      </c>
      <c r="DF691" s="87"/>
      <c r="DG691" s="87"/>
      <c r="DH691" s="87"/>
      <c r="DI691" s="87"/>
      <c r="DJ691" s="87"/>
      <c r="DK691" s="87"/>
      <c r="DL691" s="87"/>
      <c r="DM691" s="295"/>
      <c r="DN691" s="87"/>
      <c r="DO691" s="87"/>
      <c r="DP691" s="87"/>
      <c r="DQ691" s="87"/>
      <c r="DR691" s="87"/>
      <c r="DS691" s="87"/>
      <c r="DT691" s="87"/>
      <c r="DU691" s="87"/>
      <c r="DV691" s="87"/>
      <c r="DW691" s="87"/>
      <c r="DX691" s="87"/>
      <c r="DY691" s="87"/>
      <c r="DZ691" s="87"/>
      <c r="EA691" s="87"/>
      <c r="EB691" s="87"/>
      <c r="EC691" s="87"/>
      <c r="ED691" s="87"/>
      <c r="EE691" s="87"/>
      <c r="EF691" s="87"/>
      <c r="EG691" s="87"/>
      <c r="EH691" s="87"/>
      <c r="EI691" s="87"/>
    </row>
    <row r="692" spans="1:139" ht="57.75" hidden="1" thickBot="1" x14ac:dyDescent="0.35">
      <c r="A692" s="175" t="s">
        <v>256</v>
      </c>
      <c r="B692" s="191">
        <v>1</v>
      </c>
      <c r="C692" s="177">
        <f>50*0.25+40*0.65</f>
        <v>38.5</v>
      </c>
      <c r="D692" s="217">
        <f>C692/VLOOKUP(B692,'[2]Gas Prod per PADD'!$A$1:$C$6,2,FALSE)</f>
        <v>8.020833333333334E-2</v>
      </c>
      <c r="E692" s="220">
        <v>45791</v>
      </c>
      <c r="F692" s="252">
        <v>45804</v>
      </c>
      <c r="G692" s="180" t="s">
        <v>1175</v>
      </c>
      <c r="H692" s="181" t="s">
        <v>1176</v>
      </c>
      <c r="I692" s="383"/>
      <c r="J692" s="306"/>
      <c r="K692" s="306"/>
      <c r="L692" s="306"/>
      <c r="M692" s="306"/>
      <c r="N692" s="306"/>
      <c r="O692" s="306"/>
      <c r="P692" s="306"/>
      <c r="Q692" s="306"/>
      <c r="R692" s="306"/>
      <c r="S692" s="306"/>
      <c r="T692" s="85">
        <f t="shared" si="29"/>
        <v>-16.14516129032258</v>
      </c>
      <c r="U692" s="85"/>
      <c r="V692" s="84"/>
      <c r="W692" s="84"/>
      <c r="X692" s="84"/>
      <c r="Y692" s="105"/>
      <c r="Z692" s="105"/>
      <c r="AA692" s="87"/>
      <c r="AB692" s="87"/>
      <c r="AC692" s="87"/>
      <c r="AD692" s="87"/>
      <c r="AE692" s="105"/>
      <c r="AF692" s="105"/>
      <c r="AG692" s="105"/>
      <c r="AH692" s="105"/>
      <c r="AI692" s="87"/>
      <c r="AJ692" s="87"/>
      <c r="AK692" s="105"/>
      <c r="AL692" s="87"/>
      <c r="AM692" s="105"/>
      <c r="AN692" s="105"/>
      <c r="AO692" s="87"/>
      <c r="AP692" s="87"/>
      <c r="AQ692" s="105"/>
      <c r="AR692" s="105"/>
      <c r="AS692" s="87"/>
      <c r="AT692" s="105"/>
      <c r="AU692" s="105"/>
      <c r="AV692" s="87"/>
      <c r="AW692" s="105"/>
      <c r="AX692" s="105"/>
      <c r="AY692" s="87"/>
      <c r="AZ692" s="105"/>
      <c r="BA692" s="105"/>
      <c r="BB692" s="105"/>
      <c r="BC692" s="87"/>
      <c r="BD692" s="87"/>
      <c r="BE692" s="105"/>
      <c r="BF692" s="105"/>
      <c r="BG692" s="105"/>
      <c r="BH692" s="105"/>
      <c r="BI692" s="105"/>
      <c r="BJ692" s="87"/>
      <c r="BK692" s="87"/>
      <c r="BL692" s="87"/>
      <c r="BM692" s="87"/>
      <c r="BN692" s="87"/>
      <c r="BO692" s="87"/>
      <c r="BP692" s="87"/>
      <c r="BQ692" s="87"/>
      <c r="BR692" s="87"/>
      <c r="BS692" s="87"/>
      <c r="BT692" s="87"/>
      <c r="BU692" s="87"/>
      <c r="BV692" s="87"/>
      <c r="BW692" s="87"/>
      <c r="BX692" s="87"/>
      <c r="BY692" s="87"/>
      <c r="BZ692" s="87"/>
      <c r="CA692" s="87"/>
      <c r="CB692" s="87"/>
      <c r="CC692" s="87"/>
      <c r="CD692" s="87"/>
      <c r="CE692" s="87"/>
      <c r="CF692" s="87"/>
      <c r="CG692" s="87"/>
      <c r="CH692" s="87"/>
      <c r="CI692" s="87"/>
      <c r="CJ692" s="87"/>
      <c r="CK692" s="87"/>
      <c r="CL692" s="87"/>
      <c r="CM692" s="87"/>
      <c r="CN692" s="87"/>
      <c r="CO692" s="87"/>
      <c r="CP692" s="87"/>
      <c r="CQ692" s="105"/>
      <c r="CR692" s="87"/>
      <c r="CS692" s="87"/>
      <c r="CT692" s="87"/>
      <c r="CU692" s="87"/>
      <c r="CV692" s="87"/>
      <c r="CW692" s="87"/>
      <c r="CX692" s="87"/>
      <c r="CY692" s="105"/>
      <c r="CZ692" s="87"/>
      <c r="DA692" s="87">
        <f>-1/7*C692</f>
        <v>-5.5</v>
      </c>
      <c r="DB692" s="105">
        <f>-C692-DA692</f>
        <v>-33</v>
      </c>
      <c r="DC692" s="105">
        <f>C692</f>
        <v>38.5</v>
      </c>
      <c r="DD692" s="105"/>
      <c r="DE692" s="87"/>
      <c r="DF692" s="87"/>
      <c r="DG692" s="87"/>
      <c r="DH692" s="87"/>
      <c r="DI692" s="87"/>
      <c r="DJ692" s="87"/>
      <c r="DK692" s="87"/>
      <c r="DL692" s="87"/>
      <c r="DM692" s="87"/>
      <c r="DN692" s="87"/>
      <c r="DO692" s="87"/>
      <c r="DP692" s="87"/>
      <c r="DQ692" s="87"/>
      <c r="DR692" s="87"/>
      <c r="DS692" s="87"/>
      <c r="DT692" s="87"/>
      <c r="DU692" s="87"/>
      <c r="DV692" s="87"/>
      <c r="DW692" s="87"/>
      <c r="DX692" s="87"/>
      <c r="DY692" s="87"/>
      <c r="DZ692" s="87"/>
      <c r="EA692" s="87"/>
      <c r="EB692" s="87"/>
      <c r="EC692" s="87"/>
      <c r="ED692" s="87"/>
      <c r="EE692" s="87"/>
      <c r="EF692" s="87"/>
      <c r="EG692" s="87"/>
      <c r="EH692" s="87"/>
      <c r="EI692" s="87"/>
    </row>
    <row r="693" spans="1:139" ht="43.5" hidden="1" thickBot="1" x14ac:dyDescent="0.35">
      <c r="A693" s="352" t="s">
        <v>231</v>
      </c>
      <c r="B693" s="223">
        <v>2</v>
      </c>
      <c r="C693" s="224">
        <f>95*0.65+(100*0.1)+(15*0.85)+(12*0.1)</f>
        <v>85.7</v>
      </c>
      <c r="D693" s="217">
        <f>C693/VLOOKUP(B693,'[2]Gas Prod per PADD'!$A$1:$C$6,2,FALSE)</f>
        <v>3.5708333333333335E-2</v>
      </c>
      <c r="E693" s="225">
        <v>45798</v>
      </c>
      <c r="F693" s="276">
        <v>45804</v>
      </c>
      <c r="G693" s="180" t="s">
        <v>1177</v>
      </c>
      <c r="H693" s="221" t="s">
        <v>1178</v>
      </c>
      <c r="I693" s="384"/>
      <c r="J693" s="85"/>
      <c r="K693" s="85"/>
      <c r="L693" s="85"/>
      <c r="M693" s="85"/>
      <c r="N693" s="85"/>
      <c r="O693" s="85"/>
      <c r="P693" s="85"/>
      <c r="Q693" s="85"/>
      <c r="R693" s="85"/>
      <c r="S693" s="85"/>
      <c r="T693" s="85">
        <f t="shared" si="29"/>
        <v>-16.587096774193551</v>
      </c>
      <c r="U693" s="85"/>
      <c r="V693" s="84"/>
      <c r="W693" s="84"/>
      <c r="X693" s="84"/>
      <c r="Y693" s="87"/>
      <c r="Z693" s="87"/>
      <c r="AA693" s="87"/>
      <c r="AB693" s="87"/>
      <c r="AC693" s="87"/>
      <c r="AD693" s="87"/>
      <c r="AE693" s="87"/>
      <c r="AF693" s="87"/>
      <c r="AG693" s="87"/>
      <c r="AH693" s="87"/>
      <c r="AI693" s="87"/>
      <c r="AJ693" s="87"/>
      <c r="AK693" s="87"/>
      <c r="AL693" s="87"/>
      <c r="AM693" s="87"/>
      <c r="AN693" s="87"/>
      <c r="AO693" s="87"/>
      <c r="AP693" s="87"/>
      <c r="AQ693" s="87"/>
      <c r="AR693" s="87"/>
      <c r="AS693" s="87"/>
      <c r="AT693" s="87"/>
      <c r="AU693" s="87"/>
      <c r="AV693" s="87"/>
      <c r="AW693" s="87"/>
      <c r="AX693" s="87"/>
      <c r="AY693" s="87"/>
      <c r="AZ693" s="87"/>
      <c r="BA693" s="87"/>
      <c r="BB693" s="87"/>
      <c r="BC693" s="87"/>
      <c r="BD693" s="87"/>
      <c r="BE693" s="87"/>
      <c r="BF693" s="87"/>
      <c r="BG693" s="87"/>
      <c r="BH693" s="87"/>
      <c r="BI693" s="87"/>
      <c r="BJ693" s="87"/>
      <c r="BK693" s="87"/>
      <c r="BL693" s="87"/>
      <c r="BM693" s="87"/>
      <c r="BN693" s="87"/>
      <c r="BO693" s="87"/>
      <c r="BP693" s="87"/>
      <c r="BQ693" s="87"/>
      <c r="BR693" s="87"/>
      <c r="BS693" s="87"/>
      <c r="BT693" s="87"/>
      <c r="BU693" s="87"/>
      <c r="BV693" s="87"/>
      <c r="BW693" s="87"/>
      <c r="BX693" s="87"/>
      <c r="BY693" s="87"/>
      <c r="BZ693" s="87"/>
      <c r="CA693" s="87"/>
      <c r="CB693" s="87"/>
      <c r="CC693" s="87"/>
      <c r="CD693" s="87"/>
      <c r="CE693" s="87"/>
      <c r="CF693" s="87"/>
      <c r="CG693" s="87"/>
      <c r="CH693" s="87"/>
      <c r="CI693" s="87"/>
      <c r="CJ693" s="87"/>
      <c r="CK693" s="87"/>
      <c r="CL693" s="87"/>
      <c r="CM693" s="87"/>
      <c r="CN693" s="87"/>
      <c r="CO693" s="87"/>
      <c r="CP693" s="87"/>
      <c r="CQ693" s="87"/>
      <c r="CR693" s="87"/>
      <c r="CS693" s="87"/>
      <c r="CT693" s="87"/>
      <c r="CU693" s="87"/>
      <c r="CV693" s="87"/>
      <c r="CW693" s="87"/>
      <c r="CX693" s="87"/>
      <c r="CY693" s="87"/>
      <c r="CZ693" s="87"/>
      <c r="DA693" s="87"/>
      <c r="DB693" s="87">
        <f>-3/7*C693</f>
        <v>-36.728571428571428</v>
      </c>
      <c r="DC693" s="87"/>
      <c r="DD693" s="87">
        <f>-DB693</f>
        <v>36.728571428571428</v>
      </c>
      <c r="DE693" s="87"/>
      <c r="DF693" s="87"/>
      <c r="DG693" s="87"/>
      <c r="DH693" s="87"/>
      <c r="DI693" s="87"/>
      <c r="DJ693" s="87"/>
      <c r="DK693" s="87"/>
      <c r="DL693" s="87"/>
      <c r="DM693" s="87"/>
      <c r="DN693" s="87"/>
      <c r="DO693" s="87"/>
      <c r="DP693" s="87"/>
      <c r="DQ693" s="87"/>
      <c r="DR693" s="87"/>
      <c r="DS693" s="87"/>
      <c r="DT693" s="87"/>
      <c r="DU693" s="87"/>
      <c r="DV693" s="87"/>
      <c r="DW693" s="87"/>
      <c r="DX693" s="87"/>
      <c r="DY693" s="87"/>
      <c r="DZ693" s="87"/>
      <c r="EA693" s="87"/>
      <c r="EB693" s="87"/>
      <c r="EC693" s="87"/>
      <c r="ED693" s="87"/>
      <c r="EE693" s="87"/>
      <c r="EF693" s="87"/>
      <c r="EG693" s="87"/>
      <c r="EH693" s="87"/>
      <c r="EI693" s="87"/>
    </row>
    <row r="694" spans="1:139" ht="16.5" hidden="1" thickBot="1" x14ac:dyDescent="0.35">
      <c r="A694" s="88" t="s">
        <v>117</v>
      </c>
      <c r="B694" s="199">
        <v>3</v>
      </c>
      <c r="C694" s="177">
        <f>38.5*0.05</f>
        <v>1.925</v>
      </c>
      <c r="D694" s="217">
        <f>C694/VLOOKUP(B694,'[2]Gas Prod per PADD'!$A$1:$C$6,2,FALSE)</f>
        <v>4.1847826086956522E-4</v>
      </c>
      <c r="E694" s="220">
        <v>45803</v>
      </c>
      <c r="F694" s="252">
        <v>45804</v>
      </c>
      <c r="G694" s="180" t="s">
        <v>1179</v>
      </c>
      <c r="H694" s="181" t="s">
        <v>542</v>
      </c>
      <c r="I694" s="384"/>
      <c r="J694" s="85"/>
      <c r="K694" s="85"/>
      <c r="L694" s="85"/>
      <c r="M694" s="85"/>
      <c r="N694" s="85"/>
      <c r="O694" s="85"/>
      <c r="P694" s="85"/>
      <c r="Q694" s="85"/>
      <c r="R694" s="85"/>
      <c r="S694" s="85"/>
      <c r="T694" s="85">
        <f t="shared" si="29"/>
        <v>-6.2096774193548386E-2</v>
      </c>
      <c r="U694" s="85"/>
      <c r="V694" s="84"/>
      <c r="W694" s="84"/>
      <c r="X694" s="84"/>
      <c r="Y694" s="87"/>
      <c r="Z694" s="87"/>
      <c r="AA694" s="87"/>
      <c r="AB694" s="87"/>
      <c r="AC694" s="87"/>
      <c r="AD694" s="87"/>
      <c r="AE694" s="87"/>
      <c r="AF694" s="87"/>
      <c r="AG694" s="87"/>
      <c r="AH694" s="87"/>
      <c r="AI694" s="87"/>
      <c r="AJ694" s="87"/>
      <c r="AK694" s="87"/>
      <c r="AL694" s="87"/>
      <c r="AM694" s="87"/>
      <c r="AN694" s="87"/>
      <c r="AO694" s="87"/>
      <c r="AP694" s="87"/>
      <c r="AQ694" s="87"/>
      <c r="AR694" s="87"/>
      <c r="AS694" s="87"/>
      <c r="AT694" s="87"/>
      <c r="AU694" s="87"/>
      <c r="AV694" s="87"/>
      <c r="AW694" s="87"/>
      <c r="AX694" s="87"/>
      <c r="AY694" s="87"/>
      <c r="AZ694" s="87"/>
      <c r="BA694" s="87"/>
      <c r="BB694" s="87"/>
      <c r="BC694" s="87"/>
      <c r="BD694" s="87"/>
      <c r="BE694" s="87"/>
      <c r="BF694" s="87"/>
      <c r="BG694" s="87"/>
      <c r="BH694" s="87"/>
      <c r="BI694" s="87"/>
      <c r="BJ694" s="87"/>
      <c r="BK694" s="87"/>
      <c r="BL694" s="87"/>
      <c r="BM694" s="87"/>
      <c r="BN694" s="87"/>
      <c r="BO694" s="87"/>
      <c r="BP694" s="87"/>
      <c r="BQ694" s="87"/>
      <c r="BR694" s="87"/>
      <c r="BS694" s="87"/>
      <c r="BT694" s="87"/>
      <c r="BU694" s="87"/>
      <c r="BV694" s="87"/>
      <c r="BW694" s="87"/>
      <c r="BX694" s="87"/>
      <c r="BY694" s="87"/>
      <c r="BZ694" s="87"/>
      <c r="CA694" s="87"/>
      <c r="CB694" s="87"/>
      <c r="CC694" s="87"/>
      <c r="CD694" s="87"/>
      <c r="CE694" s="87"/>
      <c r="CF694" s="87"/>
      <c r="CG694" s="87"/>
      <c r="CH694" s="87"/>
      <c r="CI694" s="87"/>
      <c r="CJ694" s="87"/>
      <c r="CK694" s="87"/>
      <c r="CL694" s="87"/>
      <c r="CM694" s="87"/>
      <c r="CN694" s="87"/>
      <c r="CO694" s="87"/>
      <c r="CP694" s="87"/>
      <c r="CQ694" s="87"/>
      <c r="CR694" s="87"/>
      <c r="CS694" s="87"/>
      <c r="CT694" s="87"/>
      <c r="CU694" s="87"/>
      <c r="CV694" s="87"/>
      <c r="CW694" s="87"/>
      <c r="CX694" s="87"/>
      <c r="CY694" s="87"/>
      <c r="CZ694" s="87"/>
      <c r="DA694" s="87"/>
      <c r="DB694" s="87"/>
      <c r="DC694" s="87">
        <f>-2/7*C694</f>
        <v>-0.54999999999999993</v>
      </c>
      <c r="DD694" s="87">
        <f>-DC694</f>
        <v>0.54999999999999993</v>
      </c>
      <c r="DE694" s="87"/>
      <c r="DF694" s="87"/>
      <c r="DG694" s="87"/>
      <c r="DH694" s="87"/>
      <c r="DI694" s="87"/>
      <c r="DJ694" s="87"/>
      <c r="DK694" s="87"/>
      <c r="DL694" s="87"/>
      <c r="DM694" s="87"/>
      <c r="DN694" s="87"/>
      <c r="DO694" s="87"/>
      <c r="DP694" s="87"/>
      <c r="DQ694" s="105"/>
      <c r="DR694" s="87"/>
      <c r="DS694" s="87"/>
      <c r="DT694" s="87"/>
      <c r="DU694" s="87"/>
      <c r="DV694" s="87"/>
      <c r="DW694" s="87"/>
      <c r="DX694" s="87"/>
      <c r="DY694" s="87"/>
      <c r="DZ694" s="105"/>
      <c r="EA694" s="105"/>
      <c r="EB694" s="87"/>
      <c r="EC694" s="87"/>
      <c r="ED694" s="87"/>
      <c r="EE694" s="87"/>
      <c r="EF694" s="87"/>
      <c r="EG694" s="87"/>
      <c r="EH694" s="87"/>
      <c r="EI694" s="87"/>
    </row>
    <row r="695" spans="1:139" ht="16.5" hidden="1" thickBot="1" x14ac:dyDescent="0.35">
      <c r="A695" s="113" t="s">
        <v>1085</v>
      </c>
      <c r="B695" s="199">
        <v>4</v>
      </c>
      <c r="C695" s="195">
        <f>((20*0.1)+(3.2*0.85)+(5.5*0.65))*0.5</f>
        <v>4.1475000000000009</v>
      </c>
      <c r="D695" s="217">
        <f>C695/VLOOKUP(B695,'[2]Gas Prod per PADD'!$A$1:$C$6,2,FALSE)</f>
        <v>1.2198529411764709E-2</v>
      </c>
      <c r="E695" s="196">
        <v>45778</v>
      </c>
      <c r="F695" s="281">
        <v>45805</v>
      </c>
      <c r="G695" s="194" t="s">
        <v>1086</v>
      </c>
      <c r="H695" s="275" t="s">
        <v>1180</v>
      </c>
      <c r="I695" s="373"/>
      <c r="J695" s="374"/>
      <c r="K695" s="374"/>
      <c r="L695" s="374"/>
      <c r="M695" s="374"/>
      <c r="N695" s="374"/>
      <c r="O695" s="374"/>
      <c r="P695" s="374"/>
      <c r="Q695" s="374"/>
      <c r="R695" s="374"/>
      <c r="S695" s="374"/>
      <c r="T695" s="85">
        <f t="shared" si="29"/>
        <v>-3.6123387096774198</v>
      </c>
      <c r="U695" s="85"/>
      <c r="V695" s="84"/>
      <c r="W695" s="84"/>
      <c r="X695" s="84"/>
      <c r="Y695" s="105"/>
      <c r="Z695" s="105"/>
      <c r="AA695" s="87"/>
      <c r="AB695" s="87"/>
      <c r="AC695" s="87"/>
      <c r="AD695" s="87"/>
      <c r="AE695" s="105"/>
      <c r="AF695" s="105"/>
      <c r="AG695" s="105"/>
      <c r="AH695" s="105"/>
      <c r="AI695" s="87"/>
      <c r="AJ695" s="87"/>
      <c r="AK695" s="105"/>
      <c r="AL695" s="87"/>
      <c r="AM695" s="105"/>
      <c r="AN695" s="105"/>
      <c r="AO695" s="87"/>
      <c r="AP695" s="87"/>
      <c r="AQ695" s="105"/>
      <c r="AR695" s="105"/>
      <c r="AS695" s="87"/>
      <c r="AT695" s="105"/>
      <c r="AU695" s="105"/>
      <c r="AV695" s="87"/>
      <c r="AW695" s="105"/>
      <c r="AX695" s="105"/>
      <c r="AY695" s="87"/>
      <c r="AZ695" s="105"/>
      <c r="BA695" s="105"/>
      <c r="BB695" s="105"/>
      <c r="BC695" s="87"/>
      <c r="BD695" s="87"/>
      <c r="BE695" s="105"/>
      <c r="BF695" s="105"/>
      <c r="BG695" s="105"/>
      <c r="BH695" s="105"/>
      <c r="BI695" s="105"/>
      <c r="BJ695" s="87"/>
      <c r="BK695" s="87"/>
      <c r="BL695" s="87"/>
      <c r="BM695" s="87"/>
      <c r="BN695" s="87"/>
      <c r="BO695" s="87"/>
      <c r="BP695" s="87"/>
      <c r="BQ695" s="87"/>
      <c r="BR695" s="87"/>
      <c r="BS695" s="87"/>
      <c r="BT695" s="87"/>
      <c r="BU695" s="87"/>
      <c r="BV695" s="87"/>
      <c r="BW695" s="87"/>
      <c r="BX695" s="87"/>
      <c r="BY695" s="87"/>
      <c r="BZ695" s="87"/>
      <c r="CA695" s="87"/>
      <c r="CB695" s="87"/>
      <c r="CC695" s="87"/>
      <c r="CD695" s="87"/>
      <c r="CE695" s="87"/>
      <c r="CF695" s="87"/>
      <c r="CG695" s="87"/>
      <c r="CH695" s="87"/>
      <c r="CI695" s="87"/>
      <c r="CJ695" s="87"/>
      <c r="CK695" s="87"/>
      <c r="CL695" s="87"/>
      <c r="CM695" s="87"/>
      <c r="CN695" s="87"/>
      <c r="CO695" s="87"/>
      <c r="CP695" s="87"/>
      <c r="CQ695" s="87"/>
      <c r="CR695" s="87"/>
      <c r="CS695" s="105"/>
      <c r="CT695" s="87"/>
      <c r="CU695" s="87"/>
      <c r="CV695" s="87"/>
      <c r="CW695" s="87"/>
      <c r="CX695" s="87"/>
      <c r="CY695" s="87">
        <f>-2/7*C695</f>
        <v>-1.1850000000000003</v>
      </c>
      <c r="CZ695" s="87">
        <f>-5/7*C695</f>
        <v>-2.9625000000000008</v>
      </c>
      <c r="DA695" s="87"/>
      <c r="DB695" s="87"/>
      <c r="DC695" s="87">
        <f>2/7*C695</f>
        <v>1.1850000000000003</v>
      </c>
      <c r="DD695" s="105">
        <f>C695-DC695</f>
        <v>2.9625000000000004</v>
      </c>
      <c r="DE695" s="87"/>
      <c r="DF695" s="87"/>
      <c r="DG695" s="87"/>
      <c r="DH695" s="87"/>
      <c r="DI695" s="87"/>
      <c r="DJ695" s="87"/>
      <c r="DK695" s="87"/>
      <c r="DL695" s="87"/>
      <c r="DM695" s="87"/>
      <c r="DN695" s="87"/>
      <c r="DO695" s="87"/>
      <c r="DP695" s="87"/>
      <c r="DQ695" s="87"/>
      <c r="DR695" s="87"/>
      <c r="DS695" s="87"/>
      <c r="DT695" s="87"/>
      <c r="DU695" s="87"/>
      <c r="DV695" s="87"/>
      <c r="DW695" s="87"/>
      <c r="DX695" s="87"/>
      <c r="DY695" s="87"/>
      <c r="DZ695" s="87"/>
      <c r="EA695" s="87"/>
      <c r="EB695" s="87"/>
      <c r="EC695" s="87"/>
      <c r="ED695" s="87"/>
      <c r="EE695" s="87"/>
      <c r="EF695" s="87"/>
      <c r="EG695" s="87"/>
      <c r="EH695" s="87"/>
      <c r="EI695" s="87"/>
    </row>
    <row r="696" spans="1:139" ht="29.25" hidden="1" thickBot="1" x14ac:dyDescent="0.35">
      <c r="A696" s="190" t="s">
        <v>225</v>
      </c>
      <c r="B696" s="191">
        <v>3</v>
      </c>
      <c r="C696" s="177">
        <f>88*0.65</f>
        <v>57.2</v>
      </c>
      <c r="D696" s="217">
        <f>C696/VLOOKUP(B696,'[2]Gas Prod per PADD'!$A$1:$C$6,2,FALSE)</f>
        <v>1.2434782608695653E-2</v>
      </c>
      <c r="E696" s="178">
        <v>45803</v>
      </c>
      <c r="F696" s="368">
        <v>45805</v>
      </c>
      <c r="G696" s="180" t="s">
        <v>1181</v>
      </c>
      <c r="H696" s="181" t="s">
        <v>364</v>
      </c>
      <c r="I696" s="84" t="s">
        <v>1182</v>
      </c>
      <c r="J696" s="85"/>
      <c r="K696" s="85"/>
      <c r="L696" s="85"/>
      <c r="M696" s="85"/>
      <c r="N696" s="85"/>
      <c r="O696" s="85"/>
      <c r="P696" s="85"/>
      <c r="Q696" s="85"/>
      <c r="R696" s="85"/>
      <c r="S696" s="85"/>
      <c r="T696" s="85">
        <f t="shared" si="29"/>
        <v>-3.6903225806451614</v>
      </c>
      <c r="U696" s="85"/>
      <c r="V696" s="84"/>
      <c r="W696" s="84"/>
      <c r="X696" s="84"/>
      <c r="Y696" s="105"/>
      <c r="Z696" s="105"/>
      <c r="AA696" s="87"/>
      <c r="AB696" s="87"/>
      <c r="AC696" s="87"/>
      <c r="AD696" s="87"/>
      <c r="AE696" s="105"/>
      <c r="AF696" s="105"/>
      <c r="AG696" s="105"/>
      <c r="AH696" s="105"/>
      <c r="AI696" s="87"/>
      <c r="AJ696" s="87"/>
      <c r="AK696" s="105"/>
      <c r="AL696" s="87"/>
      <c r="AM696" s="105"/>
      <c r="AN696" s="105"/>
      <c r="AO696" s="87"/>
      <c r="AP696" s="87"/>
      <c r="AQ696" s="105"/>
      <c r="AR696" s="105"/>
      <c r="AS696" s="87"/>
      <c r="AT696" s="105"/>
      <c r="AU696" s="87"/>
      <c r="AV696" s="87"/>
      <c r="AW696" s="87"/>
      <c r="AX696" s="87"/>
      <c r="AY696" s="87"/>
      <c r="AZ696" s="87"/>
      <c r="BA696" s="87"/>
      <c r="BB696" s="87"/>
      <c r="BC696" s="87"/>
      <c r="BD696" s="87"/>
      <c r="BE696" s="87"/>
      <c r="BF696" s="87"/>
      <c r="BG696" s="87"/>
      <c r="BH696" s="87"/>
      <c r="BI696" s="87"/>
      <c r="BJ696" s="87"/>
      <c r="BK696" s="87"/>
      <c r="BL696" s="87"/>
      <c r="BM696" s="87"/>
      <c r="BN696" s="87"/>
      <c r="BO696" s="87"/>
      <c r="BP696" s="87"/>
      <c r="BQ696" s="87"/>
      <c r="BR696" s="87"/>
      <c r="BS696" s="87"/>
      <c r="BT696" s="87"/>
      <c r="BU696" s="87"/>
      <c r="BV696" s="87"/>
      <c r="BW696" s="87"/>
      <c r="BX696" s="87"/>
      <c r="BY696" s="87"/>
      <c r="BZ696" s="87"/>
      <c r="CA696" s="87"/>
      <c r="CB696" s="87"/>
      <c r="CC696" s="87"/>
      <c r="CD696" s="87"/>
      <c r="CE696" s="87"/>
      <c r="CF696" s="87"/>
      <c r="CG696" s="87"/>
      <c r="CH696" s="87"/>
      <c r="CI696" s="87"/>
      <c r="CJ696" s="87"/>
      <c r="CK696" s="87"/>
      <c r="CL696" s="87"/>
      <c r="CM696" s="87"/>
      <c r="CN696" s="87"/>
      <c r="CO696" s="87"/>
      <c r="CP696" s="87"/>
      <c r="CQ696" s="87"/>
      <c r="CR696" s="87"/>
      <c r="CS696" s="87"/>
      <c r="CT696" s="87"/>
      <c r="CU696" s="87"/>
      <c r="CV696" s="87"/>
      <c r="CW696" s="87"/>
      <c r="CX696" s="87"/>
      <c r="CY696" s="87"/>
      <c r="CZ696" s="87"/>
      <c r="DA696" s="87"/>
      <c r="DB696" s="87"/>
      <c r="DC696" s="87">
        <f>-2/7*C696</f>
        <v>-16.342857142857142</v>
      </c>
      <c r="DD696" s="87">
        <f>-DC696</f>
        <v>16.342857142857142</v>
      </c>
      <c r="DE696" s="87"/>
      <c r="DF696" s="87"/>
      <c r="DG696" s="87"/>
      <c r="DH696" s="87"/>
      <c r="DI696" s="87"/>
      <c r="DJ696" s="87"/>
      <c r="DK696" s="87"/>
      <c r="DL696" s="87"/>
      <c r="DM696" s="87"/>
      <c r="DN696" s="87"/>
      <c r="DO696" s="87"/>
      <c r="DP696" s="87"/>
      <c r="DQ696" s="87"/>
      <c r="DR696" s="87"/>
      <c r="DS696" s="87"/>
      <c r="DT696" s="87"/>
      <c r="DU696" s="87"/>
      <c r="DV696" s="87"/>
      <c r="DW696" s="87"/>
      <c r="DX696" s="87"/>
      <c r="DY696" s="87"/>
      <c r="DZ696" s="87"/>
      <c r="EA696" s="87"/>
      <c r="EB696" s="87"/>
      <c r="EC696" s="87"/>
      <c r="ED696" s="87"/>
      <c r="EE696" s="87"/>
      <c r="EF696" s="87"/>
      <c r="EG696" s="87"/>
      <c r="EH696" s="87"/>
      <c r="EI696" s="87"/>
    </row>
    <row r="697" spans="1:139" ht="29.25" hidden="1" thickBot="1" x14ac:dyDescent="0.35">
      <c r="A697" s="352" t="s">
        <v>231</v>
      </c>
      <c r="B697" s="223">
        <v>2</v>
      </c>
      <c r="C697" s="224">
        <f>20*0.65+(70*0.25)</f>
        <v>30.5</v>
      </c>
      <c r="D697" s="217">
        <f>C697/VLOOKUP(B697,'[2]Gas Prod per PADD'!$A$1:$C$6,2,FALSE)</f>
        <v>1.2708333333333334E-2</v>
      </c>
      <c r="E697" s="363">
        <v>45804</v>
      </c>
      <c r="F697" s="276">
        <v>45805</v>
      </c>
      <c r="G697" s="180" t="s">
        <v>1183</v>
      </c>
      <c r="H697" s="221" t="s">
        <v>1184</v>
      </c>
      <c r="I697" s="84"/>
      <c r="J697" s="85"/>
      <c r="K697" s="85"/>
      <c r="L697" s="85"/>
      <c r="M697" s="85"/>
      <c r="N697" s="85"/>
      <c r="O697" s="85"/>
      <c r="P697" s="85"/>
      <c r="Q697" s="85"/>
      <c r="R697" s="85"/>
      <c r="S697" s="85"/>
      <c r="T697" s="85">
        <f t="shared" si="29"/>
        <v>-0.9838709677419355</v>
      </c>
      <c r="U697" s="85"/>
      <c r="V697" s="84"/>
      <c r="W697" s="84"/>
      <c r="X697" s="84"/>
      <c r="Y697" s="87"/>
      <c r="Z697" s="87"/>
      <c r="AA697" s="87"/>
      <c r="AB697" s="87"/>
      <c r="AC697" s="87"/>
      <c r="AD697" s="87"/>
      <c r="AE697" s="87"/>
      <c r="AF697" s="87"/>
      <c r="AG697" s="87"/>
      <c r="AH697" s="87"/>
      <c r="AI697" s="87"/>
      <c r="AJ697" s="87"/>
      <c r="AK697" s="87"/>
      <c r="AL697" s="87"/>
      <c r="AM697" s="87"/>
      <c r="AN697" s="87"/>
      <c r="AO697" s="87"/>
      <c r="AP697" s="87"/>
      <c r="AQ697" s="87"/>
      <c r="AR697" s="87"/>
      <c r="AS697" s="87"/>
      <c r="AT697" s="87"/>
      <c r="AU697" s="87"/>
      <c r="AV697" s="87"/>
      <c r="AW697" s="87"/>
      <c r="AX697" s="87"/>
      <c r="AY697" s="87"/>
      <c r="AZ697" s="87"/>
      <c r="BA697" s="87"/>
      <c r="BB697" s="87"/>
      <c r="BC697" s="87"/>
      <c r="BD697" s="87"/>
      <c r="BE697" s="87"/>
      <c r="BF697" s="87"/>
      <c r="BG697" s="87"/>
      <c r="BH697" s="87"/>
      <c r="BI697" s="87"/>
      <c r="BJ697" s="87"/>
      <c r="BK697" s="87"/>
      <c r="BL697" s="87"/>
      <c r="BM697" s="87"/>
      <c r="BN697" s="87"/>
      <c r="BO697" s="87"/>
      <c r="BP697" s="87"/>
      <c r="BQ697" s="87"/>
      <c r="BR697" s="87"/>
      <c r="BS697" s="87"/>
      <c r="BT697" s="87"/>
      <c r="BU697" s="87"/>
      <c r="BV697" s="87"/>
      <c r="BW697" s="87"/>
      <c r="BX697" s="87"/>
      <c r="BY697" s="87"/>
      <c r="BZ697" s="87"/>
      <c r="CA697" s="87"/>
      <c r="CB697" s="87"/>
      <c r="CC697" s="87"/>
      <c r="CD697" s="87"/>
      <c r="CE697" s="87"/>
      <c r="CF697" s="87"/>
      <c r="CG697" s="87"/>
      <c r="CH697" s="87"/>
      <c r="CI697" s="87"/>
      <c r="CJ697" s="87"/>
      <c r="CK697" s="87"/>
      <c r="CL697" s="87"/>
      <c r="CM697" s="87"/>
      <c r="CN697" s="87"/>
      <c r="CO697" s="87"/>
      <c r="CP697" s="87"/>
      <c r="CQ697" s="87"/>
      <c r="CR697" s="87"/>
      <c r="CS697" s="87"/>
      <c r="CT697" s="87"/>
      <c r="CU697" s="87"/>
      <c r="CV697" s="295"/>
      <c r="CW697" s="87"/>
      <c r="CX697" s="87"/>
      <c r="CY697" s="87"/>
      <c r="CZ697" s="87"/>
      <c r="DA697" s="87"/>
      <c r="DB697" s="105"/>
      <c r="DC697" s="105">
        <f>-1/7*C697</f>
        <v>-4.3571428571428568</v>
      </c>
      <c r="DD697" s="105">
        <f>-DC697</f>
        <v>4.3571428571428568</v>
      </c>
      <c r="DE697" s="105"/>
      <c r="DF697" s="87"/>
      <c r="DG697" s="87"/>
      <c r="DH697" s="87"/>
      <c r="DI697" s="87"/>
      <c r="DJ697" s="87"/>
      <c r="DK697" s="87"/>
      <c r="DL697" s="87"/>
      <c r="DM697" s="87"/>
      <c r="DN697" s="87"/>
      <c r="DO697" s="87"/>
      <c r="DP697" s="87"/>
      <c r="DQ697" s="87"/>
      <c r="DR697" s="87"/>
      <c r="DS697" s="87"/>
      <c r="DT697" s="87"/>
      <c r="DU697" s="87"/>
      <c r="DV697" s="87"/>
      <c r="DW697" s="87"/>
      <c r="DX697" s="87"/>
      <c r="DY697" s="87"/>
      <c r="DZ697" s="87"/>
      <c r="EA697" s="87"/>
      <c r="EB697" s="87"/>
      <c r="EC697" s="87"/>
      <c r="ED697" s="87"/>
      <c r="EE697" s="87"/>
      <c r="EF697" s="87"/>
      <c r="EG697" s="87"/>
      <c r="EH697" s="87"/>
      <c r="EI697" s="87"/>
    </row>
    <row r="698" spans="1:139" ht="100.5" hidden="1" thickBot="1" x14ac:dyDescent="0.35">
      <c r="A698" s="113" t="s">
        <v>1144</v>
      </c>
      <c r="B698" s="199">
        <v>3</v>
      </c>
      <c r="C698" s="195">
        <f>139*0.1+(35*0.85)+(36*0.05)+(95*0.65)</f>
        <v>107.19999999999999</v>
      </c>
      <c r="D698" s="217">
        <f>C698/VLOOKUP(B698,'[2]Gas Prod per PADD'!$A$1:$C$6,2,FALSE)</f>
        <v>2.3304347826086955E-2</v>
      </c>
      <c r="E698" s="196">
        <v>45805</v>
      </c>
      <c r="F698" s="281">
        <v>45805</v>
      </c>
      <c r="G698" s="385" t="s">
        <v>1185</v>
      </c>
      <c r="H698" s="275" t="s">
        <v>1186</v>
      </c>
      <c r="I698" s="373"/>
      <c r="J698" s="374"/>
      <c r="K698" s="374"/>
      <c r="L698" s="374"/>
      <c r="M698" s="374"/>
      <c r="N698" s="374"/>
      <c r="O698" s="374"/>
      <c r="P698" s="374"/>
      <c r="Q698" s="374"/>
      <c r="R698" s="374"/>
      <c r="S698" s="374"/>
      <c r="T698" s="85">
        <f t="shared" si="29"/>
        <v>0</v>
      </c>
      <c r="U698" s="85"/>
      <c r="V698" s="84"/>
      <c r="W698" s="84"/>
      <c r="X698" s="84"/>
      <c r="Y698" s="105"/>
      <c r="Z698" s="105"/>
      <c r="AA698" s="87"/>
      <c r="AB698" s="87"/>
      <c r="AC698" s="87"/>
      <c r="AD698" s="87"/>
      <c r="AE698" s="105"/>
      <c r="AF698" s="105"/>
      <c r="AG698" s="105"/>
      <c r="AH698" s="105"/>
      <c r="AI698" s="87"/>
      <c r="AJ698" s="87"/>
      <c r="AK698" s="105"/>
      <c r="AL698" s="87"/>
      <c r="AM698" s="105"/>
      <c r="AN698" s="105"/>
      <c r="AO698" s="87"/>
      <c r="AP698" s="87"/>
      <c r="AQ698" s="105"/>
      <c r="AR698" s="105"/>
      <c r="AS698" s="87"/>
      <c r="AT698" s="105"/>
      <c r="AU698" s="105"/>
      <c r="AV698" s="87"/>
      <c r="AW698" s="105"/>
      <c r="AX698" s="105"/>
      <c r="AY698" s="87"/>
      <c r="AZ698" s="105"/>
      <c r="BA698" s="105"/>
      <c r="BB698" s="105"/>
      <c r="BC698" s="87"/>
      <c r="BD698" s="87"/>
      <c r="BE698" s="105"/>
      <c r="BF698" s="105"/>
      <c r="BG698" s="105"/>
      <c r="BH698" s="105"/>
      <c r="BI698" s="105"/>
      <c r="BJ698" s="87"/>
      <c r="BK698" s="87"/>
      <c r="BL698" s="87"/>
      <c r="BM698" s="87"/>
      <c r="BN698" s="87"/>
      <c r="BO698" s="87"/>
      <c r="BP698" s="87"/>
      <c r="BQ698" s="87"/>
      <c r="BR698" s="87"/>
      <c r="BS698" s="87"/>
      <c r="BT698" s="87"/>
      <c r="BU698" s="87"/>
      <c r="BV698" s="87"/>
      <c r="BW698" s="87"/>
      <c r="BX698" s="87"/>
      <c r="BY698" s="87"/>
      <c r="BZ698" s="87"/>
      <c r="CA698" s="87"/>
      <c r="CB698" s="87"/>
      <c r="CC698" s="87"/>
      <c r="CD698" s="87"/>
      <c r="CE698" s="87"/>
      <c r="CF698" s="87"/>
      <c r="CG698" s="87"/>
      <c r="CH698" s="87"/>
      <c r="CI698" s="87"/>
      <c r="CJ698" s="87"/>
      <c r="CK698" s="87"/>
      <c r="CL698" s="87"/>
      <c r="CM698" s="87"/>
      <c r="CN698" s="87"/>
      <c r="CO698" s="87"/>
      <c r="CP698" s="87"/>
      <c r="CQ698" s="87"/>
      <c r="CR698" s="87"/>
      <c r="CS698" s="105"/>
      <c r="CT698" s="87"/>
      <c r="CU698" s="87"/>
      <c r="CV698" s="87"/>
      <c r="CW698" s="87"/>
      <c r="CX698" s="87"/>
      <c r="CY698" s="87"/>
      <c r="CZ698" s="87"/>
      <c r="DA698" s="87"/>
      <c r="DB698" s="87"/>
      <c r="DC698" s="87">
        <f>-0.5/7*C698</f>
        <v>-7.6571428571428557</v>
      </c>
      <c r="DD698" s="105">
        <f>-DC698</f>
        <v>7.6571428571428557</v>
      </c>
      <c r="DE698" s="87"/>
      <c r="DF698" s="87"/>
      <c r="DG698" s="87"/>
      <c r="DH698" s="87"/>
      <c r="DI698" s="87"/>
      <c r="DJ698" s="87"/>
      <c r="DK698" s="87"/>
      <c r="DL698" s="87"/>
      <c r="DM698" s="87"/>
      <c r="DN698" s="87"/>
      <c r="DO698" s="87"/>
      <c r="DP698" s="87"/>
      <c r="DQ698" s="87"/>
      <c r="DR698" s="87"/>
      <c r="DS698" s="87"/>
      <c r="DT698" s="87"/>
      <c r="DU698" s="87"/>
      <c r="DV698" s="87"/>
      <c r="DW698" s="87"/>
      <c r="DX698" s="87"/>
      <c r="DY698" s="87"/>
      <c r="DZ698" s="87"/>
      <c r="EA698" s="87"/>
      <c r="EB698" s="87"/>
      <c r="EC698" s="87"/>
      <c r="ED698" s="87"/>
      <c r="EE698" s="87"/>
      <c r="EF698" s="87"/>
      <c r="EG698" s="87"/>
      <c r="EH698" s="87"/>
      <c r="EI698" s="87"/>
    </row>
    <row r="699" spans="1:139" ht="16.5" hidden="1" thickBot="1" x14ac:dyDescent="0.35">
      <c r="A699" s="230" t="s">
        <v>119</v>
      </c>
      <c r="B699" s="194">
        <v>5</v>
      </c>
      <c r="C699" s="195">
        <f>45*0.05</f>
        <v>2.25</v>
      </c>
      <c r="D699" s="217">
        <f>C699/VLOOKUP(B699,'[2]Gas Prod per PADD'!$A$1:$C$6,2,FALSE)</f>
        <v>1.6666666666666668E-3</v>
      </c>
      <c r="E699" s="196">
        <v>45802</v>
      </c>
      <c r="F699" s="281">
        <f>E699+4</f>
        <v>45806</v>
      </c>
      <c r="G699" s="194" t="s">
        <v>922</v>
      </c>
      <c r="H699" s="181" t="s">
        <v>364</v>
      </c>
      <c r="I699" s="73" t="s">
        <v>1187</v>
      </c>
      <c r="J699" s="229"/>
      <c r="K699" s="229"/>
      <c r="L699" s="229"/>
      <c r="M699" s="229"/>
      <c r="N699" s="229"/>
      <c r="O699" s="229"/>
      <c r="P699" s="229"/>
      <c r="Q699" s="229"/>
      <c r="R699" s="229"/>
      <c r="S699" s="229"/>
      <c r="T699" s="85">
        <f t="shared" si="29"/>
        <v>-0.29032258064516131</v>
      </c>
      <c r="U699" s="85"/>
      <c r="V699" s="84"/>
      <c r="W699" s="84"/>
      <c r="X699" s="84" t="str">
        <f>IF(COUNTA(Y699:EI699)=0,"Missing","OK")</f>
        <v>OK</v>
      </c>
      <c r="Y699" s="74"/>
      <c r="Z699" s="74"/>
      <c r="AA699" s="74"/>
      <c r="AB699" s="74"/>
      <c r="AC699" s="74"/>
      <c r="AD699" s="74"/>
      <c r="AE699" s="74"/>
      <c r="AF699" s="74"/>
      <c r="AG699" s="75"/>
      <c r="AH699" s="74"/>
      <c r="AI699" s="74"/>
      <c r="AJ699" s="74"/>
      <c r="AK699" s="74"/>
      <c r="AL699" s="74"/>
      <c r="AM699" s="74"/>
      <c r="AN699" s="74"/>
      <c r="AO699" s="74"/>
      <c r="AP699" s="74"/>
      <c r="AQ699" s="74"/>
      <c r="AR699" s="75"/>
      <c r="AS699" s="74"/>
      <c r="AT699" s="74"/>
      <c r="AU699" s="74"/>
      <c r="AV699" s="87"/>
      <c r="AW699" s="87"/>
      <c r="AX699" s="87"/>
      <c r="AY699" s="87"/>
      <c r="AZ699" s="87"/>
      <c r="BA699" s="87"/>
      <c r="BB699" s="87"/>
      <c r="BC699" s="87"/>
      <c r="BD699" s="87"/>
      <c r="BE699" s="87"/>
      <c r="BF699" s="74"/>
      <c r="BG699" s="74"/>
      <c r="BH699" s="74"/>
      <c r="BI699" s="74"/>
      <c r="BJ699" s="74"/>
      <c r="BK699" s="74"/>
      <c r="BL699" s="74"/>
      <c r="BM699" s="74"/>
      <c r="BN699" s="74"/>
      <c r="BO699" s="74"/>
      <c r="BP699" s="74"/>
      <c r="BQ699" s="74"/>
      <c r="BR699" s="74"/>
      <c r="BS699" s="74"/>
      <c r="BT699" s="74"/>
      <c r="BU699" s="74"/>
      <c r="BV699" s="74"/>
      <c r="BW699" s="74"/>
      <c r="BX699" s="74"/>
      <c r="BY699" s="74"/>
      <c r="BZ699" s="74"/>
      <c r="CA699" s="74"/>
      <c r="CB699" s="74"/>
      <c r="CC699" s="74"/>
      <c r="CD699" s="74"/>
      <c r="CE699" s="74"/>
      <c r="CF699" s="74"/>
      <c r="CG699" s="74"/>
      <c r="CH699" s="87"/>
      <c r="CI699" s="87"/>
      <c r="CJ699" s="87"/>
      <c r="CK699" s="87"/>
      <c r="CL699" s="87"/>
      <c r="CM699" s="87"/>
      <c r="CN699" s="87"/>
      <c r="CO699" s="87"/>
      <c r="CP699" s="87"/>
      <c r="CQ699" s="87"/>
      <c r="CR699" s="87"/>
      <c r="CS699" s="87"/>
      <c r="CT699" s="87"/>
      <c r="CU699" s="87"/>
      <c r="CV699" s="87"/>
      <c r="CW699" s="87"/>
      <c r="CX699" s="87"/>
      <c r="CY699" s="87"/>
      <c r="CZ699" s="87"/>
      <c r="DA699" s="87"/>
      <c r="DB699" s="87"/>
      <c r="DC699" s="87">
        <f>-C699*(4/7)</f>
        <v>-1.2857142857142856</v>
      </c>
      <c r="DD699" s="87">
        <f>C699*(4/7)</f>
        <v>1.2857142857142856</v>
      </c>
      <c r="DE699" s="87"/>
      <c r="DF699" s="87"/>
      <c r="DG699" s="87"/>
      <c r="DH699" s="87"/>
      <c r="DI699" s="87"/>
      <c r="DJ699" s="87"/>
      <c r="DK699" s="87"/>
      <c r="DL699" s="87"/>
      <c r="DM699" s="87"/>
      <c r="DN699" s="87"/>
      <c r="DO699" s="87"/>
      <c r="DP699" s="87"/>
      <c r="DQ699" s="87"/>
      <c r="DR699" s="87"/>
      <c r="DS699" s="87"/>
      <c r="DT699" s="87"/>
      <c r="DU699" s="87"/>
      <c r="DV699" s="87"/>
      <c r="DW699" s="87"/>
      <c r="DX699" s="87"/>
      <c r="DY699" s="87"/>
      <c r="DZ699" s="87"/>
      <c r="EA699" s="87"/>
      <c r="EB699" s="87"/>
      <c r="EC699" s="87"/>
      <c r="ED699" s="87"/>
      <c r="EE699" s="87"/>
      <c r="EF699" s="87"/>
      <c r="EG699" s="87"/>
      <c r="EH699" s="87"/>
      <c r="EI699" s="87"/>
    </row>
    <row r="700" spans="1:139" ht="28.5" hidden="1" customHeight="1" thickBot="1" x14ac:dyDescent="0.35">
      <c r="A700" s="190" t="s">
        <v>334</v>
      </c>
      <c r="B700" s="176">
        <v>3</v>
      </c>
      <c r="C700" s="177">
        <f>64*0.25</f>
        <v>16</v>
      </c>
      <c r="D700" s="217">
        <f>C700/VLOOKUP(B700,'[2]Gas Prod per PADD'!$A$1:$C$6,2,FALSE)</f>
        <v>3.4782608695652175E-3</v>
      </c>
      <c r="E700" s="228">
        <v>45805</v>
      </c>
      <c r="F700" s="276">
        <v>45806</v>
      </c>
      <c r="G700" s="180" t="s">
        <v>669</v>
      </c>
      <c r="H700" s="181" t="s">
        <v>364</v>
      </c>
      <c r="I700" s="84"/>
      <c r="J700" s="85"/>
      <c r="K700" s="85"/>
      <c r="L700" s="85"/>
      <c r="M700" s="85"/>
      <c r="N700" s="85"/>
      <c r="O700" s="85"/>
      <c r="P700" s="85"/>
      <c r="Q700" s="85"/>
      <c r="R700" s="85"/>
      <c r="S700" s="85"/>
      <c r="T700" s="85">
        <f t="shared" si="29"/>
        <v>-0.5161290322580645</v>
      </c>
      <c r="U700" s="85"/>
      <c r="V700" s="84"/>
      <c r="W700" s="84"/>
      <c r="X700" s="84"/>
      <c r="Y700" s="105"/>
      <c r="Z700" s="105"/>
      <c r="AA700" s="87"/>
      <c r="AB700" s="87"/>
      <c r="AC700" s="87"/>
      <c r="AD700" s="87"/>
      <c r="AE700" s="105"/>
      <c r="AF700" s="105"/>
      <c r="AG700" s="105"/>
      <c r="AH700" s="105"/>
      <c r="AI700" s="87"/>
      <c r="AJ700" s="87"/>
      <c r="AK700" s="105"/>
      <c r="AL700" s="87"/>
      <c r="AM700" s="105"/>
      <c r="AN700" s="105"/>
      <c r="AO700" s="87"/>
      <c r="AP700" s="87"/>
      <c r="AQ700" s="105"/>
      <c r="AR700" s="105"/>
      <c r="AS700" s="87"/>
      <c r="AT700" s="105"/>
      <c r="AU700" s="87"/>
      <c r="AV700" s="87"/>
      <c r="AW700" s="87"/>
      <c r="AX700" s="87"/>
      <c r="AY700" s="87"/>
      <c r="AZ700" s="87"/>
      <c r="BA700" s="87"/>
      <c r="BB700" s="87"/>
      <c r="BC700" s="87"/>
      <c r="BD700" s="87"/>
      <c r="BE700" s="87"/>
      <c r="BF700" s="87"/>
      <c r="BG700" s="87"/>
      <c r="BH700" s="87"/>
      <c r="BI700" s="87"/>
      <c r="BJ700" s="87"/>
      <c r="BK700" s="87"/>
      <c r="BL700" s="87"/>
      <c r="BM700" s="87"/>
      <c r="BN700" s="87"/>
      <c r="BO700" s="87"/>
      <c r="BP700" s="87"/>
      <c r="BQ700" s="87"/>
      <c r="BR700" s="87"/>
      <c r="BS700" s="87"/>
      <c r="BT700" s="87"/>
      <c r="BU700" s="87"/>
      <c r="BV700" s="87"/>
      <c r="BW700" s="87"/>
      <c r="BX700" s="87"/>
      <c r="BY700" s="87"/>
      <c r="BZ700" s="87"/>
      <c r="CA700" s="87"/>
      <c r="CB700" s="87"/>
      <c r="CC700" s="87"/>
      <c r="CD700" s="87"/>
      <c r="CE700" s="87"/>
      <c r="CF700" s="87"/>
      <c r="CG700" s="87"/>
      <c r="CH700" s="87"/>
      <c r="CI700" s="87"/>
      <c r="CJ700" s="87"/>
      <c r="CK700" s="87"/>
      <c r="CL700" s="87"/>
      <c r="CM700" s="87"/>
      <c r="CN700" s="87"/>
      <c r="CO700" s="87"/>
      <c r="CP700" s="87"/>
      <c r="CQ700" s="87"/>
      <c r="CR700" s="87"/>
      <c r="CS700" s="87"/>
      <c r="CT700" s="87"/>
      <c r="CU700" s="87"/>
      <c r="CV700" s="87"/>
      <c r="CW700" s="87"/>
      <c r="CX700" s="87"/>
      <c r="CY700" s="87"/>
      <c r="CZ700" s="87"/>
      <c r="DA700" s="87"/>
      <c r="DB700" s="87"/>
      <c r="DC700" s="87">
        <f>-C700*(1/7)</f>
        <v>-2.2857142857142856</v>
      </c>
      <c r="DD700" s="87">
        <f>-DC700</f>
        <v>2.2857142857142856</v>
      </c>
      <c r="DE700" s="87"/>
      <c r="DF700" s="87"/>
      <c r="DG700" s="87"/>
      <c r="DH700" s="87"/>
      <c r="DI700" s="87"/>
      <c r="DJ700" s="87"/>
      <c r="DK700" s="87"/>
      <c r="DL700" s="87"/>
      <c r="DM700" s="87"/>
      <c r="DN700" s="87"/>
      <c r="DO700" s="87"/>
      <c r="DP700" s="87"/>
      <c r="DQ700" s="87"/>
      <c r="DR700" s="87"/>
      <c r="DS700" s="87"/>
      <c r="DT700" s="87"/>
      <c r="DU700" s="87"/>
      <c r="DV700" s="87"/>
      <c r="DW700" s="87"/>
      <c r="DX700" s="87"/>
      <c r="DY700" s="87"/>
      <c r="DZ700" s="87"/>
      <c r="EA700" s="87"/>
      <c r="EB700" s="87"/>
      <c r="EC700" s="87"/>
      <c r="ED700" s="87"/>
      <c r="EE700" s="87"/>
      <c r="EF700" s="87"/>
      <c r="EG700" s="87"/>
      <c r="EH700" s="87"/>
      <c r="EI700" s="87"/>
    </row>
    <row r="701" spans="1:139" ht="28.5" hidden="1" customHeight="1" thickBot="1" x14ac:dyDescent="0.35">
      <c r="A701" s="222" t="s">
        <v>162</v>
      </c>
      <c r="B701" s="191">
        <v>3</v>
      </c>
      <c r="C701" s="177">
        <f>34*0.25</f>
        <v>8.5</v>
      </c>
      <c r="D701" s="234">
        <f>C701/VLOOKUP(B701,'[2]Gas Prod per PADD'!$A$1:$C$6,2,FALSE)</f>
        <v>1.8478260869565217E-3</v>
      </c>
      <c r="E701" s="220">
        <v>45775</v>
      </c>
      <c r="F701" s="252">
        <v>45807</v>
      </c>
      <c r="G701" s="180" t="s">
        <v>1138</v>
      </c>
      <c r="H701" s="181" t="s">
        <v>1188</v>
      </c>
      <c r="I701" s="371"/>
      <c r="J701" s="372"/>
      <c r="K701" s="372"/>
      <c r="L701" s="372"/>
      <c r="M701" s="372"/>
      <c r="N701" s="372"/>
      <c r="O701" s="372"/>
      <c r="P701" s="372"/>
      <c r="Q701" s="372"/>
      <c r="R701" s="372"/>
      <c r="S701" s="85">
        <f>C701*(E701-$S$1)/30</f>
        <v>-0.56666666666666665</v>
      </c>
      <c r="T701" s="85">
        <f>C701*($S$1+1-F701)/31</f>
        <v>-7.9516129032258061</v>
      </c>
      <c r="U701" s="85"/>
      <c r="V701" s="84"/>
      <c r="W701" s="84"/>
      <c r="X701" s="84"/>
      <c r="Y701" s="105"/>
      <c r="Z701" s="105"/>
      <c r="AA701" s="87"/>
      <c r="AB701" s="87"/>
      <c r="AC701" s="87"/>
      <c r="AD701" s="87"/>
      <c r="AE701" s="105"/>
      <c r="AF701" s="105"/>
      <c r="AG701" s="105"/>
      <c r="AH701" s="105"/>
      <c r="AI701" s="87"/>
      <c r="AJ701" s="87"/>
      <c r="AK701" s="105"/>
      <c r="AL701" s="87"/>
      <c r="AM701" s="105"/>
      <c r="AN701" s="105"/>
      <c r="AO701" s="87"/>
      <c r="AP701" s="87"/>
      <c r="AQ701" s="105"/>
      <c r="AR701" s="105"/>
      <c r="AS701" s="87"/>
      <c r="AT701" s="105"/>
      <c r="AU701" s="105"/>
      <c r="AV701" s="87"/>
      <c r="AW701" s="105"/>
      <c r="AX701" s="105"/>
      <c r="AY701" s="87"/>
      <c r="AZ701" s="105"/>
      <c r="BA701" s="105"/>
      <c r="BB701" s="105"/>
      <c r="BC701" s="87"/>
      <c r="BD701" s="87"/>
      <c r="BE701" s="105"/>
      <c r="BF701" s="105"/>
      <c r="BG701" s="105"/>
      <c r="BH701" s="105"/>
      <c r="BI701" s="105"/>
      <c r="BJ701" s="87"/>
      <c r="BK701" s="87"/>
      <c r="BL701" s="87"/>
      <c r="BM701" s="87"/>
      <c r="BN701" s="87"/>
      <c r="BO701" s="87"/>
      <c r="BP701" s="87"/>
      <c r="BQ701" s="87"/>
      <c r="BR701" s="87"/>
      <c r="BS701" s="87"/>
      <c r="BT701" s="87"/>
      <c r="BU701" s="87"/>
      <c r="BV701" s="87"/>
      <c r="BW701" s="87"/>
      <c r="BX701" s="87"/>
      <c r="BY701" s="87"/>
      <c r="BZ701" s="87"/>
      <c r="CA701" s="87"/>
      <c r="CB701" s="87"/>
      <c r="CC701" s="87"/>
      <c r="CD701" s="87"/>
      <c r="CE701" s="87"/>
      <c r="CF701" s="87"/>
      <c r="CG701" s="87"/>
      <c r="CH701" s="87"/>
      <c r="CI701" s="87"/>
      <c r="CJ701" s="87"/>
      <c r="CK701" s="87"/>
      <c r="CL701" s="87"/>
      <c r="CM701" s="87"/>
      <c r="CN701" s="87"/>
      <c r="CO701" s="87"/>
      <c r="CP701" s="87"/>
      <c r="CQ701" s="87"/>
      <c r="CR701" s="87"/>
      <c r="CS701" s="87"/>
      <c r="CT701" s="87"/>
      <c r="CU701" s="87"/>
      <c r="CV701" s="87"/>
      <c r="CW701" s="87"/>
      <c r="CX701" s="87"/>
      <c r="CY701" s="87">
        <f>-4/7*C701</f>
        <v>-4.8571428571428568</v>
      </c>
      <c r="CZ701" s="87">
        <f>-3/7*C701</f>
        <v>-3.6428571428571428</v>
      </c>
      <c r="DA701" s="105"/>
      <c r="DB701" s="87"/>
      <c r="DC701" s="87">
        <f>1/7*C701</f>
        <v>1.2142857142857142</v>
      </c>
      <c r="DD701" s="87">
        <f>6/7*C701</f>
        <v>7.2857142857142856</v>
      </c>
      <c r="DE701" s="87"/>
      <c r="DF701" s="87"/>
      <c r="DG701" s="87"/>
      <c r="DH701" s="87"/>
      <c r="DI701" s="87"/>
      <c r="DJ701" s="87"/>
      <c r="DK701" s="87"/>
      <c r="DL701" s="87"/>
      <c r="DM701" s="87"/>
      <c r="DN701" s="87"/>
      <c r="DO701" s="87"/>
      <c r="DP701" s="87"/>
      <c r="DQ701" s="87"/>
      <c r="DR701" s="87"/>
      <c r="DS701" s="87"/>
      <c r="DT701" s="87"/>
      <c r="DU701" s="87"/>
      <c r="DV701" s="87"/>
      <c r="DW701" s="87"/>
      <c r="DX701" s="87"/>
      <c r="DY701" s="87"/>
      <c r="DZ701" s="87"/>
      <c r="EA701" s="87"/>
      <c r="EB701" s="87"/>
      <c r="EC701" s="87"/>
      <c r="ED701" s="87"/>
      <c r="EE701" s="87"/>
      <c r="EF701" s="87"/>
      <c r="EG701" s="87"/>
      <c r="EH701" s="87"/>
      <c r="EI701" s="87"/>
    </row>
    <row r="702" spans="1:139" ht="16.5" hidden="1" thickBot="1" x14ac:dyDescent="0.35">
      <c r="A702" s="190" t="s">
        <v>280</v>
      </c>
      <c r="B702" s="191">
        <v>3</v>
      </c>
      <c r="C702" s="177">
        <f>0.25*100</f>
        <v>25</v>
      </c>
      <c r="D702" s="217">
        <f>C702/VLOOKUP(B702,'[2]Gas Prod per PADD'!$A$1:$C$6,2,FALSE)</f>
        <v>5.434782608695652E-3</v>
      </c>
      <c r="E702" s="178">
        <v>45805</v>
      </c>
      <c r="F702" s="252">
        <v>45807</v>
      </c>
      <c r="G702" s="180" t="s">
        <v>782</v>
      </c>
      <c r="H702" s="221" t="s">
        <v>543</v>
      </c>
      <c r="I702" s="371"/>
      <c r="J702" s="372"/>
      <c r="K702" s="372"/>
      <c r="L702" s="372"/>
      <c r="M702" s="372"/>
      <c r="N702" s="372"/>
      <c r="O702" s="372"/>
      <c r="P702" s="372"/>
      <c r="Q702" s="372"/>
      <c r="R702" s="372"/>
      <c r="S702" s="372"/>
      <c r="T702" s="85">
        <f>C702*(E702-F702)/31</f>
        <v>-1.6129032258064515</v>
      </c>
      <c r="U702" s="85"/>
      <c r="V702" s="84"/>
      <c r="W702" s="84"/>
      <c r="X702" s="84"/>
      <c r="Y702" s="105"/>
      <c r="Z702" s="105"/>
      <c r="AA702" s="87"/>
      <c r="AB702" s="87"/>
      <c r="AC702" s="87"/>
      <c r="AD702" s="87"/>
      <c r="AE702" s="105"/>
      <c r="AF702" s="105"/>
      <c r="AG702" s="105"/>
      <c r="AH702" s="105"/>
      <c r="AI702" s="87"/>
      <c r="AJ702" s="87"/>
      <c r="AK702" s="105"/>
      <c r="AL702" s="87"/>
      <c r="AM702" s="105"/>
      <c r="AN702" s="105"/>
      <c r="AO702" s="87"/>
      <c r="AP702" s="87"/>
      <c r="AQ702" s="105"/>
      <c r="AR702" s="105"/>
      <c r="AS702" s="87"/>
      <c r="AT702" s="105"/>
      <c r="AU702" s="105"/>
      <c r="AV702" s="87"/>
      <c r="AW702" s="105"/>
      <c r="AX702" s="105"/>
      <c r="AY702" s="87"/>
      <c r="AZ702" s="105"/>
      <c r="BA702" s="105"/>
      <c r="BB702" s="105"/>
      <c r="BC702" s="87"/>
      <c r="BD702" s="87"/>
      <c r="BE702" s="105"/>
      <c r="BF702" s="105"/>
      <c r="BG702" s="105"/>
      <c r="BH702" s="105"/>
      <c r="BI702" s="105"/>
      <c r="BJ702" s="87"/>
      <c r="BK702" s="87"/>
      <c r="BL702" s="87"/>
      <c r="BM702" s="87"/>
      <c r="BN702" s="87"/>
      <c r="BO702" s="87"/>
      <c r="BP702" s="87"/>
      <c r="BQ702" s="87"/>
      <c r="BR702" s="87"/>
      <c r="BS702" s="87"/>
      <c r="BT702" s="87"/>
      <c r="BU702" s="87"/>
      <c r="BV702" s="87"/>
      <c r="BW702" s="87"/>
      <c r="BX702" s="87"/>
      <c r="BY702" s="87"/>
      <c r="BZ702" s="87"/>
      <c r="CA702" s="87"/>
      <c r="CB702" s="87"/>
      <c r="CC702" s="87"/>
      <c r="CD702" s="87"/>
      <c r="CE702" s="87"/>
      <c r="CF702" s="87"/>
      <c r="CG702" s="87"/>
      <c r="CH702" s="87"/>
      <c r="CI702" s="87"/>
      <c r="CJ702" s="87"/>
      <c r="CK702" s="87"/>
      <c r="CL702" s="87"/>
      <c r="CM702" s="87"/>
      <c r="CN702" s="87"/>
      <c r="CO702" s="87"/>
      <c r="CP702" s="87"/>
      <c r="CQ702" s="87"/>
      <c r="CR702" s="87"/>
      <c r="CS702" s="87"/>
      <c r="CT702" s="87"/>
      <c r="CU702" s="87"/>
      <c r="CV702" s="87"/>
      <c r="CW702" s="87"/>
      <c r="CX702" s="87"/>
      <c r="CY702" s="87"/>
      <c r="CZ702" s="87"/>
      <c r="DA702" s="87"/>
      <c r="DB702" s="87"/>
      <c r="DC702" s="87">
        <f>-2/7*C702</f>
        <v>-7.1428571428571423</v>
      </c>
      <c r="DD702" s="87">
        <f>-DC702</f>
        <v>7.1428571428571423</v>
      </c>
      <c r="DE702" s="87"/>
      <c r="DF702" s="87"/>
      <c r="DG702" s="87"/>
      <c r="DH702" s="87"/>
      <c r="DI702" s="87"/>
      <c r="DJ702" s="87"/>
      <c r="DK702" s="87"/>
      <c r="DL702" s="87"/>
      <c r="DM702" s="87"/>
      <c r="DN702" s="87"/>
      <c r="DO702" s="87"/>
      <c r="DP702" s="87"/>
      <c r="DQ702" s="87"/>
      <c r="DR702" s="87"/>
      <c r="DS702" s="87"/>
      <c r="DT702" s="105"/>
      <c r="DU702" s="87"/>
      <c r="DV702" s="87"/>
      <c r="DW702" s="87"/>
      <c r="DX702" s="87"/>
      <c r="DY702" s="87"/>
      <c r="DZ702" s="87"/>
      <c r="EA702" s="105"/>
      <c r="EB702" s="87"/>
      <c r="EC702" s="87"/>
      <c r="ED702" s="87"/>
      <c r="EE702" s="87"/>
      <c r="EF702" s="87"/>
      <c r="EG702" s="87"/>
      <c r="EH702" s="87"/>
      <c r="EI702" s="87"/>
    </row>
    <row r="703" spans="1:139" ht="30.75" hidden="1" customHeight="1" thickBot="1" x14ac:dyDescent="0.35">
      <c r="A703" s="222" t="s">
        <v>330</v>
      </c>
      <c r="B703" s="191">
        <v>3</v>
      </c>
      <c r="C703" s="177">
        <f>(32*0.85)</f>
        <v>27.2</v>
      </c>
      <c r="D703" s="217">
        <f>C703/VLOOKUP(B703,'[2]Gas Prod per PADD'!$A$1:$C$6,2,FALSE)</f>
        <v>5.913043478260869E-3</v>
      </c>
      <c r="E703" s="220">
        <v>45799</v>
      </c>
      <c r="F703" s="252">
        <v>45808</v>
      </c>
      <c r="G703" s="180" t="s">
        <v>1189</v>
      </c>
      <c r="H703" s="181" t="s">
        <v>1190</v>
      </c>
      <c r="I703" s="371"/>
      <c r="J703" s="372"/>
      <c r="K703" s="372"/>
      <c r="L703" s="372"/>
      <c r="M703" s="372"/>
      <c r="N703" s="372"/>
      <c r="O703" s="372"/>
      <c r="P703" s="372"/>
      <c r="Q703" s="372"/>
      <c r="R703" s="372"/>
      <c r="S703" s="372"/>
      <c r="T703" s="85">
        <f>C703*(E703-F703)/31</f>
        <v>-7.8967741935483868</v>
      </c>
      <c r="U703" s="85"/>
      <c r="V703" s="84"/>
      <c r="W703" s="84"/>
      <c r="X703" s="84"/>
      <c r="Y703" s="105"/>
      <c r="Z703" s="105"/>
      <c r="AA703" s="87"/>
      <c r="AB703" s="87"/>
      <c r="AC703" s="87"/>
      <c r="AD703" s="87"/>
      <c r="AE703" s="105"/>
      <c r="AF703" s="105"/>
      <c r="AG703" s="105"/>
      <c r="AH703" s="105"/>
      <c r="AI703" s="87"/>
      <c r="AJ703" s="87"/>
      <c r="AK703" s="105"/>
      <c r="AL703" s="87"/>
      <c r="AM703" s="105"/>
      <c r="AN703" s="105"/>
      <c r="AO703" s="87"/>
      <c r="AP703" s="87"/>
      <c r="AQ703" s="105"/>
      <c r="AR703" s="105"/>
      <c r="AS703" s="87"/>
      <c r="AT703" s="105"/>
      <c r="AU703" s="105"/>
      <c r="AV703" s="87"/>
      <c r="AW703" s="105"/>
      <c r="AX703" s="105"/>
      <c r="AY703" s="87"/>
      <c r="AZ703" s="105"/>
      <c r="BA703" s="105"/>
      <c r="BB703" s="105"/>
      <c r="BC703" s="87"/>
      <c r="BD703" s="87"/>
      <c r="BE703" s="105"/>
      <c r="BF703" s="105"/>
      <c r="BG703" s="105"/>
      <c r="BH703" s="105"/>
      <c r="BI703" s="105"/>
      <c r="BJ703" s="87"/>
      <c r="BK703" s="87"/>
      <c r="BL703" s="87"/>
      <c r="BM703" s="87"/>
      <c r="BN703" s="87"/>
      <c r="BO703" s="87"/>
      <c r="BP703" s="87"/>
      <c r="BQ703" s="87"/>
      <c r="BR703" s="87"/>
      <c r="BS703" s="87"/>
      <c r="BT703" s="87"/>
      <c r="BU703" s="87"/>
      <c r="BV703" s="87"/>
      <c r="BW703" s="87"/>
      <c r="BX703" s="87"/>
      <c r="BY703" s="87"/>
      <c r="BZ703" s="87"/>
      <c r="CA703" s="87"/>
      <c r="CB703" s="87"/>
      <c r="CC703" s="87"/>
      <c r="CD703" s="87"/>
      <c r="CE703" s="87"/>
      <c r="CF703" s="87"/>
      <c r="CG703" s="87"/>
      <c r="CH703" s="87"/>
      <c r="CI703" s="87"/>
      <c r="CJ703" s="87"/>
      <c r="CK703" s="87"/>
      <c r="CL703" s="87"/>
      <c r="CM703" s="87"/>
      <c r="CN703" s="87"/>
      <c r="CO703" s="87"/>
      <c r="CP703" s="87"/>
      <c r="CQ703" s="87"/>
      <c r="CR703" s="87"/>
      <c r="CS703" s="87"/>
      <c r="CT703" s="87"/>
      <c r="CU703" s="87"/>
      <c r="CV703" s="87"/>
      <c r="CW703" s="87"/>
      <c r="CX703" s="87"/>
      <c r="CY703" s="87"/>
      <c r="CZ703" s="87"/>
      <c r="DA703" s="105"/>
      <c r="DB703" s="87">
        <f>-2/7*C703</f>
        <v>-7.7714285714285705</v>
      </c>
      <c r="DC703" s="87">
        <f>-5/7*C703</f>
        <v>-19.428571428571427</v>
      </c>
      <c r="DD703" s="87">
        <f>-DC703</f>
        <v>19.428571428571427</v>
      </c>
      <c r="DE703" s="87">
        <f>-DB703</f>
        <v>7.7714285714285705</v>
      </c>
      <c r="DF703" s="87"/>
      <c r="DG703" s="87"/>
      <c r="DH703" s="87"/>
      <c r="DI703" s="87"/>
      <c r="DJ703" s="87"/>
      <c r="DK703" s="87"/>
      <c r="DL703" s="87"/>
      <c r="DM703" s="87"/>
      <c r="DN703" s="87"/>
      <c r="DO703" s="87"/>
      <c r="DP703" s="87"/>
      <c r="DQ703" s="87"/>
      <c r="DR703" s="87"/>
      <c r="DS703" s="87"/>
      <c r="DT703" s="87"/>
      <c r="DU703" s="87"/>
      <c r="DV703" s="87"/>
      <c r="DW703" s="87"/>
      <c r="DX703" s="87"/>
      <c r="DY703" s="87"/>
      <c r="DZ703" s="87"/>
      <c r="EA703" s="87"/>
      <c r="EB703" s="87"/>
      <c r="EC703" s="87"/>
      <c r="ED703" s="87"/>
      <c r="EE703" s="87"/>
      <c r="EF703" s="87"/>
      <c r="EG703" s="87"/>
      <c r="EH703" s="87"/>
      <c r="EI703" s="87"/>
    </row>
    <row r="704" spans="1:139" ht="29.25" hidden="1" thickBot="1" x14ac:dyDescent="0.35">
      <c r="A704" s="222" t="s">
        <v>330</v>
      </c>
      <c r="B704" s="191">
        <v>3</v>
      </c>
      <c r="C704" s="177">
        <f>128*0.1+55*0.05</f>
        <v>15.55</v>
      </c>
      <c r="D704" s="217">
        <f>C704/VLOOKUP(B704,'[2]Gas Prod per PADD'!$A$1:$C$6,2,FALSE)</f>
        <v>3.3804347826086956E-3</v>
      </c>
      <c r="E704" s="220">
        <v>45802</v>
      </c>
      <c r="F704" s="252">
        <v>45808</v>
      </c>
      <c r="G704" s="180" t="s">
        <v>1191</v>
      </c>
      <c r="H704" s="181" t="s">
        <v>1192</v>
      </c>
      <c r="I704" s="371"/>
      <c r="J704" s="372"/>
      <c r="K704" s="372"/>
      <c r="L704" s="372"/>
      <c r="M704" s="372"/>
      <c r="N704" s="372"/>
      <c r="O704" s="372"/>
      <c r="P704" s="372"/>
      <c r="Q704" s="372"/>
      <c r="R704" s="372"/>
      <c r="S704" s="372"/>
      <c r="T704" s="85">
        <f>C704*(E704-F704)/31</f>
        <v>-3.0096774193548392</v>
      </c>
      <c r="U704" s="85"/>
      <c r="V704" s="84"/>
      <c r="W704" s="84"/>
      <c r="X704" s="84"/>
      <c r="Y704" s="105"/>
      <c r="Z704" s="105"/>
      <c r="AA704" s="87"/>
      <c r="AB704" s="87"/>
      <c r="AC704" s="87"/>
      <c r="AD704" s="87"/>
      <c r="AE704" s="105"/>
      <c r="AF704" s="105"/>
      <c r="AG704" s="105"/>
      <c r="AH704" s="105"/>
      <c r="AI704" s="87"/>
      <c r="AJ704" s="87"/>
      <c r="AK704" s="105"/>
      <c r="AL704" s="87"/>
      <c r="AM704" s="105"/>
      <c r="AN704" s="105"/>
      <c r="AO704" s="87"/>
      <c r="AP704" s="87"/>
      <c r="AQ704" s="105"/>
      <c r="AR704" s="105"/>
      <c r="AS704" s="87"/>
      <c r="AT704" s="105"/>
      <c r="AU704" s="105"/>
      <c r="AV704" s="87"/>
      <c r="AW704" s="105"/>
      <c r="AX704" s="105"/>
      <c r="AY704" s="87"/>
      <c r="AZ704" s="105"/>
      <c r="BA704" s="105"/>
      <c r="BB704" s="105"/>
      <c r="BC704" s="87"/>
      <c r="BD704" s="87"/>
      <c r="BE704" s="105"/>
      <c r="BF704" s="105"/>
      <c r="BG704" s="105"/>
      <c r="BH704" s="105"/>
      <c r="BI704" s="105"/>
      <c r="BJ704" s="87"/>
      <c r="BK704" s="87"/>
      <c r="BL704" s="87"/>
      <c r="BM704" s="87"/>
      <c r="BN704" s="87"/>
      <c r="BO704" s="87"/>
      <c r="BP704" s="87"/>
      <c r="BQ704" s="87"/>
      <c r="BR704" s="87"/>
      <c r="BS704" s="87"/>
      <c r="BT704" s="87"/>
      <c r="BU704" s="87"/>
      <c r="BV704" s="87"/>
      <c r="BW704" s="87"/>
      <c r="BX704" s="87"/>
      <c r="BY704" s="87"/>
      <c r="BZ704" s="87"/>
      <c r="CA704" s="87"/>
      <c r="CB704" s="87"/>
      <c r="CC704" s="87"/>
      <c r="CD704" s="87"/>
      <c r="CE704" s="87"/>
      <c r="CF704" s="87"/>
      <c r="CG704" s="87"/>
      <c r="CH704" s="87"/>
      <c r="CI704" s="87"/>
      <c r="CJ704" s="87"/>
      <c r="CK704" s="87"/>
      <c r="CL704" s="87"/>
      <c r="CM704" s="87"/>
      <c r="CN704" s="87"/>
      <c r="CO704" s="87"/>
      <c r="CP704" s="87"/>
      <c r="CQ704" s="87"/>
      <c r="CR704" s="87"/>
      <c r="CS704" s="87"/>
      <c r="CT704" s="87"/>
      <c r="CU704" s="87"/>
      <c r="CV704" s="87"/>
      <c r="CW704" s="87"/>
      <c r="CX704" s="87"/>
      <c r="CY704" s="87"/>
      <c r="CZ704" s="87"/>
      <c r="DA704" s="105"/>
      <c r="DB704" s="87"/>
      <c r="DC704" s="87">
        <f>-6/7*C704</f>
        <v>-13.328571428571429</v>
      </c>
      <c r="DD704" s="105">
        <f>-C704-DC704</f>
        <v>-2.2214285714285715</v>
      </c>
      <c r="DE704" s="105">
        <f>C704</f>
        <v>15.55</v>
      </c>
      <c r="DF704" s="105"/>
      <c r="DG704" s="87"/>
      <c r="DH704" s="87"/>
      <c r="DI704" s="87"/>
      <c r="DJ704" s="87"/>
      <c r="DK704" s="87"/>
      <c r="DL704" s="87"/>
      <c r="DM704" s="87"/>
      <c r="DN704" s="87"/>
      <c r="DO704" s="87"/>
      <c r="DP704" s="87"/>
      <c r="DQ704" s="87"/>
      <c r="DR704" s="87"/>
      <c r="DS704" s="87"/>
      <c r="DT704" s="87"/>
      <c r="DU704" s="87"/>
      <c r="DV704" s="87"/>
      <c r="DW704" s="87"/>
      <c r="DX704" s="87"/>
      <c r="DY704" s="87"/>
      <c r="DZ704" s="87"/>
      <c r="EA704" s="87"/>
      <c r="EB704" s="87"/>
      <c r="EC704" s="87"/>
      <c r="ED704" s="87"/>
      <c r="EE704" s="87"/>
      <c r="EF704" s="87"/>
      <c r="EG704" s="87"/>
      <c r="EH704" s="87"/>
      <c r="EI704" s="87"/>
    </row>
    <row r="705" spans="1:139" ht="16.5" hidden="1" thickBot="1" x14ac:dyDescent="0.35">
      <c r="A705" s="190" t="s">
        <v>334</v>
      </c>
      <c r="B705" s="176">
        <v>3</v>
      </c>
      <c r="C705" s="177">
        <f>73*0.25</f>
        <v>18.25</v>
      </c>
      <c r="D705" s="217">
        <f>C705/VLOOKUP(B705,'[2]Gas Prod per PADD'!$A$1:$C$6,2,FALSE)</f>
        <v>3.9673913043478263E-3</v>
      </c>
      <c r="E705" s="228">
        <v>45805</v>
      </c>
      <c r="F705" s="276">
        <v>45808</v>
      </c>
      <c r="G705" s="180" t="s">
        <v>705</v>
      </c>
      <c r="H705" s="221" t="s">
        <v>1193</v>
      </c>
      <c r="I705" s="84"/>
      <c r="J705" s="85"/>
      <c r="K705" s="85"/>
      <c r="L705" s="85"/>
      <c r="M705" s="85"/>
      <c r="N705" s="85"/>
      <c r="O705" s="85"/>
      <c r="P705" s="85"/>
      <c r="Q705" s="85"/>
      <c r="R705" s="85"/>
      <c r="S705" s="85"/>
      <c r="T705" s="85">
        <f>C705*(E705-F705)/31</f>
        <v>-1.7661290322580645</v>
      </c>
      <c r="U705" s="85"/>
      <c r="V705" s="84"/>
      <c r="W705" s="84"/>
      <c r="X705" s="84" t="str">
        <f>IF(COUNTA(Y705:EI705)=0,"Missing","OK")</f>
        <v>OK</v>
      </c>
      <c r="Y705" s="105"/>
      <c r="Z705" s="105"/>
      <c r="AA705" s="87"/>
      <c r="AB705" s="87"/>
      <c r="AC705" s="87"/>
      <c r="AD705" s="87"/>
      <c r="AE705" s="105"/>
      <c r="AF705" s="105"/>
      <c r="AG705" s="105"/>
      <c r="AH705" s="105"/>
      <c r="AI705" s="87"/>
      <c r="AJ705" s="87"/>
      <c r="AK705" s="105"/>
      <c r="AL705" s="87"/>
      <c r="AM705" s="105"/>
      <c r="AN705" s="105"/>
      <c r="AO705" s="87"/>
      <c r="AP705" s="87"/>
      <c r="AQ705" s="105"/>
      <c r="AR705" s="105"/>
      <c r="AS705" s="87"/>
      <c r="AT705" s="105"/>
      <c r="AU705" s="87"/>
      <c r="AV705" s="105"/>
      <c r="AW705" s="105"/>
      <c r="AX705" s="105"/>
      <c r="AY705" s="87"/>
      <c r="AZ705" s="105"/>
      <c r="BA705" s="105"/>
      <c r="BB705" s="105"/>
      <c r="BC705" s="105"/>
      <c r="BD705" s="105"/>
      <c r="BE705" s="105"/>
      <c r="BF705" s="87"/>
      <c r="BG705" s="87"/>
      <c r="BH705" s="87"/>
      <c r="BI705" s="87"/>
      <c r="BJ705" s="87"/>
      <c r="BK705" s="87"/>
      <c r="BL705" s="87"/>
      <c r="BM705" s="87"/>
      <c r="BN705" s="87"/>
      <c r="BO705" s="87"/>
      <c r="BP705" s="87"/>
      <c r="BQ705" s="87"/>
      <c r="BR705" s="87"/>
      <c r="BS705" s="87"/>
      <c r="BT705" s="87"/>
      <c r="BU705" s="87"/>
      <c r="BV705" s="87"/>
      <c r="BW705" s="87"/>
      <c r="BX705" s="87"/>
      <c r="BY705" s="87"/>
      <c r="BZ705" s="87"/>
      <c r="CA705" s="87"/>
      <c r="CB705" s="87"/>
      <c r="CC705" s="87"/>
      <c r="CD705" s="87"/>
      <c r="CE705" s="87"/>
      <c r="CF705" s="87"/>
      <c r="CG705" s="87"/>
      <c r="CH705" s="87"/>
      <c r="CI705" s="87"/>
      <c r="CJ705" s="87"/>
      <c r="CK705" s="87"/>
      <c r="CL705" s="87"/>
      <c r="CM705" s="87"/>
      <c r="CN705" s="87"/>
      <c r="CO705" s="87"/>
      <c r="CP705" s="87"/>
      <c r="CQ705" s="87"/>
      <c r="CR705" s="87"/>
      <c r="CS705" s="87"/>
      <c r="CT705" s="87"/>
      <c r="CU705" s="87"/>
      <c r="CV705" s="87"/>
      <c r="CW705" s="87"/>
      <c r="CX705" s="87"/>
      <c r="CY705" s="87"/>
      <c r="CZ705" s="87"/>
      <c r="DA705" s="87"/>
      <c r="DB705" s="105"/>
      <c r="DC705" s="87">
        <f>-C705*(2/7)</f>
        <v>-5.2142857142857144</v>
      </c>
      <c r="DD705" s="87">
        <f>-DC705</f>
        <v>5.2142857142857144</v>
      </c>
      <c r="DE705" s="87"/>
      <c r="DF705" s="87"/>
      <c r="DG705" s="87"/>
      <c r="DH705" s="87"/>
      <c r="DI705" s="87"/>
      <c r="DJ705" s="87"/>
      <c r="DK705" s="87"/>
      <c r="DL705" s="87"/>
      <c r="DM705" s="87"/>
      <c r="DN705" s="87"/>
      <c r="DO705" s="87"/>
      <c r="DP705" s="87"/>
      <c r="DQ705" s="87"/>
      <c r="DR705" s="87"/>
      <c r="DS705" s="87"/>
      <c r="DT705" s="87"/>
      <c r="DU705" s="87"/>
      <c r="DV705" s="87"/>
      <c r="DW705" s="87"/>
      <c r="DX705" s="87"/>
      <c r="DY705" s="87"/>
      <c r="DZ705" s="87"/>
      <c r="EA705" s="87"/>
      <c r="EB705" s="87"/>
      <c r="EC705" s="87"/>
      <c r="ED705" s="87"/>
      <c r="EE705" s="87"/>
      <c r="EF705" s="87"/>
      <c r="EG705" s="87"/>
      <c r="EH705" s="87"/>
      <c r="EI705" s="87"/>
    </row>
    <row r="706" spans="1:139" ht="16.5" hidden="1" thickBot="1" x14ac:dyDescent="0.35">
      <c r="A706" s="175" t="s">
        <v>377</v>
      </c>
      <c r="B706" s="191">
        <v>5</v>
      </c>
      <c r="C706" s="177">
        <f>250*0.15+(70*0.3*0.85)</f>
        <v>55.349999999999994</v>
      </c>
      <c r="D706" s="234">
        <f>C706/VLOOKUP(B706,'[2]Gas Prod per PADD'!$A$1:$C$6,2,FALSE)</f>
        <v>4.0999999999999995E-2</v>
      </c>
      <c r="E706" s="364">
        <v>45754</v>
      </c>
      <c r="F706" s="252">
        <v>45809</v>
      </c>
      <c r="G706" s="194" t="s">
        <v>1194</v>
      </c>
      <c r="H706" s="275" t="s">
        <v>1195</v>
      </c>
      <c r="I706" s="373" t="s">
        <v>1196</v>
      </c>
      <c r="J706" s="374"/>
      <c r="K706" s="374"/>
      <c r="L706" s="374"/>
      <c r="M706" s="374"/>
      <c r="N706" s="374"/>
      <c r="O706" s="374"/>
      <c r="P706" s="374"/>
      <c r="Q706" s="374"/>
      <c r="R706" s="374"/>
      <c r="S706" s="85">
        <f>C706*(E706-$S$1)/30</f>
        <v>-42.434999999999995</v>
      </c>
      <c r="T706" s="85">
        <f>-C706</f>
        <v>-55.349999999999994</v>
      </c>
      <c r="U706" s="85">
        <f t="shared" ref="U706:U712" si="30">C706*($T$1-F706)/30</f>
        <v>-1.8449999999999998</v>
      </c>
      <c r="V706" s="84"/>
      <c r="W706" s="84"/>
      <c r="X706" s="84"/>
      <c r="Y706" s="105"/>
      <c r="Z706" s="105"/>
      <c r="AA706" s="87"/>
      <c r="AB706" s="87"/>
      <c r="AC706" s="87"/>
      <c r="AD706" s="87"/>
      <c r="AE706" s="105"/>
      <c r="AF706" s="105"/>
      <c r="AG706" s="105"/>
      <c r="AH706" s="105"/>
      <c r="AI706" s="87"/>
      <c r="AJ706" s="87"/>
      <c r="AK706" s="105"/>
      <c r="AL706" s="87"/>
      <c r="AM706" s="105"/>
      <c r="AN706" s="105"/>
      <c r="AO706" s="87"/>
      <c r="AP706" s="87"/>
      <c r="AQ706" s="105"/>
      <c r="AR706" s="105"/>
      <c r="AS706" s="87"/>
      <c r="AT706" s="105"/>
      <c r="AU706" s="105"/>
      <c r="AV706" s="87"/>
      <c r="AW706" s="105"/>
      <c r="AX706" s="105"/>
      <c r="AY706" s="87"/>
      <c r="AZ706" s="105"/>
      <c r="BA706" s="105"/>
      <c r="BB706" s="105"/>
      <c r="BC706" s="87"/>
      <c r="BD706" s="87"/>
      <c r="BE706" s="105"/>
      <c r="BF706" s="105"/>
      <c r="BG706" s="105"/>
      <c r="BH706" s="105"/>
      <c r="BI706" s="105"/>
      <c r="BJ706" s="87"/>
      <c r="BK706" s="87"/>
      <c r="BL706" s="87"/>
      <c r="BM706" s="87"/>
      <c r="BN706" s="87"/>
      <c r="BO706" s="87"/>
      <c r="BP706" s="87"/>
      <c r="BQ706" s="87"/>
      <c r="BR706" s="87"/>
      <c r="BS706" s="87"/>
      <c r="BT706" s="87"/>
      <c r="BU706" s="87"/>
      <c r="BV706" s="87"/>
      <c r="BW706" s="87"/>
      <c r="BX706" s="87"/>
      <c r="BY706" s="87"/>
      <c r="BZ706" s="87"/>
      <c r="CA706" s="87"/>
      <c r="CB706" s="87"/>
      <c r="CC706" s="87"/>
      <c r="CD706" s="87"/>
      <c r="CE706" s="87"/>
      <c r="CF706" s="87"/>
      <c r="CG706" s="87"/>
      <c r="CH706" s="87"/>
      <c r="CI706" s="87"/>
      <c r="CJ706" s="87"/>
      <c r="CK706" s="87"/>
      <c r="CL706" s="87"/>
      <c r="CM706" s="87"/>
      <c r="CN706" s="87"/>
      <c r="CO706" s="87"/>
      <c r="CP706" s="87"/>
      <c r="CQ706" s="87"/>
      <c r="CR706" s="87"/>
      <c r="CS706" s="105"/>
      <c r="CT706" s="87"/>
      <c r="CU706" s="87"/>
      <c r="CV706" s="87">
        <f>-C706*4/7</f>
        <v>-31.628571428571426</v>
      </c>
      <c r="CW706" s="105">
        <f>-C706*3/7</f>
        <v>-23.721428571428568</v>
      </c>
      <c r="CX706" s="105"/>
      <c r="CY706" s="105"/>
      <c r="CZ706" s="87"/>
      <c r="DA706" s="87"/>
      <c r="DB706" s="87"/>
      <c r="DC706" s="87"/>
      <c r="DD706" s="87">
        <f>7/7*C706</f>
        <v>55.349999999999994</v>
      </c>
      <c r="DE706" s="87"/>
      <c r="DF706" s="87"/>
      <c r="DG706" s="87"/>
      <c r="DH706" s="87"/>
      <c r="DI706" s="87"/>
      <c r="DJ706" s="87"/>
      <c r="DK706" s="87"/>
      <c r="DL706" s="87"/>
      <c r="DM706" s="87"/>
      <c r="DN706" s="87"/>
      <c r="DO706" s="87"/>
      <c r="DP706" s="87"/>
      <c r="DQ706" s="87"/>
      <c r="DR706" s="87"/>
      <c r="DS706" s="87"/>
      <c r="DT706" s="87"/>
      <c r="DU706" s="87"/>
      <c r="DV706" s="87"/>
      <c r="DW706" s="87"/>
      <c r="DX706" s="87"/>
      <c r="DY706" s="87"/>
      <c r="DZ706" s="87"/>
      <c r="EA706" s="87"/>
      <c r="EB706" s="87"/>
      <c r="EC706" s="87"/>
      <c r="ED706" s="87"/>
      <c r="EE706" s="87"/>
      <c r="EF706" s="87"/>
      <c r="EG706" s="87"/>
      <c r="EH706" s="87"/>
      <c r="EI706" s="87"/>
    </row>
    <row r="707" spans="1:139" ht="16.5" hidden="1" thickBot="1" x14ac:dyDescent="0.35">
      <c r="A707" s="353" t="s">
        <v>229</v>
      </c>
      <c r="B707" s="176">
        <v>2</v>
      </c>
      <c r="C707" s="177">
        <f>(75.5*0.25)</f>
        <v>18.875</v>
      </c>
      <c r="D707" s="234">
        <f>C707/VLOOKUP(B707,'[2]Gas Prod per PADD'!$A$1:$C$6,2,FALSE)</f>
        <v>7.8645833333333328E-3</v>
      </c>
      <c r="E707" s="232">
        <v>45792</v>
      </c>
      <c r="F707" s="368">
        <v>45809</v>
      </c>
      <c r="G707" s="180" t="s">
        <v>835</v>
      </c>
      <c r="H707" s="181" t="s">
        <v>543</v>
      </c>
      <c r="I707" s="84"/>
      <c r="J707" s="85"/>
      <c r="K707" s="85"/>
      <c r="L707" s="85"/>
      <c r="M707" s="85"/>
      <c r="N707" s="85"/>
      <c r="O707" s="85"/>
      <c r="P707" s="85"/>
      <c r="Q707" s="85"/>
      <c r="R707" s="85"/>
      <c r="S707" s="85"/>
      <c r="T707" s="85">
        <f t="shared" ref="T707:T712" si="31">C707*(E707-$T$1)/31</f>
        <v>-9.741935483870968</v>
      </c>
      <c r="U707" s="85">
        <f t="shared" si="30"/>
        <v>-0.62916666666666665</v>
      </c>
      <c r="V707" s="84"/>
      <c r="W707" s="84"/>
      <c r="X707" s="84"/>
      <c r="Y707" s="105"/>
      <c r="Z707" s="105"/>
      <c r="AA707" s="87"/>
      <c r="AB707" s="87"/>
      <c r="AC707" s="87"/>
      <c r="AD707" s="87"/>
      <c r="AE707" s="105"/>
      <c r="AF707" s="105"/>
      <c r="AG707" s="105"/>
      <c r="AH707" s="105"/>
      <c r="AI707" s="87"/>
      <c r="AJ707" s="87"/>
      <c r="AK707" s="105"/>
      <c r="AL707" s="87"/>
      <c r="AM707" s="105"/>
      <c r="AN707" s="105"/>
      <c r="AO707" s="87"/>
      <c r="AP707" s="87"/>
      <c r="AQ707" s="105"/>
      <c r="AR707" s="105"/>
      <c r="AS707" s="87"/>
      <c r="AT707" s="105"/>
      <c r="AU707" s="105"/>
      <c r="AV707" s="87"/>
      <c r="AW707" s="105"/>
      <c r="AX707" s="105"/>
      <c r="AY707" s="87"/>
      <c r="AZ707" s="105"/>
      <c r="BA707" s="105"/>
      <c r="BB707" s="105"/>
      <c r="BC707" s="87"/>
      <c r="BD707" s="87"/>
      <c r="BE707" s="105"/>
      <c r="BF707" s="105"/>
      <c r="BG707" s="105"/>
      <c r="BH707" s="105"/>
      <c r="BI707" s="105"/>
      <c r="BJ707" s="87"/>
      <c r="BK707" s="87"/>
      <c r="BL707" s="87"/>
      <c r="BM707" s="87"/>
      <c r="BN707" s="87"/>
      <c r="BO707" s="87"/>
      <c r="BP707" s="87"/>
      <c r="BQ707" s="87"/>
      <c r="BR707" s="87"/>
      <c r="BS707" s="87"/>
      <c r="BT707" s="87"/>
      <c r="BU707" s="87"/>
      <c r="BV707" s="87"/>
      <c r="BW707" s="87"/>
      <c r="BX707" s="87"/>
      <c r="BY707" s="87"/>
      <c r="BZ707" s="87"/>
      <c r="CA707" s="87"/>
      <c r="CB707" s="87"/>
      <c r="CC707" s="87"/>
      <c r="CD707" s="87"/>
      <c r="CE707" s="87"/>
      <c r="CF707" s="87"/>
      <c r="CG707" s="87"/>
      <c r="CH707" s="87"/>
      <c r="CI707" s="87"/>
      <c r="CJ707" s="87"/>
      <c r="CK707" s="87"/>
      <c r="CL707" s="87"/>
      <c r="CM707" s="87"/>
      <c r="CN707" s="87"/>
      <c r="CO707" s="105"/>
      <c r="CP707" s="87"/>
      <c r="CQ707" s="87"/>
      <c r="CR707" s="87"/>
      <c r="CS707" s="87"/>
      <c r="CT707" s="87"/>
      <c r="CU707" s="87"/>
      <c r="CV707" s="87"/>
      <c r="CW707" s="87"/>
      <c r="CX707" s="87"/>
      <c r="CY707" s="87"/>
      <c r="CZ707" s="87"/>
      <c r="DA707" s="87">
        <f>-2/7*C707</f>
        <v>-5.3928571428571423</v>
      </c>
      <c r="DB707" s="87">
        <f>-5/7*C707</f>
        <v>-13.482142857142858</v>
      </c>
      <c r="DC707" s="87"/>
      <c r="DD707" s="87">
        <f>-DB707</f>
        <v>13.482142857142858</v>
      </c>
      <c r="DE707" s="87">
        <f>-DA707</f>
        <v>5.3928571428571423</v>
      </c>
      <c r="DF707" s="105"/>
      <c r="DG707" s="87"/>
      <c r="DH707" s="87"/>
      <c r="DI707" s="87"/>
      <c r="DJ707" s="87"/>
      <c r="DK707" s="87"/>
      <c r="DL707" s="87"/>
      <c r="DM707" s="87"/>
      <c r="DN707" s="87"/>
      <c r="DO707" s="87"/>
      <c r="DP707" s="87"/>
      <c r="DQ707" s="87"/>
      <c r="DR707" s="87"/>
      <c r="DS707" s="87"/>
      <c r="DT707" s="87"/>
      <c r="DU707" s="87"/>
      <c r="DV707" s="87"/>
      <c r="DW707" s="87"/>
      <c r="DX707" s="87"/>
      <c r="DY707" s="87"/>
      <c r="DZ707" s="87"/>
      <c r="EA707" s="87"/>
      <c r="EB707" s="87"/>
      <c r="EC707" s="87"/>
      <c r="ED707" s="87"/>
      <c r="EE707" s="87"/>
      <c r="EF707" s="87"/>
      <c r="EG707" s="87"/>
      <c r="EH707" s="87"/>
      <c r="EI707" s="87"/>
    </row>
    <row r="708" spans="1:139" ht="16.5" hidden="1" thickBot="1" x14ac:dyDescent="0.35">
      <c r="A708" s="190" t="s">
        <v>149</v>
      </c>
      <c r="B708" s="176">
        <v>3</v>
      </c>
      <c r="C708" s="177">
        <f>20*0.25</f>
        <v>5</v>
      </c>
      <c r="D708" s="217">
        <f>C708/VLOOKUP(B708,'[2]Gas Prod per PADD'!$A$1:$C$6,2,FALSE)</f>
        <v>1.0869565217391304E-3</v>
      </c>
      <c r="E708" s="357">
        <v>45807</v>
      </c>
      <c r="F708" s="252">
        <v>45809</v>
      </c>
      <c r="G708" s="180" t="s">
        <v>1197</v>
      </c>
      <c r="H708" s="181"/>
      <c r="I708" s="373"/>
      <c r="J708" s="374"/>
      <c r="K708" s="374"/>
      <c r="L708" s="374"/>
      <c r="M708" s="374"/>
      <c r="N708" s="374"/>
      <c r="O708" s="374"/>
      <c r="P708" s="374"/>
      <c r="Q708" s="374"/>
      <c r="R708" s="374"/>
      <c r="S708" s="374"/>
      <c r="T708" s="85">
        <f t="shared" si="31"/>
        <v>-0.16129032258064516</v>
      </c>
      <c r="U708" s="85">
        <f t="shared" si="30"/>
        <v>-0.16666666666666666</v>
      </c>
      <c r="V708" s="84"/>
      <c r="W708" s="84"/>
      <c r="X708" s="84"/>
      <c r="Y708" s="105"/>
      <c r="Z708" s="105"/>
      <c r="AA708" s="87"/>
      <c r="AB708" s="87"/>
      <c r="AC708" s="87"/>
      <c r="AD708" s="87"/>
      <c r="AE708" s="105"/>
      <c r="AF708" s="105"/>
      <c r="AG708" s="105"/>
      <c r="AH708" s="105"/>
      <c r="AI708" s="87"/>
      <c r="AJ708" s="87"/>
      <c r="AK708" s="105"/>
      <c r="AL708" s="87"/>
      <c r="AM708" s="105"/>
      <c r="AN708" s="105"/>
      <c r="AO708" s="87"/>
      <c r="AP708" s="87"/>
      <c r="AQ708" s="105"/>
      <c r="AR708" s="105"/>
      <c r="AS708" s="87"/>
      <c r="AT708" s="105"/>
      <c r="AU708" s="105"/>
      <c r="AV708" s="87"/>
      <c r="AW708" s="105"/>
      <c r="AX708" s="105"/>
      <c r="AY708" s="87"/>
      <c r="AZ708" s="105"/>
      <c r="BA708" s="105"/>
      <c r="BB708" s="105"/>
      <c r="BC708" s="87"/>
      <c r="BD708" s="87"/>
      <c r="BE708" s="105"/>
      <c r="BF708" s="105"/>
      <c r="BG708" s="105"/>
      <c r="BH708" s="105"/>
      <c r="BI708" s="105"/>
      <c r="BJ708" s="87"/>
      <c r="BK708" s="87"/>
      <c r="BL708" s="87"/>
      <c r="BM708" s="87"/>
      <c r="BN708" s="87"/>
      <c r="BO708" s="87"/>
      <c r="BP708" s="87"/>
      <c r="BQ708" s="87"/>
      <c r="BR708" s="87"/>
      <c r="BS708" s="87"/>
      <c r="BT708" s="87"/>
      <c r="BU708" s="87"/>
      <c r="BV708" s="87"/>
      <c r="BW708" s="87"/>
      <c r="BX708" s="87"/>
      <c r="BY708" s="87"/>
      <c r="BZ708" s="87"/>
      <c r="CA708" s="87"/>
      <c r="CB708" s="87"/>
      <c r="CC708" s="87"/>
      <c r="CD708" s="87"/>
      <c r="CE708" s="87"/>
      <c r="CF708" s="87"/>
      <c r="CG708" s="87"/>
      <c r="CH708" s="87"/>
      <c r="CI708" s="87"/>
      <c r="CJ708" s="87"/>
      <c r="CK708" s="87"/>
      <c r="CL708" s="87"/>
      <c r="CM708" s="87"/>
      <c r="CN708" s="87"/>
      <c r="CO708" s="87"/>
      <c r="CP708" s="87"/>
      <c r="CQ708" s="87"/>
      <c r="CR708" s="87"/>
      <c r="CS708" s="105"/>
      <c r="CT708" s="87"/>
      <c r="CU708" s="87"/>
      <c r="CV708" s="87"/>
      <c r="CW708" s="87"/>
      <c r="CX708" s="87"/>
      <c r="CY708" s="87"/>
      <c r="CZ708" s="87"/>
      <c r="DA708" s="87"/>
      <c r="DB708" s="87"/>
      <c r="DC708" s="87">
        <f>-1/7*C708</f>
        <v>-0.71428571428571419</v>
      </c>
      <c r="DD708" s="87">
        <f>DC708</f>
        <v>-0.71428571428571419</v>
      </c>
      <c r="DE708" s="87">
        <f>2/7*C708</f>
        <v>1.4285714285714284</v>
      </c>
      <c r="DF708" s="87"/>
      <c r="DG708" s="87"/>
      <c r="DH708" s="87"/>
      <c r="DI708" s="87"/>
      <c r="DJ708" s="87"/>
      <c r="DK708" s="87"/>
      <c r="DL708" s="87"/>
      <c r="DM708" s="87"/>
      <c r="DN708" s="87"/>
      <c r="DO708" s="87"/>
      <c r="DP708" s="87"/>
      <c r="DQ708" s="87"/>
      <c r="DR708" s="87"/>
      <c r="DS708" s="87"/>
      <c r="DT708" s="87"/>
      <c r="DU708" s="87"/>
      <c r="DV708" s="87"/>
      <c r="DW708" s="87"/>
      <c r="DX708" s="87"/>
      <c r="DY708" s="87"/>
      <c r="DZ708" s="87"/>
      <c r="EA708" s="87"/>
      <c r="EB708" s="87"/>
      <c r="EC708" s="87"/>
      <c r="ED708" s="87"/>
      <c r="EE708" s="87"/>
      <c r="EF708" s="87"/>
      <c r="EG708" s="87"/>
      <c r="EH708" s="87"/>
      <c r="EI708" s="87"/>
    </row>
    <row r="709" spans="1:139" ht="29.25" hidden="1" thickBot="1" x14ac:dyDescent="0.35">
      <c r="A709" s="200" t="s">
        <v>365</v>
      </c>
      <c r="B709" s="223">
        <v>2</v>
      </c>
      <c r="C709" s="224">
        <f>82*0.65+(188*0.25*0.3)</f>
        <v>67.400000000000006</v>
      </c>
      <c r="D709" s="217">
        <f>C709/VLOOKUP(B709,'[2]Gas Prod per PADD'!$A$1:$C$6,2,FALSE)</f>
        <v>2.8083333333333335E-2</v>
      </c>
      <c r="E709" s="225">
        <v>45806</v>
      </c>
      <c r="F709" s="276">
        <v>45810</v>
      </c>
      <c r="G709" s="180" t="s">
        <v>1198</v>
      </c>
      <c r="H709" s="221" t="s">
        <v>1199</v>
      </c>
      <c r="I709" s="84"/>
      <c r="J709" s="85"/>
      <c r="K709" s="85"/>
      <c r="L709" s="85"/>
      <c r="M709" s="85"/>
      <c r="N709" s="85"/>
      <c r="O709" s="85"/>
      <c r="P709" s="85"/>
      <c r="Q709" s="85"/>
      <c r="R709" s="85"/>
      <c r="S709" s="85"/>
      <c r="T709" s="85">
        <f t="shared" si="31"/>
        <v>-4.3483870967741938</v>
      </c>
      <c r="U709" s="85">
        <f t="shared" si="30"/>
        <v>-4.4933333333333341</v>
      </c>
      <c r="V709" s="84"/>
      <c r="W709" s="84"/>
      <c r="X709" s="84"/>
      <c r="Y709" s="87"/>
      <c r="Z709" s="87"/>
      <c r="AA709" s="87"/>
      <c r="AB709" s="87"/>
      <c r="AC709" s="87"/>
      <c r="AD709" s="87"/>
      <c r="AE709" s="87"/>
      <c r="AF709" s="87"/>
      <c r="AG709" s="87"/>
      <c r="AH709" s="87"/>
      <c r="AI709" s="87"/>
      <c r="AJ709" s="87"/>
      <c r="AK709" s="87"/>
      <c r="AL709" s="87"/>
      <c r="AM709" s="87"/>
      <c r="AN709" s="87"/>
      <c r="AO709" s="87"/>
      <c r="AP709" s="87"/>
      <c r="AQ709" s="87"/>
      <c r="AR709" s="87"/>
      <c r="AS709" s="87"/>
      <c r="AT709" s="87"/>
      <c r="AU709" s="87"/>
      <c r="AV709" s="87"/>
      <c r="AW709" s="87"/>
      <c r="AX709" s="87"/>
      <c r="AY709" s="87"/>
      <c r="AZ709" s="87"/>
      <c r="BA709" s="87"/>
      <c r="BB709" s="87"/>
      <c r="BC709" s="87"/>
      <c r="BD709" s="87"/>
      <c r="BE709" s="87"/>
      <c r="BF709" s="87"/>
      <c r="BG709" s="87"/>
      <c r="BH709" s="87"/>
      <c r="BI709" s="87"/>
      <c r="BJ709" s="87"/>
      <c r="BK709" s="87"/>
      <c r="BL709" s="87"/>
      <c r="BM709" s="87"/>
      <c r="BN709" s="87"/>
      <c r="BO709" s="87"/>
      <c r="BP709" s="87"/>
      <c r="BQ709" s="87"/>
      <c r="BR709" s="87"/>
      <c r="BS709" s="87"/>
      <c r="BT709" s="87"/>
      <c r="BU709" s="87"/>
      <c r="BV709" s="87"/>
      <c r="BW709" s="87"/>
      <c r="BX709" s="87"/>
      <c r="BY709" s="87"/>
      <c r="BZ709" s="87"/>
      <c r="CA709" s="87"/>
      <c r="CB709" s="87"/>
      <c r="CC709" s="87"/>
      <c r="CD709" s="87"/>
      <c r="CE709" s="87"/>
      <c r="CF709" s="87"/>
      <c r="CG709" s="87"/>
      <c r="CH709" s="87"/>
      <c r="CI709" s="87"/>
      <c r="CJ709" s="87"/>
      <c r="CK709" s="87"/>
      <c r="CL709" s="87"/>
      <c r="CM709" s="87"/>
      <c r="CN709" s="87"/>
      <c r="CO709" s="87"/>
      <c r="CP709" s="87"/>
      <c r="CQ709" s="87"/>
      <c r="CR709" s="278"/>
      <c r="CS709" s="278"/>
      <c r="CT709" s="278"/>
      <c r="CU709" s="278"/>
      <c r="CV709" s="278"/>
      <c r="CW709" s="87"/>
      <c r="CX709" s="87"/>
      <c r="CY709" s="87"/>
      <c r="CZ709" s="87"/>
      <c r="DA709" s="87"/>
      <c r="DB709" s="105"/>
      <c r="DC709" s="87">
        <f>-2/7*C709</f>
        <v>-19.257142857142856</v>
      </c>
      <c r="DD709" s="87">
        <f>-DC709</f>
        <v>19.257142857142856</v>
      </c>
      <c r="DE709" s="105"/>
      <c r="DF709" s="87"/>
      <c r="DG709" s="87"/>
      <c r="DH709" s="87"/>
      <c r="DI709" s="87"/>
      <c r="DJ709" s="87"/>
      <c r="DK709" s="87"/>
      <c r="DL709" s="87"/>
      <c r="DM709" s="87"/>
      <c r="DN709" s="87"/>
      <c r="DO709" s="87"/>
      <c r="DP709" s="87"/>
      <c r="DQ709" s="87"/>
      <c r="DR709" s="87"/>
      <c r="DS709" s="87"/>
      <c r="DT709" s="87"/>
      <c r="DU709" s="87"/>
      <c r="DV709" s="87"/>
      <c r="DW709" s="87"/>
      <c r="DX709" s="87"/>
      <c r="DY709" s="87"/>
      <c r="DZ709" s="87"/>
      <c r="EA709" s="87"/>
      <c r="EB709" s="87"/>
      <c r="EC709" s="87"/>
      <c r="ED709" s="87"/>
      <c r="EE709" s="87"/>
      <c r="EF709" s="87"/>
      <c r="EG709" s="87"/>
      <c r="EH709" s="87"/>
      <c r="EI709" s="87"/>
    </row>
    <row r="710" spans="1:139" ht="16.5" hidden="1" thickBot="1" x14ac:dyDescent="0.35">
      <c r="A710" s="175" t="s">
        <v>285</v>
      </c>
      <c r="B710" s="191">
        <v>5</v>
      </c>
      <c r="C710" s="177">
        <f>80*0.65</f>
        <v>52</v>
      </c>
      <c r="D710" s="217">
        <f>C710/VLOOKUP(B710,'[2]Gas Prod per PADD'!$A$1:$C$6,2,FALSE)</f>
        <v>3.8518518518518521E-2</v>
      </c>
      <c r="E710" s="220">
        <v>45808</v>
      </c>
      <c r="F710" s="252">
        <v>45810</v>
      </c>
      <c r="G710" s="180" t="s">
        <v>854</v>
      </c>
      <c r="H710" s="181" t="s">
        <v>364</v>
      </c>
      <c r="I710" s="84"/>
      <c r="J710" s="85"/>
      <c r="K710" s="85"/>
      <c r="L710" s="85"/>
      <c r="M710" s="85"/>
      <c r="N710" s="85"/>
      <c r="O710" s="85"/>
      <c r="P710" s="85"/>
      <c r="Q710" s="85"/>
      <c r="R710" s="85"/>
      <c r="S710" s="85"/>
      <c r="T710" s="85">
        <f t="shared" si="31"/>
        <v>0</v>
      </c>
      <c r="U710" s="85">
        <f t="shared" si="30"/>
        <v>-3.4666666666666668</v>
      </c>
      <c r="V710" s="84"/>
      <c r="W710" s="84"/>
      <c r="X710" s="84"/>
      <c r="Y710" s="87"/>
      <c r="Z710" s="87"/>
      <c r="AA710" s="87"/>
      <c r="AB710" s="87"/>
      <c r="AC710" s="87"/>
      <c r="AD710" s="87"/>
      <c r="AE710" s="87"/>
      <c r="AF710" s="87"/>
      <c r="AG710" s="87"/>
      <c r="AH710" s="87"/>
      <c r="AI710" s="87"/>
      <c r="AJ710" s="87"/>
      <c r="AK710" s="87"/>
      <c r="AL710" s="87"/>
      <c r="AM710" s="87"/>
      <c r="AN710" s="87"/>
      <c r="AO710" s="87"/>
      <c r="AP710" s="87"/>
      <c r="AQ710" s="87"/>
      <c r="AR710" s="87"/>
      <c r="AS710" s="87"/>
      <c r="AT710" s="87"/>
      <c r="AU710" s="87"/>
      <c r="AV710" s="87"/>
      <c r="AW710" s="87"/>
      <c r="AX710" s="87"/>
      <c r="AY710" s="87"/>
      <c r="AZ710" s="87"/>
      <c r="BA710" s="87"/>
      <c r="BB710" s="87"/>
      <c r="BC710" s="87"/>
      <c r="BD710" s="87"/>
      <c r="BE710" s="87"/>
      <c r="BF710" s="87"/>
      <c r="BG710" s="87"/>
      <c r="BH710" s="87"/>
      <c r="BI710" s="87"/>
      <c r="BJ710" s="87"/>
      <c r="BK710" s="87"/>
      <c r="BL710" s="87"/>
      <c r="BM710" s="87"/>
      <c r="BN710" s="87"/>
      <c r="BO710" s="87"/>
      <c r="BP710" s="87"/>
      <c r="BQ710" s="87"/>
      <c r="BR710" s="87"/>
      <c r="BS710" s="87"/>
      <c r="BT710" s="87"/>
      <c r="BU710" s="87"/>
      <c r="BV710" s="87"/>
      <c r="BW710" s="87"/>
      <c r="BX710" s="87"/>
      <c r="BY710" s="87"/>
      <c r="BZ710" s="87"/>
      <c r="CA710" s="87"/>
      <c r="CB710" s="87"/>
      <c r="CC710" s="87"/>
      <c r="CD710" s="87"/>
      <c r="CE710" s="87"/>
      <c r="CF710" s="87"/>
      <c r="CG710" s="87"/>
      <c r="CH710" s="87"/>
      <c r="CI710" s="87"/>
      <c r="CJ710" s="87"/>
      <c r="CK710" s="87"/>
      <c r="CL710" s="87"/>
      <c r="CM710" s="87"/>
      <c r="CN710" s="87"/>
      <c r="CO710" s="105"/>
      <c r="CP710" s="87"/>
      <c r="CQ710" s="87"/>
      <c r="CR710" s="87"/>
      <c r="CS710" s="87"/>
      <c r="CT710" s="87"/>
      <c r="CU710" s="87"/>
      <c r="CV710" s="87"/>
      <c r="CW710" s="87"/>
      <c r="CX710" s="87"/>
      <c r="CY710" s="87"/>
      <c r="CZ710" s="87"/>
      <c r="DA710" s="87"/>
      <c r="DB710" s="87"/>
      <c r="DC710" s="87"/>
      <c r="DD710" s="105">
        <f>-C710*3/7</f>
        <v>-22.285714285714285</v>
      </c>
      <c r="DE710" s="105">
        <f>-DD710</f>
        <v>22.285714285714285</v>
      </c>
      <c r="DF710" s="105"/>
      <c r="DG710" s="87"/>
      <c r="DH710" s="87"/>
      <c r="DI710" s="87"/>
      <c r="DJ710" s="87"/>
      <c r="DK710" s="87"/>
      <c r="DL710" s="87"/>
      <c r="DM710" s="87"/>
      <c r="DN710" s="87"/>
      <c r="DO710" s="87"/>
      <c r="DP710" s="87"/>
      <c r="DQ710" s="87"/>
      <c r="DR710" s="87"/>
      <c r="DS710" s="87"/>
      <c r="DT710" s="87"/>
      <c r="DU710" s="87"/>
      <c r="DV710" s="87"/>
      <c r="DW710" s="87"/>
      <c r="DX710" s="87"/>
      <c r="DY710" s="87"/>
      <c r="DZ710" s="87"/>
      <c r="EA710" s="87"/>
      <c r="EB710" s="87"/>
      <c r="EC710" s="87"/>
      <c r="ED710" s="87"/>
      <c r="EE710" s="87"/>
      <c r="EF710" s="87"/>
      <c r="EG710" s="87"/>
      <c r="EH710" s="87"/>
      <c r="EI710" s="87"/>
    </row>
    <row r="711" spans="1:139" s="65" customFormat="1" ht="16.5" hidden="1" thickBot="1" x14ac:dyDescent="0.35">
      <c r="A711" s="358" t="s">
        <v>534</v>
      </c>
      <c r="B711" s="194">
        <v>2</v>
      </c>
      <c r="C711" s="195">
        <f>40*0.85+(35*0.05)+(7*0.1)</f>
        <v>36.450000000000003</v>
      </c>
      <c r="D711" s="234">
        <f>C711/VLOOKUP(B711,'[2]Gas Prod per PADD'!$A$1:$C$6,2,FALSE)</f>
        <v>1.5187500000000001E-2</v>
      </c>
      <c r="E711" s="178">
        <v>45803</v>
      </c>
      <c r="F711" s="281">
        <v>45811</v>
      </c>
      <c r="G711" s="194" t="s">
        <v>1200</v>
      </c>
      <c r="H711" s="230" t="s">
        <v>1201</v>
      </c>
      <c r="I711" s="84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>
        <f t="shared" si="31"/>
        <v>-5.879032258064516</v>
      </c>
      <c r="U711" s="85">
        <f t="shared" si="30"/>
        <v>-3.6450000000000005</v>
      </c>
      <c r="V711" s="84"/>
      <c r="W711" s="84"/>
      <c r="X711" s="84"/>
      <c r="Y711" s="87"/>
      <c r="Z711" s="87"/>
      <c r="AA711" s="87"/>
      <c r="AB711" s="87"/>
      <c r="AC711" s="87"/>
      <c r="AD711" s="87"/>
      <c r="AE711" s="87"/>
      <c r="AF711" s="87"/>
      <c r="AG711" s="87"/>
      <c r="AH711" s="87"/>
      <c r="AI711" s="87"/>
      <c r="AJ711" s="87"/>
      <c r="AK711" s="87"/>
      <c r="AL711" s="87"/>
      <c r="AM711" s="87"/>
      <c r="AN711" s="87"/>
      <c r="AO711" s="87"/>
      <c r="AP711" s="87"/>
      <c r="AQ711" s="87"/>
      <c r="AR711" s="87"/>
      <c r="AS711" s="87"/>
      <c r="AT711" s="87"/>
      <c r="AU711" s="87"/>
      <c r="AV711" s="87"/>
      <c r="AW711" s="87"/>
      <c r="AX711" s="87"/>
      <c r="AY711" s="87"/>
      <c r="AZ711" s="87"/>
      <c r="BA711" s="87"/>
      <c r="BB711" s="87"/>
      <c r="BC711" s="87"/>
      <c r="BD711" s="87"/>
      <c r="BE711" s="87"/>
      <c r="BF711" s="87"/>
      <c r="BG711" s="87"/>
      <c r="BH711" s="87"/>
      <c r="BI711" s="87"/>
      <c r="BJ711" s="87"/>
      <c r="BK711" s="87"/>
      <c r="BL711" s="87"/>
      <c r="BM711" s="87"/>
      <c r="BN711" s="87"/>
      <c r="BO711" s="87"/>
      <c r="BP711" s="87"/>
      <c r="BQ711" s="87"/>
      <c r="BR711" s="87"/>
      <c r="BS711" s="87"/>
      <c r="BT711" s="87"/>
      <c r="BU711" s="87"/>
      <c r="BV711" s="87"/>
      <c r="BW711" s="87"/>
      <c r="BX711" s="87"/>
      <c r="BY711" s="87"/>
      <c r="BZ711" s="87"/>
      <c r="CA711" s="87"/>
      <c r="CB711" s="87"/>
      <c r="CC711" s="87"/>
      <c r="CD711" s="87"/>
      <c r="CE711" s="87"/>
      <c r="CF711" s="87"/>
      <c r="CG711" s="87"/>
      <c r="CH711" s="87"/>
      <c r="CI711" s="87"/>
      <c r="CJ711" s="87"/>
      <c r="CK711" s="87"/>
      <c r="CL711" s="87"/>
      <c r="CM711" s="87"/>
      <c r="CN711" s="87"/>
      <c r="CO711" s="87"/>
      <c r="CP711" s="87"/>
      <c r="CQ711" s="87"/>
      <c r="CR711" s="87"/>
      <c r="CS711" s="87"/>
      <c r="CT711" s="87"/>
      <c r="CU711" s="87"/>
      <c r="CV711" s="87"/>
      <c r="CW711" s="87"/>
      <c r="CX711" s="87"/>
      <c r="CY711" s="87"/>
      <c r="CZ711" s="87"/>
      <c r="DA711" s="87"/>
      <c r="DB711" s="87"/>
      <c r="DC711" s="87">
        <f>-4/7*C711</f>
        <v>-20.828571428571429</v>
      </c>
      <c r="DD711" s="87"/>
      <c r="DE711" s="87">
        <f>-DC711</f>
        <v>20.828571428571429</v>
      </c>
      <c r="DF711" s="87"/>
      <c r="DG711" s="87"/>
      <c r="DH711" s="87"/>
      <c r="DI711" s="87"/>
      <c r="DJ711" s="87"/>
      <c r="DK711" s="87"/>
      <c r="DL711" s="87"/>
      <c r="DM711" s="87"/>
      <c r="DN711" s="87"/>
      <c r="DO711" s="87"/>
      <c r="DP711" s="87"/>
      <c r="DQ711" s="105"/>
      <c r="DR711" s="87"/>
      <c r="DS711" s="87"/>
      <c r="DT711" s="87"/>
      <c r="DU711" s="87"/>
      <c r="DV711" s="87"/>
      <c r="DW711" s="87"/>
      <c r="DX711" s="87"/>
      <c r="DY711" s="87"/>
      <c r="DZ711" s="105"/>
      <c r="EA711" s="105"/>
      <c r="EB711" s="87"/>
      <c r="EC711" s="87"/>
      <c r="ED711" s="87"/>
      <c r="EE711" s="87"/>
      <c r="EF711" s="87"/>
      <c r="EG711" s="87"/>
      <c r="EH711" s="87"/>
      <c r="EI711" s="87"/>
    </row>
    <row r="712" spans="1:139" s="65" customFormat="1" ht="16.5" hidden="1" thickBot="1" x14ac:dyDescent="0.35">
      <c r="A712" s="161" t="s">
        <v>119</v>
      </c>
      <c r="B712" s="279">
        <v>5</v>
      </c>
      <c r="C712" s="224">
        <f>0.95*33</f>
        <v>31.349999999999998</v>
      </c>
      <c r="D712" s="217">
        <f>C712/VLOOKUP(B712,'[2]Gas Prod per PADD'!$A$1:$C$6,2,FALSE)</f>
        <v>2.322222222222222E-2</v>
      </c>
      <c r="E712" s="225">
        <v>45805</v>
      </c>
      <c r="F712" s="276">
        <v>45811</v>
      </c>
      <c r="G712" s="180" t="s">
        <v>1202</v>
      </c>
      <c r="H712" s="181" t="s">
        <v>640</v>
      </c>
      <c r="I712" s="84"/>
      <c r="J712" s="85"/>
      <c r="K712" s="85"/>
      <c r="L712" s="85"/>
      <c r="M712" s="85"/>
      <c r="N712" s="85"/>
      <c r="O712" s="85"/>
      <c r="P712" s="85"/>
      <c r="Q712" s="85"/>
      <c r="R712" s="85"/>
      <c r="S712" s="85"/>
      <c r="T712" s="85">
        <f t="shared" si="31"/>
        <v>-3.0338709677419353</v>
      </c>
      <c r="U712" s="85">
        <f t="shared" si="30"/>
        <v>-3.1349999999999998</v>
      </c>
      <c r="V712" s="84"/>
      <c r="W712" s="84"/>
      <c r="X712" s="84"/>
      <c r="Y712" s="105"/>
      <c r="Z712" s="105"/>
      <c r="AA712" s="87"/>
      <c r="AB712" s="87"/>
      <c r="AC712" s="87"/>
      <c r="AD712" s="87"/>
      <c r="AE712" s="105"/>
      <c r="AF712" s="105"/>
      <c r="AG712" s="105"/>
      <c r="AH712" s="105"/>
      <c r="AI712" s="87"/>
      <c r="AJ712" s="87"/>
      <c r="AK712" s="105"/>
      <c r="AL712" s="87"/>
      <c r="AM712" s="105"/>
      <c r="AN712" s="105"/>
      <c r="AO712" s="87"/>
      <c r="AP712" s="87"/>
      <c r="AQ712" s="105"/>
      <c r="AR712" s="105"/>
      <c r="AS712" s="87"/>
      <c r="AT712" s="105"/>
      <c r="AU712" s="87"/>
      <c r="AV712" s="87"/>
      <c r="AW712" s="105"/>
      <c r="AX712" s="105"/>
      <c r="AY712" s="105"/>
      <c r="AZ712" s="105"/>
      <c r="BA712" s="105"/>
      <c r="BB712" s="105"/>
      <c r="BC712" s="105"/>
      <c r="BD712" s="87"/>
      <c r="BE712" s="87"/>
      <c r="BF712" s="87"/>
      <c r="BG712" s="87"/>
      <c r="BH712" s="87"/>
      <c r="BI712" s="87"/>
      <c r="BJ712" s="87"/>
      <c r="BK712" s="87"/>
      <c r="BL712" s="87"/>
      <c r="BM712" s="87"/>
      <c r="BN712" s="87"/>
      <c r="BO712" s="87"/>
      <c r="BP712" s="87"/>
      <c r="BQ712" s="87"/>
      <c r="BR712" s="87"/>
      <c r="BS712" s="87"/>
      <c r="BT712" s="87"/>
      <c r="BU712" s="87"/>
      <c r="BV712" s="87"/>
      <c r="BW712" s="87"/>
      <c r="BX712" s="87"/>
      <c r="BY712" s="87"/>
      <c r="BZ712" s="87"/>
      <c r="CA712" s="87"/>
      <c r="CB712" s="87"/>
      <c r="CC712" s="87"/>
      <c r="CD712" s="87"/>
      <c r="CE712" s="87"/>
      <c r="CF712" s="87"/>
      <c r="CG712" s="87"/>
      <c r="CH712" s="87"/>
      <c r="CI712" s="87"/>
      <c r="CJ712" s="87"/>
      <c r="CK712" s="87"/>
      <c r="CL712" s="87"/>
      <c r="CM712" s="87"/>
      <c r="CN712" s="87"/>
      <c r="CO712" s="87"/>
      <c r="CP712" s="87"/>
      <c r="CQ712" s="87"/>
      <c r="CR712" s="87"/>
      <c r="CS712" s="87"/>
      <c r="CT712" s="87"/>
      <c r="CU712" s="87"/>
      <c r="CV712" s="87"/>
      <c r="CW712" s="87"/>
      <c r="CX712" s="87"/>
      <c r="CY712" s="87"/>
      <c r="CZ712" s="87"/>
      <c r="DA712" s="87"/>
      <c r="DB712" s="87"/>
      <c r="DC712" s="87">
        <f>-C712*3/7</f>
        <v>-13.435714285714285</v>
      </c>
      <c r="DD712" s="87"/>
      <c r="DE712" s="87">
        <f>-DC712</f>
        <v>13.435714285714285</v>
      </c>
      <c r="DF712" s="87"/>
      <c r="DG712" s="87"/>
      <c r="DH712" s="87"/>
      <c r="DI712" s="87"/>
      <c r="DJ712" s="87"/>
      <c r="DK712" s="87"/>
      <c r="DL712" s="87"/>
      <c r="DM712" s="87"/>
      <c r="DN712" s="87"/>
      <c r="DO712" s="87"/>
      <c r="DP712" s="87"/>
      <c r="DQ712" s="87"/>
      <c r="DR712" s="87"/>
      <c r="DS712" s="87"/>
      <c r="DT712" s="87"/>
      <c r="DU712" s="87"/>
      <c r="DV712" s="87"/>
      <c r="DW712" s="87"/>
      <c r="DX712" s="87"/>
      <c r="DY712" s="87"/>
      <c r="DZ712" s="87"/>
      <c r="EA712" s="87"/>
      <c r="EB712" s="87"/>
      <c r="EC712" s="87"/>
      <c r="ED712" s="87"/>
      <c r="EE712" s="87"/>
      <c r="EF712" s="87"/>
      <c r="EG712" s="87"/>
      <c r="EH712" s="87"/>
      <c r="EI712" s="87"/>
    </row>
    <row r="713" spans="1:139" s="65" customFormat="1" ht="29.25" hidden="1" thickBot="1" x14ac:dyDescent="0.35">
      <c r="A713" s="200" t="s">
        <v>365</v>
      </c>
      <c r="B713" s="223">
        <v>2</v>
      </c>
      <c r="C713" s="224">
        <f>30*0.85+(55*0.1)</f>
        <v>31</v>
      </c>
      <c r="D713" s="217">
        <f>C713/VLOOKUP(B713,'[2]Gas Prod per PADD'!$A$1:$C$6,2,FALSE)</f>
        <v>1.2916666666666667E-2</v>
      </c>
      <c r="E713" s="225">
        <v>45810</v>
      </c>
      <c r="F713" s="276">
        <v>45812</v>
      </c>
      <c r="G713" s="180" t="s">
        <v>1203</v>
      </c>
      <c r="H713" s="221" t="s">
        <v>518</v>
      </c>
      <c r="I713" s="84"/>
      <c r="J713" s="85"/>
      <c r="K713" s="85"/>
      <c r="L713" s="85"/>
      <c r="M713" s="85"/>
      <c r="N713" s="85"/>
      <c r="O713" s="85"/>
      <c r="P713" s="85"/>
      <c r="Q713" s="85"/>
      <c r="R713" s="85"/>
      <c r="S713" s="85"/>
      <c r="T713" s="85"/>
      <c r="U713" s="85">
        <f>C713*(E713-F713)/30</f>
        <v>-2.0666666666666669</v>
      </c>
      <c r="V713" s="84"/>
      <c r="W713" s="84"/>
      <c r="X713" s="84"/>
      <c r="Y713" s="105"/>
      <c r="Z713" s="105"/>
      <c r="AA713" s="87"/>
      <c r="AB713" s="87"/>
      <c r="AC713" s="87"/>
      <c r="AD713" s="87"/>
      <c r="AE713" s="105"/>
      <c r="AF713" s="105"/>
      <c r="AG713" s="105"/>
      <c r="AH713" s="105"/>
      <c r="AI713" s="87"/>
      <c r="AJ713" s="87"/>
      <c r="AK713" s="105"/>
      <c r="AL713" s="87"/>
      <c r="AM713" s="105"/>
      <c r="AN713" s="105"/>
      <c r="AO713" s="87"/>
      <c r="AP713" s="87"/>
      <c r="AQ713" s="105"/>
      <c r="AR713" s="105"/>
      <c r="AS713" s="87"/>
      <c r="AT713" s="105"/>
      <c r="AU713" s="87"/>
      <c r="AV713" s="87"/>
      <c r="AW713" s="105"/>
      <c r="AX713" s="105"/>
      <c r="AY713" s="105"/>
      <c r="AZ713" s="105"/>
      <c r="BA713" s="105"/>
      <c r="BB713" s="105"/>
      <c r="BC713" s="105"/>
      <c r="BD713" s="87"/>
      <c r="BE713" s="87"/>
      <c r="BF713" s="87"/>
      <c r="BG713" s="87"/>
      <c r="BH713" s="87"/>
      <c r="BI713" s="87"/>
      <c r="BJ713" s="87"/>
      <c r="BK713" s="87"/>
      <c r="BL713" s="87"/>
      <c r="BM713" s="87"/>
      <c r="BN713" s="87"/>
      <c r="BO713" s="87"/>
      <c r="BP713" s="87"/>
      <c r="BQ713" s="87"/>
      <c r="BR713" s="87"/>
      <c r="BS713" s="87"/>
      <c r="BT713" s="87"/>
      <c r="BU713" s="87"/>
      <c r="BV713" s="87"/>
      <c r="BW713" s="87"/>
      <c r="BX713" s="87"/>
      <c r="BY713" s="87"/>
      <c r="BZ713" s="87"/>
      <c r="CA713" s="87"/>
      <c r="CB713" s="87"/>
      <c r="CC713" s="87"/>
      <c r="CD713" s="87"/>
      <c r="CE713" s="87"/>
      <c r="CF713" s="87"/>
      <c r="CG713" s="87"/>
      <c r="CH713" s="87"/>
      <c r="CI713" s="87"/>
      <c r="CJ713" s="87"/>
      <c r="CK713" s="87"/>
      <c r="CL713" s="87"/>
      <c r="CM713" s="87"/>
      <c r="CN713" s="87"/>
      <c r="CO713" s="87"/>
      <c r="CP713" s="87"/>
      <c r="CQ713" s="87"/>
      <c r="CR713" s="87"/>
      <c r="CS713" s="87"/>
      <c r="CT713" s="87"/>
      <c r="CU713" s="87"/>
      <c r="CV713" s="87"/>
      <c r="CW713" s="87"/>
      <c r="CX713" s="87"/>
      <c r="CY713" s="87"/>
      <c r="CZ713" s="87"/>
      <c r="DA713" s="87"/>
      <c r="DB713" s="87"/>
      <c r="DC713" s="87"/>
      <c r="DD713" s="87">
        <f>-2/7*C713</f>
        <v>-8.8571428571428559</v>
      </c>
      <c r="DE713" s="87">
        <f>-DD713</f>
        <v>8.8571428571428559</v>
      </c>
      <c r="DF713" s="87"/>
      <c r="DG713" s="87"/>
      <c r="DH713" s="87"/>
      <c r="DI713" s="87"/>
      <c r="DJ713" s="87"/>
      <c r="DK713" s="87"/>
      <c r="DL713" s="87"/>
      <c r="DM713" s="87"/>
      <c r="DN713" s="87"/>
      <c r="DO713" s="87"/>
      <c r="DP713" s="87"/>
      <c r="DQ713" s="87"/>
      <c r="DR713" s="87"/>
      <c r="DS713" s="87"/>
      <c r="DT713" s="87"/>
      <c r="DU713" s="87"/>
      <c r="DV713" s="87"/>
      <c r="DW713" s="87"/>
      <c r="DX713" s="87"/>
      <c r="DY713" s="87"/>
      <c r="DZ713" s="87"/>
      <c r="EA713" s="87"/>
      <c r="EB713" s="87"/>
      <c r="EC713" s="87"/>
      <c r="ED713" s="87"/>
      <c r="EE713" s="87"/>
      <c r="EF713" s="87"/>
      <c r="EG713" s="87"/>
      <c r="EH713" s="87"/>
      <c r="EI713" s="87"/>
    </row>
    <row r="714" spans="1:139" ht="16.5" hidden="1" thickBot="1" x14ac:dyDescent="0.35">
      <c r="A714" s="358" t="s">
        <v>780</v>
      </c>
      <c r="B714" s="194">
        <v>2</v>
      </c>
      <c r="C714" s="195">
        <f>8.5*0.25</f>
        <v>2.125</v>
      </c>
      <c r="D714" s="217">
        <f>C714/VLOOKUP(B714,'[2]Gas Prod per PADD'!$A$1:$C$6,2,FALSE)</f>
        <v>8.8541666666666662E-4</v>
      </c>
      <c r="E714" s="178">
        <v>45797</v>
      </c>
      <c r="F714" s="252">
        <v>45813</v>
      </c>
      <c r="G714" s="194" t="s">
        <v>781</v>
      </c>
      <c r="H714" s="181" t="s">
        <v>364</v>
      </c>
      <c r="I714" s="84"/>
      <c r="J714" s="85"/>
      <c r="K714" s="85"/>
      <c r="L714" s="85"/>
      <c r="M714" s="85"/>
      <c r="N714" s="85"/>
      <c r="O714" s="85"/>
      <c r="P714" s="85"/>
      <c r="Q714" s="85"/>
      <c r="R714" s="85"/>
      <c r="S714" s="85"/>
      <c r="T714" s="85">
        <f>C714*(E714-$T$1)/31</f>
        <v>-0.75403225806451613</v>
      </c>
      <c r="U714" s="85">
        <f>C714*($T$1-F714)/30</f>
        <v>-0.35416666666666669</v>
      </c>
      <c r="V714" s="84"/>
      <c r="W714" s="84"/>
      <c r="X714" s="84"/>
      <c r="Y714" s="87"/>
      <c r="Z714" s="87"/>
      <c r="AA714" s="87"/>
      <c r="AB714" s="87"/>
      <c r="AC714" s="87"/>
      <c r="AD714" s="87"/>
      <c r="AE714" s="87"/>
      <c r="AF714" s="87"/>
      <c r="AG714" s="87"/>
      <c r="AH714" s="87"/>
      <c r="AI714" s="87"/>
      <c r="AJ714" s="87"/>
      <c r="AK714" s="87"/>
      <c r="AL714" s="87"/>
      <c r="AM714" s="87"/>
      <c r="AN714" s="87"/>
      <c r="AO714" s="87"/>
      <c r="AP714" s="87"/>
      <c r="AQ714" s="87"/>
      <c r="AR714" s="87"/>
      <c r="AS714" s="87"/>
      <c r="AT714" s="87"/>
      <c r="AU714" s="87"/>
      <c r="AV714" s="87"/>
      <c r="AW714" s="87"/>
      <c r="AX714" s="87"/>
      <c r="AY714" s="87"/>
      <c r="AZ714" s="87"/>
      <c r="BA714" s="87"/>
      <c r="BB714" s="87"/>
      <c r="BC714" s="87"/>
      <c r="BD714" s="87"/>
      <c r="BE714" s="87"/>
      <c r="BF714" s="87"/>
      <c r="BG714" s="87"/>
      <c r="BH714" s="87"/>
      <c r="BI714" s="87"/>
      <c r="BJ714" s="87"/>
      <c r="BK714" s="87"/>
      <c r="BL714" s="87"/>
      <c r="BM714" s="87"/>
      <c r="BN714" s="87"/>
      <c r="BO714" s="87"/>
      <c r="BP714" s="87"/>
      <c r="BQ714" s="87"/>
      <c r="BR714" s="87"/>
      <c r="BS714" s="87"/>
      <c r="BT714" s="87"/>
      <c r="BU714" s="87"/>
      <c r="BV714" s="87"/>
      <c r="BW714" s="87"/>
      <c r="BX714" s="87"/>
      <c r="BY714" s="87"/>
      <c r="BZ714" s="87"/>
      <c r="CA714" s="87"/>
      <c r="CB714" s="87"/>
      <c r="CC714" s="87"/>
      <c r="CD714" s="87"/>
      <c r="CE714" s="87"/>
      <c r="CF714" s="87"/>
      <c r="CG714" s="87"/>
      <c r="CH714" s="87"/>
      <c r="CI714" s="87"/>
      <c r="CJ714" s="87"/>
      <c r="CK714" s="87"/>
      <c r="CL714" s="87"/>
      <c r="CM714" s="105"/>
      <c r="CN714" s="105"/>
      <c r="CO714" s="87"/>
      <c r="CP714" s="105"/>
      <c r="CQ714" s="105"/>
      <c r="CR714" s="105"/>
      <c r="CS714" s="87"/>
      <c r="CT714" s="87"/>
      <c r="CU714" s="87"/>
      <c r="CV714" s="87"/>
      <c r="CW714" s="87"/>
      <c r="CX714" s="87"/>
      <c r="CY714" s="105"/>
      <c r="CZ714" s="87"/>
      <c r="DA714" s="87"/>
      <c r="DB714" s="87">
        <f>-3/7*C714</f>
        <v>-0.9107142857142857</v>
      </c>
      <c r="DC714" s="87">
        <f>-4/7*C714</f>
        <v>-1.2142857142857142</v>
      </c>
      <c r="DD714" s="87"/>
      <c r="DE714" s="105">
        <f>-C714</f>
        <v>-2.125</v>
      </c>
      <c r="DF714" s="87"/>
      <c r="DG714" s="87"/>
      <c r="DH714" s="87"/>
      <c r="DI714" s="87"/>
      <c r="DJ714" s="87"/>
      <c r="DK714" s="87"/>
      <c r="DL714" s="87"/>
      <c r="DM714" s="87"/>
      <c r="DN714" s="87"/>
      <c r="DO714" s="87"/>
      <c r="DP714" s="87"/>
      <c r="DQ714" s="87"/>
      <c r="DR714" s="87"/>
      <c r="DS714" s="87"/>
      <c r="DT714" s="87"/>
      <c r="DU714" s="87"/>
      <c r="DV714" s="87"/>
      <c r="DW714" s="87"/>
      <c r="DX714" s="87"/>
      <c r="DY714" s="87"/>
      <c r="DZ714" s="87"/>
      <c r="EA714" s="87"/>
      <c r="EB714" s="87"/>
      <c r="EC714" s="87"/>
      <c r="ED714" s="87"/>
      <c r="EE714" s="87"/>
      <c r="EF714" s="87"/>
      <c r="EG714" s="87"/>
      <c r="EH714" s="87"/>
      <c r="EI714" s="87"/>
    </row>
    <row r="715" spans="1:139" ht="29.25" hidden="1" thickBot="1" x14ac:dyDescent="0.35">
      <c r="A715" s="175" t="s">
        <v>239</v>
      </c>
      <c r="B715" s="176">
        <v>2</v>
      </c>
      <c r="C715" s="177">
        <f>26*0.65+(30*0.25)</f>
        <v>24.400000000000002</v>
      </c>
      <c r="D715" s="217">
        <f>C715/VLOOKUP(B715,'[2]Gas Prod per PADD'!$A$1:$C$6,2,FALSE)</f>
        <v>1.0166666666666668E-2</v>
      </c>
      <c r="E715" s="178">
        <v>45811</v>
      </c>
      <c r="F715" s="252">
        <v>45813</v>
      </c>
      <c r="G715" s="180" t="s">
        <v>1204</v>
      </c>
      <c r="H715" s="181" t="s">
        <v>640</v>
      </c>
      <c r="I715" s="84"/>
      <c r="J715" s="85"/>
      <c r="K715" s="85"/>
      <c r="L715" s="85"/>
      <c r="M715" s="85"/>
      <c r="N715" s="85"/>
      <c r="O715" s="85"/>
      <c r="P715" s="85"/>
      <c r="Q715" s="85"/>
      <c r="R715" s="85"/>
      <c r="S715" s="85"/>
      <c r="T715" s="85"/>
      <c r="U715" s="85">
        <f>C715*(E715-F715)/30</f>
        <v>-1.6266666666666667</v>
      </c>
      <c r="V715" s="84"/>
      <c r="W715" s="84"/>
      <c r="X715" s="84"/>
      <c r="Y715" s="86"/>
      <c r="Z715" s="87"/>
      <c r="AA715" s="87"/>
      <c r="AB715" s="87"/>
      <c r="AC715" s="87"/>
      <c r="AD715" s="87"/>
      <c r="AE715" s="87"/>
      <c r="AF715" s="87"/>
      <c r="AG715" s="87"/>
      <c r="AH715" s="87"/>
      <c r="AI715" s="87"/>
      <c r="AJ715" s="87"/>
      <c r="AK715" s="87"/>
      <c r="AL715" s="87"/>
      <c r="AM715" s="87"/>
      <c r="AN715" s="87"/>
      <c r="AO715" s="87"/>
      <c r="AP715" s="87"/>
      <c r="AQ715" s="87"/>
      <c r="AR715" s="87"/>
      <c r="AS715" s="87"/>
      <c r="AT715" s="87"/>
      <c r="AU715" s="87"/>
      <c r="AV715" s="87"/>
      <c r="AW715" s="87"/>
      <c r="AX715" s="87"/>
      <c r="AY715" s="87"/>
      <c r="AZ715" s="87"/>
      <c r="BA715" s="87"/>
      <c r="BB715" s="87"/>
      <c r="BC715" s="87"/>
      <c r="BD715" s="87"/>
      <c r="BE715" s="87"/>
      <c r="BF715" s="87"/>
      <c r="BG715" s="87"/>
      <c r="BH715" s="87"/>
      <c r="BI715" s="87"/>
      <c r="BJ715" s="105"/>
      <c r="BK715" s="87"/>
      <c r="BL715" s="105"/>
      <c r="BM715" s="105"/>
      <c r="BN715" s="105"/>
      <c r="BO715" s="105"/>
      <c r="BP715" s="105"/>
      <c r="BQ715" s="87"/>
      <c r="BR715" s="87"/>
      <c r="BS715" s="87"/>
      <c r="BT715" s="87"/>
      <c r="BU715" s="87"/>
      <c r="BV715" s="87"/>
      <c r="BW715" s="87"/>
      <c r="BX715" s="87"/>
      <c r="BY715" s="87"/>
      <c r="BZ715" s="87"/>
      <c r="CA715" s="87"/>
      <c r="CB715" s="87"/>
      <c r="CC715" s="87"/>
      <c r="CD715" s="87"/>
      <c r="CE715" s="87"/>
      <c r="CF715" s="87"/>
      <c r="CG715" s="87"/>
      <c r="CH715" s="87"/>
      <c r="CI715" s="87"/>
      <c r="CJ715" s="87"/>
      <c r="CK715" s="87"/>
      <c r="CL715" s="87"/>
      <c r="CM715" s="87"/>
      <c r="CN715" s="295"/>
      <c r="CO715" s="87"/>
      <c r="CP715" s="87"/>
      <c r="CQ715" s="87"/>
      <c r="CR715" s="87"/>
      <c r="CS715" s="87"/>
      <c r="CT715" s="87"/>
      <c r="CU715" s="87"/>
      <c r="CV715" s="87"/>
      <c r="CW715" s="87"/>
      <c r="CX715" s="87"/>
      <c r="CY715" s="87"/>
      <c r="CZ715" s="87"/>
      <c r="DA715" s="87"/>
      <c r="DB715" s="87"/>
      <c r="DC715" s="87"/>
      <c r="DD715" s="87">
        <f>-3/7*C715</f>
        <v>-10.457142857142857</v>
      </c>
      <c r="DE715" s="87">
        <f>-DD715</f>
        <v>10.457142857142857</v>
      </c>
      <c r="DF715" s="87"/>
      <c r="DG715" s="87"/>
      <c r="DH715" s="87"/>
      <c r="DI715" s="87"/>
      <c r="DJ715" s="87"/>
      <c r="DK715" s="87"/>
      <c r="DL715" s="87"/>
      <c r="DM715" s="87"/>
      <c r="DN715" s="87"/>
      <c r="DO715" s="87"/>
      <c r="DP715" s="87"/>
      <c r="DQ715" s="87"/>
      <c r="DR715" s="87"/>
      <c r="DS715" s="87"/>
      <c r="DT715" s="87"/>
      <c r="DU715" s="87"/>
      <c r="DV715" s="87"/>
      <c r="DW715" s="87"/>
      <c r="DX715" s="87"/>
      <c r="DY715" s="87"/>
      <c r="DZ715" s="87"/>
      <c r="EA715" s="87"/>
      <c r="EB715" s="87"/>
      <c r="EC715" s="87"/>
      <c r="ED715" s="87"/>
      <c r="EE715" s="87"/>
      <c r="EF715" s="87"/>
      <c r="EG715" s="87"/>
      <c r="EH715" s="87"/>
      <c r="EI715" s="87"/>
    </row>
    <row r="716" spans="1:139" ht="29.25" hidden="1" thickBot="1" x14ac:dyDescent="0.35">
      <c r="A716" s="175" t="s">
        <v>1103</v>
      </c>
      <c r="B716" s="191">
        <v>5</v>
      </c>
      <c r="C716" s="177">
        <f>77*0.65*0.3+15*0.25</f>
        <v>18.765000000000001</v>
      </c>
      <c r="D716" s="234">
        <f>C716/VLOOKUP(B716,'[2]Gas Prod per PADD'!$A$1:$C$6,2,FALSE)</f>
        <v>1.3900000000000001E-2</v>
      </c>
      <c r="E716" s="220">
        <v>45791</v>
      </c>
      <c r="F716" s="276">
        <v>45814</v>
      </c>
      <c r="G716" s="138" t="s">
        <v>1205</v>
      </c>
      <c r="H716" s="181" t="s">
        <v>1206</v>
      </c>
      <c r="I716" s="84"/>
      <c r="J716" s="85"/>
      <c r="K716" s="85"/>
      <c r="L716" s="85"/>
      <c r="M716" s="85"/>
      <c r="N716" s="85"/>
      <c r="O716" s="85"/>
      <c r="P716" s="85"/>
      <c r="Q716" s="85"/>
      <c r="R716" s="85"/>
      <c r="S716" s="85"/>
      <c r="T716" s="85">
        <f>C716*(E716-$T$1)/31</f>
        <v>-10.290483870967742</v>
      </c>
      <c r="U716" s="85">
        <f>C716*($T$1-F716)/30</f>
        <v>-3.7530000000000001</v>
      </c>
      <c r="V716" s="84"/>
      <c r="W716" s="84"/>
      <c r="X716" s="84"/>
      <c r="Y716" s="87"/>
      <c r="Z716" s="87"/>
      <c r="AA716" s="87"/>
      <c r="AB716" s="87"/>
      <c r="AC716" s="87"/>
      <c r="AD716" s="87"/>
      <c r="AE716" s="87"/>
      <c r="AF716" s="87"/>
      <c r="AG716" s="87"/>
      <c r="AH716" s="87"/>
      <c r="AI716" s="87"/>
      <c r="AJ716" s="87"/>
      <c r="AK716" s="87"/>
      <c r="AL716" s="87"/>
      <c r="AM716" s="87"/>
      <c r="AN716" s="87"/>
      <c r="AO716" s="87"/>
      <c r="AP716" s="87"/>
      <c r="AQ716" s="87"/>
      <c r="AR716" s="87"/>
      <c r="AS716" s="87"/>
      <c r="AT716" s="87"/>
      <c r="AU716" s="87"/>
      <c r="AV716" s="87"/>
      <c r="AW716" s="87"/>
      <c r="AX716" s="87"/>
      <c r="AY716" s="87"/>
      <c r="AZ716" s="87"/>
      <c r="BA716" s="87"/>
      <c r="BB716" s="87"/>
      <c r="BC716" s="87"/>
      <c r="BD716" s="87"/>
      <c r="BE716" s="87"/>
      <c r="BF716" s="87"/>
      <c r="BG716" s="87"/>
      <c r="BH716" s="87"/>
      <c r="BI716" s="87"/>
      <c r="BJ716" s="87"/>
      <c r="BK716" s="87"/>
      <c r="BL716" s="87"/>
      <c r="BM716" s="87"/>
      <c r="BN716" s="87"/>
      <c r="BO716" s="87"/>
      <c r="BP716" s="87"/>
      <c r="BQ716" s="87"/>
      <c r="BR716" s="87"/>
      <c r="BS716" s="87"/>
      <c r="BT716" s="87"/>
      <c r="BU716" s="87"/>
      <c r="BV716" s="87"/>
      <c r="BW716" s="87"/>
      <c r="BX716" s="87"/>
      <c r="BY716" s="87"/>
      <c r="BZ716" s="87"/>
      <c r="CA716" s="87"/>
      <c r="CB716" s="87"/>
      <c r="CC716" s="87"/>
      <c r="CD716" s="87"/>
      <c r="CE716" s="87"/>
      <c r="CF716" s="87"/>
      <c r="CG716" s="87"/>
      <c r="CH716" s="87"/>
      <c r="CI716" s="87"/>
      <c r="CJ716" s="87"/>
      <c r="CK716" s="87"/>
      <c r="CL716" s="87"/>
      <c r="CM716" s="87"/>
      <c r="CN716" s="87"/>
      <c r="CO716" s="87"/>
      <c r="CP716" s="87"/>
      <c r="CQ716" s="87"/>
      <c r="CR716" s="87"/>
      <c r="CS716" s="87"/>
      <c r="CT716" s="87"/>
      <c r="CU716" s="87"/>
      <c r="CV716" s="87"/>
      <c r="CW716" s="87"/>
      <c r="CX716" s="87"/>
      <c r="CY716" s="87"/>
      <c r="CZ716" s="87"/>
      <c r="DA716" s="87">
        <f>-2/7*C716</f>
        <v>-5.3614285714285712</v>
      </c>
      <c r="DB716" s="87">
        <f>-5/7*C716</f>
        <v>-13.403571428571428</v>
      </c>
      <c r="DC716" s="87"/>
      <c r="DD716" s="105">
        <f>C716</f>
        <v>18.765000000000001</v>
      </c>
      <c r="DE716" s="87"/>
      <c r="DF716" s="105"/>
      <c r="DG716" s="87"/>
      <c r="DH716" s="87"/>
      <c r="DI716" s="87"/>
      <c r="DJ716" s="87"/>
      <c r="DK716" s="87"/>
      <c r="DL716" s="87"/>
      <c r="DM716" s="87"/>
      <c r="DN716" s="87"/>
      <c r="DO716" s="87"/>
      <c r="DP716" s="87"/>
      <c r="DQ716" s="105"/>
      <c r="DR716" s="87"/>
      <c r="DS716" s="87"/>
      <c r="DT716" s="87"/>
      <c r="DU716" s="87"/>
      <c r="DV716" s="87"/>
      <c r="DW716" s="87"/>
      <c r="DX716" s="87"/>
      <c r="DY716" s="87"/>
      <c r="DZ716" s="105"/>
      <c r="EA716" s="105"/>
      <c r="EB716" s="87"/>
      <c r="EC716" s="87"/>
      <c r="ED716" s="87"/>
      <c r="EE716" s="87"/>
      <c r="EF716" s="87"/>
      <c r="EG716" s="87"/>
      <c r="EH716" s="87"/>
      <c r="EI716" s="87"/>
    </row>
    <row r="717" spans="1:139" ht="29.25" hidden="1" thickBot="1" x14ac:dyDescent="0.35">
      <c r="A717" s="352" t="s">
        <v>223</v>
      </c>
      <c r="B717" s="223">
        <v>2</v>
      </c>
      <c r="C717" s="224">
        <f>91.5*0.1+30*0.85</f>
        <v>34.65</v>
      </c>
      <c r="D717" s="217">
        <f>C717/VLOOKUP(B717,'[2]Gas Prod per PADD'!$A$1:$C$6,2,FALSE)</f>
        <v>1.4437499999999999E-2</v>
      </c>
      <c r="E717" s="225">
        <v>45765</v>
      </c>
      <c r="F717" s="276">
        <v>45818</v>
      </c>
      <c r="G717" s="180" t="s">
        <v>1207</v>
      </c>
      <c r="H717" s="221" t="s">
        <v>1208</v>
      </c>
      <c r="I717" s="84"/>
      <c r="J717" s="85"/>
      <c r="K717" s="85"/>
      <c r="L717" s="85"/>
      <c r="M717" s="85"/>
      <c r="N717" s="85"/>
      <c r="O717" s="85"/>
      <c r="P717" s="85"/>
      <c r="Q717" s="85"/>
      <c r="R717" s="85"/>
      <c r="S717" s="85">
        <f>C717*(E717-$S$1)/30</f>
        <v>-13.859999999999998</v>
      </c>
      <c r="T717" s="85">
        <f>-C717</f>
        <v>-34.65</v>
      </c>
      <c r="U717" s="85">
        <f>C717*($T$1-F717)/30</f>
        <v>-11.55</v>
      </c>
      <c r="V717" s="84"/>
      <c r="W717" s="84"/>
      <c r="X717" s="84"/>
      <c r="Y717" s="86"/>
      <c r="Z717" s="87"/>
      <c r="AA717" s="87"/>
      <c r="AB717" s="87"/>
      <c r="AC717" s="87"/>
      <c r="AD717" s="87"/>
      <c r="AE717" s="87"/>
      <c r="AF717" s="87"/>
      <c r="AG717" s="87"/>
      <c r="AH717" s="87"/>
      <c r="AI717" s="87"/>
      <c r="AJ717" s="87"/>
      <c r="AK717" s="87"/>
      <c r="AL717" s="87"/>
      <c r="AM717" s="87"/>
      <c r="AN717" s="87"/>
      <c r="AO717" s="87"/>
      <c r="AP717" s="87"/>
      <c r="AQ717" s="87"/>
      <c r="AR717" s="87"/>
      <c r="AS717" s="87"/>
      <c r="AT717" s="87"/>
      <c r="AU717" s="87"/>
      <c r="AV717" s="87"/>
      <c r="AW717" s="87"/>
      <c r="AX717" s="87"/>
      <c r="AY717" s="87"/>
      <c r="AZ717" s="87"/>
      <c r="BA717" s="87"/>
      <c r="BB717" s="87"/>
      <c r="BC717" s="87"/>
      <c r="BD717" s="87"/>
      <c r="BE717" s="87"/>
      <c r="BF717" s="87"/>
      <c r="BG717" s="87"/>
      <c r="BH717" s="87"/>
      <c r="BI717" s="87"/>
      <c r="BJ717" s="105"/>
      <c r="BK717" s="87"/>
      <c r="BL717" s="105"/>
      <c r="BM717" s="105"/>
      <c r="BN717" s="105"/>
      <c r="BO717" s="105"/>
      <c r="BP717" s="105"/>
      <c r="BQ717" s="87"/>
      <c r="BR717" s="87"/>
      <c r="BS717" s="87"/>
      <c r="BT717" s="87"/>
      <c r="BU717" s="87"/>
      <c r="BV717" s="87"/>
      <c r="BW717" s="87"/>
      <c r="BX717" s="87"/>
      <c r="BY717" s="87"/>
      <c r="BZ717" s="87"/>
      <c r="CA717" s="87"/>
      <c r="CB717" s="87"/>
      <c r="CC717" s="87"/>
      <c r="CD717" s="87"/>
      <c r="CE717" s="87"/>
      <c r="CF717" s="87"/>
      <c r="CG717" s="87"/>
      <c r="CH717" s="87"/>
      <c r="CI717" s="87"/>
      <c r="CJ717" s="87"/>
      <c r="CK717" s="87"/>
      <c r="CL717" s="87"/>
      <c r="CM717" s="87"/>
      <c r="CN717" s="295"/>
      <c r="CO717" s="87"/>
      <c r="CP717" s="87"/>
      <c r="CQ717" s="87"/>
      <c r="CR717" s="87"/>
      <c r="CS717" s="87"/>
      <c r="CT717" s="87"/>
      <c r="CU717" s="87"/>
      <c r="CV717" s="87"/>
      <c r="CW717" s="87">
        <f>-C717*1/7</f>
        <v>-4.95</v>
      </c>
      <c r="CX717" s="87">
        <f>-C717*6/7</f>
        <v>-29.699999999999996</v>
      </c>
      <c r="CY717" s="87"/>
      <c r="CZ717" s="87"/>
      <c r="DA717" s="87"/>
      <c r="DB717" s="87"/>
      <c r="DC717" s="87"/>
      <c r="DD717" s="87"/>
      <c r="DE717" s="87">
        <f>2/7*C717</f>
        <v>9.8999999999999986</v>
      </c>
      <c r="DF717" s="105">
        <f>C717-DE717</f>
        <v>24.75</v>
      </c>
      <c r="DG717" s="87"/>
      <c r="DH717" s="87"/>
      <c r="DI717" s="87"/>
      <c r="DJ717" s="87"/>
      <c r="DK717" s="87"/>
      <c r="DL717" s="87"/>
      <c r="DM717" s="87"/>
      <c r="DN717" s="87"/>
      <c r="DO717" s="87"/>
      <c r="DP717" s="87"/>
      <c r="DQ717" s="87"/>
      <c r="DR717" s="87"/>
      <c r="DS717" s="87"/>
      <c r="DT717" s="87"/>
      <c r="DU717" s="87"/>
      <c r="DV717" s="87"/>
      <c r="DW717" s="87"/>
      <c r="DX717" s="87"/>
      <c r="DY717" s="87"/>
      <c r="DZ717" s="87"/>
      <c r="EA717" s="87"/>
      <c r="EB717" s="87"/>
      <c r="EC717" s="87"/>
      <c r="ED717" s="87"/>
      <c r="EE717" s="87"/>
      <c r="EF717" s="87"/>
      <c r="EG717" s="87"/>
      <c r="EH717" s="87"/>
      <c r="EI717" s="87"/>
    </row>
    <row r="718" spans="1:139" ht="29.25" hidden="1" thickBot="1" x14ac:dyDescent="0.35">
      <c r="A718" s="218" t="s">
        <v>188</v>
      </c>
      <c r="B718" s="199">
        <v>1</v>
      </c>
      <c r="C718" s="195">
        <f>110*0.1+(20*0.85)</f>
        <v>28</v>
      </c>
      <c r="D718" s="234">
        <f>C718/VLOOKUP(B718,'[2]Gas Prod per PADD'!$A$1:$C$6,2,FALSE)</f>
        <v>5.8333333333333334E-2</v>
      </c>
      <c r="E718" s="386">
        <v>45808</v>
      </c>
      <c r="F718" s="368">
        <f>E718+10</f>
        <v>45818</v>
      </c>
      <c r="G718" s="138" t="s">
        <v>1209</v>
      </c>
      <c r="H718" s="230" t="s">
        <v>1210</v>
      </c>
      <c r="I718" s="305" t="s">
        <v>1211</v>
      </c>
      <c r="J718" s="306"/>
      <c r="K718" s="306"/>
      <c r="L718" s="306"/>
      <c r="M718" s="306"/>
      <c r="N718" s="306"/>
      <c r="O718" s="306"/>
      <c r="P718" s="306"/>
      <c r="Q718" s="306"/>
      <c r="R718" s="306"/>
      <c r="S718" s="306"/>
      <c r="T718" s="85">
        <f>C718*(E718-$T$1)/31</f>
        <v>0</v>
      </c>
      <c r="U718" s="85">
        <f>C718*($T$1-F718)/30</f>
        <v>-9.3333333333333339</v>
      </c>
      <c r="V718" s="84"/>
      <c r="W718" s="84"/>
      <c r="X718" s="84" t="str">
        <f>IF(COUNTA(Y718:EI718)=0,"Missing","OK")</f>
        <v>OK</v>
      </c>
      <c r="Y718" s="105"/>
      <c r="Z718" s="105"/>
      <c r="AA718" s="87"/>
      <c r="AB718" s="87"/>
      <c r="AC718" s="87"/>
      <c r="AD718" s="87"/>
      <c r="AE718" s="105"/>
      <c r="AF718" s="105"/>
      <c r="AG718" s="105"/>
      <c r="AH718" s="105"/>
      <c r="AI718" s="87"/>
      <c r="AJ718" s="87"/>
      <c r="AK718" s="105"/>
      <c r="AL718" s="87"/>
      <c r="AM718" s="105"/>
      <c r="AN718" s="105"/>
      <c r="AO718" s="87"/>
      <c r="AP718" s="87"/>
      <c r="AQ718" s="105"/>
      <c r="AR718" s="105"/>
      <c r="AS718" s="87"/>
      <c r="AT718" s="105"/>
      <c r="AU718" s="105"/>
      <c r="AV718" s="87"/>
      <c r="AW718" s="105"/>
      <c r="AX718" s="105"/>
      <c r="AY718" s="87"/>
      <c r="AZ718" s="105"/>
      <c r="BA718" s="105"/>
      <c r="BB718" s="105"/>
      <c r="BC718" s="87"/>
      <c r="BD718" s="87"/>
      <c r="BE718" s="105"/>
      <c r="BF718" s="105"/>
      <c r="BG718" s="105"/>
      <c r="BH718" s="105"/>
      <c r="BI718" s="105"/>
      <c r="BJ718" s="87"/>
      <c r="BK718" s="87"/>
      <c r="BL718" s="87"/>
      <c r="BM718" s="87"/>
      <c r="BN718" s="87"/>
      <c r="BO718" s="87"/>
      <c r="BP718" s="87"/>
      <c r="BQ718" s="87"/>
      <c r="BR718" s="87"/>
      <c r="BS718" s="87"/>
      <c r="BT718" s="87"/>
      <c r="BU718" s="87"/>
      <c r="BV718" s="87"/>
      <c r="BW718" s="87"/>
      <c r="BX718" s="87"/>
      <c r="BY718" s="105"/>
      <c r="BZ718" s="87"/>
      <c r="CA718" s="87"/>
      <c r="CB718" s="87"/>
      <c r="CC718" s="87"/>
      <c r="CD718" s="87"/>
      <c r="CE718" s="87"/>
      <c r="CF718" s="87"/>
      <c r="CG718" s="87"/>
      <c r="CH718" s="87"/>
      <c r="CI718" s="87"/>
      <c r="CJ718" s="87"/>
      <c r="CK718" s="87"/>
      <c r="CL718" s="87"/>
      <c r="CM718" s="87"/>
      <c r="CN718" s="87"/>
      <c r="CO718" s="87"/>
      <c r="CP718" s="87"/>
      <c r="CQ718" s="87"/>
      <c r="CR718" s="87"/>
      <c r="CS718" s="87"/>
      <c r="CT718" s="87"/>
      <c r="CU718" s="87"/>
      <c r="CV718" s="87"/>
      <c r="CW718" s="87"/>
      <c r="CX718" s="87"/>
      <c r="CY718" s="87"/>
      <c r="CZ718" s="87"/>
      <c r="DA718" s="87"/>
      <c r="DB718" s="87"/>
      <c r="DC718" s="87">
        <f>-1/7*C718</f>
        <v>-4</v>
      </c>
      <c r="DD718" s="87">
        <f>-6/7*C718</f>
        <v>-24</v>
      </c>
      <c r="DE718" s="87">
        <f>C718*(3/7)</f>
        <v>12</v>
      </c>
      <c r="DF718" s="87">
        <f>4/7*C718</f>
        <v>16</v>
      </c>
      <c r="DG718" s="87"/>
      <c r="DH718" s="87"/>
      <c r="DI718" s="87"/>
      <c r="DJ718" s="87"/>
      <c r="DK718" s="87"/>
      <c r="DL718" s="87"/>
      <c r="DM718" s="87"/>
      <c r="DN718" s="87"/>
      <c r="DO718" s="87"/>
      <c r="DP718" s="87"/>
      <c r="DQ718" s="87"/>
      <c r="DR718" s="87"/>
      <c r="DS718" s="87"/>
      <c r="DT718" s="87"/>
      <c r="DU718" s="87"/>
      <c r="DV718" s="87"/>
      <c r="DW718" s="87"/>
      <c r="DX718" s="87"/>
      <c r="DY718" s="87"/>
      <c r="DZ718" s="87"/>
      <c r="EA718" s="87"/>
      <c r="EB718" s="87"/>
      <c r="EC718" s="87"/>
      <c r="ED718" s="87"/>
      <c r="EE718" s="87"/>
      <c r="EF718" s="87"/>
      <c r="EG718" s="87"/>
      <c r="EH718" s="87"/>
      <c r="EI718" s="87"/>
    </row>
    <row r="719" spans="1:139" ht="43.5" hidden="1" thickBot="1" x14ac:dyDescent="0.35">
      <c r="A719" s="161" t="s">
        <v>212</v>
      </c>
      <c r="B719" s="199">
        <v>5</v>
      </c>
      <c r="C719" s="195">
        <f>166*0.3*0.25+(100*0.3*0.65)+(24*0.05*0.3)</f>
        <v>32.31</v>
      </c>
      <c r="D719" s="217">
        <f>C719/VLOOKUP(B719,'[2]Gas Prod per PADD'!$A$1:$C$6,2,FALSE)</f>
        <v>2.3933333333333334E-2</v>
      </c>
      <c r="E719" s="196">
        <v>45811</v>
      </c>
      <c r="F719" s="281">
        <f>E719+7</f>
        <v>45818</v>
      </c>
      <c r="G719" s="387" t="s">
        <v>1212</v>
      </c>
      <c r="H719" s="230" t="s">
        <v>1213</v>
      </c>
      <c r="I719" s="371" t="s">
        <v>1214</v>
      </c>
      <c r="J719" s="372"/>
      <c r="K719" s="372"/>
      <c r="L719" s="372"/>
      <c r="M719" s="372"/>
      <c r="N719" s="372"/>
      <c r="O719" s="372"/>
      <c r="P719" s="372"/>
      <c r="Q719" s="372"/>
      <c r="R719" s="372"/>
      <c r="S719" s="372"/>
      <c r="T719" s="85"/>
      <c r="U719" s="85">
        <f>C719*(E719-F719)/30</f>
        <v>-7.5390000000000006</v>
      </c>
      <c r="V719" s="84"/>
      <c r="W719" s="84"/>
      <c r="X719" s="84"/>
      <c r="Y719" s="105"/>
      <c r="Z719" s="105"/>
      <c r="AA719" s="87"/>
      <c r="AB719" s="87"/>
      <c r="AC719" s="87"/>
      <c r="AD719" s="87"/>
      <c r="AE719" s="105"/>
      <c r="AF719" s="105"/>
      <c r="AG719" s="105"/>
      <c r="AH719" s="105"/>
      <c r="AI719" s="87"/>
      <c r="AJ719" s="87"/>
      <c r="AK719" s="105"/>
      <c r="AL719" s="87"/>
      <c r="AM719" s="105"/>
      <c r="AN719" s="105"/>
      <c r="AO719" s="87"/>
      <c r="AP719" s="87"/>
      <c r="AQ719" s="105"/>
      <c r="AR719" s="105"/>
      <c r="AS719" s="87"/>
      <c r="AT719" s="105"/>
      <c r="AU719" s="105"/>
      <c r="AV719" s="87"/>
      <c r="AW719" s="105"/>
      <c r="AX719" s="105"/>
      <c r="AY719" s="87"/>
      <c r="AZ719" s="105"/>
      <c r="BA719" s="105"/>
      <c r="BB719" s="105"/>
      <c r="BC719" s="87"/>
      <c r="BD719" s="87"/>
      <c r="BE719" s="105"/>
      <c r="BF719" s="105"/>
      <c r="BG719" s="105"/>
      <c r="BH719" s="105"/>
      <c r="BI719" s="105"/>
      <c r="BJ719" s="87"/>
      <c r="BK719" s="87"/>
      <c r="BL719" s="87"/>
      <c r="BM719" s="87"/>
      <c r="BN719" s="87"/>
      <c r="BO719" s="87"/>
      <c r="BP719" s="87"/>
      <c r="BQ719" s="87"/>
      <c r="BR719" s="87"/>
      <c r="BS719" s="87"/>
      <c r="BT719" s="87"/>
      <c r="BU719" s="87"/>
      <c r="BV719" s="87"/>
      <c r="BW719" s="87"/>
      <c r="BX719" s="87"/>
      <c r="BY719" s="87"/>
      <c r="BZ719" s="87"/>
      <c r="CA719" s="87"/>
      <c r="CB719" s="87"/>
      <c r="CC719" s="87"/>
      <c r="CD719" s="87"/>
      <c r="CE719" s="87"/>
      <c r="CF719" s="87"/>
      <c r="CG719" s="87"/>
      <c r="CH719" s="87"/>
      <c r="CI719" s="87"/>
      <c r="CJ719" s="87"/>
      <c r="CK719" s="87"/>
      <c r="CL719" s="87"/>
      <c r="CM719" s="87"/>
      <c r="CN719" s="87"/>
      <c r="CO719" s="87"/>
      <c r="CP719" s="87"/>
      <c r="CQ719" s="87"/>
      <c r="CR719" s="87"/>
      <c r="CS719" s="87"/>
      <c r="CT719" s="87"/>
      <c r="CU719" s="87"/>
      <c r="CV719" s="87"/>
      <c r="CW719" s="87"/>
      <c r="CX719" s="87"/>
      <c r="CY719" s="87"/>
      <c r="CZ719" s="87"/>
      <c r="DA719" s="87"/>
      <c r="DB719" s="87"/>
      <c r="DC719" s="87"/>
      <c r="DD719" s="87">
        <f>-3/7*C719</f>
        <v>-13.847142857142858</v>
      </c>
      <c r="DE719" s="87"/>
      <c r="DF719" s="87">
        <f>-DD719</f>
        <v>13.847142857142858</v>
      </c>
      <c r="DG719" s="87"/>
      <c r="DH719" s="87"/>
      <c r="DI719" s="87"/>
      <c r="DJ719" s="87"/>
      <c r="DK719" s="87"/>
      <c r="DL719" s="87"/>
      <c r="DM719" s="87"/>
      <c r="DN719" s="87"/>
      <c r="DO719" s="87"/>
      <c r="DP719" s="87"/>
      <c r="DQ719" s="87"/>
      <c r="DR719" s="87"/>
      <c r="DS719" s="87"/>
      <c r="DT719" s="87"/>
      <c r="DU719" s="87"/>
      <c r="DV719" s="87"/>
      <c r="DW719" s="87"/>
      <c r="DX719" s="87"/>
      <c r="DY719" s="87"/>
      <c r="DZ719" s="87"/>
      <c r="EA719" s="87"/>
      <c r="EB719" s="87"/>
      <c r="EC719" s="87"/>
      <c r="ED719" s="87"/>
      <c r="EE719" s="87"/>
      <c r="EF719" s="87"/>
      <c r="EG719" s="87"/>
      <c r="EH719" s="87"/>
      <c r="EI719" s="87"/>
    </row>
    <row r="720" spans="1:139" ht="36.75" hidden="1" customHeight="1" thickBot="1" x14ac:dyDescent="0.35">
      <c r="A720" s="200" t="s">
        <v>314</v>
      </c>
      <c r="B720" s="223">
        <v>2</v>
      </c>
      <c r="C720" s="224">
        <f>38*0.25</f>
        <v>9.5</v>
      </c>
      <c r="D720" s="217">
        <f>C720/VLOOKUP(B720,'[2]Gas Prod per PADD'!$A$1:$C$6,2,FALSE)</f>
        <v>3.9583333333333337E-3</v>
      </c>
      <c r="E720" s="178">
        <v>45817</v>
      </c>
      <c r="F720" s="252">
        <v>45818</v>
      </c>
      <c r="G720" s="180" t="s">
        <v>1215</v>
      </c>
      <c r="H720" s="181" t="s">
        <v>1188</v>
      </c>
      <c r="I720" s="84"/>
      <c r="J720" s="85"/>
      <c r="K720" s="85"/>
      <c r="L720" s="85"/>
      <c r="M720" s="85"/>
      <c r="N720" s="85"/>
      <c r="O720" s="85"/>
      <c r="P720" s="85"/>
      <c r="Q720" s="85"/>
      <c r="R720" s="85"/>
      <c r="S720" s="85"/>
      <c r="T720" s="85"/>
      <c r="U720" s="85">
        <f>C720*(E720-F720)/30</f>
        <v>-0.31666666666666665</v>
      </c>
      <c r="V720" s="84"/>
      <c r="W720" s="84"/>
      <c r="X720" s="84"/>
      <c r="Y720" s="105"/>
      <c r="Z720" s="105"/>
      <c r="AA720" s="87"/>
      <c r="AB720" s="87"/>
      <c r="AC720" s="87"/>
      <c r="AD720" s="87"/>
      <c r="AE720" s="105"/>
      <c r="AF720" s="105"/>
      <c r="AG720" s="105"/>
      <c r="AH720" s="105"/>
      <c r="AI720" s="87"/>
      <c r="AJ720" s="87"/>
      <c r="AK720" s="105"/>
      <c r="AL720" s="87"/>
      <c r="AM720" s="105"/>
      <c r="AN720" s="105"/>
      <c r="AO720" s="87"/>
      <c r="AP720" s="87"/>
      <c r="AQ720" s="105"/>
      <c r="AR720" s="105"/>
      <c r="AS720" s="87"/>
      <c r="AT720" s="105"/>
      <c r="AU720" s="87"/>
      <c r="AV720" s="87"/>
      <c r="AW720" s="105"/>
      <c r="AX720" s="105"/>
      <c r="AY720" s="105"/>
      <c r="AZ720" s="105"/>
      <c r="BA720" s="87"/>
      <c r="BB720" s="87"/>
      <c r="BC720" s="87"/>
      <c r="BD720" s="87"/>
      <c r="BE720" s="87"/>
      <c r="BF720" s="87"/>
      <c r="BG720" s="105"/>
      <c r="BH720" s="105"/>
      <c r="BI720" s="105"/>
      <c r="BJ720" s="87"/>
      <c r="BK720" s="87"/>
      <c r="BL720" s="87"/>
      <c r="BM720" s="87"/>
      <c r="BN720" s="87"/>
      <c r="BO720" s="87"/>
      <c r="BP720" s="87"/>
      <c r="BQ720" s="87"/>
      <c r="BR720" s="87"/>
      <c r="BS720" s="87"/>
      <c r="BT720" s="87"/>
      <c r="BU720" s="87"/>
      <c r="BV720" s="87"/>
      <c r="BW720" s="87"/>
      <c r="BX720" s="87"/>
      <c r="BY720" s="87"/>
      <c r="BZ720" s="87"/>
      <c r="CA720" s="87"/>
      <c r="CB720" s="87"/>
      <c r="CC720" s="87"/>
      <c r="CD720" s="87"/>
      <c r="CE720" s="87"/>
      <c r="CF720" s="87"/>
      <c r="CG720" s="87"/>
      <c r="CH720" s="87"/>
      <c r="CI720" s="87"/>
      <c r="CJ720" s="87"/>
      <c r="CK720" s="87"/>
      <c r="CL720" s="87"/>
      <c r="CM720" s="87"/>
      <c r="CN720" s="87"/>
      <c r="CO720" s="87"/>
      <c r="CP720" s="87"/>
      <c r="CQ720" s="87"/>
      <c r="CR720" s="87"/>
      <c r="CS720" s="87"/>
      <c r="CT720" s="87"/>
      <c r="CU720" s="87"/>
      <c r="CV720" s="87"/>
      <c r="CW720" s="87"/>
      <c r="CX720" s="87"/>
      <c r="CY720" s="87"/>
      <c r="CZ720" s="87"/>
      <c r="DA720" s="87"/>
      <c r="DB720" s="87"/>
      <c r="DC720" s="87"/>
      <c r="DD720" s="87"/>
      <c r="DE720" s="87">
        <f>-1/7*C720</f>
        <v>-1.357142857142857</v>
      </c>
      <c r="DF720" s="87">
        <f>-DE720</f>
        <v>1.357142857142857</v>
      </c>
      <c r="DG720" s="87"/>
      <c r="DH720" s="87"/>
      <c r="DI720" s="87"/>
      <c r="DJ720" s="87"/>
      <c r="DK720" s="87"/>
      <c r="DL720" s="87"/>
      <c r="DM720" s="87"/>
      <c r="DN720" s="87"/>
      <c r="DO720" s="87"/>
      <c r="DP720" s="87"/>
      <c r="DQ720" s="87"/>
      <c r="DR720" s="87"/>
      <c r="DS720" s="87"/>
      <c r="DT720" s="87"/>
      <c r="DU720" s="87"/>
      <c r="DV720" s="87"/>
      <c r="DW720" s="87"/>
      <c r="DX720" s="87"/>
      <c r="DY720" s="87"/>
      <c r="DZ720" s="87"/>
      <c r="EA720" s="87"/>
      <c r="EB720" s="87"/>
      <c r="EC720" s="87"/>
      <c r="ED720" s="87"/>
      <c r="EE720" s="87"/>
      <c r="EF720" s="87"/>
      <c r="EG720" s="75"/>
      <c r="EH720" s="75"/>
      <c r="EI720" s="75"/>
    </row>
    <row r="721" spans="1:139" ht="36.75" hidden="1" customHeight="1" thickBot="1" x14ac:dyDescent="0.35">
      <c r="A721" s="222" t="s">
        <v>248</v>
      </c>
      <c r="B721" s="223">
        <v>3</v>
      </c>
      <c r="C721" s="177">
        <f>29.5*0.05</f>
        <v>1.4750000000000001</v>
      </c>
      <c r="D721" s="217">
        <f>C721/VLOOKUP(B721,'[2]Gas Prod per PADD'!$A$1:$C$6,2,FALSE)</f>
        <v>3.2065217391304352E-4</v>
      </c>
      <c r="E721" s="178">
        <v>45818</v>
      </c>
      <c r="F721" s="276">
        <v>45820</v>
      </c>
      <c r="G721" s="180" t="s">
        <v>1216</v>
      </c>
      <c r="H721" s="198" t="s">
        <v>1217</v>
      </c>
      <c r="I721" s="347"/>
      <c r="J721" s="348"/>
      <c r="K721" s="348"/>
      <c r="L721" s="348"/>
      <c r="M721" s="348"/>
      <c r="N721" s="348"/>
      <c r="O721" s="348"/>
      <c r="P721" s="348"/>
      <c r="Q721" s="348"/>
      <c r="R721" s="348"/>
      <c r="S721" s="348"/>
      <c r="T721" s="85"/>
      <c r="U721" s="85">
        <f>C721*(E721-F721)/30</f>
        <v>-9.8333333333333342E-2</v>
      </c>
      <c r="V721" s="84"/>
      <c r="W721" s="84"/>
      <c r="X721" s="84"/>
      <c r="Y721" s="105"/>
      <c r="Z721" s="105"/>
      <c r="AA721" s="87"/>
      <c r="AB721" s="87"/>
      <c r="AC721" s="87"/>
      <c r="AD721" s="87"/>
      <c r="AE721" s="105"/>
      <c r="AF721" s="105"/>
      <c r="AG721" s="105"/>
      <c r="AH721" s="105"/>
      <c r="AI721" s="87"/>
      <c r="AJ721" s="87"/>
      <c r="AK721" s="105"/>
      <c r="AL721" s="87"/>
      <c r="AM721" s="105"/>
      <c r="AN721" s="105"/>
      <c r="AO721" s="87"/>
      <c r="AP721" s="87"/>
      <c r="AQ721" s="105"/>
      <c r="AR721" s="105"/>
      <c r="AS721" s="87"/>
      <c r="AT721" s="105"/>
      <c r="AU721" s="105"/>
      <c r="AV721" s="87"/>
      <c r="AW721" s="105"/>
      <c r="AX721" s="105"/>
      <c r="AY721" s="87"/>
      <c r="AZ721" s="105"/>
      <c r="BA721" s="105"/>
      <c r="BB721" s="105"/>
      <c r="BC721" s="87"/>
      <c r="BD721" s="87"/>
      <c r="BE721" s="105"/>
      <c r="BF721" s="105"/>
      <c r="BG721" s="105"/>
      <c r="BH721" s="105"/>
      <c r="BI721" s="105"/>
      <c r="BJ721" s="87"/>
      <c r="BK721" s="87"/>
      <c r="BL721" s="87"/>
      <c r="BM721" s="87"/>
      <c r="BN721" s="87"/>
      <c r="BO721" s="87"/>
      <c r="BP721" s="87"/>
      <c r="BQ721" s="87"/>
      <c r="BR721" s="87"/>
      <c r="BS721" s="87"/>
      <c r="BT721" s="87"/>
      <c r="BU721" s="87"/>
      <c r="BV721" s="87"/>
      <c r="BW721" s="87"/>
      <c r="BX721" s="87"/>
      <c r="BY721" s="87"/>
      <c r="BZ721" s="87"/>
      <c r="CA721" s="87"/>
      <c r="CB721" s="87"/>
      <c r="CC721" s="87"/>
      <c r="CD721" s="87"/>
      <c r="CE721" s="87"/>
      <c r="CF721" s="87"/>
      <c r="CG721" s="87"/>
      <c r="CH721" s="87"/>
      <c r="CI721" s="87"/>
      <c r="CJ721" s="87"/>
      <c r="CK721" s="87"/>
      <c r="CL721" s="87"/>
      <c r="CM721" s="87"/>
      <c r="CN721" s="87"/>
      <c r="CO721" s="87"/>
      <c r="CP721" s="87"/>
      <c r="CQ721" s="87"/>
      <c r="CR721" s="87"/>
      <c r="CS721" s="87"/>
      <c r="CT721" s="87"/>
      <c r="CU721" s="87"/>
      <c r="CV721" s="87"/>
      <c r="CW721" s="87"/>
      <c r="CX721" s="87"/>
      <c r="CY721" s="87"/>
      <c r="CZ721" s="87"/>
      <c r="DA721" s="105"/>
      <c r="DB721" s="87"/>
      <c r="DC721" s="87"/>
      <c r="DD721" s="87"/>
      <c r="DE721" s="87">
        <f>-2/7*C721</f>
        <v>-0.42142857142857143</v>
      </c>
      <c r="DF721" s="87">
        <f>-DE721</f>
        <v>0.42142857142857143</v>
      </c>
      <c r="DG721" s="87"/>
      <c r="DH721" s="87"/>
      <c r="DI721" s="87"/>
      <c r="DJ721" s="87"/>
      <c r="DK721" s="87"/>
      <c r="DL721" s="87"/>
      <c r="DM721" s="87"/>
      <c r="DN721" s="87"/>
      <c r="DO721" s="87"/>
      <c r="DP721" s="87"/>
      <c r="DQ721" s="87"/>
      <c r="DR721" s="87"/>
      <c r="DS721" s="87"/>
      <c r="DT721" s="87"/>
      <c r="DU721" s="87"/>
      <c r="DV721" s="87"/>
      <c r="DW721" s="87"/>
      <c r="DX721" s="87"/>
      <c r="DY721" s="87"/>
      <c r="DZ721" s="87"/>
      <c r="EA721" s="87"/>
      <c r="EB721" s="87"/>
      <c r="EC721" s="87"/>
      <c r="ED721" s="87"/>
      <c r="EE721" s="87"/>
      <c r="EF721" s="87"/>
      <c r="EG721" s="87"/>
      <c r="EH721" s="87"/>
      <c r="EI721" s="87"/>
    </row>
    <row r="722" spans="1:139" ht="36.75" hidden="1" customHeight="1" thickBot="1" x14ac:dyDescent="0.35">
      <c r="A722" s="175" t="s">
        <v>377</v>
      </c>
      <c r="B722" s="191">
        <v>5</v>
      </c>
      <c r="C722" s="177">
        <f>55*0.25</f>
        <v>13.75</v>
      </c>
      <c r="D722" s="234">
        <f>C722/VLOOKUP(B722,'[2]Gas Prod per PADD'!$A$1:$C$6,2,FALSE)</f>
        <v>1.0185185185185186E-2</v>
      </c>
      <c r="E722" s="364">
        <v>45733</v>
      </c>
      <c r="F722" s="252">
        <v>45821</v>
      </c>
      <c r="G722" s="194" t="s">
        <v>1218</v>
      </c>
      <c r="H722" s="275" t="s">
        <v>1219</v>
      </c>
      <c r="I722" s="373" t="s">
        <v>1220</v>
      </c>
      <c r="J722" s="374"/>
      <c r="K722" s="374"/>
      <c r="L722" s="374"/>
      <c r="M722" s="374"/>
      <c r="N722" s="374"/>
      <c r="O722" s="374"/>
      <c r="P722" s="374"/>
      <c r="Q722" s="374"/>
      <c r="R722" s="85">
        <f>C722*(E722-$R$1)/31</f>
        <v>-6.209677419354839</v>
      </c>
      <c r="S722" s="374">
        <f>-C722</f>
        <v>-13.75</v>
      </c>
      <c r="T722" s="85">
        <f>-C722</f>
        <v>-13.75</v>
      </c>
      <c r="U722" s="85">
        <f>C722*($T$1-F722)/30</f>
        <v>-5.958333333333333</v>
      </c>
      <c r="V722" s="84"/>
      <c r="W722" s="84"/>
      <c r="X722" s="84" t="str">
        <f>IF(COUNTA(Y722:EI722)=0,"Missing","OK")</f>
        <v>OK</v>
      </c>
      <c r="Y722" s="105"/>
      <c r="Z722" s="105"/>
      <c r="AA722" s="87"/>
      <c r="AB722" s="87"/>
      <c r="AC722" s="87"/>
      <c r="AD722" s="87"/>
      <c r="AE722" s="105"/>
      <c r="AF722" s="105"/>
      <c r="AG722" s="105"/>
      <c r="AH722" s="105"/>
      <c r="AI722" s="87"/>
      <c r="AJ722" s="87"/>
      <c r="AK722" s="105"/>
      <c r="AL722" s="87"/>
      <c r="AM722" s="105"/>
      <c r="AN722" s="105"/>
      <c r="AO722" s="87"/>
      <c r="AP722" s="87"/>
      <c r="AQ722" s="105"/>
      <c r="AR722" s="105"/>
      <c r="AS722" s="87"/>
      <c r="AT722" s="105"/>
      <c r="AU722" s="105"/>
      <c r="AV722" s="87"/>
      <c r="AW722" s="105"/>
      <c r="AX722" s="105"/>
      <c r="AY722" s="87"/>
      <c r="AZ722" s="105"/>
      <c r="BA722" s="105"/>
      <c r="BB722" s="105"/>
      <c r="BC722" s="87"/>
      <c r="BD722" s="87"/>
      <c r="BE722" s="105"/>
      <c r="BF722" s="105"/>
      <c r="BG722" s="105"/>
      <c r="BH722" s="105"/>
      <c r="BI722" s="105"/>
      <c r="BJ722" s="87"/>
      <c r="BK722" s="87"/>
      <c r="BL722" s="87"/>
      <c r="BM722" s="87"/>
      <c r="BN722" s="87"/>
      <c r="BO722" s="87"/>
      <c r="BP722" s="87"/>
      <c r="BQ722" s="87"/>
      <c r="BR722" s="87"/>
      <c r="BS722" s="87"/>
      <c r="BT722" s="87"/>
      <c r="BU722" s="87"/>
      <c r="BV722" s="87"/>
      <c r="BW722" s="87"/>
      <c r="BX722" s="87"/>
      <c r="BY722" s="87"/>
      <c r="BZ722" s="87"/>
      <c r="CA722" s="87"/>
      <c r="CB722" s="87"/>
      <c r="CC722" s="87"/>
      <c r="CD722" s="87"/>
      <c r="CE722" s="87"/>
      <c r="CF722" s="87"/>
      <c r="CG722" s="87"/>
      <c r="CH722" s="87"/>
      <c r="CI722" s="87"/>
      <c r="CJ722" s="87"/>
      <c r="CK722" s="87"/>
      <c r="CL722" s="87"/>
      <c r="CM722" s="87"/>
      <c r="CN722" s="87"/>
      <c r="CO722" s="87"/>
      <c r="CP722" s="87"/>
      <c r="CQ722" s="87"/>
      <c r="CR722" s="87"/>
      <c r="CS722" s="105">
        <f>-C722*4/7</f>
        <v>-7.8571428571428568</v>
      </c>
      <c r="CT722" s="87">
        <f>-C722*3/7</f>
        <v>-5.8928571428571432</v>
      </c>
      <c r="CU722" s="87"/>
      <c r="CV722" s="87"/>
      <c r="CW722" s="87"/>
      <c r="CX722" s="105"/>
      <c r="CY722" s="105"/>
      <c r="CZ722" s="105"/>
      <c r="DA722" s="87"/>
      <c r="DB722" s="87"/>
      <c r="DC722" s="87"/>
      <c r="DD722" s="87"/>
      <c r="DE722" s="105">
        <f>C722</f>
        <v>13.75</v>
      </c>
      <c r="DF722" s="87"/>
      <c r="DG722" s="105"/>
      <c r="DH722" s="87"/>
      <c r="DI722" s="87"/>
      <c r="DJ722" s="87"/>
      <c r="DK722" s="87"/>
      <c r="DL722" s="87"/>
      <c r="DM722" s="87"/>
      <c r="DN722" s="87"/>
      <c r="DO722" s="87"/>
      <c r="DP722" s="87"/>
      <c r="DQ722" s="87"/>
      <c r="DR722" s="87"/>
      <c r="DS722" s="87"/>
      <c r="DT722" s="87"/>
      <c r="DU722" s="87"/>
      <c r="DV722" s="87"/>
      <c r="DW722" s="87"/>
      <c r="DX722" s="87"/>
      <c r="DY722" s="87"/>
      <c r="DZ722" s="87"/>
      <c r="EA722" s="87"/>
      <c r="EB722" s="87"/>
      <c r="EC722" s="87"/>
      <c r="ED722" s="87"/>
      <c r="EE722" s="87"/>
      <c r="EF722" s="87"/>
      <c r="EG722" s="87"/>
      <c r="EH722" s="87"/>
      <c r="EI722" s="87"/>
    </row>
    <row r="723" spans="1:139" ht="36.75" hidden="1" customHeight="1" thickBot="1" x14ac:dyDescent="0.35">
      <c r="A723" s="175" t="s">
        <v>377</v>
      </c>
      <c r="B723" s="191">
        <v>5</v>
      </c>
      <c r="C723" s="177">
        <f>20*0.25</f>
        <v>5</v>
      </c>
      <c r="D723" s="234">
        <f>C723/VLOOKUP(B723,'[2]Gas Prod per PADD'!$A$1:$C$6,2,FALSE)</f>
        <v>3.7037037037037038E-3</v>
      </c>
      <c r="E723" s="364">
        <v>45809</v>
      </c>
      <c r="F723" s="252">
        <v>45821</v>
      </c>
      <c r="G723" s="194" t="s">
        <v>1197</v>
      </c>
      <c r="H723" s="275" t="s">
        <v>1219</v>
      </c>
      <c r="I723" s="373"/>
      <c r="J723" s="374"/>
      <c r="K723" s="374"/>
      <c r="L723" s="374"/>
      <c r="M723" s="374"/>
      <c r="N723" s="374"/>
      <c r="O723" s="374"/>
      <c r="P723" s="374"/>
      <c r="Q723" s="374"/>
      <c r="R723" s="374"/>
      <c r="S723" s="374"/>
      <c r="T723" s="85"/>
      <c r="U723" s="85">
        <f>C723*(E723-F723)/30</f>
        <v>-2</v>
      </c>
      <c r="V723" s="84"/>
      <c r="W723" s="84"/>
      <c r="X723" s="84"/>
      <c r="Y723" s="105"/>
      <c r="Z723" s="105"/>
      <c r="AA723" s="87"/>
      <c r="AB723" s="87"/>
      <c r="AC723" s="87"/>
      <c r="AD723" s="87"/>
      <c r="AE723" s="105"/>
      <c r="AF723" s="105"/>
      <c r="AG723" s="105"/>
      <c r="AH723" s="105"/>
      <c r="AI723" s="87"/>
      <c r="AJ723" s="87"/>
      <c r="AK723" s="105"/>
      <c r="AL723" s="87"/>
      <c r="AM723" s="105"/>
      <c r="AN723" s="105"/>
      <c r="AO723" s="87"/>
      <c r="AP723" s="87"/>
      <c r="AQ723" s="105"/>
      <c r="AR723" s="105"/>
      <c r="AS723" s="87"/>
      <c r="AT723" s="105"/>
      <c r="AU723" s="105"/>
      <c r="AV723" s="87"/>
      <c r="AW723" s="105"/>
      <c r="AX723" s="105"/>
      <c r="AY723" s="87"/>
      <c r="AZ723" s="105"/>
      <c r="BA723" s="105"/>
      <c r="BB723" s="105"/>
      <c r="BC723" s="87"/>
      <c r="BD723" s="87"/>
      <c r="BE723" s="105"/>
      <c r="BF723" s="105"/>
      <c r="BG723" s="105"/>
      <c r="BH723" s="105"/>
      <c r="BI723" s="105"/>
      <c r="BJ723" s="87"/>
      <c r="BK723" s="87"/>
      <c r="BL723" s="87"/>
      <c r="BM723" s="87"/>
      <c r="BN723" s="87"/>
      <c r="BO723" s="87"/>
      <c r="BP723" s="87"/>
      <c r="BQ723" s="87"/>
      <c r="BR723" s="87"/>
      <c r="BS723" s="87"/>
      <c r="BT723" s="87"/>
      <c r="BU723" s="87"/>
      <c r="BV723" s="87"/>
      <c r="BW723" s="87"/>
      <c r="BX723" s="87"/>
      <c r="BY723" s="87"/>
      <c r="BZ723" s="87"/>
      <c r="CA723" s="87"/>
      <c r="CB723" s="87"/>
      <c r="CC723" s="87"/>
      <c r="CD723" s="87"/>
      <c r="CE723" s="87"/>
      <c r="CF723" s="87"/>
      <c r="CG723" s="87"/>
      <c r="CH723" s="87"/>
      <c r="CI723" s="87"/>
      <c r="CJ723" s="87"/>
      <c r="CK723" s="87"/>
      <c r="CL723" s="87"/>
      <c r="CM723" s="87"/>
      <c r="CN723" s="87"/>
      <c r="CO723" s="87"/>
      <c r="CP723" s="87"/>
      <c r="CQ723" s="87"/>
      <c r="CR723" s="87"/>
      <c r="CS723" s="105"/>
      <c r="CT723" s="87"/>
      <c r="CU723" s="87"/>
      <c r="CV723" s="87"/>
      <c r="CW723" s="87"/>
      <c r="CX723" s="105"/>
      <c r="CY723" s="105"/>
      <c r="CZ723" s="105"/>
      <c r="DA723" s="87"/>
      <c r="DB723" s="87"/>
      <c r="DC723" s="87"/>
      <c r="DD723" s="87"/>
      <c r="DE723" s="105">
        <f>C723</f>
        <v>5</v>
      </c>
      <c r="DF723" s="87"/>
      <c r="DG723" s="105"/>
      <c r="DH723" s="87"/>
      <c r="DI723" s="87"/>
      <c r="DJ723" s="87"/>
      <c r="DK723" s="87"/>
      <c r="DL723" s="87"/>
      <c r="DM723" s="87"/>
      <c r="DN723" s="87"/>
      <c r="DO723" s="87"/>
      <c r="DP723" s="87"/>
      <c r="DQ723" s="87"/>
      <c r="DR723" s="87"/>
      <c r="DS723" s="87"/>
      <c r="DT723" s="87"/>
      <c r="DU723" s="87"/>
      <c r="DV723" s="87"/>
      <c r="DW723" s="87"/>
      <c r="DX723" s="87"/>
      <c r="DY723" s="87"/>
      <c r="DZ723" s="87"/>
      <c r="EA723" s="87"/>
      <c r="EB723" s="87"/>
      <c r="EC723" s="87"/>
      <c r="ED723" s="87"/>
      <c r="EE723" s="87"/>
      <c r="EF723" s="87"/>
      <c r="EG723" s="87"/>
      <c r="EH723" s="87"/>
      <c r="EI723" s="87"/>
    </row>
    <row r="724" spans="1:139" ht="16.5" hidden="1" thickBot="1" x14ac:dyDescent="0.35">
      <c r="A724" s="200" t="s">
        <v>251</v>
      </c>
      <c r="B724" s="223">
        <v>5</v>
      </c>
      <c r="C724" s="224">
        <f>25*0.25</f>
        <v>6.25</v>
      </c>
      <c r="D724" s="217">
        <f>C724/VLOOKUP(B724,'[2]Gas Prod per PADD'!$A$1:$C$6,2,FALSE)</f>
        <v>4.6296296296296294E-3</v>
      </c>
      <c r="E724" s="228">
        <v>45811</v>
      </c>
      <c r="F724" s="276">
        <v>45821</v>
      </c>
      <c r="G724" s="180" t="s">
        <v>643</v>
      </c>
      <c r="H724" s="221" t="s">
        <v>640</v>
      </c>
      <c r="I724" s="84"/>
      <c r="J724" s="85"/>
      <c r="K724" s="85"/>
      <c r="L724" s="85"/>
      <c r="M724" s="85"/>
      <c r="N724" s="85"/>
      <c r="O724" s="85"/>
      <c r="P724" s="85"/>
      <c r="Q724" s="85"/>
      <c r="R724" s="85"/>
      <c r="S724" s="85"/>
      <c r="T724" s="85"/>
      <c r="U724" s="85">
        <f>C724*(E724-F724)/30</f>
        <v>-2.0833333333333335</v>
      </c>
      <c r="V724" s="84"/>
      <c r="W724" s="84"/>
      <c r="X724" s="84"/>
      <c r="Y724" s="105"/>
      <c r="Z724" s="105"/>
      <c r="AA724" s="87"/>
      <c r="AB724" s="87"/>
      <c r="AC724" s="87"/>
      <c r="AD724" s="87"/>
      <c r="AE724" s="105"/>
      <c r="AF724" s="105"/>
      <c r="AG724" s="105"/>
      <c r="AH724" s="105"/>
      <c r="AI724" s="87"/>
      <c r="AJ724" s="87"/>
      <c r="AK724" s="105"/>
      <c r="AL724" s="87"/>
      <c r="AM724" s="105"/>
      <c r="AN724" s="105"/>
      <c r="AO724" s="87"/>
      <c r="AP724" s="87"/>
      <c r="AQ724" s="105"/>
      <c r="AR724" s="105"/>
      <c r="AS724" s="87"/>
      <c r="AT724" s="105"/>
      <c r="AU724" s="87"/>
      <c r="AV724" s="105"/>
      <c r="AW724" s="105"/>
      <c r="AX724" s="105"/>
      <c r="AY724" s="87"/>
      <c r="AZ724" s="105"/>
      <c r="BA724" s="105"/>
      <c r="BB724" s="105"/>
      <c r="BC724" s="105"/>
      <c r="BD724" s="105"/>
      <c r="BE724" s="105"/>
      <c r="BF724" s="87"/>
      <c r="BG724" s="87"/>
      <c r="BH724" s="87"/>
      <c r="BI724" s="87"/>
      <c r="BJ724" s="87"/>
      <c r="BK724" s="87"/>
      <c r="BL724" s="87"/>
      <c r="BM724" s="87"/>
      <c r="BN724" s="87"/>
      <c r="BO724" s="87"/>
      <c r="BP724" s="87"/>
      <c r="BQ724" s="87"/>
      <c r="BR724" s="87"/>
      <c r="BS724" s="87"/>
      <c r="BT724" s="87"/>
      <c r="BU724" s="87"/>
      <c r="BV724" s="87"/>
      <c r="BW724" s="87"/>
      <c r="BX724" s="87"/>
      <c r="BY724" s="87"/>
      <c r="BZ724" s="87"/>
      <c r="CA724" s="87"/>
      <c r="CB724" s="87"/>
      <c r="CC724" s="87"/>
      <c r="CD724" s="87"/>
      <c r="CE724" s="87"/>
      <c r="CF724" s="87"/>
      <c r="CG724" s="87"/>
      <c r="CH724" s="87"/>
      <c r="CI724" s="87"/>
      <c r="CJ724" s="87"/>
      <c r="CK724" s="87"/>
      <c r="CL724" s="87"/>
      <c r="CM724" s="87"/>
      <c r="CN724" s="87"/>
      <c r="CO724" s="87"/>
      <c r="CP724" s="87"/>
      <c r="CQ724" s="87"/>
      <c r="CR724" s="87"/>
      <c r="CS724" s="87"/>
      <c r="CT724" s="87"/>
      <c r="CU724" s="87"/>
      <c r="CV724" s="87"/>
      <c r="CW724" s="87"/>
      <c r="CX724" s="87"/>
      <c r="CY724" s="87"/>
      <c r="CZ724" s="87"/>
      <c r="DA724" s="87"/>
      <c r="DB724" s="87"/>
      <c r="DC724" s="87"/>
      <c r="DD724" s="87">
        <f>-3/7*C724</f>
        <v>-2.6785714285714284</v>
      </c>
      <c r="DE724" s="105"/>
      <c r="DF724" s="105">
        <f>-DD724</f>
        <v>2.6785714285714284</v>
      </c>
      <c r="DG724" s="87"/>
      <c r="DH724" s="87"/>
      <c r="DI724" s="87"/>
      <c r="DJ724" s="87"/>
      <c r="DK724" s="87"/>
      <c r="DL724" s="87"/>
      <c r="DM724" s="87"/>
      <c r="DN724" s="87"/>
      <c r="DO724" s="87"/>
      <c r="DP724" s="87"/>
      <c r="DQ724" s="87"/>
      <c r="DR724" s="87"/>
      <c r="DS724" s="87"/>
      <c r="DT724" s="87"/>
      <c r="DU724" s="87"/>
      <c r="DV724" s="87"/>
      <c r="DW724" s="87"/>
      <c r="DX724" s="87"/>
      <c r="DY724" s="87"/>
      <c r="DZ724" s="87"/>
      <c r="EA724" s="87"/>
      <c r="EB724" s="87"/>
      <c r="EC724" s="87"/>
      <c r="ED724" s="87"/>
      <c r="EE724" s="87"/>
      <c r="EF724" s="87"/>
      <c r="EG724" s="87"/>
      <c r="EH724" s="87"/>
      <c r="EI724" s="87"/>
    </row>
    <row r="725" spans="1:139" ht="29.25" hidden="1" thickBot="1" x14ac:dyDescent="0.35">
      <c r="A725" s="222" t="s">
        <v>243</v>
      </c>
      <c r="B725" s="191">
        <v>3</v>
      </c>
      <c r="C725" s="195">
        <f>40*0.25+20*0.85</f>
        <v>27</v>
      </c>
      <c r="D725" s="234">
        <f>C725/VLOOKUP(B725,'[2]Gas Prod per PADD'!$A$1:$C$6,2,FALSE)</f>
        <v>5.8695652173913039E-3</v>
      </c>
      <c r="E725" s="220">
        <v>45816</v>
      </c>
      <c r="F725" s="252">
        <v>45821</v>
      </c>
      <c r="G725" s="180" t="s">
        <v>1221</v>
      </c>
      <c r="H725" s="230" t="s">
        <v>364</v>
      </c>
      <c r="I725" s="373"/>
      <c r="J725" s="374"/>
      <c r="K725" s="374"/>
      <c r="L725" s="374"/>
      <c r="M725" s="374"/>
      <c r="N725" s="374"/>
      <c r="O725" s="374"/>
      <c r="P725" s="374"/>
      <c r="Q725" s="374"/>
      <c r="R725" s="374"/>
      <c r="S725" s="374"/>
      <c r="T725" s="85"/>
      <c r="U725" s="85">
        <f>C725*(E725-F725)/30</f>
        <v>-4.5</v>
      </c>
      <c r="V725" s="84"/>
      <c r="W725" s="84"/>
      <c r="X725" s="84"/>
      <c r="Y725" s="105"/>
      <c r="Z725" s="105"/>
      <c r="AA725" s="87"/>
      <c r="AB725" s="87"/>
      <c r="AC725" s="87"/>
      <c r="AD725" s="87"/>
      <c r="AE725" s="105"/>
      <c r="AF725" s="105"/>
      <c r="AG725" s="105"/>
      <c r="AH725" s="105"/>
      <c r="AI725" s="87"/>
      <c r="AJ725" s="87"/>
      <c r="AK725" s="105"/>
      <c r="AL725" s="87"/>
      <c r="AM725" s="105"/>
      <c r="AN725" s="105"/>
      <c r="AO725" s="87"/>
      <c r="AP725" s="87"/>
      <c r="AQ725" s="105"/>
      <c r="AR725" s="105"/>
      <c r="AS725" s="87"/>
      <c r="AT725" s="105"/>
      <c r="AU725" s="105"/>
      <c r="AV725" s="87"/>
      <c r="AW725" s="105"/>
      <c r="AX725" s="105"/>
      <c r="AY725" s="87"/>
      <c r="AZ725" s="105"/>
      <c r="BA725" s="105"/>
      <c r="BB725" s="105"/>
      <c r="BC725" s="87"/>
      <c r="BD725" s="87"/>
      <c r="BE725" s="105"/>
      <c r="BF725" s="105"/>
      <c r="BG725" s="105"/>
      <c r="BH725" s="105"/>
      <c r="BI725" s="105"/>
      <c r="BJ725" s="87"/>
      <c r="BK725" s="87"/>
      <c r="BL725" s="87"/>
      <c r="BM725" s="87"/>
      <c r="BN725" s="87"/>
      <c r="BO725" s="87"/>
      <c r="BP725" s="87"/>
      <c r="BQ725" s="87"/>
      <c r="BR725" s="87"/>
      <c r="BS725" s="87"/>
      <c r="BT725" s="87"/>
      <c r="BU725" s="87"/>
      <c r="BV725" s="87"/>
      <c r="BW725" s="87"/>
      <c r="BX725" s="87"/>
      <c r="BY725" s="87"/>
      <c r="BZ725" s="87"/>
      <c r="CA725" s="87"/>
      <c r="CB725" s="87"/>
      <c r="CC725" s="87"/>
      <c r="CD725" s="87"/>
      <c r="CE725" s="87"/>
      <c r="CF725" s="87"/>
      <c r="CG725" s="87"/>
      <c r="CH725" s="87"/>
      <c r="CI725" s="87"/>
      <c r="CJ725" s="87"/>
      <c r="CK725" s="87"/>
      <c r="CL725" s="87"/>
      <c r="CM725" s="87"/>
      <c r="CN725" s="87"/>
      <c r="CO725" s="87"/>
      <c r="CP725" s="87"/>
      <c r="CQ725" s="87"/>
      <c r="CR725" s="87"/>
      <c r="CS725" s="87"/>
      <c r="CT725" s="87"/>
      <c r="CU725" s="87"/>
      <c r="CV725" s="87"/>
      <c r="CW725" s="87"/>
      <c r="CX725" s="87"/>
      <c r="CY725" s="87"/>
      <c r="CZ725" s="87"/>
      <c r="DA725" s="87"/>
      <c r="DB725" s="87"/>
      <c r="DC725" s="87"/>
      <c r="DD725" s="87"/>
      <c r="DE725" s="87">
        <f>-5/7*C725</f>
        <v>-19.285714285714285</v>
      </c>
      <c r="DF725" s="105">
        <f>-DE725</f>
        <v>19.285714285714285</v>
      </c>
      <c r="DG725" s="87"/>
      <c r="DH725" s="87"/>
      <c r="DI725" s="105"/>
      <c r="DJ725" s="87"/>
      <c r="DK725" s="87"/>
      <c r="DL725" s="87"/>
      <c r="DM725" s="87"/>
      <c r="DN725" s="87"/>
      <c r="DO725" s="87"/>
      <c r="DP725" s="87"/>
      <c r="DQ725" s="87"/>
      <c r="DR725" s="87"/>
      <c r="DS725" s="105"/>
      <c r="DT725" s="87"/>
      <c r="DU725" s="87"/>
      <c r="DV725" s="87"/>
      <c r="DW725" s="87"/>
      <c r="DX725" s="87"/>
      <c r="DY725" s="87"/>
      <c r="DZ725" s="105"/>
      <c r="EA725" s="87"/>
      <c r="EB725" s="105"/>
      <c r="EC725" s="87"/>
      <c r="ED725" s="87"/>
      <c r="EE725" s="87"/>
      <c r="EF725" s="87"/>
      <c r="EG725" s="87"/>
      <c r="EH725" s="87"/>
      <c r="EI725" s="87"/>
    </row>
    <row r="726" spans="1:139" ht="29.25" hidden="1" thickBot="1" x14ac:dyDescent="0.35">
      <c r="A726" s="352" t="s">
        <v>231</v>
      </c>
      <c r="B726" s="223">
        <v>2</v>
      </c>
      <c r="C726" s="224">
        <f>45*0.25+30*0.65</f>
        <v>30.75</v>
      </c>
      <c r="D726" s="217">
        <f>C726/VLOOKUP(B726,'[2]Gas Prod per PADD'!$A$1:$C$6,2,FALSE)</f>
        <v>1.2812499999999999E-2</v>
      </c>
      <c r="E726" s="225">
        <v>45820</v>
      </c>
      <c r="F726" s="276">
        <v>45822</v>
      </c>
      <c r="G726" s="180" t="s">
        <v>1222</v>
      </c>
      <c r="H726" s="221" t="s">
        <v>1223</v>
      </c>
      <c r="I726" s="373"/>
      <c r="J726" s="374"/>
      <c r="K726" s="374"/>
      <c r="L726" s="374"/>
      <c r="M726" s="374"/>
      <c r="N726" s="374"/>
      <c r="O726" s="374"/>
      <c r="P726" s="374"/>
      <c r="Q726" s="374"/>
      <c r="R726" s="374"/>
      <c r="S726" s="374"/>
      <c r="T726" s="85"/>
      <c r="U726" s="85">
        <f>C726*(E726-F726)/30</f>
        <v>-2.0499999999999998</v>
      </c>
      <c r="V726" s="84"/>
      <c r="W726" s="84"/>
      <c r="X726" s="84"/>
      <c r="Y726" s="105"/>
      <c r="Z726" s="105"/>
      <c r="AA726" s="87"/>
      <c r="AB726" s="87"/>
      <c r="AC726" s="87"/>
      <c r="AD726" s="87"/>
      <c r="AE726" s="105"/>
      <c r="AF726" s="105"/>
      <c r="AG726" s="105"/>
      <c r="AH726" s="105"/>
      <c r="AI726" s="87"/>
      <c r="AJ726" s="87"/>
      <c r="AK726" s="105"/>
      <c r="AL726" s="87"/>
      <c r="AM726" s="105"/>
      <c r="AN726" s="105"/>
      <c r="AO726" s="87"/>
      <c r="AP726" s="87"/>
      <c r="AQ726" s="105"/>
      <c r="AR726" s="105"/>
      <c r="AS726" s="87"/>
      <c r="AT726" s="105"/>
      <c r="AU726" s="105"/>
      <c r="AV726" s="87"/>
      <c r="AW726" s="105"/>
      <c r="AX726" s="105"/>
      <c r="AY726" s="87"/>
      <c r="AZ726" s="105"/>
      <c r="BA726" s="105"/>
      <c r="BB726" s="105"/>
      <c r="BC726" s="87"/>
      <c r="BD726" s="87"/>
      <c r="BE726" s="105"/>
      <c r="BF726" s="105"/>
      <c r="BG726" s="105"/>
      <c r="BH726" s="105"/>
      <c r="BI726" s="105"/>
      <c r="BJ726" s="87"/>
      <c r="BK726" s="87"/>
      <c r="BL726" s="87"/>
      <c r="BM726" s="87"/>
      <c r="BN726" s="87"/>
      <c r="BO726" s="87"/>
      <c r="BP726" s="87"/>
      <c r="BQ726" s="87"/>
      <c r="BR726" s="87"/>
      <c r="BS726" s="87"/>
      <c r="BT726" s="87"/>
      <c r="BU726" s="87"/>
      <c r="BV726" s="87"/>
      <c r="BW726" s="87"/>
      <c r="BX726" s="87"/>
      <c r="BY726" s="87"/>
      <c r="BZ726" s="87"/>
      <c r="CA726" s="87"/>
      <c r="CB726" s="87"/>
      <c r="CC726" s="87"/>
      <c r="CD726" s="87"/>
      <c r="CE726" s="87"/>
      <c r="CF726" s="87"/>
      <c r="CG726" s="87"/>
      <c r="CH726" s="87"/>
      <c r="CI726" s="87"/>
      <c r="CJ726" s="87"/>
      <c r="CK726" s="87"/>
      <c r="CL726" s="87"/>
      <c r="CM726" s="87"/>
      <c r="CN726" s="87"/>
      <c r="CO726" s="87"/>
      <c r="CP726" s="87"/>
      <c r="CQ726" s="87"/>
      <c r="CR726" s="87"/>
      <c r="CS726" s="105"/>
      <c r="CT726" s="87"/>
      <c r="CU726" s="87"/>
      <c r="CV726" s="87"/>
      <c r="CW726" s="87"/>
      <c r="CX726" s="87"/>
      <c r="CY726" s="87"/>
      <c r="CZ726" s="87"/>
      <c r="DA726" s="87"/>
      <c r="DB726" s="87"/>
      <c r="DC726" s="87"/>
      <c r="DD726" s="105"/>
      <c r="DE726" s="87">
        <f>-2/7*C726</f>
        <v>-8.7857142857142847</v>
      </c>
      <c r="DF726" s="87">
        <f>-DE726</f>
        <v>8.7857142857142847</v>
      </c>
      <c r="DG726" s="87"/>
      <c r="DH726" s="87"/>
      <c r="DI726" s="87"/>
      <c r="DJ726" s="87"/>
      <c r="DK726" s="87"/>
      <c r="DL726" s="87"/>
      <c r="DM726" s="87"/>
      <c r="DN726" s="87"/>
      <c r="DO726" s="87"/>
      <c r="DP726" s="87"/>
      <c r="DQ726" s="87"/>
      <c r="DR726" s="87"/>
      <c r="DS726" s="87"/>
      <c r="DT726" s="87"/>
      <c r="DU726" s="87"/>
      <c r="DV726" s="87"/>
      <c r="DW726" s="87"/>
      <c r="DX726" s="87"/>
      <c r="DY726" s="87"/>
      <c r="DZ726" s="87"/>
      <c r="EA726" s="87"/>
      <c r="EB726" s="87"/>
      <c r="EC726" s="87"/>
      <c r="ED726" s="87"/>
      <c r="EE726" s="87"/>
      <c r="EF726" s="87"/>
      <c r="EG726" s="87"/>
      <c r="EH726" s="87"/>
      <c r="EI726" s="87"/>
    </row>
    <row r="727" spans="1:139" ht="16.5" hidden="1" thickBot="1" x14ac:dyDescent="0.35">
      <c r="A727" s="352" t="s">
        <v>127</v>
      </c>
      <c r="B727" s="223">
        <v>3</v>
      </c>
      <c r="C727" s="224">
        <f>39.6*0.85</f>
        <v>33.660000000000004</v>
      </c>
      <c r="D727" s="217">
        <f>C727/VLOOKUP(B727,'[2]Gas Prod per PADD'!$A$1:$C$6,2,FALSE)</f>
        <v>7.3173913043478268E-3</v>
      </c>
      <c r="E727" s="225">
        <v>45821</v>
      </c>
      <c r="F727" s="276">
        <v>45822</v>
      </c>
      <c r="G727" s="180" t="s">
        <v>1224</v>
      </c>
      <c r="H727" s="221" t="s">
        <v>364</v>
      </c>
      <c r="I727" s="373"/>
      <c r="J727" s="374"/>
      <c r="K727" s="374"/>
      <c r="L727" s="374"/>
      <c r="M727" s="374"/>
      <c r="N727" s="374"/>
      <c r="O727" s="374"/>
      <c r="P727" s="374"/>
      <c r="Q727" s="374"/>
      <c r="R727" s="374"/>
      <c r="S727" s="374"/>
      <c r="T727" s="85"/>
      <c r="U727" s="85">
        <f>C727*(E727-F727)/30</f>
        <v>-1.1220000000000001</v>
      </c>
      <c r="V727" s="84"/>
      <c r="W727" s="84"/>
      <c r="X727" s="84"/>
      <c r="Y727" s="105"/>
      <c r="Z727" s="105"/>
      <c r="AA727" s="87"/>
      <c r="AB727" s="87"/>
      <c r="AC727" s="87"/>
      <c r="AD727" s="87"/>
      <c r="AE727" s="105"/>
      <c r="AF727" s="105"/>
      <c r="AG727" s="105"/>
      <c r="AH727" s="105"/>
      <c r="AI727" s="87"/>
      <c r="AJ727" s="87"/>
      <c r="AK727" s="105"/>
      <c r="AL727" s="87"/>
      <c r="AM727" s="105"/>
      <c r="AN727" s="105"/>
      <c r="AO727" s="87"/>
      <c r="AP727" s="87"/>
      <c r="AQ727" s="105"/>
      <c r="AR727" s="105"/>
      <c r="AS727" s="87"/>
      <c r="AT727" s="105"/>
      <c r="AU727" s="105"/>
      <c r="AV727" s="87"/>
      <c r="AW727" s="105"/>
      <c r="AX727" s="105"/>
      <c r="AY727" s="87"/>
      <c r="AZ727" s="105"/>
      <c r="BA727" s="105"/>
      <c r="BB727" s="105"/>
      <c r="BC727" s="87"/>
      <c r="BD727" s="87"/>
      <c r="BE727" s="105"/>
      <c r="BF727" s="105"/>
      <c r="BG727" s="105"/>
      <c r="BH727" s="105"/>
      <c r="BI727" s="105"/>
      <c r="BJ727" s="87"/>
      <c r="BK727" s="87"/>
      <c r="BL727" s="87"/>
      <c r="BM727" s="87"/>
      <c r="BN727" s="87"/>
      <c r="BO727" s="87"/>
      <c r="BP727" s="87"/>
      <c r="BQ727" s="87"/>
      <c r="BR727" s="87"/>
      <c r="BS727" s="87"/>
      <c r="BT727" s="87"/>
      <c r="BU727" s="87"/>
      <c r="BV727" s="87"/>
      <c r="BW727" s="87"/>
      <c r="BX727" s="87"/>
      <c r="BY727" s="87"/>
      <c r="BZ727" s="87"/>
      <c r="CA727" s="87"/>
      <c r="CB727" s="87"/>
      <c r="CC727" s="87"/>
      <c r="CD727" s="87"/>
      <c r="CE727" s="87"/>
      <c r="CF727" s="87"/>
      <c r="CG727" s="87"/>
      <c r="CH727" s="87"/>
      <c r="CI727" s="87"/>
      <c r="CJ727" s="87"/>
      <c r="CK727" s="87"/>
      <c r="CL727" s="87"/>
      <c r="CM727" s="87"/>
      <c r="CN727" s="87"/>
      <c r="CO727" s="87"/>
      <c r="CP727" s="87"/>
      <c r="CQ727" s="87"/>
      <c r="CR727" s="87"/>
      <c r="CS727" s="105"/>
      <c r="CT727" s="87"/>
      <c r="CU727" s="87"/>
      <c r="CV727" s="87"/>
      <c r="CW727" s="87"/>
      <c r="CX727" s="87"/>
      <c r="CY727" s="87"/>
      <c r="CZ727" s="87"/>
      <c r="DA727" s="87"/>
      <c r="DB727" s="87"/>
      <c r="DC727" s="87"/>
      <c r="DD727" s="105"/>
      <c r="DE727" s="87">
        <f>-1/7*C727</f>
        <v>-4.8085714285714287</v>
      </c>
      <c r="DF727" s="87">
        <f>-DE727</f>
        <v>4.8085714285714287</v>
      </c>
      <c r="DG727" s="87"/>
      <c r="DH727" s="87"/>
      <c r="DI727" s="87"/>
      <c r="DJ727" s="87"/>
      <c r="DK727" s="87"/>
      <c r="DL727" s="87"/>
      <c r="DM727" s="87"/>
      <c r="DN727" s="87"/>
      <c r="DO727" s="87"/>
      <c r="DP727" s="87"/>
      <c r="DQ727" s="87"/>
      <c r="DR727" s="87"/>
      <c r="DS727" s="87"/>
      <c r="DT727" s="87"/>
      <c r="DU727" s="87"/>
      <c r="DV727" s="87"/>
      <c r="DW727" s="87"/>
      <c r="DX727" s="87"/>
      <c r="DY727" s="87"/>
      <c r="DZ727" s="87"/>
      <c r="EA727" s="87"/>
      <c r="EB727" s="87"/>
      <c r="EC727" s="87"/>
      <c r="ED727" s="87"/>
      <c r="EE727" s="87"/>
      <c r="EF727" s="87"/>
      <c r="EG727" s="87"/>
      <c r="EH727" s="87"/>
      <c r="EI727" s="87"/>
    </row>
    <row r="728" spans="1:139" ht="29.25" hidden="1" thickBot="1" x14ac:dyDescent="0.35">
      <c r="A728" s="352" t="s">
        <v>223</v>
      </c>
      <c r="B728" s="223">
        <v>2</v>
      </c>
      <c r="C728" s="224">
        <f>30*0.65+12*0.05</f>
        <v>20.100000000000001</v>
      </c>
      <c r="D728" s="217">
        <f>C728/VLOOKUP(B728,'[2]Gas Prod per PADD'!$A$1:$C$6,2,FALSE)</f>
        <v>8.3750000000000005E-3</v>
      </c>
      <c r="E728" s="225">
        <v>45765</v>
      </c>
      <c r="F728" s="276">
        <v>45823</v>
      </c>
      <c r="G728" s="180" t="s">
        <v>1225</v>
      </c>
      <c r="H728" s="221" t="s">
        <v>1226</v>
      </c>
      <c r="I728" s="84"/>
      <c r="J728" s="85"/>
      <c r="K728" s="85"/>
      <c r="L728" s="85"/>
      <c r="M728" s="85"/>
      <c r="N728" s="85"/>
      <c r="O728" s="85"/>
      <c r="P728" s="85"/>
      <c r="Q728" s="85"/>
      <c r="R728" s="85"/>
      <c r="S728" s="85">
        <f>C728*(E728-$S$1)/30</f>
        <v>-8.0400000000000009</v>
      </c>
      <c r="T728" s="85">
        <f>-C728</f>
        <v>-20.100000000000001</v>
      </c>
      <c r="U728" s="85">
        <f>C728*($T$1-F728)/30</f>
        <v>-10.050000000000001</v>
      </c>
      <c r="V728" s="84"/>
      <c r="W728" s="84"/>
      <c r="X728" s="84" t="str">
        <f>IF(COUNTA(Y728:EI728)=0,"Missing","OK")</f>
        <v>OK</v>
      </c>
      <c r="Y728" s="105"/>
      <c r="Z728" s="105"/>
      <c r="AA728" s="87"/>
      <c r="AB728" s="87"/>
      <c r="AC728" s="87"/>
      <c r="AD728" s="87"/>
      <c r="AE728" s="105"/>
      <c r="AF728" s="105"/>
      <c r="AG728" s="105"/>
      <c r="AH728" s="105"/>
      <c r="AI728" s="87"/>
      <c r="AJ728" s="87"/>
      <c r="AK728" s="105"/>
      <c r="AL728" s="87"/>
      <c r="AM728" s="105"/>
      <c r="AN728" s="105"/>
      <c r="AO728" s="87"/>
      <c r="AP728" s="87"/>
      <c r="AQ728" s="105"/>
      <c r="AR728" s="105"/>
      <c r="AS728" s="87"/>
      <c r="AT728" s="105"/>
      <c r="AU728" s="87"/>
      <c r="AV728" s="87"/>
      <c r="AW728" s="105"/>
      <c r="AX728" s="105"/>
      <c r="AY728" s="105">
        <f>-5/7*C728</f>
        <v>-14.357142857142858</v>
      </c>
      <c r="AZ728" s="105">
        <f>-C728-AY728</f>
        <v>-5.7428571428571438</v>
      </c>
      <c r="BA728" s="105">
        <f>-AZ728</f>
        <v>5.7428571428571438</v>
      </c>
      <c r="BB728" s="105">
        <f>-AY728</f>
        <v>14.357142857142858</v>
      </c>
      <c r="BC728" s="105"/>
      <c r="BD728" s="87"/>
      <c r="BE728" s="87"/>
      <c r="BF728" s="87"/>
      <c r="BG728" s="87"/>
      <c r="BH728" s="87"/>
      <c r="BI728" s="87"/>
      <c r="BJ728" s="87"/>
      <c r="BK728" s="87"/>
      <c r="BL728" s="87"/>
      <c r="BM728" s="87"/>
      <c r="BN728" s="87"/>
      <c r="BO728" s="87"/>
      <c r="BP728" s="87"/>
      <c r="BQ728" s="87"/>
      <c r="BR728" s="87"/>
      <c r="BS728" s="87"/>
      <c r="BT728" s="87"/>
      <c r="BU728" s="87"/>
      <c r="BV728" s="87"/>
      <c r="BW728" s="87"/>
      <c r="BX728" s="87"/>
      <c r="BY728" s="87"/>
      <c r="BZ728" s="87"/>
      <c r="CA728" s="87"/>
      <c r="CB728" s="87"/>
      <c r="CC728" s="87"/>
      <c r="CD728" s="87"/>
      <c r="CE728" s="87"/>
      <c r="CF728" s="87"/>
      <c r="CG728" s="87"/>
      <c r="CH728" s="87"/>
      <c r="CI728" s="87"/>
      <c r="CJ728" s="87"/>
      <c r="CK728" s="87"/>
      <c r="CL728" s="87"/>
      <c r="CM728" s="87"/>
      <c r="CN728" s="87"/>
      <c r="CO728" s="87"/>
      <c r="CP728" s="87"/>
      <c r="CQ728" s="87"/>
      <c r="CR728" s="87"/>
      <c r="CS728" s="87"/>
      <c r="CT728" s="87"/>
      <c r="CU728" s="87"/>
      <c r="CV728" s="87"/>
      <c r="CW728" s="87">
        <f>-C728*1/7</f>
        <v>-2.8714285714285714</v>
      </c>
      <c r="CX728" s="87">
        <f>-C728*6/7</f>
        <v>-17.228571428571431</v>
      </c>
      <c r="CY728" s="87"/>
      <c r="CZ728" s="87"/>
      <c r="DA728" s="87"/>
      <c r="DB728" s="87"/>
      <c r="DC728" s="87"/>
      <c r="DD728" s="87"/>
      <c r="DE728" s="87"/>
      <c r="DF728" s="87">
        <f>5/7*C728</f>
        <v>14.357142857142858</v>
      </c>
      <c r="DG728" s="87">
        <f>2/7*C728</f>
        <v>5.7428571428571429</v>
      </c>
      <c r="DH728" s="87"/>
      <c r="DI728" s="87"/>
      <c r="DJ728" s="87"/>
      <c r="DK728" s="87"/>
      <c r="DL728" s="87"/>
      <c r="DM728" s="87"/>
      <c r="DN728" s="87"/>
      <c r="DO728" s="87"/>
      <c r="DP728" s="87"/>
      <c r="DQ728" s="87"/>
      <c r="DR728" s="87"/>
      <c r="DS728" s="87"/>
      <c r="DT728" s="87"/>
      <c r="DU728" s="87"/>
      <c r="DV728" s="87"/>
      <c r="DW728" s="87"/>
      <c r="DX728" s="87"/>
      <c r="DY728" s="87"/>
      <c r="DZ728" s="87"/>
      <c r="EA728" s="87"/>
      <c r="EB728" s="87"/>
      <c r="EC728" s="87"/>
      <c r="ED728" s="87"/>
      <c r="EE728" s="87"/>
      <c r="EF728" s="87"/>
      <c r="EG728" s="87"/>
      <c r="EH728" s="87"/>
      <c r="EI728" s="87"/>
    </row>
    <row r="729" spans="1:139" ht="16.5" hidden="1" thickBot="1" x14ac:dyDescent="0.35">
      <c r="A729" s="175" t="s">
        <v>405</v>
      </c>
      <c r="B729" s="191">
        <v>1</v>
      </c>
      <c r="C729" s="177">
        <f>50*0.3</f>
        <v>15</v>
      </c>
      <c r="D729" s="217">
        <f>C729/VLOOKUP(B729,'[2]Gas Prod per PADD'!$A$1:$C$6,2,FALSE)</f>
        <v>3.125E-2</v>
      </c>
      <c r="E729" s="196">
        <v>45804</v>
      </c>
      <c r="F729" s="281">
        <v>45823</v>
      </c>
      <c r="G729" s="194" t="s">
        <v>1227</v>
      </c>
      <c r="H729" s="198" t="s">
        <v>1228</v>
      </c>
      <c r="I729" s="84"/>
      <c r="J729" s="85"/>
      <c r="K729" s="85"/>
      <c r="L729" s="85"/>
      <c r="M729" s="85"/>
      <c r="N729" s="85"/>
      <c r="O729" s="85"/>
      <c r="P729" s="85"/>
      <c r="Q729" s="85"/>
      <c r="R729" s="85"/>
      <c r="S729" s="85"/>
      <c r="T729" s="85">
        <f>C729*(E729-$T$1)/31</f>
        <v>-1.935483870967742</v>
      </c>
      <c r="U729" s="85">
        <f>C729*($T$1-F729)/30</f>
        <v>-7.5</v>
      </c>
      <c r="V729" s="84"/>
      <c r="W729" s="84"/>
      <c r="X729" s="84"/>
      <c r="Y729" s="105"/>
      <c r="Z729" s="105"/>
      <c r="AA729" s="87"/>
      <c r="AB729" s="87"/>
      <c r="AC729" s="87"/>
      <c r="AD729" s="87"/>
      <c r="AE729" s="105"/>
      <c r="AF729" s="105"/>
      <c r="AG729" s="105"/>
      <c r="AH729" s="105"/>
      <c r="AI729" s="87"/>
      <c r="AJ729" s="87"/>
      <c r="AK729" s="105"/>
      <c r="AL729" s="87"/>
      <c r="AM729" s="105"/>
      <c r="AN729" s="105"/>
      <c r="AO729" s="87"/>
      <c r="AP729" s="87"/>
      <c r="AQ729" s="105"/>
      <c r="AR729" s="105"/>
      <c r="AS729" s="87"/>
      <c r="AT729" s="105"/>
      <c r="AU729" s="105"/>
      <c r="AV729" s="87"/>
      <c r="AW729" s="105"/>
      <c r="AX729" s="105"/>
      <c r="AY729" s="87"/>
      <c r="AZ729" s="105"/>
      <c r="BA729" s="105"/>
      <c r="BB729" s="105"/>
      <c r="BC729" s="87"/>
      <c r="BD729" s="87"/>
      <c r="BE729" s="105"/>
      <c r="BF729" s="105"/>
      <c r="BG729" s="105"/>
      <c r="BH729" s="105"/>
      <c r="BI729" s="105"/>
      <c r="BJ729" s="87"/>
      <c r="BK729" s="87"/>
      <c r="BL729" s="87"/>
      <c r="BM729" s="87"/>
      <c r="BN729" s="87"/>
      <c r="BO729" s="105"/>
      <c r="BP729" s="105"/>
      <c r="BQ729" s="105"/>
      <c r="BR729" s="105"/>
      <c r="BS729" s="105"/>
      <c r="BT729" s="87"/>
      <c r="BU729" s="87"/>
      <c r="BV729" s="87"/>
      <c r="BW729" s="87"/>
      <c r="BX729" s="87"/>
      <c r="BY729" s="87"/>
      <c r="BZ729" s="87"/>
      <c r="CA729" s="87"/>
      <c r="CB729" s="87"/>
      <c r="CC729" s="87"/>
      <c r="CD729" s="87"/>
      <c r="CE729" s="87"/>
      <c r="CF729" s="87"/>
      <c r="CG729" s="87"/>
      <c r="CH729" s="87"/>
      <c r="CI729" s="87"/>
      <c r="CJ729" s="87"/>
      <c r="CK729" s="87"/>
      <c r="CL729" s="87"/>
      <c r="CM729" s="87"/>
      <c r="CN729" s="87"/>
      <c r="CO729" s="87"/>
      <c r="CP729" s="87"/>
      <c r="CQ729" s="87"/>
      <c r="CR729" s="87"/>
      <c r="CS729" s="87"/>
      <c r="CT729" s="87"/>
      <c r="CU729" s="87"/>
      <c r="CV729" s="87"/>
      <c r="CW729" s="87"/>
      <c r="CX729" s="87"/>
      <c r="CY729" s="87"/>
      <c r="CZ729" s="87"/>
      <c r="DA729" s="87"/>
      <c r="DB729" s="87"/>
      <c r="DC729" s="87">
        <f>-4/7*C729</f>
        <v>-8.5714285714285712</v>
      </c>
      <c r="DD729" s="105">
        <f>-C729-DC729</f>
        <v>-6.4285714285714288</v>
      </c>
      <c r="DE729" s="105"/>
      <c r="DF729" s="105">
        <f>C729</f>
        <v>15</v>
      </c>
      <c r="DG729" s="105"/>
      <c r="DH729" s="87"/>
      <c r="DI729" s="87"/>
      <c r="DJ729" s="87"/>
      <c r="DK729" s="87"/>
      <c r="DL729" s="87"/>
      <c r="DM729" s="87"/>
      <c r="DN729" s="87"/>
      <c r="DO729" s="87"/>
      <c r="DP729" s="87"/>
      <c r="DQ729" s="87"/>
      <c r="DR729" s="87"/>
      <c r="DS729" s="87"/>
      <c r="DT729" s="87"/>
      <c r="DU729" s="87"/>
      <c r="DV729" s="87"/>
      <c r="DW729" s="87"/>
      <c r="DX729" s="87"/>
      <c r="DY729" s="87"/>
      <c r="DZ729" s="87"/>
      <c r="EA729" s="87"/>
      <c r="EB729" s="87"/>
      <c r="EC729" s="87"/>
      <c r="ED729" s="87"/>
      <c r="EE729" s="87"/>
      <c r="EF729" s="87"/>
      <c r="EG729" s="87"/>
      <c r="EH729" s="87"/>
      <c r="EI729" s="87"/>
    </row>
    <row r="730" spans="1:139" ht="29.25" hidden="1" thickBot="1" x14ac:dyDescent="0.35">
      <c r="A730" s="358" t="s">
        <v>534</v>
      </c>
      <c r="B730" s="194">
        <v>2</v>
      </c>
      <c r="C730" s="195">
        <f>(35*0.05)+(7*0.25)</f>
        <v>3.5</v>
      </c>
      <c r="D730" s="234">
        <f>C730/VLOOKUP(B730,'[2]Gas Prod per PADD'!$A$1:$C$6,2,FALSE)</f>
        <v>1.4583333333333334E-3</v>
      </c>
      <c r="E730" s="178">
        <v>45811</v>
      </c>
      <c r="F730" s="281">
        <v>45823</v>
      </c>
      <c r="G730" s="194" t="s">
        <v>1229</v>
      </c>
      <c r="H730" s="230" t="s">
        <v>1230</v>
      </c>
      <c r="I730" s="84"/>
      <c r="J730" s="85"/>
      <c r="K730" s="85"/>
      <c r="L730" s="85"/>
      <c r="M730" s="85"/>
      <c r="N730" s="85"/>
      <c r="O730" s="85"/>
      <c r="P730" s="85"/>
      <c r="Q730" s="85"/>
      <c r="R730" s="85"/>
      <c r="S730" s="85"/>
      <c r="T730" s="85"/>
      <c r="U730" s="85">
        <f t="shared" ref="U730:U744" si="32">C730*(E730-F730)/30</f>
        <v>-1.4</v>
      </c>
      <c r="V730" s="84"/>
      <c r="W730" s="84"/>
      <c r="X730" s="84"/>
      <c r="Y730" s="105"/>
      <c r="Z730" s="105"/>
      <c r="AA730" s="87"/>
      <c r="AB730" s="87"/>
      <c r="AC730" s="87"/>
      <c r="AD730" s="87"/>
      <c r="AE730" s="105"/>
      <c r="AF730" s="105"/>
      <c r="AG730" s="105"/>
      <c r="AH730" s="105"/>
      <c r="AI730" s="87"/>
      <c r="AJ730" s="87"/>
      <c r="AK730" s="105"/>
      <c r="AL730" s="87"/>
      <c r="AM730" s="105"/>
      <c r="AN730" s="105"/>
      <c r="AO730" s="87"/>
      <c r="AP730" s="87"/>
      <c r="AQ730" s="105"/>
      <c r="AR730" s="105"/>
      <c r="AS730" s="87"/>
      <c r="AT730" s="105"/>
      <c r="AU730" s="87"/>
      <c r="AV730" s="87"/>
      <c r="AW730" s="105"/>
      <c r="AX730" s="105"/>
      <c r="AY730" s="105"/>
      <c r="AZ730" s="105"/>
      <c r="BA730" s="105"/>
      <c r="BB730" s="105"/>
      <c r="BC730" s="105"/>
      <c r="BD730" s="87"/>
      <c r="BE730" s="87"/>
      <c r="BF730" s="87"/>
      <c r="BG730" s="87"/>
      <c r="BH730" s="87"/>
      <c r="BI730" s="87"/>
      <c r="BJ730" s="87"/>
      <c r="BK730" s="87"/>
      <c r="BL730" s="87"/>
      <c r="BM730" s="87"/>
      <c r="BN730" s="87"/>
      <c r="BO730" s="87"/>
      <c r="BP730" s="87"/>
      <c r="BQ730" s="87"/>
      <c r="BR730" s="87"/>
      <c r="BS730" s="87"/>
      <c r="BT730" s="87"/>
      <c r="BU730" s="87"/>
      <c r="BV730" s="87"/>
      <c r="BW730" s="87"/>
      <c r="BX730" s="87"/>
      <c r="BY730" s="87"/>
      <c r="BZ730" s="87"/>
      <c r="CA730" s="87"/>
      <c r="CB730" s="87"/>
      <c r="CC730" s="87"/>
      <c r="CD730" s="87"/>
      <c r="CE730" s="87"/>
      <c r="CF730" s="87"/>
      <c r="CG730" s="87"/>
      <c r="CH730" s="87"/>
      <c r="CI730" s="87"/>
      <c r="CJ730" s="87"/>
      <c r="CK730" s="87"/>
      <c r="CL730" s="87"/>
      <c r="CM730" s="87"/>
      <c r="CN730" s="87"/>
      <c r="CO730" s="87"/>
      <c r="CP730" s="87"/>
      <c r="CQ730" s="87"/>
      <c r="CR730" s="87"/>
      <c r="CS730" s="87"/>
      <c r="CT730" s="87"/>
      <c r="CU730" s="87"/>
      <c r="CV730" s="87"/>
      <c r="CW730" s="87"/>
      <c r="CX730" s="87"/>
      <c r="CY730" s="87"/>
      <c r="CZ730" s="87"/>
      <c r="DA730" s="87"/>
      <c r="DB730" s="87"/>
      <c r="DC730" s="87"/>
      <c r="DD730" s="87">
        <f>-4/7*C730</f>
        <v>-2</v>
      </c>
      <c r="DE730" s="105">
        <f>-C730-DD730</f>
        <v>-1.5</v>
      </c>
      <c r="DF730" s="105">
        <f>C730</f>
        <v>3.5</v>
      </c>
      <c r="DG730" s="87"/>
      <c r="DH730" s="87"/>
      <c r="DI730" s="87"/>
      <c r="DJ730" s="87"/>
      <c r="DK730" s="87"/>
      <c r="DL730" s="87"/>
      <c r="DM730" s="87"/>
      <c r="DN730" s="87"/>
      <c r="DO730" s="87"/>
      <c r="DP730" s="87"/>
      <c r="DQ730" s="87"/>
      <c r="DR730" s="87"/>
      <c r="DS730" s="87"/>
      <c r="DT730" s="87"/>
      <c r="DU730" s="87"/>
      <c r="DV730" s="87"/>
      <c r="DW730" s="87"/>
      <c r="DX730" s="87"/>
      <c r="DY730" s="87"/>
      <c r="DZ730" s="87"/>
      <c r="EA730" s="87"/>
      <c r="EB730" s="87"/>
      <c r="EC730" s="87"/>
      <c r="ED730" s="87"/>
      <c r="EE730" s="87"/>
      <c r="EF730" s="87"/>
      <c r="EG730" s="87"/>
      <c r="EH730" s="87"/>
      <c r="EI730" s="87"/>
    </row>
    <row r="731" spans="1:139" ht="29.25" hidden="1" thickBot="1" x14ac:dyDescent="0.35">
      <c r="A731" s="161" t="s">
        <v>289</v>
      </c>
      <c r="B731" s="176">
        <v>3</v>
      </c>
      <c r="C731" s="177">
        <f>67*0.25+58.5*0.65</f>
        <v>54.774999999999999</v>
      </c>
      <c r="D731" s="217">
        <f>C731/VLOOKUP(B731,'[2]Gas Prod per PADD'!$A$1:$C$6,2,FALSE)</f>
        <v>1.1907608695652173E-2</v>
      </c>
      <c r="E731" s="220">
        <v>45818</v>
      </c>
      <c r="F731" s="252">
        <f>E731+6</f>
        <v>45824</v>
      </c>
      <c r="G731" s="180" t="s">
        <v>1231</v>
      </c>
      <c r="H731" s="181" t="s">
        <v>1232</v>
      </c>
      <c r="I731" s="84"/>
      <c r="J731" s="85"/>
      <c r="K731" s="85"/>
      <c r="L731" s="85"/>
      <c r="M731" s="85"/>
      <c r="N731" s="85"/>
      <c r="O731" s="85"/>
      <c r="P731" s="85"/>
      <c r="Q731" s="85"/>
      <c r="R731" s="85"/>
      <c r="S731" s="85"/>
      <c r="T731" s="85"/>
      <c r="U731" s="85">
        <f t="shared" si="32"/>
        <v>-10.955</v>
      </c>
      <c r="V731" s="84"/>
      <c r="W731" s="84"/>
      <c r="X731" s="84"/>
      <c r="Y731" s="86"/>
      <c r="Z731" s="87"/>
      <c r="AA731" s="87"/>
      <c r="AB731" s="87"/>
      <c r="AC731" s="87"/>
      <c r="AD731" s="87"/>
      <c r="AE731" s="87"/>
      <c r="AF731" s="87"/>
      <c r="AG731" s="87"/>
      <c r="AH731" s="87"/>
      <c r="AI731" s="87"/>
      <c r="AJ731" s="87"/>
      <c r="AK731" s="87"/>
      <c r="AL731" s="87"/>
      <c r="AM731" s="87"/>
      <c r="AN731" s="87"/>
      <c r="AO731" s="87"/>
      <c r="AP731" s="87"/>
      <c r="AQ731" s="87"/>
      <c r="AR731" s="87"/>
      <c r="AS731" s="87"/>
      <c r="AT731" s="87"/>
      <c r="AU731" s="87"/>
      <c r="AV731" s="87"/>
      <c r="AW731" s="87"/>
      <c r="AX731" s="87"/>
      <c r="AY731" s="87"/>
      <c r="AZ731" s="87"/>
      <c r="BA731" s="87"/>
      <c r="BB731" s="87"/>
      <c r="BC731" s="87"/>
      <c r="BD731" s="87"/>
      <c r="BE731" s="87"/>
      <c r="BF731" s="87"/>
      <c r="BG731" s="87"/>
      <c r="BH731" s="87"/>
      <c r="BI731" s="87"/>
      <c r="BJ731" s="105"/>
      <c r="BK731" s="87"/>
      <c r="BL731" s="105"/>
      <c r="BM731" s="87"/>
      <c r="BN731" s="87"/>
      <c r="BO731" s="87"/>
      <c r="BP731" s="87"/>
      <c r="BQ731" s="87"/>
      <c r="BR731" s="87"/>
      <c r="BS731" s="87"/>
      <c r="BT731" s="87"/>
      <c r="BU731" s="87"/>
      <c r="BV731" s="87"/>
      <c r="BW731" s="87"/>
      <c r="BX731" s="105"/>
      <c r="BY731" s="105"/>
      <c r="BZ731" s="87"/>
      <c r="CA731" s="87"/>
      <c r="CB731" s="105"/>
      <c r="CC731" s="87"/>
      <c r="CD731" s="87"/>
      <c r="CE731" s="87"/>
      <c r="CF731" s="87"/>
      <c r="CG731" s="87"/>
      <c r="CH731" s="87"/>
      <c r="CI731" s="87"/>
      <c r="CJ731" s="87"/>
      <c r="CK731" s="87"/>
      <c r="CL731" s="87"/>
      <c r="CM731" s="105"/>
      <c r="CN731" s="105"/>
      <c r="CO731" s="105"/>
      <c r="CP731" s="87"/>
      <c r="CQ731" s="87"/>
      <c r="CR731" s="87"/>
      <c r="CS731" s="87"/>
      <c r="CT731" s="87"/>
      <c r="CU731" s="87"/>
      <c r="CV731" s="87"/>
      <c r="CW731" s="87"/>
      <c r="CX731" s="87"/>
      <c r="CY731" s="87"/>
      <c r="CZ731" s="87"/>
      <c r="DA731" s="87"/>
      <c r="DB731" s="87"/>
      <c r="DC731" s="87"/>
      <c r="DD731" s="87"/>
      <c r="DE731" s="87">
        <f>-3/7*C731</f>
        <v>-23.474999999999998</v>
      </c>
      <c r="DF731" s="87">
        <f>-DE731</f>
        <v>23.474999999999998</v>
      </c>
      <c r="DG731" s="87"/>
      <c r="DH731" s="87"/>
      <c r="DI731" s="87"/>
      <c r="DJ731" s="87"/>
      <c r="DK731" s="87"/>
      <c r="DL731" s="87"/>
      <c r="DM731" s="87"/>
      <c r="DN731" s="87"/>
      <c r="DO731" s="87"/>
      <c r="DP731" s="87"/>
      <c r="DQ731" s="87"/>
      <c r="DR731" s="87"/>
      <c r="DS731" s="87"/>
      <c r="DT731" s="87"/>
      <c r="DU731" s="87"/>
      <c r="DV731" s="87"/>
      <c r="DW731" s="87"/>
      <c r="DX731" s="87"/>
      <c r="DY731" s="87"/>
      <c r="DZ731" s="87"/>
      <c r="EA731" s="87"/>
      <c r="EB731" s="87"/>
      <c r="EC731" s="87"/>
      <c r="ED731" s="87"/>
      <c r="EE731" s="87"/>
      <c r="EF731" s="87"/>
      <c r="EG731" s="75"/>
      <c r="EH731" s="75"/>
      <c r="EI731" s="75"/>
    </row>
    <row r="732" spans="1:139" ht="16.5" hidden="1" thickBot="1" x14ac:dyDescent="0.35">
      <c r="A732" s="190" t="s">
        <v>154</v>
      </c>
      <c r="B732" s="176">
        <v>3</v>
      </c>
      <c r="C732" s="177">
        <f>88*0.65</f>
        <v>57.2</v>
      </c>
      <c r="D732" s="217">
        <f>C732/VLOOKUP(B732,'[2]Gas Prod per PADD'!$A$1:$C$6,2,FALSE)</f>
        <v>1.2434782608695653E-2</v>
      </c>
      <c r="E732" s="178">
        <v>45820</v>
      </c>
      <c r="F732" s="252">
        <v>45824</v>
      </c>
      <c r="G732" s="180" t="s">
        <v>1233</v>
      </c>
      <c r="H732" s="181" t="s">
        <v>1234</v>
      </c>
      <c r="I732" s="84"/>
      <c r="J732" s="85"/>
      <c r="K732" s="85"/>
      <c r="L732" s="85"/>
      <c r="M732" s="85"/>
      <c r="N732" s="85"/>
      <c r="O732" s="85"/>
      <c r="P732" s="85"/>
      <c r="Q732" s="85"/>
      <c r="R732" s="85"/>
      <c r="S732" s="85"/>
      <c r="T732" s="85"/>
      <c r="U732" s="85">
        <f t="shared" si="32"/>
        <v>-7.6266666666666669</v>
      </c>
      <c r="V732" s="84"/>
      <c r="W732" s="84"/>
      <c r="X732" s="84"/>
      <c r="Y732" s="87"/>
      <c r="Z732" s="87"/>
      <c r="AA732" s="87"/>
      <c r="AB732" s="87"/>
      <c r="AC732" s="87"/>
      <c r="AD732" s="87"/>
      <c r="AE732" s="87"/>
      <c r="AF732" s="87"/>
      <c r="AG732" s="87"/>
      <c r="AH732" s="87"/>
      <c r="AI732" s="87"/>
      <c r="AJ732" s="87"/>
      <c r="AK732" s="87"/>
      <c r="AL732" s="87"/>
      <c r="AM732" s="87"/>
      <c r="AN732" s="87"/>
      <c r="AO732" s="87"/>
      <c r="AP732" s="87"/>
      <c r="AQ732" s="87"/>
      <c r="AR732" s="87"/>
      <c r="AS732" s="87"/>
      <c r="AT732" s="87"/>
      <c r="AU732" s="87"/>
      <c r="AV732" s="87"/>
      <c r="AW732" s="87"/>
      <c r="AX732" s="87"/>
      <c r="AY732" s="87"/>
      <c r="AZ732" s="87"/>
      <c r="BA732" s="87"/>
      <c r="BB732" s="87"/>
      <c r="BC732" s="87"/>
      <c r="BD732" s="87"/>
      <c r="BE732" s="87"/>
      <c r="BF732" s="87"/>
      <c r="BG732" s="87"/>
      <c r="BH732" s="87"/>
      <c r="BI732" s="87"/>
      <c r="BJ732" s="87"/>
      <c r="BK732" s="87"/>
      <c r="BL732" s="87"/>
      <c r="BM732" s="87"/>
      <c r="BN732" s="87"/>
      <c r="BO732" s="87"/>
      <c r="BP732" s="87"/>
      <c r="BQ732" s="87"/>
      <c r="BR732" s="87"/>
      <c r="BS732" s="87"/>
      <c r="BT732" s="87"/>
      <c r="BU732" s="87"/>
      <c r="BV732" s="87"/>
      <c r="BW732" s="87"/>
      <c r="BX732" s="87"/>
      <c r="BY732" s="87"/>
      <c r="BZ732" s="87"/>
      <c r="CA732" s="87"/>
      <c r="CB732" s="87"/>
      <c r="CC732" s="87"/>
      <c r="CD732" s="87"/>
      <c r="CE732" s="87"/>
      <c r="CF732" s="87"/>
      <c r="CG732" s="87"/>
      <c r="CH732" s="87"/>
      <c r="CI732" s="87"/>
      <c r="CJ732" s="87"/>
      <c r="CK732" s="87"/>
      <c r="CL732" s="87"/>
      <c r="CM732" s="87"/>
      <c r="CN732" s="87"/>
      <c r="CO732" s="87"/>
      <c r="CP732" s="87"/>
      <c r="CQ732" s="87"/>
      <c r="CR732" s="87"/>
      <c r="CS732" s="87"/>
      <c r="CT732" s="87"/>
      <c r="CU732" s="87"/>
      <c r="CV732" s="87"/>
      <c r="CW732" s="87"/>
      <c r="CX732" s="87"/>
      <c r="CY732" s="87"/>
      <c r="CZ732" s="87"/>
      <c r="DA732" s="87"/>
      <c r="DB732" s="87"/>
      <c r="DC732" s="87"/>
      <c r="DD732" s="87"/>
      <c r="DE732" s="87">
        <f>-2/7*C732</f>
        <v>-16.342857142857142</v>
      </c>
      <c r="DF732" s="87">
        <f>-DE732</f>
        <v>16.342857142857142</v>
      </c>
      <c r="DG732" s="87"/>
      <c r="DH732" s="87"/>
      <c r="DI732" s="87"/>
      <c r="DJ732" s="87"/>
      <c r="DK732" s="87"/>
      <c r="DL732" s="87"/>
      <c r="DM732" s="87"/>
      <c r="DN732" s="87"/>
      <c r="DO732" s="87"/>
      <c r="DP732" s="87"/>
      <c r="DQ732" s="87"/>
      <c r="DR732" s="87"/>
      <c r="DS732" s="87"/>
      <c r="DT732" s="87"/>
      <c r="DU732" s="87"/>
      <c r="DV732" s="87"/>
      <c r="DW732" s="87"/>
      <c r="DX732" s="87"/>
      <c r="DY732" s="87"/>
      <c r="DZ732" s="87"/>
      <c r="EA732" s="87"/>
      <c r="EB732" s="87"/>
      <c r="EC732" s="87"/>
      <c r="ED732" s="87"/>
      <c r="EE732" s="87"/>
      <c r="EF732" s="87"/>
      <c r="EG732" s="75"/>
      <c r="EH732" s="75"/>
      <c r="EI732" s="75"/>
    </row>
    <row r="733" spans="1:139" ht="16.5" hidden="1" thickBot="1" x14ac:dyDescent="0.35">
      <c r="A733" s="190" t="s">
        <v>127</v>
      </c>
      <c r="B733" s="191">
        <v>3</v>
      </c>
      <c r="C733" s="388">
        <f>150*0.1</f>
        <v>15</v>
      </c>
      <c r="D733" s="234">
        <f>C733/VLOOKUP(B733,'[2]Gas Prod per PADD'!$A$1:$C$6,2,FALSE)</f>
        <v>3.2608695652173911E-3</v>
      </c>
      <c r="E733" s="220">
        <v>45824</v>
      </c>
      <c r="F733" s="252">
        <v>45824</v>
      </c>
      <c r="G733" s="180" t="s">
        <v>1235</v>
      </c>
      <c r="H733" s="230" t="s">
        <v>1236</v>
      </c>
      <c r="I733" s="84"/>
      <c r="J733" s="85"/>
      <c r="K733" s="85"/>
      <c r="L733" s="85"/>
      <c r="M733" s="85"/>
      <c r="N733" s="85"/>
      <c r="O733" s="85"/>
      <c r="P733" s="85"/>
      <c r="Q733" s="85"/>
      <c r="R733" s="85"/>
      <c r="S733" s="85"/>
      <c r="T733" s="85"/>
      <c r="U733" s="85">
        <f t="shared" si="32"/>
        <v>0</v>
      </c>
      <c r="V733" s="84"/>
      <c r="W733" s="84"/>
      <c r="X733" s="84"/>
      <c r="Y733" s="105"/>
      <c r="Z733" s="105"/>
      <c r="AA733" s="87"/>
      <c r="AB733" s="87"/>
      <c r="AC733" s="87"/>
      <c r="AD733" s="87"/>
      <c r="AE733" s="105"/>
      <c r="AF733" s="105"/>
      <c r="AG733" s="105"/>
      <c r="AH733" s="105"/>
      <c r="AI733" s="87"/>
      <c r="AJ733" s="87"/>
      <c r="AK733" s="87"/>
      <c r="AL733" s="87"/>
      <c r="AM733" s="87"/>
      <c r="AN733" s="87"/>
      <c r="AO733" s="87"/>
      <c r="AP733" s="87"/>
      <c r="AQ733" s="87"/>
      <c r="AR733" s="87"/>
      <c r="AS733" s="87"/>
      <c r="AT733" s="87"/>
      <c r="AU733" s="87"/>
      <c r="AV733" s="87"/>
      <c r="AW733" s="87"/>
      <c r="AX733" s="87"/>
      <c r="AY733" s="87"/>
      <c r="AZ733" s="87"/>
      <c r="BA733" s="87"/>
      <c r="BB733" s="87"/>
      <c r="BC733" s="87"/>
      <c r="BD733" s="87"/>
      <c r="BE733" s="87"/>
      <c r="BF733" s="87"/>
      <c r="BG733" s="87"/>
      <c r="BH733" s="87"/>
      <c r="BI733" s="87"/>
      <c r="BJ733" s="87"/>
      <c r="BK733" s="87"/>
      <c r="BL733" s="87"/>
      <c r="BM733" s="87"/>
      <c r="BN733" s="87"/>
      <c r="BO733" s="87"/>
      <c r="BP733" s="87"/>
      <c r="BQ733" s="87"/>
      <c r="BR733" s="87"/>
      <c r="BS733" s="87"/>
      <c r="BT733" s="87"/>
      <c r="BU733" s="87"/>
      <c r="BV733" s="87"/>
      <c r="BW733" s="87"/>
      <c r="BX733" s="87"/>
      <c r="BY733" s="87"/>
      <c r="BZ733" s="87"/>
      <c r="CA733" s="87"/>
      <c r="CB733" s="87"/>
      <c r="CC733" s="87"/>
      <c r="CD733" s="87"/>
      <c r="CE733" s="87"/>
      <c r="CF733" s="87"/>
      <c r="CG733" s="87"/>
      <c r="CH733" s="87"/>
      <c r="CI733" s="87"/>
      <c r="CJ733" s="87"/>
      <c r="CK733" s="87"/>
      <c r="CL733" s="105"/>
      <c r="CM733" s="105"/>
      <c r="CN733" s="105"/>
      <c r="CO733" s="105"/>
      <c r="CP733" s="105"/>
      <c r="CQ733" s="87"/>
      <c r="CR733" s="87"/>
      <c r="CS733" s="87"/>
      <c r="CT733" s="87"/>
      <c r="CU733" s="87"/>
      <c r="CV733" s="87"/>
      <c r="CW733" s="87"/>
      <c r="CX733" s="87"/>
      <c r="CY733" s="87"/>
      <c r="CZ733" s="87"/>
      <c r="DA733" s="87"/>
      <c r="DB733" s="87"/>
      <c r="DC733" s="87"/>
      <c r="DD733" s="87"/>
      <c r="DE733" s="87"/>
      <c r="DF733" s="87">
        <f>-1/7*C733</f>
        <v>-2.1428571428571428</v>
      </c>
      <c r="DG733" s="87">
        <f>-DF733</f>
        <v>2.1428571428571428</v>
      </c>
      <c r="DH733" s="87"/>
      <c r="DI733" s="87"/>
      <c r="DJ733" s="87"/>
      <c r="DK733" s="87"/>
      <c r="DL733" s="87"/>
      <c r="DM733" s="87"/>
      <c r="DN733" s="87"/>
      <c r="DO733" s="87"/>
      <c r="DP733" s="87"/>
      <c r="DQ733" s="87"/>
      <c r="DR733" s="87"/>
      <c r="DS733" s="87"/>
      <c r="DT733" s="87"/>
      <c r="DU733" s="87"/>
      <c r="DV733" s="105"/>
      <c r="DW733" s="87"/>
      <c r="DX733" s="87"/>
      <c r="DY733" s="105"/>
      <c r="DZ733" s="87"/>
      <c r="EA733" s="87"/>
      <c r="EB733" s="105"/>
      <c r="EC733" s="87"/>
      <c r="ED733" s="87"/>
      <c r="EE733" s="87"/>
      <c r="EF733" s="87"/>
      <c r="EG733" s="87"/>
      <c r="EH733" s="87"/>
      <c r="EI733" s="87"/>
    </row>
    <row r="734" spans="1:139" ht="16.5" hidden="1" thickBot="1" x14ac:dyDescent="0.35">
      <c r="A734" s="175" t="s">
        <v>369</v>
      </c>
      <c r="B734" s="176">
        <v>5</v>
      </c>
      <c r="C734" s="177">
        <f>53*0.25</f>
        <v>13.25</v>
      </c>
      <c r="D734" s="234">
        <f>C734/VLOOKUP(B734,'[2]Gas Prod per PADD'!$A$1:$C$6,2,FALSE)</f>
        <v>9.8148148148148144E-3</v>
      </c>
      <c r="E734" s="178">
        <v>45817</v>
      </c>
      <c r="F734" s="252">
        <f>E734+8</f>
        <v>45825</v>
      </c>
      <c r="G734" s="180" t="s">
        <v>795</v>
      </c>
      <c r="H734" s="181" t="s">
        <v>543</v>
      </c>
      <c r="I734" s="84"/>
      <c r="J734" s="85"/>
      <c r="K734" s="85"/>
      <c r="L734" s="85"/>
      <c r="M734" s="85"/>
      <c r="N734" s="85"/>
      <c r="O734" s="85"/>
      <c r="P734" s="85"/>
      <c r="Q734" s="85"/>
      <c r="R734" s="85"/>
      <c r="S734" s="85"/>
      <c r="T734" s="85"/>
      <c r="U734" s="85">
        <f t="shared" si="32"/>
        <v>-3.5333333333333332</v>
      </c>
      <c r="V734" s="84"/>
      <c r="W734" s="84"/>
      <c r="X734" s="84"/>
      <c r="Y734" s="105"/>
      <c r="Z734" s="105"/>
      <c r="AA734" s="87"/>
      <c r="AB734" s="87"/>
      <c r="AC734" s="87"/>
      <c r="AD734" s="87"/>
      <c r="AE734" s="105"/>
      <c r="AF734" s="105"/>
      <c r="AG734" s="105"/>
      <c r="AH734" s="105"/>
      <c r="AI734" s="87"/>
      <c r="AJ734" s="87"/>
      <c r="AK734" s="105"/>
      <c r="AL734" s="87"/>
      <c r="AM734" s="105"/>
      <c r="AN734" s="105"/>
      <c r="AO734" s="87"/>
      <c r="AP734" s="87"/>
      <c r="AQ734" s="105"/>
      <c r="AR734" s="105"/>
      <c r="AS734" s="87"/>
      <c r="AT734" s="105"/>
      <c r="AU734" s="105"/>
      <c r="AV734" s="87"/>
      <c r="AW734" s="105"/>
      <c r="AX734" s="105"/>
      <c r="AY734" s="87"/>
      <c r="AZ734" s="105"/>
      <c r="BA734" s="105"/>
      <c r="BB734" s="105"/>
      <c r="BC734" s="87"/>
      <c r="BD734" s="87"/>
      <c r="BE734" s="105"/>
      <c r="BF734" s="105"/>
      <c r="BG734" s="105"/>
      <c r="BH734" s="105"/>
      <c r="BI734" s="105"/>
      <c r="BJ734" s="87"/>
      <c r="BK734" s="87"/>
      <c r="BL734" s="87"/>
      <c r="BM734" s="87"/>
      <c r="BN734" s="87"/>
      <c r="BO734" s="105"/>
      <c r="BP734" s="105"/>
      <c r="BQ734" s="105"/>
      <c r="BR734" s="105"/>
      <c r="BS734" s="105"/>
      <c r="BT734" s="87"/>
      <c r="BU734" s="87"/>
      <c r="BV734" s="87"/>
      <c r="BW734" s="87"/>
      <c r="BX734" s="87"/>
      <c r="BY734" s="87"/>
      <c r="BZ734" s="87"/>
      <c r="CA734" s="87"/>
      <c r="CB734" s="87"/>
      <c r="CC734" s="87"/>
      <c r="CD734" s="87"/>
      <c r="CE734" s="87"/>
      <c r="CF734" s="87"/>
      <c r="CG734" s="87"/>
      <c r="CH734" s="87"/>
      <c r="CI734" s="87"/>
      <c r="CJ734" s="87"/>
      <c r="CK734" s="87"/>
      <c r="CL734" s="87"/>
      <c r="CM734" s="87"/>
      <c r="CN734" s="87"/>
      <c r="CO734" s="87"/>
      <c r="CP734" s="87"/>
      <c r="CQ734" s="87"/>
      <c r="CR734" s="87"/>
      <c r="CS734" s="87"/>
      <c r="CT734" s="87"/>
      <c r="CU734" s="87"/>
      <c r="CV734" s="87"/>
      <c r="CW734" s="87"/>
      <c r="CX734" s="87"/>
      <c r="CY734" s="87"/>
      <c r="CZ734" s="87"/>
      <c r="DA734" s="87"/>
      <c r="DB734" s="87"/>
      <c r="DC734" s="87"/>
      <c r="DD734" s="87"/>
      <c r="DE734" s="87">
        <f>-5/7*C734</f>
        <v>-9.4642857142857153</v>
      </c>
      <c r="DF734" s="87"/>
      <c r="DG734" s="87">
        <f>-DE734</f>
        <v>9.4642857142857153</v>
      </c>
      <c r="DH734" s="87"/>
      <c r="DI734" s="87"/>
      <c r="DJ734" s="87"/>
      <c r="DK734" s="87"/>
      <c r="DL734" s="87"/>
      <c r="DM734" s="87"/>
      <c r="DN734" s="87"/>
      <c r="DO734" s="87"/>
      <c r="DP734" s="87"/>
      <c r="DQ734" s="87"/>
      <c r="DR734" s="87"/>
      <c r="DS734" s="87"/>
      <c r="DT734" s="87"/>
      <c r="DU734" s="87"/>
      <c r="DV734" s="87"/>
      <c r="DW734" s="87"/>
      <c r="DX734" s="87"/>
      <c r="DY734" s="87"/>
      <c r="DZ734" s="87"/>
      <c r="EA734" s="87"/>
      <c r="EB734" s="87"/>
      <c r="EC734" s="87"/>
      <c r="ED734" s="87"/>
      <c r="EE734" s="87"/>
      <c r="EF734" s="87"/>
      <c r="EG734" s="87"/>
      <c r="EH734" s="87"/>
      <c r="EI734" s="87"/>
    </row>
    <row r="735" spans="1:139" ht="29.25" hidden="1" thickBot="1" x14ac:dyDescent="0.35">
      <c r="A735" s="175" t="s">
        <v>377</v>
      </c>
      <c r="B735" s="191">
        <v>5</v>
      </c>
      <c r="C735" s="177">
        <f>55*0.25*0.3</f>
        <v>4.125</v>
      </c>
      <c r="D735" s="234">
        <f>C735/VLOOKUP(B735,'[2]Gas Prod per PADD'!$A$1:$C$6,2,FALSE)</f>
        <v>3.0555555555555557E-3</v>
      </c>
      <c r="E735" s="220">
        <v>45822</v>
      </c>
      <c r="F735" s="252">
        <v>45826</v>
      </c>
      <c r="G735" s="180" t="s">
        <v>1237</v>
      </c>
      <c r="H735" s="230" t="s">
        <v>1238</v>
      </c>
      <c r="I735" s="373"/>
      <c r="J735" s="374"/>
      <c r="K735" s="374"/>
      <c r="L735" s="374"/>
      <c r="M735" s="374"/>
      <c r="N735" s="374"/>
      <c r="O735" s="374"/>
      <c r="P735" s="374"/>
      <c r="Q735" s="374"/>
      <c r="R735" s="374"/>
      <c r="S735" s="374"/>
      <c r="T735" s="85"/>
      <c r="U735" s="85">
        <f t="shared" si="32"/>
        <v>-0.55000000000000004</v>
      </c>
      <c r="V735" s="84"/>
      <c r="W735" s="84"/>
      <c r="X735" s="84"/>
      <c r="Y735" s="105"/>
      <c r="Z735" s="105"/>
      <c r="AA735" s="87"/>
      <c r="AB735" s="87"/>
      <c r="AC735" s="87"/>
      <c r="AD735" s="87"/>
      <c r="AE735" s="105"/>
      <c r="AF735" s="105"/>
      <c r="AG735" s="105"/>
      <c r="AH735" s="105"/>
      <c r="AI735" s="87"/>
      <c r="AJ735" s="87"/>
      <c r="AK735" s="105"/>
      <c r="AL735" s="87"/>
      <c r="AM735" s="105"/>
      <c r="AN735" s="105"/>
      <c r="AO735" s="87"/>
      <c r="AP735" s="87"/>
      <c r="AQ735" s="105"/>
      <c r="AR735" s="105"/>
      <c r="AS735" s="87"/>
      <c r="AT735" s="105"/>
      <c r="AU735" s="105"/>
      <c r="AV735" s="87"/>
      <c r="AW735" s="105"/>
      <c r="AX735" s="105"/>
      <c r="AY735" s="87"/>
      <c r="AZ735" s="105"/>
      <c r="BA735" s="105"/>
      <c r="BB735" s="105"/>
      <c r="BC735" s="87"/>
      <c r="BD735" s="87"/>
      <c r="BE735" s="105"/>
      <c r="BF735" s="105"/>
      <c r="BG735" s="105"/>
      <c r="BH735" s="105"/>
      <c r="BI735" s="105"/>
      <c r="BJ735" s="87"/>
      <c r="BK735" s="87"/>
      <c r="BL735" s="87"/>
      <c r="BM735" s="87"/>
      <c r="BN735" s="87"/>
      <c r="BO735" s="87"/>
      <c r="BP735" s="87"/>
      <c r="BQ735" s="87"/>
      <c r="BR735" s="87"/>
      <c r="BS735" s="87"/>
      <c r="BT735" s="87"/>
      <c r="BU735" s="87"/>
      <c r="BV735" s="87"/>
      <c r="BW735" s="87"/>
      <c r="BX735" s="87"/>
      <c r="BY735" s="87"/>
      <c r="BZ735" s="87"/>
      <c r="CA735" s="87"/>
      <c r="CB735" s="87"/>
      <c r="CC735" s="87"/>
      <c r="CD735" s="87"/>
      <c r="CE735" s="87"/>
      <c r="CF735" s="87"/>
      <c r="CG735" s="87"/>
      <c r="CH735" s="87"/>
      <c r="CI735" s="87"/>
      <c r="CJ735" s="87"/>
      <c r="CK735" s="87"/>
      <c r="CL735" s="87"/>
      <c r="CM735" s="87"/>
      <c r="CN735" s="87"/>
      <c r="CO735" s="87"/>
      <c r="CP735" s="87"/>
      <c r="CQ735" s="87"/>
      <c r="CR735" s="87"/>
      <c r="CS735" s="87"/>
      <c r="CT735" s="87"/>
      <c r="CU735" s="87"/>
      <c r="CV735" s="87"/>
      <c r="CW735" s="87"/>
      <c r="CX735" s="87"/>
      <c r="CY735" s="87"/>
      <c r="CZ735" s="87"/>
      <c r="DA735" s="87"/>
      <c r="DB735" s="87"/>
      <c r="DC735" s="87"/>
      <c r="DD735" s="87"/>
      <c r="DE735" s="87"/>
      <c r="DF735" s="105">
        <f>-4/7*C735</f>
        <v>-2.3571428571428572</v>
      </c>
      <c r="DG735" s="105">
        <f>-DF735</f>
        <v>2.3571428571428572</v>
      </c>
      <c r="DH735" s="87"/>
      <c r="DI735" s="105"/>
      <c r="DJ735" s="87"/>
      <c r="DK735" s="87"/>
      <c r="DL735" s="87"/>
      <c r="DM735" s="87"/>
      <c r="DN735" s="87"/>
      <c r="DO735" s="87"/>
      <c r="DP735" s="87"/>
      <c r="DQ735" s="87"/>
      <c r="DR735" s="87"/>
      <c r="DS735" s="105"/>
      <c r="DT735" s="87"/>
      <c r="DU735" s="87"/>
      <c r="DV735" s="87"/>
      <c r="DW735" s="87"/>
      <c r="DX735" s="87"/>
      <c r="DY735" s="87"/>
      <c r="DZ735" s="105"/>
      <c r="EA735" s="87"/>
      <c r="EB735" s="105"/>
      <c r="EC735" s="87"/>
      <c r="ED735" s="87"/>
      <c r="EE735" s="87"/>
      <c r="EF735" s="87"/>
      <c r="EG735" s="87"/>
      <c r="EH735" s="87"/>
      <c r="EI735" s="87"/>
    </row>
    <row r="736" spans="1:139" ht="16.5" hidden="1" thickBot="1" x14ac:dyDescent="0.35">
      <c r="A736" s="353" t="s">
        <v>229</v>
      </c>
      <c r="B736" s="176">
        <v>2</v>
      </c>
      <c r="C736" s="177">
        <f>2.7*0.95</f>
        <v>2.5649999999999999</v>
      </c>
      <c r="D736" s="234">
        <f>C736/VLOOKUP(B736,'[2]Gas Prod per PADD'!$A$1:$C$6,2,FALSE)</f>
        <v>1.06875E-3</v>
      </c>
      <c r="E736" s="232">
        <v>45822</v>
      </c>
      <c r="F736" s="252">
        <v>45826</v>
      </c>
      <c r="G736" s="180" t="s">
        <v>1239</v>
      </c>
      <c r="H736" s="181" t="s">
        <v>364</v>
      </c>
      <c r="I736" s="373"/>
      <c r="J736" s="374"/>
      <c r="K736" s="374"/>
      <c r="L736" s="374"/>
      <c r="M736" s="374"/>
      <c r="N736" s="374"/>
      <c r="O736" s="374"/>
      <c r="P736" s="374"/>
      <c r="Q736" s="374"/>
      <c r="R736" s="374"/>
      <c r="S736" s="374"/>
      <c r="T736" s="85"/>
      <c r="U736" s="85">
        <f t="shared" si="32"/>
        <v>-0.34199999999999997</v>
      </c>
      <c r="V736" s="84"/>
      <c r="W736" s="84"/>
      <c r="X736" s="84"/>
      <c r="Y736" s="105"/>
      <c r="Z736" s="105"/>
      <c r="AA736" s="87"/>
      <c r="AB736" s="87"/>
      <c r="AC736" s="87"/>
      <c r="AD736" s="87"/>
      <c r="AE736" s="105"/>
      <c r="AF736" s="105"/>
      <c r="AG736" s="105"/>
      <c r="AH736" s="105"/>
      <c r="AI736" s="87"/>
      <c r="AJ736" s="87"/>
      <c r="AK736" s="105"/>
      <c r="AL736" s="87"/>
      <c r="AM736" s="105"/>
      <c r="AN736" s="105"/>
      <c r="AO736" s="87"/>
      <c r="AP736" s="87"/>
      <c r="AQ736" s="105"/>
      <c r="AR736" s="105"/>
      <c r="AS736" s="87"/>
      <c r="AT736" s="105"/>
      <c r="AU736" s="105"/>
      <c r="AV736" s="87"/>
      <c r="AW736" s="105"/>
      <c r="AX736" s="105"/>
      <c r="AY736" s="87"/>
      <c r="AZ736" s="105"/>
      <c r="BA736" s="105"/>
      <c r="BB736" s="105"/>
      <c r="BC736" s="87"/>
      <c r="BD736" s="87"/>
      <c r="BE736" s="105"/>
      <c r="BF736" s="105"/>
      <c r="BG736" s="105"/>
      <c r="BH736" s="105"/>
      <c r="BI736" s="105"/>
      <c r="BJ736" s="87"/>
      <c r="BK736" s="87"/>
      <c r="BL736" s="87"/>
      <c r="BM736" s="87"/>
      <c r="BN736" s="87"/>
      <c r="BO736" s="87"/>
      <c r="BP736" s="87"/>
      <c r="BQ736" s="87"/>
      <c r="BR736" s="87"/>
      <c r="BS736" s="87"/>
      <c r="BT736" s="87"/>
      <c r="BU736" s="87"/>
      <c r="BV736" s="87"/>
      <c r="BW736" s="87"/>
      <c r="BX736" s="87"/>
      <c r="BY736" s="87"/>
      <c r="BZ736" s="87"/>
      <c r="CA736" s="87"/>
      <c r="CB736" s="87"/>
      <c r="CC736" s="87"/>
      <c r="CD736" s="87"/>
      <c r="CE736" s="87"/>
      <c r="CF736" s="87"/>
      <c r="CG736" s="87"/>
      <c r="CH736" s="87"/>
      <c r="CI736" s="87"/>
      <c r="CJ736" s="87"/>
      <c r="CK736" s="87"/>
      <c r="CL736" s="87"/>
      <c r="CM736" s="87"/>
      <c r="CN736" s="87"/>
      <c r="CO736" s="87"/>
      <c r="CP736" s="87"/>
      <c r="CQ736" s="87"/>
      <c r="CR736" s="87"/>
      <c r="CS736" s="105"/>
      <c r="CT736" s="87"/>
      <c r="CU736" s="87"/>
      <c r="CV736" s="87"/>
      <c r="CW736" s="87"/>
      <c r="CX736" s="87"/>
      <c r="CY736" s="87"/>
      <c r="CZ736" s="87"/>
      <c r="DA736" s="87"/>
      <c r="DB736" s="87"/>
      <c r="DC736" s="87"/>
      <c r="DD736" s="87"/>
      <c r="DE736" s="87"/>
      <c r="DF736" s="105">
        <f>-C736*4/7</f>
        <v>-1.4657142857142857</v>
      </c>
      <c r="DG736" s="105">
        <f>-DF736</f>
        <v>1.4657142857142857</v>
      </c>
      <c r="DH736" s="87"/>
      <c r="DI736" s="87"/>
      <c r="DJ736" s="87"/>
      <c r="DK736" s="87"/>
      <c r="DL736" s="87"/>
      <c r="DM736" s="87"/>
      <c r="DN736" s="87"/>
      <c r="DO736" s="87"/>
      <c r="DP736" s="87"/>
      <c r="DQ736" s="87"/>
      <c r="DR736" s="87"/>
      <c r="DS736" s="87"/>
      <c r="DT736" s="87"/>
      <c r="DU736" s="87"/>
      <c r="DV736" s="87"/>
      <c r="DW736" s="87"/>
      <c r="DX736" s="87"/>
      <c r="DY736" s="87"/>
      <c r="DZ736" s="87"/>
      <c r="EA736" s="87"/>
      <c r="EB736" s="87"/>
      <c r="EC736" s="87"/>
      <c r="ED736" s="87"/>
      <c r="EE736" s="87"/>
      <c r="EF736" s="87"/>
      <c r="EG736" s="87"/>
      <c r="EH736" s="87"/>
      <c r="EI736" s="87"/>
    </row>
    <row r="737" spans="1:139" ht="16.5" hidden="1" thickBot="1" x14ac:dyDescent="0.35">
      <c r="A737" s="389" t="s">
        <v>386</v>
      </c>
      <c r="B737" s="194">
        <v>4</v>
      </c>
      <c r="C737" s="224">
        <f>0.95*5.6</f>
        <v>5.3199999999999994</v>
      </c>
      <c r="D737" s="234">
        <f>C737/VLOOKUP(B737,'[2]Gas Prod per PADD'!$A$1:$C$6,2,FALSE)</f>
        <v>1.564705882352941E-2</v>
      </c>
      <c r="E737" s="231">
        <v>45824</v>
      </c>
      <c r="F737" s="281">
        <v>45827</v>
      </c>
      <c r="G737" s="194" t="s">
        <v>1051</v>
      </c>
      <c r="H737" s="198" t="s">
        <v>364</v>
      </c>
      <c r="I737" s="84"/>
      <c r="J737" s="85"/>
      <c r="K737" s="85"/>
      <c r="L737" s="85"/>
      <c r="M737" s="85"/>
      <c r="N737" s="85"/>
      <c r="O737" s="85"/>
      <c r="P737" s="85"/>
      <c r="Q737" s="85"/>
      <c r="R737" s="85"/>
      <c r="S737" s="85"/>
      <c r="T737" s="85"/>
      <c r="U737" s="85">
        <f t="shared" si="32"/>
        <v>-0.53199999999999992</v>
      </c>
      <c r="V737" s="84"/>
      <c r="W737" s="84"/>
      <c r="X737" s="84"/>
      <c r="Y737" s="86"/>
      <c r="Z737" s="86"/>
      <c r="AA737" s="87"/>
      <c r="AB737" s="87"/>
      <c r="AC737" s="87"/>
      <c r="AD737" s="87"/>
      <c r="AE737" s="87"/>
      <c r="AF737" s="87"/>
      <c r="AG737" s="87"/>
      <c r="AH737" s="87"/>
      <c r="AI737" s="87"/>
      <c r="AJ737" s="87"/>
      <c r="AK737" s="87"/>
      <c r="AL737" s="87"/>
      <c r="AM737" s="87"/>
      <c r="AN737" s="87"/>
      <c r="AO737" s="87"/>
      <c r="AP737" s="87"/>
      <c r="AQ737" s="87"/>
      <c r="AR737" s="87"/>
      <c r="AS737" s="87"/>
      <c r="AT737" s="87"/>
      <c r="AU737" s="87"/>
      <c r="AV737" s="87"/>
      <c r="AW737" s="87"/>
      <c r="AX737" s="87"/>
      <c r="AY737" s="87"/>
      <c r="AZ737" s="87"/>
      <c r="BA737" s="87"/>
      <c r="BB737" s="87"/>
      <c r="BC737" s="87"/>
      <c r="BD737" s="87"/>
      <c r="BE737" s="87"/>
      <c r="BF737" s="87"/>
      <c r="BG737" s="87"/>
      <c r="BH737" s="87"/>
      <c r="BI737" s="87"/>
      <c r="BJ737" s="87"/>
      <c r="BK737" s="87"/>
      <c r="BL737" s="87"/>
      <c r="BM737" s="87"/>
      <c r="BN737" s="87"/>
      <c r="BO737" s="87"/>
      <c r="BP737" s="87"/>
      <c r="BQ737" s="87"/>
      <c r="BR737" s="87"/>
      <c r="BS737" s="87"/>
      <c r="BT737" s="87"/>
      <c r="BU737" s="87"/>
      <c r="BV737" s="87"/>
      <c r="BW737" s="87"/>
      <c r="BX737" s="87"/>
      <c r="BY737" s="87"/>
      <c r="BZ737" s="87"/>
      <c r="CA737" s="87"/>
      <c r="CB737" s="87"/>
      <c r="CC737" s="87"/>
      <c r="CD737" s="87"/>
      <c r="CE737" s="87"/>
      <c r="CF737" s="87"/>
      <c r="CG737" s="87"/>
      <c r="CH737" s="87"/>
      <c r="CI737" s="87"/>
      <c r="CJ737" s="87"/>
      <c r="CK737" s="87"/>
      <c r="CL737" s="87"/>
      <c r="CM737" s="87"/>
      <c r="CN737" s="87"/>
      <c r="CO737" s="87"/>
      <c r="CP737" s="87"/>
      <c r="CQ737" s="87"/>
      <c r="CR737" s="87"/>
      <c r="CS737" s="87"/>
      <c r="CT737" s="87"/>
      <c r="CU737" s="87"/>
      <c r="CV737" s="87"/>
      <c r="CW737" s="87"/>
      <c r="CX737" s="87"/>
      <c r="CY737" s="87"/>
      <c r="CZ737" s="87"/>
      <c r="DA737" s="87"/>
      <c r="DB737" s="87"/>
      <c r="DC737" s="87"/>
      <c r="DD737" s="87"/>
      <c r="DE737" s="87"/>
      <c r="DF737" s="87">
        <f>-3/7*C737</f>
        <v>-2.2799999999999998</v>
      </c>
      <c r="DG737" s="87">
        <f>-DF737</f>
        <v>2.2799999999999998</v>
      </c>
      <c r="DH737" s="87"/>
      <c r="DI737" s="87"/>
      <c r="DJ737" s="87"/>
      <c r="DK737" s="87"/>
      <c r="DL737" s="87"/>
      <c r="DM737" s="87"/>
      <c r="DN737" s="87"/>
      <c r="DO737" s="87"/>
      <c r="DP737" s="87"/>
      <c r="DQ737" s="87"/>
      <c r="DR737" s="87"/>
      <c r="DS737" s="87"/>
      <c r="DT737" s="87"/>
      <c r="DU737" s="87"/>
      <c r="DV737" s="87"/>
      <c r="DW737" s="87"/>
      <c r="DX737" s="87"/>
      <c r="DY737" s="87"/>
      <c r="DZ737" s="87"/>
      <c r="EA737" s="87"/>
      <c r="EB737" s="87"/>
      <c r="EC737" s="87"/>
      <c r="ED737" s="87"/>
      <c r="EE737" s="87"/>
      <c r="EF737" s="87"/>
      <c r="EG737" s="87"/>
      <c r="EH737" s="87"/>
      <c r="EI737" s="87"/>
    </row>
    <row r="738" spans="1:139" ht="29.25" hidden="1" thickBot="1" x14ac:dyDescent="0.35">
      <c r="A738" s="390" t="s">
        <v>127</v>
      </c>
      <c r="B738" s="191">
        <v>3</v>
      </c>
      <c r="C738" s="388">
        <f>80*0.1+(39.6*0.85)</f>
        <v>41.660000000000004</v>
      </c>
      <c r="D738" s="234">
        <f>C738/VLOOKUP(B738,'[2]Gas Prod per PADD'!$A$1:$C$6,2,FALSE)</f>
        <v>9.0565217391304353E-3</v>
      </c>
      <c r="E738" s="220">
        <v>45824</v>
      </c>
      <c r="F738" s="252">
        <v>45827</v>
      </c>
      <c r="G738" s="180" t="s">
        <v>1240</v>
      </c>
      <c r="H738" s="230" t="s">
        <v>640</v>
      </c>
      <c r="I738" s="84"/>
      <c r="J738" s="85"/>
      <c r="K738" s="85"/>
      <c r="L738" s="85"/>
      <c r="M738" s="85"/>
      <c r="N738" s="85"/>
      <c r="O738" s="85"/>
      <c r="P738" s="85"/>
      <c r="Q738" s="85"/>
      <c r="R738" s="85"/>
      <c r="S738" s="85"/>
      <c r="T738" s="85"/>
      <c r="U738" s="85">
        <f t="shared" si="32"/>
        <v>-4.1660000000000004</v>
      </c>
      <c r="V738" s="84"/>
      <c r="W738" s="84"/>
      <c r="X738" s="84"/>
      <c r="Y738" s="105"/>
      <c r="Z738" s="105"/>
      <c r="AA738" s="87"/>
      <c r="AB738" s="87"/>
      <c r="AC738" s="87"/>
      <c r="AD738" s="87"/>
      <c r="AE738" s="105"/>
      <c r="AF738" s="105"/>
      <c r="AG738" s="105"/>
      <c r="AH738" s="105"/>
      <c r="AI738" s="87"/>
      <c r="AJ738" s="87"/>
      <c r="AK738" s="87"/>
      <c r="AL738" s="87"/>
      <c r="AM738" s="87"/>
      <c r="AN738" s="87"/>
      <c r="AO738" s="87"/>
      <c r="AP738" s="87"/>
      <c r="AQ738" s="87"/>
      <c r="AR738" s="87"/>
      <c r="AS738" s="87"/>
      <c r="AT738" s="87"/>
      <c r="AU738" s="87"/>
      <c r="AV738" s="87"/>
      <c r="AW738" s="87"/>
      <c r="AX738" s="87"/>
      <c r="AY738" s="87"/>
      <c r="AZ738" s="87"/>
      <c r="BA738" s="87"/>
      <c r="BB738" s="87"/>
      <c r="BC738" s="87"/>
      <c r="BD738" s="87"/>
      <c r="BE738" s="87"/>
      <c r="BF738" s="87"/>
      <c r="BG738" s="87"/>
      <c r="BH738" s="87"/>
      <c r="BI738" s="87"/>
      <c r="BJ738" s="87"/>
      <c r="BK738" s="87"/>
      <c r="BL738" s="87"/>
      <c r="BM738" s="87"/>
      <c r="BN738" s="87"/>
      <c r="BO738" s="87"/>
      <c r="BP738" s="87"/>
      <c r="BQ738" s="87"/>
      <c r="BR738" s="87"/>
      <c r="BS738" s="87"/>
      <c r="BT738" s="87"/>
      <c r="BU738" s="87"/>
      <c r="BV738" s="87"/>
      <c r="BW738" s="87"/>
      <c r="BX738" s="87"/>
      <c r="BY738" s="87"/>
      <c r="BZ738" s="87"/>
      <c r="CA738" s="87"/>
      <c r="CB738" s="87"/>
      <c r="CC738" s="87"/>
      <c r="CD738" s="87"/>
      <c r="CE738" s="87"/>
      <c r="CF738" s="87"/>
      <c r="CG738" s="87"/>
      <c r="CH738" s="87"/>
      <c r="CI738" s="87"/>
      <c r="CJ738" s="87"/>
      <c r="CK738" s="87"/>
      <c r="CL738" s="105"/>
      <c r="CM738" s="105"/>
      <c r="CN738" s="105"/>
      <c r="CO738" s="105"/>
      <c r="CP738" s="105"/>
      <c r="CQ738" s="87"/>
      <c r="CR738" s="87"/>
      <c r="CS738" s="87"/>
      <c r="CT738" s="87"/>
      <c r="CU738" s="87"/>
      <c r="CV738" s="87"/>
      <c r="CW738" s="87"/>
      <c r="CX738" s="87"/>
      <c r="CY738" s="87"/>
      <c r="CZ738" s="87"/>
      <c r="DA738" s="87"/>
      <c r="DB738" s="87"/>
      <c r="DC738" s="87"/>
      <c r="DD738" s="87"/>
      <c r="DE738" s="87"/>
      <c r="DF738" s="87">
        <f>-3/7*C738</f>
        <v>-17.854285714285716</v>
      </c>
      <c r="DG738" s="87">
        <f>-DF738</f>
        <v>17.854285714285716</v>
      </c>
      <c r="DH738" s="87"/>
      <c r="DI738" s="87"/>
      <c r="DJ738" s="87"/>
      <c r="DK738" s="87"/>
      <c r="DL738" s="87"/>
      <c r="DM738" s="87"/>
      <c r="DN738" s="87"/>
      <c r="DO738" s="87"/>
      <c r="DP738" s="87"/>
      <c r="DQ738" s="87"/>
      <c r="DR738" s="87"/>
      <c r="DS738" s="87"/>
      <c r="DT738" s="87"/>
      <c r="DU738" s="87"/>
      <c r="DV738" s="105"/>
      <c r="DW738" s="87"/>
      <c r="DX738" s="87"/>
      <c r="DY738" s="105"/>
      <c r="DZ738" s="87"/>
      <c r="EA738" s="87"/>
      <c r="EB738" s="105"/>
      <c r="EC738" s="87"/>
      <c r="ED738" s="87"/>
      <c r="EE738" s="87"/>
      <c r="EF738" s="87"/>
      <c r="EG738" s="87"/>
      <c r="EH738" s="87"/>
      <c r="EI738" s="87"/>
    </row>
    <row r="739" spans="1:139" ht="16.5" hidden="1" thickBot="1" x14ac:dyDescent="0.35">
      <c r="A739" s="390" t="s">
        <v>158</v>
      </c>
      <c r="B739" s="194">
        <v>3</v>
      </c>
      <c r="C739" s="195">
        <f>280*0.25</f>
        <v>70</v>
      </c>
      <c r="D739" s="217">
        <f>C739/VLOOKUP(B739,'[2]Gas Prod per PADD'!$A$1:$C$6,2,FALSE)</f>
        <v>1.5217391304347827E-2</v>
      </c>
      <c r="E739" s="196">
        <v>45825</v>
      </c>
      <c r="F739" s="281">
        <v>45827</v>
      </c>
      <c r="G739" s="180" t="s">
        <v>1241</v>
      </c>
      <c r="H739" s="181" t="s">
        <v>364</v>
      </c>
      <c r="I739" s="84"/>
      <c r="J739" s="85"/>
      <c r="K739" s="85"/>
      <c r="L739" s="85"/>
      <c r="M739" s="85"/>
      <c r="N739" s="85"/>
      <c r="O739" s="85"/>
      <c r="P739" s="85"/>
      <c r="Q739" s="85"/>
      <c r="R739" s="85"/>
      <c r="S739" s="85"/>
      <c r="T739" s="85"/>
      <c r="U739" s="85">
        <f t="shared" si="32"/>
        <v>-4.666666666666667</v>
      </c>
      <c r="V739" s="84"/>
      <c r="W739" s="84"/>
      <c r="X739" s="84"/>
      <c r="Y739" s="105"/>
      <c r="Z739" s="105"/>
      <c r="AA739" s="87"/>
      <c r="AB739" s="87"/>
      <c r="AC739" s="87"/>
      <c r="AD739" s="87"/>
      <c r="AE739" s="105"/>
      <c r="AF739" s="105"/>
      <c r="AG739" s="105"/>
      <c r="AH739" s="105"/>
      <c r="AI739" s="87"/>
      <c r="AJ739" s="87"/>
      <c r="AK739" s="105"/>
      <c r="AL739" s="87"/>
      <c r="AM739" s="105"/>
      <c r="AN739" s="105"/>
      <c r="AO739" s="87"/>
      <c r="AP739" s="87"/>
      <c r="AQ739" s="105"/>
      <c r="AR739" s="105"/>
      <c r="AS739" s="87"/>
      <c r="AT739" s="105"/>
      <c r="AU739" s="105"/>
      <c r="AV739" s="87"/>
      <c r="AW739" s="105"/>
      <c r="AX739" s="105"/>
      <c r="AY739" s="87"/>
      <c r="AZ739" s="105"/>
      <c r="BA739" s="105"/>
      <c r="BB739" s="105"/>
      <c r="BC739" s="87"/>
      <c r="BD739" s="87"/>
      <c r="BE739" s="105"/>
      <c r="BF739" s="105"/>
      <c r="BG739" s="105"/>
      <c r="BH739" s="105"/>
      <c r="BI739" s="105"/>
      <c r="BJ739" s="87"/>
      <c r="BK739" s="87"/>
      <c r="BL739" s="87"/>
      <c r="BM739" s="87"/>
      <c r="BN739" s="87"/>
      <c r="BO739" s="105"/>
      <c r="BP739" s="105"/>
      <c r="BQ739" s="105"/>
      <c r="BR739" s="105"/>
      <c r="BS739" s="105"/>
      <c r="BT739" s="87"/>
      <c r="BU739" s="87"/>
      <c r="BV739" s="87"/>
      <c r="BW739" s="87"/>
      <c r="BX739" s="87"/>
      <c r="BY739" s="87"/>
      <c r="BZ739" s="87"/>
      <c r="CA739" s="87"/>
      <c r="CB739" s="87"/>
      <c r="CC739" s="87"/>
      <c r="CD739" s="87"/>
      <c r="CE739" s="87"/>
      <c r="CF739" s="87"/>
      <c r="CG739" s="87"/>
      <c r="CH739" s="87"/>
      <c r="CI739" s="87"/>
      <c r="CJ739" s="87"/>
      <c r="CK739" s="87"/>
      <c r="CL739" s="87"/>
      <c r="CM739" s="87"/>
      <c r="CN739" s="87"/>
      <c r="CO739" s="87"/>
      <c r="CP739" s="87"/>
      <c r="CQ739" s="87"/>
      <c r="CR739" s="87"/>
      <c r="CS739" s="87"/>
      <c r="CT739" s="87"/>
      <c r="CU739" s="87"/>
      <c r="CV739" s="87"/>
      <c r="CW739" s="87"/>
      <c r="CX739" s="87"/>
      <c r="CY739" s="87"/>
      <c r="CZ739" s="87"/>
      <c r="DA739" s="87"/>
      <c r="DB739" s="87"/>
      <c r="DC739" s="87"/>
      <c r="DD739" s="87"/>
      <c r="DE739" s="87"/>
      <c r="DF739" s="87">
        <f>-3/7*C739</f>
        <v>-30</v>
      </c>
      <c r="DG739" s="87">
        <f>-DF739</f>
        <v>30</v>
      </c>
      <c r="DH739" s="87"/>
      <c r="DI739" s="87"/>
      <c r="DJ739" s="87"/>
      <c r="DK739" s="87"/>
      <c r="DL739" s="87"/>
      <c r="DM739" s="87"/>
      <c r="DN739" s="87"/>
      <c r="DO739" s="87"/>
      <c r="DP739" s="87"/>
      <c r="DQ739" s="87"/>
      <c r="DR739" s="87"/>
      <c r="DS739" s="87"/>
      <c r="DT739" s="87"/>
      <c r="DU739" s="87"/>
      <c r="DV739" s="87"/>
      <c r="DW739" s="87"/>
      <c r="DX739" s="87"/>
      <c r="DY739" s="87"/>
      <c r="DZ739" s="87"/>
      <c r="EA739" s="87"/>
      <c r="EB739" s="87"/>
      <c r="EC739" s="87"/>
      <c r="ED739" s="87"/>
      <c r="EE739" s="87"/>
      <c r="EF739" s="87"/>
      <c r="EG739" s="87"/>
      <c r="EH739" s="87"/>
      <c r="EI739" s="87"/>
    </row>
    <row r="740" spans="1:139" ht="16.5" hidden="1" thickBot="1" x14ac:dyDescent="0.35">
      <c r="A740" s="391" t="s">
        <v>405</v>
      </c>
      <c r="B740" s="191">
        <v>1</v>
      </c>
      <c r="C740" s="177">
        <f>18*0.05</f>
        <v>0.9</v>
      </c>
      <c r="D740" s="217">
        <f>C740/VLOOKUP(B740,'[2]Gas Prod per PADD'!$A$1:$C$6,2,FALSE)</f>
        <v>1.8750000000000001E-3</v>
      </c>
      <c r="E740" s="178">
        <v>45814</v>
      </c>
      <c r="F740" s="252">
        <v>45829</v>
      </c>
      <c r="G740" s="180" t="s">
        <v>761</v>
      </c>
      <c r="H740" s="181" t="s">
        <v>640</v>
      </c>
      <c r="I740" s="84"/>
      <c r="J740" s="85"/>
      <c r="K740" s="85"/>
      <c r="L740" s="85"/>
      <c r="M740" s="85"/>
      <c r="N740" s="85"/>
      <c r="O740" s="85"/>
      <c r="P740" s="85"/>
      <c r="Q740" s="85"/>
      <c r="R740" s="85"/>
      <c r="S740" s="85"/>
      <c r="T740" s="85"/>
      <c r="U740" s="85">
        <f t="shared" si="32"/>
        <v>-0.45</v>
      </c>
      <c r="V740" s="84"/>
      <c r="W740" s="84"/>
      <c r="X740" s="84"/>
      <c r="Y740" s="86"/>
      <c r="Z740" s="87"/>
      <c r="AA740" s="87"/>
      <c r="AB740" s="87"/>
      <c r="AC740" s="87"/>
      <c r="AD740" s="87"/>
      <c r="AE740" s="87"/>
      <c r="AF740" s="87"/>
      <c r="AG740" s="87"/>
      <c r="AH740" s="87"/>
      <c r="AI740" s="87"/>
      <c r="AJ740" s="87"/>
      <c r="AK740" s="87"/>
      <c r="AL740" s="87"/>
      <c r="AM740" s="87"/>
      <c r="AN740" s="87"/>
      <c r="AO740" s="87"/>
      <c r="AP740" s="87"/>
      <c r="AQ740" s="87"/>
      <c r="AR740" s="87"/>
      <c r="AS740" s="87"/>
      <c r="AT740" s="87"/>
      <c r="AU740" s="87"/>
      <c r="AV740" s="87"/>
      <c r="AW740" s="87"/>
      <c r="AX740" s="87"/>
      <c r="AY740" s="87"/>
      <c r="AZ740" s="87"/>
      <c r="BA740" s="87"/>
      <c r="BB740" s="87"/>
      <c r="BC740" s="87"/>
      <c r="BD740" s="87"/>
      <c r="BE740" s="87"/>
      <c r="BF740" s="87"/>
      <c r="BG740" s="87"/>
      <c r="BH740" s="87"/>
      <c r="BI740" s="87"/>
      <c r="BJ740" s="105"/>
      <c r="BK740" s="87"/>
      <c r="BL740" s="105"/>
      <c r="BM740" s="105"/>
      <c r="BN740" s="105"/>
      <c r="BO740" s="105"/>
      <c r="BP740" s="105"/>
      <c r="BQ740" s="87"/>
      <c r="BR740" s="87"/>
      <c r="BS740" s="87"/>
      <c r="BT740" s="87"/>
      <c r="BU740" s="87"/>
      <c r="BV740" s="87"/>
      <c r="BW740" s="87"/>
      <c r="BX740" s="87"/>
      <c r="BY740" s="87"/>
      <c r="BZ740" s="87"/>
      <c r="CA740" s="87"/>
      <c r="CB740" s="87"/>
      <c r="CC740" s="87"/>
      <c r="CD740" s="87"/>
      <c r="CE740" s="87"/>
      <c r="CF740" s="87"/>
      <c r="CG740" s="87"/>
      <c r="CH740" s="87"/>
      <c r="CI740" s="87"/>
      <c r="CJ740" s="87"/>
      <c r="CK740" s="87"/>
      <c r="CL740" s="87"/>
      <c r="CM740" s="87"/>
      <c r="CN740" s="295"/>
      <c r="CO740" s="87"/>
      <c r="CP740" s="87"/>
      <c r="CQ740" s="87"/>
      <c r="CR740" s="87"/>
      <c r="CS740" s="87"/>
      <c r="CT740" s="87"/>
      <c r="CU740" s="87"/>
      <c r="CV740" s="87"/>
      <c r="CW740" s="87"/>
      <c r="CX740" s="87"/>
      <c r="CY740" s="87"/>
      <c r="CZ740" s="87"/>
      <c r="DA740" s="87"/>
      <c r="DB740" s="87"/>
      <c r="DC740" s="87"/>
      <c r="DD740" s="87">
        <f>-1/7*C740</f>
        <v>-0.12857142857142856</v>
      </c>
      <c r="DE740" s="87">
        <f>-6/7*C740</f>
        <v>-0.77142857142857135</v>
      </c>
      <c r="DF740" s="105"/>
      <c r="DG740" s="105">
        <f>-DE740</f>
        <v>0.77142857142857135</v>
      </c>
      <c r="DH740" s="87">
        <f>-DD740</f>
        <v>0.12857142857142856</v>
      </c>
      <c r="DI740" s="87"/>
      <c r="DJ740" s="87"/>
      <c r="DK740" s="87"/>
      <c r="DL740" s="87"/>
      <c r="DM740" s="87"/>
      <c r="DN740" s="87"/>
      <c r="DO740" s="87"/>
      <c r="DP740" s="87"/>
      <c r="DQ740" s="87"/>
      <c r="DR740" s="87"/>
      <c r="DS740" s="87"/>
      <c r="DT740" s="87"/>
      <c r="DU740" s="87"/>
      <c r="DV740" s="87"/>
      <c r="DW740" s="87"/>
      <c r="DX740" s="87"/>
      <c r="DY740" s="87"/>
      <c r="DZ740" s="87"/>
      <c r="EA740" s="87"/>
      <c r="EB740" s="87"/>
      <c r="EC740" s="87"/>
      <c r="ED740" s="87"/>
      <c r="EE740" s="87"/>
      <c r="EF740" s="87"/>
      <c r="EG740" s="87"/>
      <c r="EH740" s="87"/>
      <c r="EI740" s="87"/>
    </row>
    <row r="741" spans="1:139" ht="16.5" hidden="1" thickBot="1" x14ac:dyDescent="0.35">
      <c r="A741" s="113" t="s">
        <v>82</v>
      </c>
      <c r="B741" s="199">
        <v>4</v>
      </c>
      <c r="C741" s="195">
        <f>15*0.25</f>
        <v>3.75</v>
      </c>
      <c r="D741" s="217">
        <f>C741/VLOOKUP(B741,'[2]Gas Prod per PADD'!$A$1:$C$6,2,FALSE)</f>
        <v>1.1029411764705883E-2</v>
      </c>
      <c r="E741" s="197">
        <v>45826</v>
      </c>
      <c r="F741" s="281">
        <v>45829</v>
      </c>
      <c r="G741" s="194" t="s">
        <v>1242</v>
      </c>
      <c r="H741" s="181" t="s">
        <v>543</v>
      </c>
      <c r="I741" s="73"/>
      <c r="J741" s="229"/>
      <c r="K741" s="229"/>
      <c r="L741" s="229"/>
      <c r="M741" s="229"/>
      <c r="N741" s="229"/>
      <c r="O741" s="229"/>
      <c r="P741" s="229"/>
      <c r="Q741" s="229"/>
      <c r="R741" s="229"/>
      <c r="S741" s="229"/>
      <c r="T741" s="85"/>
      <c r="U741" s="85">
        <f t="shared" si="32"/>
        <v>-0.375</v>
      </c>
      <c r="V741" s="84"/>
      <c r="W741" s="84"/>
      <c r="X741" s="84"/>
      <c r="Y741" s="74"/>
      <c r="Z741" s="74"/>
      <c r="AA741" s="74"/>
      <c r="AB741" s="74"/>
      <c r="AC741" s="74"/>
      <c r="AD741" s="74"/>
      <c r="AE741" s="74"/>
      <c r="AF741" s="74"/>
      <c r="AG741" s="75"/>
      <c r="AH741" s="74"/>
      <c r="AI741" s="74"/>
      <c r="AJ741" s="74"/>
      <c r="AK741" s="74"/>
      <c r="AL741" s="74"/>
      <c r="AM741" s="74"/>
      <c r="AN741" s="74"/>
      <c r="AO741" s="74"/>
      <c r="AP741" s="74"/>
      <c r="AQ741" s="74"/>
      <c r="AR741" s="75"/>
      <c r="AS741" s="74"/>
      <c r="AT741" s="74"/>
      <c r="AU741" s="74"/>
      <c r="AV741" s="87"/>
      <c r="AW741" s="87"/>
      <c r="AX741" s="87"/>
      <c r="AY741" s="87"/>
      <c r="AZ741" s="87"/>
      <c r="BA741" s="87"/>
      <c r="BB741" s="87"/>
      <c r="BC741" s="87"/>
      <c r="BD741" s="87"/>
      <c r="BE741" s="87"/>
      <c r="BF741" s="74"/>
      <c r="BG741" s="74"/>
      <c r="BH741" s="74"/>
      <c r="BI741" s="74"/>
      <c r="BJ741" s="74"/>
      <c r="BK741" s="74"/>
      <c r="BL741" s="74"/>
      <c r="BM741" s="74"/>
      <c r="BN741" s="74"/>
      <c r="BO741" s="74"/>
      <c r="BP741" s="74"/>
      <c r="BQ741" s="74"/>
      <c r="BR741" s="74"/>
      <c r="BS741" s="74"/>
      <c r="BT741" s="74"/>
      <c r="BU741" s="74"/>
      <c r="BV741" s="74"/>
      <c r="BW741" s="74"/>
      <c r="BX741" s="74"/>
      <c r="BY741" s="74"/>
      <c r="BZ741" s="74"/>
      <c r="CA741" s="74"/>
      <c r="CB741" s="74"/>
      <c r="CC741" s="74"/>
      <c r="CD741" s="74"/>
      <c r="CE741" s="74"/>
      <c r="CF741" s="74"/>
      <c r="CG741" s="74"/>
      <c r="CH741" s="87"/>
      <c r="CI741" s="87"/>
      <c r="CJ741" s="87"/>
      <c r="CK741" s="87"/>
      <c r="CL741" s="87"/>
      <c r="CM741" s="87"/>
      <c r="CN741" s="87"/>
      <c r="CO741" s="87"/>
      <c r="CP741" s="87"/>
      <c r="CQ741" s="87"/>
      <c r="CR741" s="87"/>
      <c r="CS741" s="87"/>
      <c r="CT741" s="87"/>
      <c r="CU741" s="87"/>
      <c r="CV741" s="87"/>
      <c r="CW741" s="87"/>
      <c r="CX741" s="87"/>
      <c r="CY741" s="87"/>
      <c r="CZ741" s="87"/>
      <c r="DA741" s="87"/>
      <c r="DB741" s="87"/>
      <c r="DC741" s="87"/>
      <c r="DD741" s="87"/>
      <c r="DE741" s="87"/>
      <c r="DF741" s="87">
        <f>-2/7*C741</f>
        <v>-1.0714285714285714</v>
      </c>
      <c r="DG741" s="87">
        <f>-DF741</f>
        <v>1.0714285714285714</v>
      </c>
      <c r="DH741" s="105"/>
      <c r="DI741" s="87"/>
      <c r="DJ741" s="87"/>
      <c r="DK741" s="87"/>
      <c r="DL741" s="87"/>
      <c r="DM741" s="87"/>
      <c r="DN741" s="87"/>
      <c r="DO741" s="87"/>
      <c r="DP741" s="87"/>
      <c r="DQ741" s="87"/>
      <c r="DR741" s="87"/>
      <c r="DS741" s="87"/>
      <c r="DT741" s="87"/>
      <c r="DU741" s="87"/>
      <c r="DV741" s="87"/>
      <c r="DW741" s="87"/>
      <c r="DX741" s="87"/>
      <c r="DY741" s="87"/>
      <c r="DZ741" s="87"/>
      <c r="EA741" s="87"/>
      <c r="EB741" s="87"/>
      <c r="EC741" s="87"/>
      <c r="ED741" s="87"/>
      <c r="EE741" s="87"/>
      <c r="EF741" s="87"/>
      <c r="EG741" s="87"/>
      <c r="EH741" s="87"/>
      <c r="EI741" s="87"/>
    </row>
    <row r="742" spans="1:139" ht="29.25" hidden="1" thickBot="1" x14ac:dyDescent="0.35">
      <c r="A742" s="392" t="s">
        <v>1243</v>
      </c>
      <c r="B742" s="191">
        <v>3</v>
      </c>
      <c r="C742" s="177">
        <f>50*0.25</f>
        <v>12.5</v>
      </c>
      <c r="D742" s="217">
        <v>2.717391304347826E-3</v>
      </c>
      <c r="E742" s="178">
        <v>45817</v>
      </c>
      <c r="F742" s="252">
        <v>45830</v>
      </c>
      <c r="G742" s="180" t="s">
        <v>159</v>
      </c>
      <c r="H742" s="181" t="s">
        <v>1244</v>
      </c>
      <c r="I742" s="84"/>
      <c r="J742" s="85"/>
      <c r="K742" s="85"/>
      <c r="L742" s="85"/>
      <c r="M742" s="85"/>
      <c r="N742" s="85"/>
      <c r="O742" s="85"/>
      <c r="P742" s="85"/>
      <c r="Q742" s="85"/>
      <c r="R742" s="85"/>
      <c r="S742" s="85"/>
      <c r="T742" s="85"/>
      <c r="U742" s="85">
        <f t="shared" si="32"/>
        <v>-5.416666666666667</v>
      </c>
      <c r="V742" s="84"/>
      <c r="W742" s="84"/>
      <c r="X742" s="84"/>
      <c r="Y742" s="105"/>
      <c r="Z742" s="105"/>
      <c r="AA742" s="87"/>
      <c r="AB742" s="87"/>
      <c r="AC742" s="87"/>
      <c r="AD742" s="87"/>
      <c r="AE742" s="105"/>
      <c r="AF742" s="105"/>
      <c r="AG742" s="105"/>
      <c r="AH742" s="105"/>
      <c r="AI742" s="87"/>
      <c r="AJ742" s="87"/>
      <c r="AK742" s="105"/>
      <c r="AL742" s="87"/>
      <c r="AM742" s="105"/>
      <c r="AN742" s="105"/>
      <c r="AO742" s="87"/>
      <c r="AP742" s="87"/>
      <c r="AQ742" s="105"/>
      <c r="AR742" s="105"/>
      <c r="AS742" s="87"/>
      <c r="AT742" s="105"/>
      <c r="AU742" s="105"/>
      <c r="AV742" s="87"/>
      <c r="AW742" s="105"/>
      <c r="AX742" s="105"/>
      <c r="AY742" s="87"/>
      <c r="AZ742" s="105"/>
      <c r="BA742" s="105"/>
      <c r="BB742" s="105"/>
      <c r="BC742" s="87"/>
      <c r="BD742" s="87"/>
      <c r="BE742" s="105"/>
      <c r="BF742" s="105"/>
      <c r="BG742" s="105"/>
      <c r="BH742" s="105"/>
      <c r="BI742" s="105"/>
      <c r="BJ742" s="87"/>
      <c r="BK742" s="87"/>
      <c r="BL742" s="87"/>
      <c r="BM742" s="87"/>
      <c r="BN742" s="87"/>
      <c r="BO742" s="105"/>
      <c r="BP742" s="105"/>
      <c r="BQ742" s="105"/>
      <c r="BR742" s="105"/>
      <c r="BS742" s="105"/>
      <c r="BT742" s="87"/>
      <c r="BU742" s="87"/>
      <c r="BV742" s="87"/>
      <c r="BW742" s="87"/>
      <c r="BX742" s="87"/>
      <c r="BY742" s="87"/>
      <c r="BZ742" s="87"/>
      <c r="CA742" s="87"/>
      <c r="CB742" s="87"/>
      <c r="CC742" s="87"/>
      <c r="CD742" s="87"/>
      <c r="CE742" s="87"/>
      <c r="CF742" s="87"/>
      <c r="CG742" s="87"/>
      <c r="CH742" s="87"/>
      <c r="CI742" s="87"/>
      <c r="CJ742" s="87"/>
      <c r="CK742" s="87"/>
      <c r="CL742" s="87"/>
      <c r="CM742" s="87"/>
      <c r="CN742" s="87"/>
      <c r="CO742" s="87"/>
      <c r="CP742" s="87"/>
      <c r="CQ742" s="87"/>
      <c r="CR742" s="87"/>
      <c r="CS742" s="87"/>
      <c r="CT742" s="87"/>
      <c r="CU742" s="87"/>
      <c r="CV742" s="87"/>
      <c r="CW742" s="87"/>
      <c r="CX742" s="87"/>
      <c r="CY742" s="87"/>
      <c r="CZ742" s="87"/>
      <c r="DA742" s="87"/>
      <c r="DB742" s="87"/>
      <c r="DC742" s="87"/>
      <c r="DD742" s="87"/>
      <c r="DE742" s="87"/>
      <c r="DF742" s="87"/>
      <c r="DG742" s="87">
        <f>5/7*C742</f>
        <v>8.9285714285714288</v>
      </c>
      <c r="DH742" s="105">
        <f>C742-DG742</f>
        <v>3.5714285714285712</v>
      </c>
      <c r="DI742" s="87"/>
      <c r="DJ742" s="87"/>
      <c r="DK742" s="87"/>
      <c r="DL742" s="87"/>
      <c r="DM742" s="87"/>
      <c r="DN742" s="87"/>
      <c r="DO742" s="87"/>
      <c r="DP742" s="87"/>
      <c r="DQ742" s="87"/>
      <c r="DR742" s="87"/>
      <c r="DS742" s="87"/>
      <c r="DT742" s="87"/>
      <c r="DU742" s="87"/>
      <c r="DV742" s="87"/>
      <c r="DW742" s="87"/>
      <c r="DX742" s="87"/>
      <c r="DY742" s="87"/>
      <c r="DZ742" s="87"/>
      <c r="EA742" s="87"/>
      <c r="EB742" s="87"/>
      <c r="EC742" s="87"/>
      <c r="ED742" s="87"/>
      <c r="EE742" s="87"/>
      <c r="EF742" s="87"/>
      <c r="EG742" s="87"/>
      <c r="EH742" s="87"/>
      <c r="EI742" s="87"/>
    </row>
    <row r="743" spans="1:139" ht="16.5" hidden="1" thickBot="1" x14ac:dyDescent="0.35">
      <c r="A743" s="352" t="s">
        <v>223</v>
      </c>
      <c r="B743" s="223">
        <v>2</v>
      </c>
      <c r="C743" s="224">
        <f>12*0.05</f>
        <v>0.60000000000000009</v>
      </c>
      <c r="D743" s="217">
        <f>C743/VLOOKUP(B743,'[2]Gas Prod per PADD'!$A$1:$C$6,2,FALSE)</f>
        <v>2.5000000000000006E-4</v>
      </c>
      <c r="E743" s="225">
        <v>45824</v>
      </c>
      <c r="F743" s="276">
        <v>45830</v>
      </c>
      <c r="G743" s="180" t="s">
        <v>1245</v>
      </c>
      <c r="H743" s="221" t="s">
        <v>1246</v>
      </c>
      <c r="I743" s="84"/>
      <c r="J743" s="85"/>
      <c r="K743" s="85"/>
      <c r="L743" s="85"/>
      <c r="M743" s="85"/>
      <c r="N743" s="85"/>
      <c r="O743" s="85"/>
      <c r="P743" s="85"/>
      <c r="Q743" s="85"/>
      <c r="R743" s="85"/>
      <c r="S743" s="85"/>
      <c r="T743" s="85"/>
      <c r="U743" s="85">
        <f t="shared" si="32"/>
        <v>-0.12000000000000002</v>
      </c>
      <c r="V743" s="84"/>
      <c r="W743" s="84"/>
      <c r="X743" s="84"/>
      <c r="Y743" s="105"/>
      <c r="Z743" s="105"/>
      <c r="AA743" s="87"/>
      <c r="AB743" s="87"/>
      <c r="AC743" s="87"/>
      <c r="AD743" s="87"/>
      <c r="AE743" s="105"/>
      <c r="AF743" s="105"/>
      <c r="AG743" s="105"/>
      <c r="AH743" s="105"/>
      <c r="AI743" s="87"/>
      <c r="AJ743" s="87"/>
      <c r="AK743" s="105"/>
      <c r="AL743" s="87"/>
      <c r="AM743" s="105"/>
      <c r="AN743" s="105"/>
      <c r="AO743" s="87"/>
      <c r="AP743" s="87"/>
      <c r="AQ743" s="105"/>
      <c r="AR743" s="105"/>
      <c r="AS743" s="87"/>
      <c r="AT743" s="105"/>
      <c r="AU743" s="87"/>
      <c r="AV743" s="87"/>
      <c r="AW743" s="105"/>
      <c r="AX743" s="105"/>
      <c r="AY743" s="105"/>
      <c r="AZ743" s="105"/>
      <c r="BA743" s="105"/>
      <c r="BB743" s="105"/>
      <c r="BC743" s="105"/>
      <c r="BD743" s="87"/>
      <c r="BE743" s="87"/>
      <c r="BF743" s="87"/>
      <c r="BG743" s="87"/>
      <c r="BH743" s="87"/>
      <c r="BI743" s="87"/>
      <c r="BJ743" s="87"/>
      <c r="BK743" s="87"/>
      <c r="BL743" s="87"/>
      <c r="BM743" s="87"/>
      <c r="BN743" s="87"/>
      <c r="BO743" s="87"/>
      <c r="BP743" s="87"/>
      <c r="BQ743" s="87"/>
      <c r="BR743" s="87"/>
      <c r="BS743" s="87"/>
      <c r="BT743" s="87"/>
      <c r="BU743" s="87"/>
      <c r="BV743" s="87"/>
      <c r="BW743" s="87"/>
      <c r="BX743" s="87"/>
      <c r="BY743" s="87"/>
      <c r="BZ743" s="87"/>
      <c r="CA743" s="87"/>
      <c r="CB743" s="87"/>
      <c r="CC743" s="87"/>
      <c r="CD743" s="87"/>
      <c r="CE743" s="87"/>
      <c r="CF743" s="87"/>
      <c r="CG743" s="87"/>
      <c r="CH743" s="87"/>
      <c r="CI743" s="87"/>
      <c r="CJ743" s="87"/>
      <c r="CK743" s="87"/>
      <c r="CL743" s="87"/>
      <c r="CM743" s="87"/>
      <c r="CN743" s="87"/>
      <c r="CO743" s="87"/>
      <c r="CP743" s="87"/>
      <c r="CQ743" s="87"/>
      <c r="CR743" s="87"/>
      <c r="CS743" s="87"/>
      <c r="CT743" s="87"/>
      <c r="CU743" s="87"/>
      <c r="CV743" s="87"/>
      <c r="CW743" s="87"/>
      <c r="CX743" s="87"/>
      <c r="CY743" s="87"/>
      <c r="CZ743" s="87"/>
      <c r="DA743" s="87"/>
      <c r="DB743" s="87"/>
      <c r="DC743" s="87"/>
      <c r="DD743" s="87"/>
      <c r="DE743" s="105"/>
      <c r="DF743" s="105">
        <f>-C743*3/7</f>
        <v>-0.25714285714285717</v>
      </c>
      <c r="DG743" s="105">
        <f>-DF743</f>
        <v>0.25714285714285717</v>
      </c>
      <c r="DH743" s="105"/>
      <c r="DI743" s="87"/>
      <c r="DJ743" s="87"/>
      <c r="DK743" s="87"/>
      <c r="DL743" s="87"/>
      <c r="DM743" s="87"/>
      <c r="DN743" s="87"/>
      <c r="DO743" s="87"/>
      <c r="DP743" s="87"/>
      <c r="DQ743" s="87"/>
      <c r="DR743" s="87"/>
      <c r="DS743" s="87"/>
      <c r="DT743" s="87"/>
      <c r="DU743" s="87"/>
      <c r="DV743" s="87"/>
      <c r="DW743" s="87"/>
      <c r="DX743" s="87"/>
      <c r="DY743" s="87"/>
      <c r="DZ743" s="87"/>
      <c r="EA743" s="87"/>
      <c r="EB743" s="87"/>
      <c r="EC743" s="87"/>
      <c r="ED743" s="87"/>
      <c r="EE743" s="87"/>
      <c r="EF743" s="87"/>
      <c r="EG743" s="87"/>
      <c r="EH743" s="87"/>
      <c r="EI743" s="87"/>
    </row>
    <row r="744" spans="1:139" ht="16.5" hidden="1" thickBot="1" x14ac:dyDescent="0.35">
      <c r="A744" s="190" t="s">
        <v>127</v>
      </c>
      <c r="B744" s="191">
        <v>3</v>
      </c>
      <c r="C744" s="388">
        <f>80*0.25</f>
        <v>20</v>
      </c>
      <c r="D744" s="234">
        <f>C744/VLOOKUP(B744,'[2]Gas Prod per PADD'!$A$1:$C$6,2,FALSE)</f>
        <v>4.3478260869565218E-3</v>
      </c>
      <c r="E744" s="220">
        <v>45827</v>
      </c>
      <c r="F744" s="252">
        <v>45830</v>
      </c>
      <c r="G744" s="180" t="s">
        <v>1247</v>
      </c>
      <c r="H744" s="230" t="s">
        <v>1248</v>
      </c>
      <c r="I744" s="84"/>
      <c r="J744" s="85"/>
      <c r="K744" s="85"/>
      <c r="L744" s="85"/>
      <c r="M744" s="85"/>
      <c r="N744" s="85"/>
      <c r="O744" s="85"/>
      <c r="P744" s="85"/>
      <c r="Q744" s="85"/>
      <c r="R744" s="85"/>
      <c r="S744" s="85"/>
      <c r="T744" s="85"/>
      <c r="U744" s="85">
        <f t="shared" si="32"/>
        <v>-2</v>
      </c>
      <c r="V744" s="84"/>
      <c r="W744" s="84"/>
      <c r="X744" s="84"/>
      <c r="Y744" s="105"/>
      <c r="Z744" s="105"/>
      <c r="AA744" s="87"/>
      <c r="AB744" s="87"/>
      <c r="AC744" s="87"/>
      <c r="AD744" s="87"/>
      <c r="AE744" s="105"/>
      <c r="AF744" s="105"/>
      <c r="AG744" s="105"/>
      <c r="AH744" s="105"/>
      <c r="AI744" s="87"/>
      <c r="AJ744" s="87"/>
      <c r="AK744" s="87"/>
      <c r="AL744" s="87"/>
      <c r="AM744" s="87"/>
      <c r="AN744" s="87"/>
      <c r="AO744" s="87"/>
      <c r="AP744" s="87"/>
      <c r="AQ744" s="87"/>
      <c r="AR744" s="87"/>
      <c r="AS744" s="87"/>
      <c r="AT744" s="87"/>
      <c r="AU744" s="87"/>
      <c r="AV744" s="87"/>
      <c r="AW744" s="87"/>
      <c r="AX744" s="87"/>
      <c r="AY744" s="87"/>
      <c r="AZ744" s="87"/>
      <c r="BA744" s="87"/>
      <c r="BB744" s="87"/>
      <c r="BC744" s="87"/>
      <c r="BD744" s="87"/>
      <c r="BE744" s="87"/>
      <c r="BF744" s="87"/>
      <c r="BG744" s="87"/>
      <c r="BH744" s="87"/>
      <c r="BI744" s="87"/>
      <c r="BJ744" s="87"/>
      <c r="BK744" s="87"/>
      <c r="BL744" s="87"/>
      <c r="BM744" s="87"/>
      <c r="BN744" s="87"/>
      <c r="BO744" s="87"/>
      <c r="BP744" s="87"/>
      <c r="BQ744" s="87"/>
      <c r="BR744" s="87"/>
      <c r="BS744" s="87"/>
      <c r="BT744" s="87"/>
      <c r="BU744" s="87"/>
      <c r="BV744" s="87"/>
      <c r="BW744" s="87"/>
      <c r="BX744" s="87"/>
      <c r="BY744" s="87"/>
      <c r="BZ744" s="87"/>
      <c r="CA744" s="87"/>
      <c r="CB744" s="87"/>
      <c r="CC744" s="87"/>
      <c r="CD744" s="87"/>
      <c r="CE744" s="87"/>
      <c r="CF744" s="87"/>
      <c r="CG744" s="87"/>
      <c r="CH744" s="87"/>
      <c r="CI744" s="87"/>
      <c r="CJ744" s="87"/>
      <c r="CK744" s="87"/>
      <c r="CL744" s="105"/>
      <c r="CM744" s="105"/>
      <c r="CN744" s="105"/>
      <c r="CO744" s="105"/>
      <c r="CP744" s="105"/>
      <c r="CQ744" s="87"/>
      <c r="CR744" s="87"/>
      <c r="CS744" s="87"/>
      <c r="CT744" s="87"/>
      <c r="CU744" s="87"/>
      <c r="CV744" s="87"/>
      <c r="CW744" s="87"/>
      <c r="CX744" s="87"/>
      <c r="CY744" s="87"/>
      <c r="CZ744" s="87"/>
      <c r="DA744" s="87"/>
      <c r="DB744" s="87"/>
      <c r="DC744" s="87"/>
      <c r="DD744" s="87"/>
      <c r="DE744" s="87"/>
      <c r="DF744" s="87">
        <f>-2/7*C744</f>
        <v>-5.7142857142857135</v>
      </c>
      <c r="DG744" s="87">
        <f>-DF744</f>
        <v>5.7142857142857135</v>
      </c>
      <c r="DH744" s="87"/>
      <c r="DI744" s="87"/>
      <c r="DJ744" s="87"/>
      <c r="DK744" s="87"/>
      <c r="DL744" s="87"/>
      <c r="DM744" s="87"/>
      <c r="DN744" s="87"/>
      <c r="DO744" s="87"/>
      <c r="DP744" s="87"/>
      <c r="DQ744" s="87"/>
      <c r="DR744" s="87"/>
      <c r="DS744" s="87"/>
      <c r="DT744" s="87"/>
      <c r="DU744" s="87"/>
      <c r="DV744" s="105"/>
      <c r="DW744" s="87"/>
      <c r="DX744" s="87"/>
      <c r="DY744" s="105"/>
      <c r="DZ744" s="87"/>
      <c r="EA744" s="87"/>
      <c r="EB744" s="105"/>
      <c r="EC744" s="87"/>
      <c r="ED744" s="87"/>
      <c r="EE744" s="87"/>
      <c r="EF744" s="87"/>
      <c r="EG744" s="87"/>
      <c r="EH744" s="87"/>
      <c r="EI744" s="87"/>
    </row>
    <row r="745" spans="1:139" ht="29.25" hidden="1" thickBot="1" x14ac:dyDescent="0.35">
      <c r="A745" s="161" t="s">
        <v>1249</v>
      </c>
      <c r="B745" s="191">
        <v>1</v>
      </c>
      <c r="C745" s="177">
        <f>(23*0.1)+(0.85*3.6)+(4.3*0.05)</f>
        <v>5.5750000000000002</v>
      </c>
      <c r="D745" s="234">
        <f>C745/VLOOKUP(B745,'[2]Gas Prod per PADD'!$A$1:$C$6,2,FALSE)</f>
        <v>1.1614583333333334E-2</v>
      </c>
      <c r="E745" s="225">
        <v>45747</v>
      </c>
      <c r="F745" s="252">
        <v>45831</v>
      </c>
      <c r="G745" s="191" t="s">
        <v>1250</v>
      </c>
      <c r="H745" s="181" t="s">
        <v>1251</v>
      </c>
      <c r="I745" s="73"/>
      <c r="J745" s="229"/>
      <c r="K745" s="229"/>
      <c r="L745" s="229"/>
      <c r="M745" s="229"/>
      <c r="N745" s="229"/>
      <c r="O745" s="229"/>
      <c r="P745" s="229"/>
      <c r="Q745" s="229"/>
      <c r="R745" s="85">
        <f>C745*(E745-$R$1)/31</f>
        <v>0</v>
      </c>
      <c r="S745" s="374">
        <f>-C745</f>
        <v>-5.5750000000000002</v>
      </c>
      <c r="T745" s="85">
        <f>-C745</f>
        <v>-5.5750000000000002</v>
      </c>
      <c r="U745" s="85">
        <f>C745*($T$1-F745)/30</f>
        <v>-4.2741666666666669</v>
      </c>
      <c r="V745" s="84"/>
      <c r="W745" s="84"/>
      <c r="X745" s="84" t="str">
        <f>IF(COUNTA(Y745:EI745)=0,"Missing","OK")</f>
        <v>OK</v>
      </c>
      <c r="Y745" s="74"/>
      <c r="Z745" s="74"/>
      <c r="AA745" s="74"/>
      <c r="AB745" s="74"/>
      <c r="AC745" s="74"/>
      <c r="AD745" s="74"/>
      <c r="AE745" s="74"/>
      <c r="AF745" s="74"/>
      <c r="AG745" s="75"/>
      <c r="AH745" s="74"/>
      <c r="AI745" s="74"/>
      <c r="AJ745" s="74"/>
      <c r="AK745" s="74"/>
      <c r="AL745" s="74"/>
      <c r="AM745" s="74"/>
      <c r="AN745" s="74"/>
      <c r="AO745" s="74"/>
      <c r="AP745" s="74"/>
      <c r="AQ745" s="74"/>
      <c r="AR745" s="75"/>
      <c r="AS745" s="74"/>
      <c r="AT745" s="74"/>
      <c r="AU745" s="74"/>
      <c r="AV745" s="87"/>
      <c r="AW745" s="87"/>
      <c r="AX745" s="87"/>
      <c r="AY745" s="87"/>
      <c r="AZ745" s="87"/>
      <c r="BA745" s="87"/>
      <c r="BB745" s="87"/>
      <c r="BC745" s="87"/>
      <c r="BD745" s="87"/>
      <c r="BE745" s="87"/>
      <c r="BF745" s="74"/>
      <c r="BG745" s="74"/>
      <c r="BH745" s="74"/>
      <c r="BI745" s="74"/>
      <c r="BJ745" s="74"/>
      <c r="BK745" s="74"/>
      <c r="BL745" s="74"/>
      <c r="BM745" s="74"/>
      <c r="BN745" s="74"/>
      <c r="BO745" s="74"/>
      <c r="BP745" s="74"/>
      <c r="BQ745" s="74"/>
      <c r="BR745" s="74"/>
      <c r="BS745" s="74"/>
      <c r="BT745" s="74"/>
      <c r="BU745" s="74"/>
      <c r="BV745" s="74"/>
      <c r="BW745" s="74"/>
      <c r="BX745" s="74"/>
      <c r="BY745" s="74"/>
      <c r="BZ745" s="74"/>
      <c r="CA745" s="74"/>
      <c r="CB745" s="74"/>
      <c r="CC745" s="74"/>
      <c r="CD745" s="74"/>
      <c r="CE745" s="74"/>
      <c r="CF745" s="74"/>
      <c r="CG745" s="74"/>
      <c r="CH745" s="87"/>
      <c r="CI745" s="87"/>
      <c r="CJ745" s="87"/>
      <c r="CK745" s="87"/>
      <c r="CL745" s="87"/>
      <c r="CM745" s="87"/>
      <c r="CN745" s="87"/>
      <c r="CO745" s="87"/>
      <c r="CP745" s="87"/>
      <c r="CQ745" s="87"/>
      <c r="CR745" s="87"/>
      <c r="CS745" s="87"/>
      <c r="CT745" s="87"/>
      <c r="CU745" s="87">
        <f>-C745/2</f>
        <v>-2.7875000000000001</v>
      </c>
      <c r="CV745" s="87">
        <f>-C745/2</f>
        <v>-2.7875000000000001</v>
      </c>
      <c r="CW745" s="87"/>
      <c r="CX745" s="87"/>
      <c r="CY745" s="87"/>
      <c r="CZ745" s="87"/>
      <c r="DA745" s="87"/>
      <c r="DB745" s="87"/>
      <c r="DC745" s="87"/>
      <c r="DD745" s="87"/>
      <c r="DE745" s="87"/>
      <c r="DF745" s="87"/>
      <c r="DG745" s="87">
        <f>4/7*C745</f>
        <v>3.1857142857142855</v>
      </c>
      <c r="DH745" s="105">
        <f>C745-DG745</f>
        <v>2.3892857142857147</v>
      </c>
      <c r="DI745" s="87"/>
      <c r="DJ745" s="87"/>
      <c r="DK745" s="87"/>
      <c r="DL745" s="87"/>
      <c r="DM745" s="87"/>
      <c r="DN745" s="87"/>
      <c r="DO745" s="87"/>
      <c r="DP745" s="87"/>
      <c r="DQ745" s="87"/>
      <c r="DR745" s="87"/>
      <c r="DS745" s="87"/>
      <c r="DT745" s="87"/>
      <c r="DU745" s="87"/>
      <c r="DV745" s="87"/>
      <c r="DW745" s="87"/>
      <c r="DX745" s="87"/>
      <c r="DY745" s="87"/>
      <c r="DZ745" s="87"/>
      <c r="EA745" s="87"/>
      <c r="EB745" s="87"/>
      <c r="EC745" s="87"/>
      <c r="ED745" s="87"/>
      <c r="EE745" s="87"/>
      <c r="EF745" s="87"/>
      <c r="EG745" s="87"/>
      <c r="EH745" s="87"/>
      <c r="EI745" s="87"/>
    </row>
    <row r="746" spans="1:139" ht="36.950000000000003" hidden="1" customHeight="1" thickBot="1" x14ac:dyDescent="0.35">
      <c r="A746" s="190" t="s">
        <v>345</v>
      </c>
      <c r="B746" s="282">
        <v>3</v>
      </c>
      <c r="C746" s="177">
        <f>23*0.85*0.25</f>
        <v>4.8875000000000002</v>
      </c>
      <c r="D746" s="217">
        <f>C746/VLOOKUP(B746,'[2]Gas Prod per PADD'!$A$1:$C$6,2,FALSE)</f>
        <v>1.0625000000000001E-3</v>
      </c>
      <c r="E746" s="178">
        <v>45827</v>
      </c>
      <c r="F746" s="252">
        <f>E746+7</f>
        <v>45834</v>
      </c>
      <c r="G746" s="180" t="s">
        <v>1252</v>
      </c>
      <c r="H746" s="230" t="s">
        <v>1253</v>
      </c>
      <c r="I746" s="84"/>
      <c r="J746" s="85"/>
      <c r="K746" s="85"/>
      <c r="L746" s="85"/>
      <c r="M746" s="85"/>
      <c r="N746" s="85"/>
      <c r="O746" s="85"/>
      <c r="P746" s="85"/>
      <c r="Q746" s="85"/>
      <c r="R746" s="85"/>
      <c r="S746" s="85"/>
      <c r="T746" s="85"/>
      <c r="U746" s="85">
        <f t="shared" ref="U746:U754" si="33">C746*(E746-F746)/30</f>
        <v>-1.1404166666666666</v>
      </c>
      <c r="V746" s="84"/>
      <c r="W746" s="84"/>
      <c r="X746" s="84"/>
      <c r="Y746" s="105"/>
      <c r="Z746" s="105"/>
      <c r="AA746" s="87"/>
      <c r="AB746" s="87"/>
      <c r="AC746" s="87"/>
      <c r="AD746" s="87"/>
      <c r="AE746" s="105"/>
      <c r="AF746" s="105"/>
      <c r="AG746" s="105"/>
      <c r="AH746" s="105"/>
      <c r="AI746" s="87"/>
      <c r="AJ746" s="87"/>
      <c r="AK746" s="105"/>
      <c r="AL746" s="87"/>
      <c r="AM746" s="105"/>
      <c r="AN746" s="105"/>
      <c r="AO746" s="87"/>
      <c r="AP746" s="87"/>
      <c r="AQ746" s="105"/>
      <c r="AR746" s="105"/>
      <c r="AS746" s="87"/>
      <c r="AT746" s="105"/>
      <c r="AU746" s="87"/>
      <c r="AV746" s="87"/>
      <c r="AW746" s="105"/>
      <c r="AX746" s="105"/>
      <c r="AY746" s="105"/>
      <c r="AZ746" s="105"/>
      <c r="BA746" s="105"/>
      <c r="BB746" s="105"/>
      <c r="BC746" s="105"/>
      <c r="BD746" s="87"/>
      <c r="BE746" s="87"/>
      <c r="BF746" s="87"/>
      <c r="BG746" s="87"/>
      <c r="BH746" s="87"/>
      <c r="BI746" s="87"/>
      <c r="BJ746" s="87"/>
      <c r="BK746" s="87"/>
      <c r="BL746" s="87"/>
      <c r="BM746" s="87"/>
      <c r="BN746" s="87"/>
      <c r="BO746" s="87"/>
      <c r="BP746" s="87"/>
      <c r="BQ746" s="87"/>
      <c r="BR746" s="87"/>
      <c r="BS746" s="87"/>
      <c r="BT746" s="87"/>
      <c r="BU746" s="87"/>
      <c r="BV746" s="87"/>
      <c r="BW746" s="87"/>
      <c r="BX746" s="87"/>
      <c r="BY746" s="87"/>
      <c r="BZ746" s="87"/>
      <c r="CA746" s="87"/>
      <c r="CB746" s="87"/>
      <c r="CC746" s="87"/>
      <c r="CD746" s="87"/>
      <c r="CE746" s="87"/>
      <c r="CF746" s="87"/>
      <c r="CG746" s="87"/>
      <c r="CH746" s="87"/>
      <c r="CI746" s="87"/>
      <c r="CJ746" s="87"/>
      <c r="CK746" s="87"/>
      <c r="CL746" s="87"/>
      <c r="CM746" s="87"/>
      <c r="CN746" s="87"/>
      <c r="CO746" s="87"/>
      <c r="CP746" s="87"/>
      <c r="CQ746" s="87"/>
      <c r="CR746" s="87"/>
      <c r="CS746" s="87"/>
      <c r="CT746" s="87"/>
      <c r="CU746" s="87"/>
      <c r="CV746" s="87"/>
      <c r="CW746" s="87"/>
      <c r="CX746" s="87"/>
      <c r="CY746" s="87"/>
      <c r="CZ746" s="87"/>
      <c r="DA746" s="87"/>
      <c r="DB746" s="87"/>
      <c r="DC746" s="87"/>
      <c r="DD746" s="87"/>
      <c r="DE746" s="87"/>
      <c r="DF746" s="87">
        <f>-1/7*C746</f>
        <v>-0.69821428571428568</v>
      </c>
      <c r="DG746" s="105">
        <f>-C746-DF746</f>
        <v>-4.1892857142857149</v>
      </c>
      <c r="DH746" s="105">
        <f>C746</f>
        <v>4.8875000000000002</v>
      </c>
      <c r="DI746" s="87"/>
      <c r="DJ746" s="87"/>
      <c r="DK746" s="87"/>
      <c r="DL746" s="87"/>
      <c r="DM746" s="87"/>
      <c r="DN746" s="87"/>
      <c r="DO746" s="87"/>
      <c r="DP746" s="87"/>
      <c r="DQ746" s="87"/>
      <c r="DR746" s="87"/>
      <c r="DS746" s="87"/>
      <c r="DT746" s="87"/>
      <c r="DU746" s="87"/>
      <c r="DV746" s="87"/>
      <c r="DW746" s="87"/>
      <c r="DX746" s="87"/>
      <c r="DY746" s="87"/>
      <c r="DZ746" s="87"/>
      <c r="EA746" s="87"/>
      <c r="EB746" s="87"/>
      <c r="EC746" s="87"/>
      <c r="ED746" s="87"/>
      <c r="EE746" s="87"/>
      <c r="EF746" s="87"/>
      <c r="EG746" s="87"/>
      <c r="EH746" s="87"/>
      <c r="EI746" s="87"/>
    </row>
    <row r="747" spans="1:139" ht="16.5" hidden="1" thickBot="1" x14ac:dyDescent="0.35">
      <c r="A747" s="161" t="s">
        <v>119</v>
      </c>
      <c r="B747" s="279">
        <v>5</v>
      </c>
      <c r="C747" s="224">
        <f>60*0.85</f>
        <v>51</v>
      </c>
      <c r="D747" s="217">
        <f>C747/VLOOKUP(B747,'[2]Gas Prod per PADD'!$A$1:$C$6,2,FALSE)</f>
        <v>3.7777777777777778E-2</v>
      </c>
      <c r="E747" s="225">
        <v>45832</v>
      </c>
      <c r="F747" s="276">
        <v>45834</v>
      </c>
      <c r="G747" s="180" t="s">
        <v>1254</v>
      </c>
      <c r="H747" s="221" t="s">
        <v>1255</v>
      </c>
      <c r="I747" s="84"/>
      <c r="J747" s="85"/>
      <c r="K747" s="85"/>
      <c r="L747" s="85"/>
      <c r="M747" s="85"/>
      <c r="N747" s="85"/>
      <c r="O747" s="85"/>
      <c r="P747" s="85"/>
      <c r="Q747" s="85"/>
      <c r="R747" s="85"/>
      <c r="S747" s="85"/>
      <c r="T747" s="85"/>
      <c r="U747" s="85">
        <f t="shared" si="33"/>
        <v>-3.4</v>
      </c>
      <c r="V747" s="84"/>
      <c r="W747" s="84"/>
      <c r="X747" s="84"/>
      <c r="Y747" s="87"/>
      <c r="Z747" s="87"/>
      <c r="AA747" s="87"/>
      <c r="AB747" s="87"/>
      <c r="AC747" s="87"/>
      <c r="AD747" s="87"/>
      <c r="AE747" s="87"/>
      <c r="AF747" s="87"/>
      <c r="AG747" s="87"/>
      <c r="AH747" s="87"/>
      <c r="AI747" s="87"/>
      <c r="AJ747" s="87"/>
      <c r="AK747" s="87"/>
      <c r="AL747" s="87"/>
      <c r="AM747" s="87"/>
      <c r="AN747" s="87"/>
      <c r="AO747" s="87"/>
      <c r="AP747" s="87"/>
      <c r="AQ747" s="87"/>
      <c r="AR747" s="87"/>
      <c r="AS747" s="87"/>
      <c r="AT747" s="87"/>
      <c r="AU747" s="87"/>
      <c r="AV747" s="87"/>
      <c r="AW747" s="87"/>
      <c r="AX747" s="87"/>
      <c r="AY747" s="87"/>
      <c r="AZ747" s="87"/>
      <c r="BA747" s="87"/>
      <c r="BB747" s="87"/>
      <c r="BC747" s="87"/>
      <c r="BD747" s="87"/>
      <c r="BE747" s="87"/>
      <c r="BF747" s="87"/>
      <c r="BG747" s="87"/>
      <c r="BH747" s="87"/>
      <c r="BI747" s="87"/>
      <c r="BJ747" s="87"/>
      <c r="BK747" s="87"/>
      <c r="BL747" s="87"/>
      <c r="BM747" s="87"/>
      <c r="BN747" s="87"/>
      <c r="BO747" s="87"/>
      <c r="BP747" s="87"/>
      <c r="BQ747" s="87"/>
      <c r="BR747" s="87"/>
      <c r="BS747" s="87"/>
      <c r="BT747" s="87"/>
      <c r="BU747" s="87"/>
      <c r="BV747" s="87"/>
      <c r="BW747" s="87"/>
      <c r="BX747" s="87"/>
      <c r="BY747" s="87"/>
      <c r="BZ747" s="87"/>
      <c r="CA747" s="87"/>
      <c r="CB747" s="87"/>
      <c r="CC747" s="87"/>
      <c r="CD747" s="87"/>
      <c r="CE747" s="87"/>
      <c r="CF747" s="87"/>
      <c r="CG747" s="87"/>
      <c r="CH747" s="87"/>
      <c r="CI747" s="87"/>
      <c r="CJ747" s="87"/>
      <c r="CK747" s="87"/>
      <c r="CL747" s="87"/>
      <c r="CM747" s="87"/>
      <c r="CN747" s="87"/>
      <c r="CO747" s="87"/>
      <c r="CP747" s="87"/>
      <c r="CQ747" s="87"/>
      <c r="CR747" s="278"/>
      <c r="CS747" s="278"/>
      <c r="CT747" s="278"/>
      <c r="CU747" s="278"/>
      <c r="CV747" s="278"/>
      <c r="CW747" s="87"/>
      <c r="CX747" s="87"/>
      <c r="CY747" s="87"/>
      <c r="CZ747" s="87"/>
      <c r="DA747" s="87"/>
      <c r="DB747" s="105"/>
      <c r="DC747" s="87"/>
      <c r="DD747" s="87"/>
      <c r="DE747" s="105"/>
      <c r="DF747" s="87"/>
      <c r="DG747" s="87">
        <f>-2/7*C747</f>
        <v>-14.571428571428571</v>
      </c>
      <c r="DH747" s="87">
        <f t="shared" ref="DH747:DH752" si="34">-DG747</f>
        <v>14.571428571428571</v>
      </c>
      <c r="DI747" s="87"/>
      <c r="DJ747" s="87"/>
      <c r="DK747" s="87"/>
      <c r="DL747" s="87"/>
      <c r="DM747" s="87"/>
      <c r="DN747" s="87"/>
      <c r="DO747" s="87"/>
      <c r="DP747" s="87"/>
      <c r="DQ747" s="87"/>
      <c r="DR747" s="87"/>
      <c r="DS747" s="87"/>
      <c r="DT747" s="87"/>
      <c r="DU747" s="87"/>
      <c r="DV747" s="87"/>
      <c r="DW747" s="87"/>
      <c r="DX747" s="87"/>
      <c r="DY747" s="87"/>
      <c r="DZ747" s="87"/>
      <c r="EA747" s="87"/>
      <c r="EB747" s="87"/>
      <c r="EC747" s="87"/>
      <c r="ED747" s="87"/>
      <c r="EE747" s="87"/>
      <c r="EF747" s="87"/>
      <c r="EG747" s="87"/>
      <c r="EH747" s="87"/>
      <c r="EI747" s="87"/>
    </row>
    <row r="748" spans="1:139" ht="16.5" hidden="1" thickBot="1" x14ac:dyDescent="0.35">
      <c r="A748" s="222" t="s">
        <v>425</v>
      </c>
      <c r="B748" s="176">
        <v>3</v>
      </c>
      <c r="C748" s="177">
        <f>15*0.25</f>
        <v>3.75</v>
      </c>
      <c r="D748" s="234">
        <f>C748/VLOOKUP(B748,'[2]Gas Prod per PADD'!$A$1:$C$6,2,FALSE)</f>
        <v>8.1521739130434778E-4</v>
      </c>
      <c r="E748" s="178">
        <v>45833</v>
      </c>
      <c r="F748" s="252">
        <v>45834</v>
      </c>
      <c r="G748" s="180" t="s">
        <v>992</v>
      </c>
      <c r="H748" s="198" t="s">
        <v>640</v>
      </c>
      <c r="I748" s="84"/>
      <c r="J748" s="85"/>
      <c r="K748" s="85"/>
      <c r="L748" s="85"/>
      <c r="M748" s="85"/>
      <c r="N748" s="85"/>
      <c r="O748" s="85"/>
      <c r="P748" s="85"/>
      <c r="Q748" s="85"/>
      <c r="R748" s="85"/>
      <c r="S748" s="85"/>
      <c r="T748" s="85"/>
      <c r="U748" s="85">
        <f t="shared" si="33"/>
        <v>-0.125</v>
      </c>
      <c r="V748" s="84"/>
      <c r="W748" s="84"/>
      <c r="X748" s="84"/>
      <c r="Y748" s="105"/>
      <c r="Z748" s="105"/>
      <c r="AA748" s="87"/>
      <c r="AB748" s="87"/>
      <c r="AC748" s="87"/>
      <c r="AD748" s="87"/>
      <c r="AE748" s="105"/>
      <c r="AF748" s="105"/>
      <c r="AG748" s="105"/>
      <c r="AH748" s="105"/>
      <c r="AI748" s="87"/>
      <c r="AJ748" s="87"/>
      <c r="AK748" s="87"/>
      <c r="AL748" s="87"/>
      <c r="AM748" s="87"/>
      <c r="AN748" s="87"/>
      <c r="AO748" s="87"/>
      <c r="AP748" s="87"/>
      <c r="AQ748" s="87"/>
      <c r="AR748" s="87"/>
      <c r="AS748" s="87"/>
      <c r="AT748" s="87"/>
      <c r="AU748" s="87"/>
      <c r="AV748" s="87"/>
      <c r="AW748" s="87"/>
      <c r="AX748" s="87"/>
      <c r="AY748" s="87"/>
      <c r="AZ748" s="87"/>
      <c r="BA748" s="87"/>
      <c r="BB748" s="87"/>
      <c r="BC748" s="87"/>
      <c r="BD748" s="87"/>
      <c r="BE748" s="87"/>
      <c r="BF748" s="87"/>
      <c r="BG748" s="87"/>
      <c r="BH748" s="87"/>
      <c r="BI748" s="87"/>
      <c r="BJ748" s="87"/>
      <c r="BK748" s="87"/>
      <c r="BL748" s="87"/>
      <c r="BM748" s="87"/>
      <c r="BN748" s="87"/>
      <c r="BO748" s="87"/>
      <c r="BP748" s="87"/>
      <c r="BQ748" s="87"/>
      <c r="BR748" s="87"/>
      <c r="BS748" s="87"/>
      <c r="BT748" s="87"/>
      <c r="BU748" s="87"/>
      <c r="BV748" s="87"/>
      <c r="BW748" s="87"/>
      <c r="BX748" s="87"/>
      <c r="BY748" s="87"/>
      <c r="BZ748" s="87"/>
      <c r="CA748" s="87"/>
      <c r="CB748" s="87"/>
      <c r="CC748" s="87"/>
      <c r="CD748" s="87"/>
      <c r="CE748" s="87"/>
      <c r="CF748" s="87"/>
      <c r="CG748" s="87"/>
      <c r="CH748" s="87"/>
      <c r="CI748" s="87"/>
      <c r="CJ748" s="87"/>
      <c r="CK748" s="87"/>
      <c r="CL748" s="87"/>
      <c r="CM748" s="87"/>
      <c r="CN748" s="87"/>
      <c r="CO748" s="87"/>
      <c r="CP748" s="87"/>
      <c r="CQ748" s="87"/>
      <c r="CR748" s="87"/>
      <c r="CS748" s="87"/>
      <c r="CT748" s="87"/>
      <c r="CU748" s="87"/>
      <c r="CV748" s="87"/>
      <c r="CW748" s="87"/>
      <c r="CX748" s="87"/>
      <c r="CY748" s="87"/>
      <c r="CZ748" s="87"/>
      <c r="DA748" s="87"/>
      <c r="DB748" s="87"/>
      <c r="DC748" s="105"/>
      <c r="DD748" s="87"/>
      <c r="DE748" s="87"/>
      <c r="DF748" s="87"/>
      <c r="DG748" s="87">
        <f>-1/7*C748</f>
        <v>-0.5357142857142857</v>
      </c>
      <c r="DH748" s="87">
        <f t="shared" si="34"/>
        <v>0.5357142857142857</v>
      </c>
      <c r="DI748" s="87"/>
      <c r="DJ748" s="87"/>
      <c r="DK748" s="87"/>
      <c r="DL748" s="87"/>
      <c r="DM748" s="87"/>
      <c r="DN748" s="87"/>
      <c r="DO748" s="87"/>
      <c r="DP748" s="87"/>
      <c r="DQ748" s="87"/>
      <c r="DR748" s="87"/>
      <c r="DS748" s="87"/>
      <c r="DT748" s="87"/>
      <c r="DU748" s="87"/>
      <c r="DV748" s="87"/>
      <c r="DW748" s="87"/>
      <c r="DX748" s="87"/>
      <c r="DY748" s="87"/>
      <c r="DZ748" s="87"/>
      <c r="EA748" s="87"/>
      <c r="EB748" s="87"/>
      <c r="EC748" s="87"/>
      <c r="ED748" s="87"/>
      <c r="EE748" s="87"/>
      <c r="EF748" s="87"/>
      <c r="EG748" s="87"/>
      <c r="EH748" s="87"/>
      <c r="EI748" s="87"/>
    </row>
    <row r="749" spans="1:139" ht="43.5" hidden="1" thickBot="1" x14ac:dyDescent="0.35">
      <c r="A749" s="161" t="s">
        <v>123</v>
      </c>
      <c r="B749" s="199">
        <v>1</v>
      </c>
      <c r="C749" s="195">
        <f>104*0.1+53*0.65+50*0.85+23*0.05</f>
        <v>88.5</v>
      </c>
      <c r="D749" s="217">
        <f>C749/VLOOKUP(B749,'[2]Gas Prod per PADD'!$A$1:$C$6,2,FALSE)</f>
        <v>0.18437500000000001</v>
      </c>
      <c r="E749" s="220">
        <v>45831</v>
      </c>
      <c r="F749" s="252">
        <v>45835</v>
      </c>
      <c r="G749" s="180" t="s">
        <v>1256</v>
      </c>
      <c r="H749" s="181" t="s">
        <v>543</v>
      </c>
      <c r="I749" s="84"/>
      <c r="J749" s="85"/>
      <c r="K749" s="85"/>
      <c r="L749" s="85"/>
      <c r="M749" s="85"/>
      <c r="N749" s="85"/>
      <c r="O749" s="85"/>
      <c r="P749" s="85"/>
      <c r="Q749" s="85"/>
      <c r="R749" s="85"/>
      <c r="S749" s="85"/>
      <c r="T749" s="85"/>
      <c r="U749" s="85">
        <f t="shared" si="33"/>
        <v>-11.8</v>
      </c>
      <c r="V749" s="84"/>
      <c r="W749" s="84"/>
      <c r="X749" s="84"/>
      <c r="Y749" s="87"/>
      <c r="Z749" s="87"/>
      <c r="AA749" s="87"/>
      <c r="AB749" s="87"/>
      <c r="AC749" s="87"/>
      <c r="AD749" s="87"/>
      <c r="AE749" s="87"/>
      <c r="AF749" s="87"/>
      <c r="AG749" s="87"/>
      <c r="AH749" s="87"/>
      <c r="AI749" s="87"/>
      <c r="AJ749" s="105"/>
      <c r="AK749" s="105"/>
      <c r="AL749" s="105"/>
      <c r="AM749" s="87"/>
      <c r="AN749" s="87"/>
      <c r="AO749" s="87"/>
      <c r="AP749" s="87"/>
      <c r="AQ749" s="87"/>
      <c r="AR749" s="87"/>
      <c r="AS749" s="87"/>
      <c r="AT749" s="87"/>
      <c r="AU749" s="87"/>
      <c r="AV749" s="87"/>
      <c r="AW749" s="87"/>
      <c r="AX749" s="87"/>
      <c r="AY749" s="87"/>
      <c r="AZ749" s="87"/>
      <c r="BA749" s="87"/>
      <c r="BB749" s="87"/>
      <c r="BC749" s="87"/>
      <c r="BD749" s="87"/>
      <c r="BE749" s="87"/>
      <c r="BF749" s="87"/>
      <c r="BG749" s="87"/>
      <c r="BH749" s="87"/>
      <c r="BI749" s="87"/>
      <c r="BJ749" s="87"/>
      <c r="BK749" s="87"/>
      <c r="BL749" s="87"/>
      <c r="BM749" s="87"/>
      <c r="BN749" s="87"/>
      <c r="BO749" s="87"/>
      <c r="BP749" s="87"/>
      <c r="BQ749" s="87"/>
      <c r="BR749" s="87"/>
      <c r="BS749" s="87"/>
      <c r="BT749" s="87"/>
      <c r="BU749" s="87"/>
      <c r="BV749" s="87"/>
      <c r="BW749" s="87"/>
      <c r="BX749" s="87"/>
      <c r="BY749" s="87"/>
      <c r="BZ749" s="87"/>
      <c r="CA749" s="87"/>
      <c r="CB749" s="87"/>
      <c r="CC749" s="87"/>
      <c r="CD749" s="87"/>
      <c r="CE749" s="87"/>
      <c r="CF749" s="87"/>
      <c r="CG749" s="87"/>
      <c r="CH749" s="87"/>
      <c r="CI749" s="87"/>
      <c r="CJ749" s="87"/>
      <c r="CK749" s="87"/>
      <c r="CL749" s="87"/>
      <c r="CM749" s="87"/>
      <c r="CN749" s="105"/>
      <c r="CO749" s="105"/>
      <c r="CP749" s="87"/>
      <c r="CQ749" s="87"/>
      <c r="CR749" s="87"/>
      <c r="CS749" s="87"/>
      <c r="CT749" s="87"/>
      <c r="CU749" s="87"/>
      <c r="CV749" s="87"/>
      <c r="CW749" s="87"/>
      <c r="CX749" s="87"/>
      <c r="CY749" s="87"/>
      <c r="CZ749" s="87"/>
      <c r="DA749" s="87"/>
      <c r="DB749" s="87"/>
      <c r="DC749" s="87"/>
      <c r="DD749" s="87"/>
      <c r="DE749" s="87"/>
      <c r="DF749" s="87"/>
      <c r="DG749" s="87">
        <f>-4/7*C749</f>
        <v>-50.571428571428569</v>
      </c>
      <c r="DH749" s="105">
        <f t="shared" si="34"/>
        <v>50.571428571428569</v>
      </c>
      <c r="DI749" s="87"/>
      <c r="DJ749" s="105"/>
      <c r="DK749" s="87"/>
      <c r="DL749" s="87"/>
      <c r="DM749" s="87"/>
      <c r="DN749" s="87"/>
      <c r="DO749" s="87"/>
      <c r="DP749" s="87"/>
      <c r="DQ749" s="87"/>
      <c r="DR749" s="87"/>
      <c r="DS749" s="87"/>
      <c r="DT749" s="87"/>
      <c r="DU749" s="87"/>
      <c r="DV749" s="87"/>
      <c r="DW749" s="87"/>
      <c r="DX749" s="87"/>
      <c r="DY749" s="87"/>
      <c r="DZ749" s="87"/>
      <c r="EA749" s="87"/>
      <c r="EB749" s="87"/>
      <c r="EC749" s="87"/>
      <c r="ED749" s="87"/>
      <c r="EE749" s="87"/>
      <c r="EF749" s="87"/>
      <c r="EG749" s="87"/>
      <c r="EH749" s="87"/>
      <c r="EI749" s="87"/>
    </row>
    <row r="750" spans="1:139" ht="16.5" hidden="1" thickBot="1" x14ac:dyDescent="0.35">
      <c r="A750" s="175" t="s">
        <v>256</v>
      </c>
      <c r="B750" s="176">
        <v>1</v>
      </c>
      <c r="C750" s="177">
        <f>103.5*0.65</f>
        <v>67.275000000000006</v>
      </c>
      <c r="D750" s="217">
        <f>C750/VLOOKUP(B750,'[2]Gas Prod per PADD'!$A$1:$C$6,2,FALSE)</f>
        <v>0.14015625000000001</v>
      </c>
      <c r="E750" s="220">
        <v>45834</v>
      </c>
      <c r="F750" s="252">
        <v>45835</v>
      </c>
      <c r="G750" s="180" t="s">
        <v>1257</v>
      </c>
      <c r="H750" s="198" t="s">
        <v>1258</v>
      </c>
      <c r="I750" s="371"/>
      <c r="J750" s="372"/>
      <c r="K750" s="372"/>
      <c r="L750" s="372"/>
      <c r="M750" s="372"/>
      <c r="N750" s="372"/>
      <c r="O750" s="372"/>
      <c r="P750" s="372"/>
      <c r="Q750" s="372"/>
      <c r="R750" s="372"/>
      <c r="S750" s="372"/>
      <c r="T750" s="85"/>
      <c r="U750" s="85">
        <f t="shared" si="33"/>
        <v>-2.2425000000000002</v>
      </c>
      <c r="V750" s="84"/>
      <c r="W750" s="84"/>
      <c r="X750" s="84"/>
      <c r="Y750" s="105"/>
      <c r="Z750" s="105"/>
      <c r="AA750" s="87"/>
      <c r="AB750" s="87"/>
      <c r="AC750" s="87"/>
      <c r="AD750" s="87"/>
      <c r="AE750" s="105"/>
      <c r="AF750" s="105"/>
      <c r="AG750" s="105"/>
      <c r="AH750" s="105"/>
      <c r="AI750" s="87"/>
      <c r="AJ750" s="87"/>
      <c r="AK750" s="105"/>
      <c r="AL750" s="87"/>
      <c r="AM750" s="105"/>
      <c r="AN750" s="105"/>
      <c r="AO750" s="87"/>
      <c r="AP750" s="87"/>
      <c r="AQ750" s="105"/>
      <c r="AR750" s="105"/>
      <c r="AS750" s="87"/>
      <c r="AT750" s="105"/>
      <c r="AU750" s="105"/>
      <c r="AV750" s="87"/>
      <c r="AW750" s="105"/>
      <c r="AX750" s="105"/>
      <c r="AY750" s="87"/>
      <c r="AZ750" s="105"/>
      <c r="BA750" s="105"/>
      <c r="BB750" s="105"/>
      <c r="BC750" s="87"/>
      <c r="BD750" s="87"/>
      <c r="BE750" s="105"/>
      <c r="BF750" s="105"/>
      <c r="BG750" s="105"/>
      <c r="BH750" s="105"/>
      <c r="BI750" s="105"/>
      <c r="BJ750" s="87"/>
      <c r="BK750" s="87"/>
      <c r="BL750" s="87"/>
      <c r="BM750" s="87"/>
      <c r="BN750" s="87"/>
      <c r="BO750" s="87"/>
      <c r="BP750" s="87"/>
      <c r="BQ750" s="87"/>
      <c r="BR750" s="87"/>
      <c r="BS750" s="87"/>
      <c r="BT750" s="87"/>
      <c r="BU750" s="87"/>
      <c r="BV750" s="87"/>
      <c r="BW750" s="87"/>
      <c r="BX750" s="87"/>
      <c r="BY750" s="87"/>
      <c r="BZ750" s="87"/>
      <c r="CA750" s="87"/>
      <c r="CB750" s="87"/>
      <c r="CC750" s="87"/>
      <c r="CD750" s="87"/>
      <c r="CE750" s="87"/>
      <c r="CF750" s="87"/>
      <c r="CG750" s="87"/>
      <c r="CH750" s="87"/>
      <c r="CI750" s="87"/>
      <c r="CJ750" s="87"/>
      <c r="CK750" s="87"/>
      <c r="CL750" s="87"/>
      <c r="CM750" s="87"/>
      <c r="CN750" s="87"/>
      <c r="CO750" s="87"/>
      <c r="CP750" s="87"/>
      <c r="CQ750" s="87"/>
      <c r="CR750" s="87"/>
      <c r="CS750" s="87"/>
      <c r="CT750" s="87"/>
      <c r="CU750" s="87"/>
      <c r="CV750" s="87"/>
      <c r="CW750" s="87"/>
      <c r="CX750" s="87"/>
      <c r="CY750" s="87"/>
      <c r="CZ750" s="105"/>
      <c r="DA750" s="105"/>
      <c r="DB750" s="105"/>
      <c r="DC750" s="87"/>
      <c r="DD750" s="105"/>
      <c r="DE750" s="87"/>
      <c r="DF750" s="87"/>
      <c r="DG750" s="87">
        <f>-1/7*C750</f>
        <v>-9.6107142857142858</v>
      </c>
      <c r="DH750" s="87">
        <f t="shared" si="34"/>
        <v>9.6107142857142858</v>
      </c>
      <c r="DI750" s="87"/>
      <c r="DJ750" s="87"/>
      <c r="DK750" s="87"/>
      <c r="DL750" s="87"/>
      <c r="DM750" s="87"/>
      <c r="DN750" s="87"/>
      <c r="DO750" s="87"/>
      <c r="DP750" s="87"/>
      <c r="DQ750" s="87"/>
      <c r="DR750" s="87"/>
      <c r="DS750" s="87"/>
      <c r="DT750" s="87"/>
      <c r="DU750" s="87"/>
      <c r="DV750" s="87"/>
      <c r="DW750" s="87"/>
      <c r="DX750" s="87"/>
      <c r="DY750" s="87"/>
      <c r="DZ750" s="87"/>
      <c r="EA750" s="87"/>
      <c r="EB750" s="87"/>
      <c r="EC750" s="87"/>
      <c r="ED750" s="87"/>
      <c r="EE750" s="87"/>
      <c r="EF750" s="87"/>
      <c r="EG750" s="87"/>
      <c r="EH750" s="87"/>
      <c r="EI750" s="87"/>
    </row>
    <row r="751" spans="1:139" ht="16.5" hidden="1" thickBot="1" x14ac:dyDescent="0.35">
      <c r="A751" s="175" t="s">
        <v>156</v>
      </c>
      <c r="B751" s="194">
        <v>2</v>
      </c>
      <c r="C751" s="195">
        <f>110*0.25</f>
        <v>27.5</v>
      </c>
      <c r="D751" s="217">
        <f>C751/VLOOKUP(B751,'[2]Gas Prod per PADD'!$A$1:$C$6,2,FALSE)</f>
        <v>1.1458333333333333E-2</v>
      </c>
      <c r="E751" s="196">
        <v>45832</v>
      </c>
      <c r="F751" s="281">
        <v>45836</v>
      </c>
      <c r="G751" s="194" t="s">
        <v>869</v>
      </c>
      <c r="H751" s="275" t="s">
        <v>525</v>
      </c>
      <c r="I751" s="371"/>
      <c r="J751" s="372"/>
      <c r="K751" s="372"/>
      <c r="L751" s="372"/>
      <c r="M751" s="372"/>
      <c r="N751" s="372"/>
      <c r="O751" s="372"/>
      <c r="P751" s="372"/>
      <c r="Q751" s="372"/>
      <c r="R751" s="372"/>
      <c r="S751" s="372"/>
      <c r="T751" s="85"/>
      <c r="U751" s="85">
        <f t="shared" si="33"/>
        <v>-3.6666666666666665</v>
      </c>
      <c r="V751" s="84"/>
      <c r="W751" s="84"/>
      <c r="X751" s="84"/>
      <c r="Y751" s="105"/>
      <c r="Z751" s="105"/>
      <c r="AA751" s="87"/>
      <c r="AB751" s="87"/>
      <c r="AC751" s="87"/>
      <c r="AD751" s="87"/>
      <c r="AE751" s="105"/>
      <c r="AF751" s="105"/>
      <c r="AG751" s="105"/>
      <c r="AH751" s="105"/>
      <c r="AI751" s="87"/>
      <c r="AJ751" s="87"/>
      <c r="AK751" s="105"/>
      <c r="AL751" s="87"/>
      <c r="AM751" s="105"/>
      <c r="AN751" s="105"/>
      <c r="AO751" s="87"/>
      <c r="AP751" s="87"/>
      <c r="AQ751" s="105"/>
      <c r="AR751" s="105"/>
      <c r="AS751" s="87"/>
      <c r="AT751" s="105"/>
      <c r="AU751" s="105"/>
      <c r="AV751" s="87"/>
      <c r="AW751" s="105"/>
      <c r="AX751" s="105"/>
      <c r="AY751" s="87"/>
      <c r="AZ751" s="105"/>
      <c r="BA751" s="105"/>
      <c r="BB751" s="105"/>
      <c r="BC751" s="87"/>
      <c r="BD751" s="87"/>
      <c r="BE751" s="105"/>
      <c r="BF751" s="105"/>
      <c r="BG751" s="105"/>
      <c r="BH751" s="105"/>
      <c r="BI751" s="105"/>
      <c r="BJ751" s="87"/>
      <c r="BK751" s="87"/>
      <c r="BL751" s="87"/>
      <c r="BM751" s="87"/>
      <c r="BN751" s="87"/>
      <c r="BO751" s="87"/>
      <c r="BP751" s="87"/>
      <c r="BQ751" s="87"/>
      <c r="BR751" s="87"/>
      <c r="BS751" s="87"/>
      <c r="BT751" s="87"/>
      <c r="BU751" s="87"/>
      <c r="BV751" s="87"/>
      <c r="BW751" s="87"/>
      <c r="BX751" s="87"/>
      <c r="BY751" s="87"/>
      <c r="BZ751" s="87"/>
      <c r="CA751" s="87"/>
      <c r="CB751" s="87"/>
      <c r="CC751" s="87"/>
      <c r="CD751" s="87"/>
      <c r="CE751" s="87"/>
      <c r="CF751" s="87"/>
      <c r="CG751" s="87"/>
      <c r="CH751" s="87"/>
      <c r="CI751" s="87"/>
      <c r="CJ751" s="87"/>
      <c r="CK751" s="87"/>
      <c r="CL751" s="87"/>
      <c r="CM751" s="87"/>
      <c r="CN751" s="87"/>
      <c r="CO751" s="87"/>
      <c r="CP751" s="87"/>
      <c r="CQ751" s="87"/>
      <c r="CR751" s="87"/>
      <c r="CS751" s="87"/>
      <c r="CT751" s="87"/>
      <c r="CU751" s="87"/>
      <c r="CV751" s="87"/>
      <c r="CW751" s="87"/>
      <c r="CX751" s="87"/>
      <c r="CY751" s="87"/>
      <c r="CZ751" s="87"/>
      <c r="DA751" s="87"/>
      <c r="DB751" s="87"/>
      <c r="DC751" s="87"/>
      <c r="DD751" s="87"/>
      <c r="DE751" s="87"/>
      <c r="DF751" s="87"/>
      <c r="DG751" s="87">
        <f>-3/7*C751</f>
        <v>-11.785714285714285</v>
      </c>
      <c r="DH751" s="87">
        <f t="shared" si="34"/>
        <v>11.785714285714285</v>
      </c>
      <c r="DI751" s="87"/>
      <c r="DJ751" s="87"/>
      <c r="DK751" s="87"/>
      <c r="DL751" s="87"/>
      <c r="DM751" s="87"/>
      <c r="DN751" s="87"/>
      <c r="DO751" s="87"/>
      <c r="DP751" s="87"/>
      <c r="DQ751" s="87"/>
      <c r="DR751" s="105"/>
      <c r="DS751" s="87"/>
      <c r="DT751" s="87"/>
      <c r="DU751" s="87"/>
      <c r="DV751" s="87"/>
      <c r="DW751" s="105"/>
      <c r="DX751" s="105"/>
      <c r="DY751" s="87"/>
      <c r="DZ751" s="87"/>
      <c r="EA751" s="87"/>
      <c r="EB751" s="87"/>
      <c r="EC751" s="87"/>
      <c r="ED751" s="87"/>
      <c r="EE751" s="87"/>
      <c r="EF751" s="87"/>
      <c r="EG751" s="87"/>
      <c r="EH751" s="87"/>
      <c r="EI751" s="87"/>
    </row>
    <row r="752" spans="1:139" ht="16.5" hidden="1" thickBot="1" x14ac:dyDescent="0.35">
      <c r="A752" s="230" t="s">
        <v>563</v>
      </c>
      <c r="B752" s="194">
        <v>2</v>
      </c>
      <c r="C752" s="195">
        <f>11.2*0.85</f>
        <v>9.52</v>
      </c>
      <c r="D752" s="217">
        <f>C752/VLOOKUP(B752,'[2]Gas Prod per PADD'!$A$1:$C$6,2,FALSE)</f>
        <v>3.9666666666666661E-3</v>
      </c>
      <c r="E752" s="196">
        <v>45832</v>
      </c>
      <c r="F752" s="281">
        <v>45836</v>
      </c>
      <c r="G752" s="194" t="s">
        <v>601</v>
      </c>
      <c r="H752" s="181" t="s">
        <v>477</v>
      </c>
      <c r="I752" s="371"/>
      <c r="J752" s="372"/>
      <c r="K752" s="372"/>
      <c r="L752" s="372"/>
      <c r="M752" s="372"/>
      <c r="N752" s="372"/>
      <c r="O752" s="372"/>
      <c r="P752" s="372"/>
      <c r="Q752" s="372"/>
      <c r="R752" s="372"/>
      <c r="S752" s="372"/>
      <c r="T752" s="85"/>
      <c r="U752" s="85">
        <f t="shared" si="33"/>
        <v>-1.2693333333333332</v>
      </c>
      <c r="V752" s="84"/>
      <c r="W752" s="84"/>
      <c r="X752" s="84"/>
      <c r="Y752" s="105"/>
      <c r="Z752" s="105"/>
      <c r="AA752" s="87"/>
      <c r="AB752" s="87"/>
      <c r="AC752" s="87"/>
      <c r="AD752" s="87"/>
      <c r="AE752" s="105"/>
      <c r="AF752" s="105"/>
      <c r="AG752" s="105"/>
      <c r="AH752" s="105"/>
      <c r="AI752" s="87"/>
      <c r="AJ752" s="87"/>
      <c r="AK752" s="105"/>
      <c r="AL752" s="87"/>
      <c r="AM752" s="105"/>
      <c r="AN752" s="105"/>
      <c r="AO752" s="87"/>
      <c r="AP752" s="87"/>
      <c r="AQ752" s="105"/>
      <c r="AR752" s="105"/>
      <c r="AS752" s="87"/>
      <c r="AT752" s="105"/>
      <c r="AU752" s="105"/>
      <c r="AV752" s="87"/>
      <c r="AW752" s="105"/>
      <c r="AX752" s="105"/>
      <c r="AY752" s="87"/>
      <c r="AZ752" s="105"/>
      <c r="BA752" s="105"/>
      <c r="BB752" s="105"/>
      <c r="BC752" s="87"/>
      <c r="BD752" s="87"/>
      <c r="BE752" s="105"/>
      <c r="BF752" s="105"/>
      <c r="BG752" s="105"/>
      <c r="BH752" s="105"/>
      <c r="BI752" s="105"/>
      <c r="BJ752" s="87"/>
      <c r="BK752" s="87"/>
      <c r="BL752" s="87"/>
      <c r="BM752" s="87"/>
      <c r="BN752" s="87"/>
      <c r="BO752" s="87"/>
      <c r="BP752" s="87"/>
      <c r="BQ752" s="87"/>
      <c r="BR752" s="87"/>
      <c r="BS752" s="87"/>
      <c r="BT752" s="87"/>
      <c r="BU752" s="87"/>
      <c r="BV752" s="87"/>
      <c r="BW752" s="87"/>
      <c r="BX752" s="87"/>
      <c r="BY752" s="87"/>
      <c r="BZ752" s="87"/>
      <c r="CA752" s="87"/>
      <c r="CB752" s="87"/>
      <c r="CC752" s="87"/>
      <c r="CD752" s="87"/>
      <c r="CE752" s="87"/>
      <c r="CF752" s="87"/>
      <c r="CG752" s="87"/>
      <c r="CH752" s="87"/>
      <c r="CI752" s="87"/>
      <c r="CJ752" s="87"/>
      <c r="CK752" s="87"/>
      <c r="CL752" s="87"/>
      <c r="CM752" s="87"/>
      <c r="CN752" s="87"/>
      <c r="CO752" s="87"/>
      <c r="CP752" s="87"/>
      <c r="CQ752" s="87"/>
      <c r="CR752" s="87"/>
      <c r="CS752" s="87"/>
      <c r="CT752" s="87"/>
      <c r="CU752" s="87"/>
      <c r="CV752" s="87"/>
      <c r="CW752" s="87"/>
      <c r="CX752" s="87"/>
      <c r="CY752" s="87"/>
      <c r="CZ752" s="87"/>
      <c r="DA752" s="87"/>
      <c r="DB752" s="87"/>
      <c r="DC752" s="87"/>
      <c r="DD752" s="87"/>
      <c r="DE752" s="87"/>
      <c r="DF752" s="87"/>
      <c r="DG752" s="87">
        <f>-3/7*C752</f>
        <v>-4.0799999999999992</v>
      </c>
      <c r="DH752" s="87">
        <f t="shared" si="34"/>
        <v>4.0799999999999992</v>
      </c>
      <c r="DI752" s="87"/>
      <c r="DJ752" s="87"/>
      <c r="DK752" s="87"/>
      <c r="DL752" s="87"/>
      <c r="DM752" s="87"/>
      <c r="DN752" s="87"/>
      <c r="DO752" s="87"/>
      <c r="DP752" s="87"/>
      <c r="DQ752" s="87"/>
      <c r="DR752" s="87"/>
      <c r="DS752" s="87"/>
      <c r="DT752" s="87"/>
      <c r="DU752" s="87"/>
      <c r="DV752" s="87"/>
      <c r="DW752" s="87"/>
      <c r="DX752" s="87"/>
      <c r="DY752" s="87"/>
      <c r="DZ752" s="87"/>
      <c r="EA752" s="87"/>
      <c r="EB752" s="87"/>
      <c r="EC752" s="87"/>
      <c r="ED752" s="87"/>
      <c r="EE752" s="87"/>
      <c r="EF752" s="87"/>
      <c r="EG752" s="87"/>
      <c r="EH752" s="87"/>
      <c r="EI752" s="87"/>
    </row>
    <row r="753" spans="1:139" ht="16.5" hidden="1" thickBot="1" x14ac:dyDescent="0.35">
      <c r="A753" s="161" t="s">
        <v>119</v>
      </c>
      <c r="B753" s="279">
        <v>5</v>
      </c>
      <c r="C753" s="224">
        <f>45*0.05</f>
        <v>2.25</v>
      </c>
      <c r="D753" s="217">
        <f>C753/VLOOKUP(B753,'[2]Gas Prod per PADD'!$A$1:$C$6,2,FALSE)</f>
        <v>1.6666666666666668E-3</v>
      </c>
      <c r="E753" s="225">
        <v>45832</v>
      </c>
      <c r="F753" s="276">
        <v>45838</v>
      </c>
      <c r="G753" s="180" t="s">
        <v>922</v>
      </c>
      <c r="H753" s="221" t="s">
        <v>1255</v>
      </c>
      <c r="I753" s="84"/>
      <c r="J753" s="85"/>
      <c r="K753" s="85"/>
      <c r="L753" s="85"/>
      <c r="M753" s="85"/>
      <c r="N753" s="85"/>
      <c r="O753" s="85"/>
      <c r="P753" s="85"/>
      <c r="Q753" s="85"/>
      <c r="R753" s="85"/>
      <c r="S753" s="85"/>
      <c r="T753" s="85"/>
      <c r="U753" s="85">
        <f t="shared" si="33"/>
        <v>-0.45</v>
      </c>
      <c r="V753" s="84"/>
      <c r="W753" s="84"/>
      <c r="X753" s="84"/>
      <c r="Y753" s="86"/>
      <c r="Z753" s="87"/>
      <c r="AA753" s="87"/>
      <c r="AB753" s="87"/>
      <c r="AC753" s="87"/>
      <c r="AD753" s="87"/>
      <c r="AE753" s="87"/>
      <c r="AF753" s="87"/>
      <c r="AG753" s="87"/>
      <c r="AH753" s="87"/>
      <c r="AI753" s="87"/>
      <c r="AJ753" s="87"/>
      <c r="AK753" s="87"/>
      <c r="AL753" s="87"/>
      <c r="AM753" s="87"/>
      <c r="AN753" s="87"/>
      <c r="AO753" s="87"/>
      <c r="AP753" s="87"/>
      <c r="AQ753" s="87"/>
      <c r="AR753" s="87"/>
      <c r="AS753" s="87"/>
      <c r="AT753" s="87"/>
      <c r="AU753" s="87"/>
      <c r="AV753" s="87"/>
      <c r="AW753" s="87"/>
      <c r="AX753" s="87"/>
      <c r="AY753" s="87"/>
      <c r="AZ753" s="87"/>
      <c r="BA753" s="87"/>
      <c r="BB753" s="87"/>
      <c r="BC753" s="87"/>
      <c r="BD753" s="87"/>
      <c r="BE753" s="87"/>
      <c r="BF753" s="87"/>
      <c r="BG753" s="87"/>
      <c r="BH753" s="87"/>
      <c r="BI753" s="87"/>
      <c r="BJ753" s="105"/>
      <c r="BK753" s="87"/>
      <c r="BL753" s="105"/>
      <c r="BM753" s="105"/>
      <c r="BN753" s="105"/>
      <c r="BO753" s="105"/>
      <c r="BP753" s="105"/>
      <c r="BQ753" s="87"/>
      <c r="BR753" s="87"/>
      <c r="BS753" s="87"/>
      <c r="BT753" s="87"/>
      <c r="BU753" s="87"/>
      <c r="BV753" s="87"/>
      <c r="BW753" s="87"/>
      <c r="BX753" s="87"/>
      <c r="BY753" s="87"/>
      <c r="BZ753" s="87"/>
      <c r="CA753" s="87"/>
      <c r="CB753" s="87"/>
      <c r="CC753" s="87"/>
      <c r="CD753" s="87"/>
      <c r="CE753" s="87"/>
      <c r="CF753" s="87"/>
      <c r="CG753" s="87"/>
      <c r="CH753" s="87"/>
      <c r="CI753" s="87"/>
      <c r="CJ753" s="87"/>
      <c r="CK753" s="87"/>
      <c r="CL753" s="87"/>
      <c r="CM753" s="87"/>
      <c r="CN753" s="295"/>
      <c r="CO753" s="87"/>
      <c r="CP753" s="87"/>
      <c r="CQ753" s="87"/>
      <c r="CR753" s="87"/>
      <c r="CS753" s="87"/>
      <c r="CT753" s="87"/>
      <c r="CU753" s="87"/>
      <c r="CV753" s="87"/>
      <c r="CW753" s="87"/>
      <c r="CX753" s="87"/>
      <c r="CY753" s="87"/>
      <c r="CZ753" s="87"/>
      <c r="DA753" s="87"/>
      <c r="DB753" s="87"/>
      <c r="DC753" s="87"/>
      <c r="DD753" s="87"/>
      <c r="DE753" s="87"/>
      <c r="DF753" s="105"/>
      <c r="DG753" s="87">
        <f>-3/7*C753</f>
        <v>-0.96428571428571419</v>
      </c>
      <c r="DH753" s="87"/>
      <c r="DI753" s="87">
        <f>-DG753</f>
        <v>0.96428571428571419</v>
      </c>
      <c r="DJ753" s="87"/>
      <c r="DK753" s="87"/>
      <c r="DL753" s="87"/>
      <c r="DM753" s="87"/>
      <c r="DN753" s="87"/>
      <c r="DO753" s="87"/>
      <c r="DP753" s="87"/>
      <c r="DQ753" s="87"/>
      <c r="DR753" s="87"/>
      <c r="DS753" s="87"/>
      <c r="DT753" s="87"/>
      <c r="DU753" s="87"/>
      <c r="DV753" s="87"/>
      <c r="DW753" s="87"/>
      <c r="DX753" s="87"/>
      <c r="DY753" s="87"/>
      <c r="DZ753" s="87"/>
      <c r="EA753" s="87"/>
      <c r="EB753" s="87"/>
      <c r="EC753" s="87"/>
      <c r="ED753" s="87"/>
      <c r="EE753" s="87"/>
      <c r="EF753" s="87"/>
      <c r="EG753" s="87"/>
      <c r="EH753" s="87"/>
      <c r="EI753" s="87"/>
    </row>
    <row r="754" spans="1:139" ht="16.5" hidden="1" thickBot="1" x14ac:dyDescent="0.35">
      <c r="A754" s="219" t="s">
        <v>294</v>
      </c>
      <c r="B754" s="194">
        <v>3</v>
      </c>
      <c r="C754" s="195">
        <f>20*0.25+5*0.65+(20*0.05)</f>
        <v>9.25</v>
      </c>
      <c r="D754" s="217">
        <f>C754/VLOOKUP(B754,'[2]Gas Prod per PADD'!$A$1:$C$6,2,FALSE)</f>
        <v>2.0108695652173913E-3</v>
      </c>
      <c r="E754" s="178">
        <v>45837</v>
      </c>
      <c r="F754" s="252">
        <v>45838</v>
      </c>
      <c r="G754" s="194" t="s">
        <v>1259</v>
      </c>
      <c r="H754" s="181" t="s">
        <v>1260</v>
      </c>
      <c r="I754" s="371"/>
      <c r="J754" s="372"/>
      <c r="K754" s="372"/>
      <c r="L754" s="372"/>
      <c r="M754" s="372"/>
      <c r="N754" s="372"/>
      <c r="O754" s="372"/>
      <c r="P754" s="372"/>
      <c r="Q754" s="372"/>
      <c r="R754" s="372"/>
      <c r="S754" s="372"/>
      <c r="T754" s="85"/>
      <c r="U754" s="85">
        <f t="shared" si="33"/>
        <v>-0.30833333333333335</v>
      </c>
      <c r="V754" s="84"/>
      <c r="W754" s="84"/>
      <c r="X754" s="84"/>
      <c r="Y754" s="105"/>
      <c r="Z754" s="105"/>
      <c r="AA754" s="87"/>
      <c r="AB754" s="87"/>
      <c r="AC754" s="87"/>
      <c r="AD754" s="87"/>
      <c r="AE754" s="105"/>
      <c r="AF754" s="105"/>
      <c r="AG754" s="105"/>
      <c r="AH754" s="105"/>
      <c r="AI754" s="87"/>
      <c r="AJ754" s="87"/>
      <c r="AK754" s="105"/>
      <c r="AL754" s="87"/>
      <c r="AM754" s="105"/>
      <c r="AN754" s="105"/>
      <c r="AO754" s="87"/>
      <c r="AP754" s="87"/>
      <c r="AQ754" s="105"/>
      <c r="AR754" s="105"/>
      <c r="AS754" s="87"/>
      <c r="AT754" s="105"/>
      <c r="AU754" s="105"/>
      <c r="AV754" s="87"/>
      <c r="AW754" s="105"/>
      <c r="AX754" s="105"/>
      <c r="AY754" s="87"/>
      <c r="AZ754" s="105"/>
      <c r="BA754" s="105"/>
      <c r="BB754" s="105"/>
      <c r="BC754" s="87"/>
      <c r="BD754" s="87"/>
      <c r="BE754" s="105"/>
      <c r="BF754" s="105"/>
      <c r="BG754" s="105"/>
      <c r="BH754" s="105"/>
      <c r="BI754" s="105"/>
      <c r="BJ754" s="87"/>
      <c r="BK754" s="87"/>
      <c r="BL754" s="87"/>
      <c r="BM754" s="87"/>
      <c r="BN754" s="87"/>
      <c r="BO754" s="87"/>
      <c r="BP754" s="87"/>
      <c r="BQ754" s="87"/>
      <c r="BR754" s="87"/>
      <c r="BS754" s="87"/>
      <c r="BT754" s="87"/>
      <c r="BU754" s="87"/>
      <c r="BV754" s="87"/>
      <c r="BW754" s="87"/>
      <c r="BX754" s="87"/>
      <c r="BY754" s="87"/>
      <c r="BZ754" s="87"/>
      <c r="CA754" s="87"/>
      <c r="CB754" s="87"/>
      <c r="CC754" s="87"/>
      <c r="CD754" s="87"/>
      <c r="CE754" s="87"/>
      <c r="CF754" s="87"/>
      <c r="CG754" s="87"/>
      <c r="CH754" s="87"/>
      <c r="CI754" s="87"/>
      <c r="CJ754" s="87"/>
      <c r="CK754" s="87"/>
      <c r="CL754" s="87"/>
      <c r="CM754" s="87"/>
      <c r="CN754" s="87"/>
      <c r="CO754" s="87"/>
      <c r="CP754" s="87"/>
      <c r="CQ754" s="87"/>
      <c r="CR754" s="87"/>
      <c r="CS754" s="87"/>
      <c r="CT754" s="87"/>
      <c r="CU754" s="87"/>
      <c r="CV754" s="87"/>
      <c r="CW754" s="87"/>
      <c r="CX754" s="87"/>
      <c r="CY754" s="87"/>
      <c r="CZ754" s="87"/>
      <c r="DA754" s="87"/>
      <c r="DB754" s="87"/>
      <c r="DC754" s="87"/>
      <c r="DD754" s="87"/>
      <c r="DE754" s="87"/>
      <c r="DF754" s="87"/>
      <c r="DG754" s="87"/>
      <c r="DH754" s="87">
        <f>-1/7*C754</f>
        <v>-1.3214285714285714</v>
      </c>
      <c r="DI754" s="87">
        <f>-DH754</f>
        <v>1.3214285714285714</v>
      </c>
      <c r="DJ754" s="87"/>
      <c r="DK754" s="87"/>
      <c r="DL754" s="87"/>
      <c r="DM754" s="87"/>
      <c r="DN754" s="87"/>
      <c r="DO754" s="87"/>
      <c r="DP754" s="87"/>
      <c r="DQ754" s="87"/>
      <c r="DR754" s="87"/>
      <c r="DS754" s="87"/>
      <c r="DT754" s="87"/>
      <c r="DU754" s="87"/>
      <c r="DV754" s="87"/>
      <c r="DW754" s="87"/>
      <c r="DX754" s="87"/>
      <c r="DY754" s="87"/>
      <c r="DZ754" s="87"/>
      <c r="EA754" s="87"/>
      <c r="EB754" s="87"/>
      <c r="EC754" s="87"/>
      <c r="ED754" s="87"/>
      <c r="EE754" s="87"/>
      <c r="EF754" s="87"/>
      <c r="EG754" s="87"/>
      <c r="EH754" s="87"/>
      <c r="EI754" s="87"/>
    </row>
    <row r="755" spans="1:139" ht="16.5" hidden="1" thickBot="1" x14ac:dyDescent="0.35">
      <c r="A755" s="358" t="s">
        <v>780</v>
      </c>
      <c r="B755" s="194">
        <v>2</v>
      </c>
      <c r="C755" s="195">
        <f>91*0.25</f>
        <v>22.75</v>
      </c>
      <c r="D755" s="217">
        <f>C755/VLOOKUP(B755,'[2]Gas Prod per PADD'!$A$1:$C$6,2,FALSE)</f>
        <v>9.479166666666667E-3</v>
      </c>
      <c r="E755" s="178">
        <v>45838</v>
      </c>
      <c r="F755" s="179">
        <v>45839</v>
      </c>
      <c r="G755" s="194" t="s">
        <v>236</v>
      </c>
      <c r="H755" s="181" t="s">
        <v>1261</v>
      </c>
      <c r="I755" s="371"/>
      <c r="J755" s="372"/>
      <c r="K755" s="372"/>
      <c r="L755" s="372"/>
      <c r="M755" s="372"/>
      <c r="N755" s="372"/>
      <c r="O755" s="372"/>
      <c r="P755" s="372"/>
      <c r="Q755" s="372"/>
      <c r="R755" s="372"/>
      <c r="S755" s="372"/>
      <c r="T755" s="85"/>
      <c r="U755" s="85">
        <f>C755*(E755-F755-1)/30</f>
        <v>-1.5166666666666666</v>
      </c>
      <c r="V755" s="84">
        <f>-1/31*C755</f>
        <v>-0.7338709677419355</v>
      </c>
      <c r="W755" s="84"/>
      <c r="X755" s="84"/>
      <c r="Y755" s="105"/>
      <c r="Z755" s="105"/>
      <c r="AA755" s="87"/>
      <c r="AB755" s="87"/>
      <c r="AC755" s="87"/>
      <c r="AD755" s="87"/>
      <c r="AE755" s="105"/>
      <c r="AF755" s="105"/>
      <c r="AG755" s="105"/>
      <c r="AH755" s="105"/>
      <c r="AI755" s="87"/>
      <c r="AJ755" s="87"/>
      <c r="AK755" s="105"/>
      <c r="AL755" s="87"/>
      <c r="AM755" s="105"/>
      <c r="AN755" s="105"/>
      <c r="AO755" s="87"/>
      <c r="AP755" s="87"/>
      <c r="AQ755" s="105"/>
      <c r="AR755" s="105"/>
      <c r="AS755" s="87"/>
      <c r="AT755" s="105"/>
      <c r="AU755" s="105"/>
      <c r="AV755" s="87"/>
      <c r="AW755" s="105"/>
      <c r="AX755" s="105"/>
      <c r="AY755" s="87"/>
      <c r="AZ755" s="105"/>
      <c r="BA755" s="105"/>
      <c r="BB755" s="105"/>
      <c r="BC755" s="87"/>
      <c r="BD755" s="87"/>
      <c r="BE755" s="105"/>
      <c r="BF755" s="105"/>
      <c r="BG755" s="105"/>
      <c r="BH755" s="105"/>
      <c r="BI755" s="105"/>
      <c r="BJ755" s="87"/>
      <c r="BK755" s="87"/>
      <c r="BL755" s="87"/>
      <c r="BM755" s="87"/>
      <c r="BN755" s="87"/>
      <c r="BO755" s="87"/>
      <c r="BP755" s="87"/>
      <c r="BQ755" s="87"/>
      <c r="BR755" s="87"/>
      <c r="BS755" s="87"/>
      <c r="BT755" s="87"/>
      <c r="BU755" s="87"/>
      <c r="BV755" s="87"/>
      <c r="BW755" s="87"/>
      <c r="BX755" s="87"/>
      <c r="BY755" s="87"/>
      <c r="BZ755" s="87"/>
      <c r="CA755" s="87"/>
      <c r="CB755" s="87"/>
      <c r="CC755" s="87"/>
      <c r="CD755" s="87"/>
      <c r="CE755" s="87"/>
      <c r="CF755" s="87"/>
      <c r="CG755" s="87"/>
      <c r="CH755" s="87"/>
      <c r="CI755" s="87"/>
      <c r="CJ755" s="87"/>
      <c r="CK755" s="87"/>
      <c r="CL755" s="87"/>
      <c r="CM755" s="87"/>
      <c r="CN755" s="87"/>
      <c r="CO755" s="87"/>
      <c r="CP755" s="87"/>
      <c r="CQ755" s="87"/>
      <c r="CR755" s="87"/>
      <c r="CS755" s="87"/>
      <c r="CT755" s="87"/>
      <c r="CU755" s="87"/>
      <c r="CV755" s="87"/>
      <c r="CW755" s="87"/>
      <c r="CX755" s="87"/>
      <c r="CY755" s="87"/>
      <c r="CZ755" s="87"/>
      <c r="DA755" s="87"/>
      <c r="DB755" s="87"/>
      <c r="DC755" s="87"/>
      <c r="DD755" s="87"/>
      <c r="DE755" s="87"/>
      <c r="DF755" s="87"/>
      <c r="DG755" s="87"/>
      <c r="DH755" s="87">
        <f>-1/7*C755</f>
        <v>-3.25</v>
      </c>
      <c r="DI755" s="87">
        <f>-DH755</f>
        <v>3.25</v>
      </c>
      <c r="DJ755" s="87"/>
      <c r="DK755" s="87"/>
      <c r="DL755" s="87"/>
      <c r="DM755" s="87"/>
      <c r="DN755" s="87"/>
      <c r="DO755" s="87"/>
      <c r="DP755" s="87"/>
      <c r="DQ755" s="87"/>
      <c r="DR755" s="87"/>
      <c r="DS755" s="87"/>
      <c r="DT755" s="87"/>
      <c r="DU755" s="87"/>
      <c r="DV755" s="87"/>
      <c r="DW755" s="87"/>
      <c r="DX755" s="87"/>
      <c r="DY755" s="87"/>
      <c r="DZ755" s="87"/>
      <c r="EA755" s="87"/>
      <c r="EB755" s="87"/>
      <c r="EC755" s="87"/>
      <c r="ED755" s="87"/>
      <c r="EE755" s="87"/>
      <c r="EF755" s="87"/>
      <c r="EG755" s="87"/>
      <c r="EH755" s="87"/>
      <c r="EI755" s="87"/>
    </row>
    <row r="756" spans="1:139" ht="16.5" hidden="1" thickBot="1" x14ac:dyDescent="0.35">
      <c r="A756" s="222" t="s">
        <v>210</v>
      </c>
      <c r="B756" s="176">
        <v>3</v>
      </c>
      <c r="C756" s="177">
        <f>30*0.65</f>
        <v>19.5</v>
      </c>
      <c r="D756" s="217">
        <f>C756/VLOOKUP(B756,'[2]Gas Prod per PADD'!$A$1:$C$6,2,FALSE)</f>
        <v>4.239130434782609E-3</v>
      </c>
      <c r="E756" s="178">
        <v>45833</v>
      </c>
      <c r="F756" s="393">
        <f>E756+7</f>
        <v>45840</v>
      </c>
      <c r="G756" s="180" t="s">
        <v>221</v>
      </c>
      <c r="H756" s="181" t="s">
        <v>640</v>
      </c>
      <c r="I756" s="84"/>
      <c r="J756" s="85"/>
      <c r="K756" s="85"/>
      <c r="L756" s="85"/>
      <c r="M756" s="85"/>
      <c r="N756" s="85"/>
      <c r="O756" s="85"/>
      <c r="P756" s="85"/>
      <c r="Q756" s="85"/>
      <c r="R756" s="85"/>
      <c r="S756" s="85"/>
      <c r="T756" s="85"/>
      <c r="U756" s="85">
        <f t="shared" ref="U756:U762" si="35">C756*(E756-$U$1)/30</f>
        <v>-3.25</v>
      </c>
      <c r="V756" s="84">
        <f>-2/31*C756</f>
        <v>-1.2580645161290323</v>
      </c>
      <c r="W756" s="84"/>
      <c r="X756" s="84"/>
      <c r="Y756" s="87"/>
      <c r="Z756" s="87"/>
      <c r="AA756" s="87"/>
      <c r="AB756" s="87"/>
      <c r="AC756" s="87"/>
      <c r="AD756" s="87"/>
      <c r="AE756" s="87"/>
      <c r="AF756" s="87"/>
      <c r="AG756" s="87"/>
      <c r="AH756" s="87"/>
      <c r="AI756" s="87"/>
      <c r="AJ756" s="87"/>
      <c r="AK756" s="87"/>
      <c r="AL756" s="87"/>
      <c r="AM756" s="87"/>
      <c r="AN756" s="87"/>
      <c r="AO756" s="87"/>
      <c r="AP756" s="87"/>
      <c r="AQ756" s="87"/>
      <c r="AR756" s="87"/>
      <c r="AS756" s="87"/>
      <c r="AT756" s="87"/>
      <c r="AU756" s="87"/>
      <c r="AV756" s="87"/>
      <c r="AW756" s="87"/>
      <c r="AX756" s="87"/>
      <c r="AY756" s="87"/>
      <c r="AZ756" s="87"/>
      <c r="BA756" s="87"/>
      <c r="BB756" s="87"/>
      <c r="BC756" s="87"/>
      <c r="BD756" s="87"/>
      <c r="BE756" s="87"/>
      <c r="BF756" s="87"/>
      <c r="BG756" s="87"/>
      <c r="BH756" s="87"/>
      <c r="BI756" s="87"/>
      <c r="BJ756" s="87"/>
      <c r="BK756" s="87"/>
      <c r="BL756" s="87"/>
      <c r="BM756" s="87"/>
      <c r="BN756" s="87"/>
      <c r="BO756" s="87"/>
      <c r="BP756" s="87"/>
      <c r="BQ756" s="87"/>
      <c r="BR756" s="87"/>
      <c r="BS756" s="87"/>
      <c r="BT756" s="87"/>
      <c r="BU756" s="87"/>
      <c r="BV756" s="87"/>
      <c r="BW756" s="87"/>
      <c r="BX756" s="87"/>
      <c r="BY756" s="87"/>
      <c r="BZ756" s="87"/>
      <c r="CA756" s="87"/>
      <c r="CB756" s="87"/>
      <c r="CC756" s="87"/>
      <c r="CD756" s="87"/>
      <c r="CE756" s="87"/>
      <c r="CF756" s="87"/>
      <c r="CG756" s="87"/>
      <c r="CH756" s="87"/>
      <c r="CI756" s="87"/>
      <c r="CJ756" s="87"/>
      <c r="CK756" s="87"/>
      <c r="CL756" s="87"/>
      <c r="CM756" s="87"/>
      <c r="CN756" s="87"/>
      <c r="CO756" s="87"/>
      <c r="CP756" s="87"/>
      <c r="CQ756" s="87"/>
      <c r="CR756" s="278"/>
      <c r="CS756" s="278"/>
      <c r="CT756" s="278"/>
      <c r="CU756" s="278"/>
      <c r="CV756" s="278"/>
      <c r="CW756" s="278"/>
      <c r="CX756" s="278"/>
      <c r="CY756" s="87"/>
      <c r="CZ756" s="87"/>
      <c r="DA756" s="87"/>
      <c r="DB756" s="105"/>
      <c r="DC756" s="87"/>
      <c r="DD756" s="87"/>
      <c r="DE756" s="105"/>
      <c r="DF756" s="87"/>
      <c r="DG756" s="87">
        <f>-3/7*C756</f>
        <v>-8.3571428571428559</v>
      </c>
      <c r="DH756" s="87"/>
      <c r="DI756" s="87">
        <f>-DG756</f>
        <v>8.3571428571428559</v>
      </c>
      <c r="DJ756" s="87"/>
      <c r="DK756" s="87"/>
      <c r="DL756" s="87"/>
      <c r="DM756" s="87"/>
      <c r="DN756" s="87"/>
      <c r="DO756" s="87"/>
      <c r="DP756" s="87"/>
      <c r="DQ756" s="87"/>
      <c r="DR756" s="87"/>
      <c r="DS756" s="87"/>
      <c r="DT756" s="87"/>
      <c r="DU756" s="87"/>
      <c r="DV756" s="87"/>
      <c r="DW756" s="87"/>
      <c r="DX756" s="87"/>
      <c r="DY756" s="87"/>
      <c r="DZ756" s="87"/>
      <c r="EA756" s="87"/>
      <c r="EB756" s="87"/>
      <c r="EC756" s="87"/>
      <c r="ED756" s="87"/>
      <c r="EE756" s="87"/>
      <c r="EF756" s="87"/>
      <c r="EG756" s="87"/>
      <c r="EH756" s="87"/>
      <c r="EI756" s="87"/>
    </row>
    <row r="757" spans="1:139" ht="16.5" hidden="1" thickBot="1" x14ac:dyDescent="0.35">
      <c r="A757" s="219" t="s">
        <v>149</v>
      </c>
      <c r="B757" s="194">
        <v>3</v>
      </c>
      <c r="C757" s="195">
        <f>20*0.65+75*0.25+30*0.25</f>
        <v>39.25</v>
      </c>
      <c r="D757" s="217">
        <f>C757/VLOOKUP(B757,'[2]Gas Prod per PADD'!$A$1:$C$6,2,FALSE)</f>
        <v>8.5326086956521736E-3</v>
      </c>
      <c r="E757" s="178">
        <v>45838</v>
      </c>
      <c r="F757" s="179">
        <v>45840</v>
      </c>
      <c r="G757" s="194" t="s">
        <v>1262</v>
      </c>
      <c r="H757" s="181" t="s">
        <v>1263</v>
      </c>
      <c r="I757" s="371"/>
      <c r="J757" s="372"/>
      <c r="K757" s="372"/>
      <c r="L757" s="372"/>
      <c r="M757" s="372"/>
      <c r="N757" s="372"/>
      <c r="O757" s="372"/>
      <c r="P757" s="372"/>
      <c r="Q757" s="372"/>
      <c r="R757" s="372"/>
      <c r="S757" s="372"/>
      <c r="T757" s="85"/>
      <c r="U757" s="85">
        <f t="shared" si="35"/>
        <v>0</v>
      </c>
      <c r="V757" s="84">
        <f>-2/31*C757</f>
        <v>-2.532258064516129</v>
      </c>
      <c r="W757" s="84"/>
      <c r="X757" s="84"/>
      <c r="Y757" s="105"/>
      <c r="Z757" s="105"/>
      <c r="AA757" s="87"/>
      <c r="AB757" s="87"/>
      <c r="AC757" s="87"/>
      <c r="AD757" s="87"/>
      <c r="AE757" s="105"/>
      <c r="AF757" s="105"/>
      <c r="AG757" s="105"/>
      <c r="AH757" s="105"/>
      <c r="AI757" s="87"/>
      <c r="AJ757" s="87"/>
      <c r="AK757" s="105"/>
      <c r="AL757" s="87"/>
      <c r="AM757" s="105"/>
      <c r="AN757" s="105"/>
      <c r="AO757" s="87"/>
      <c r="AP757" s="87"/>
      <c r="AQ757" s="105"/>
      <c r="AR757" s="105"/>
      <c r="AS757" s="87"/>
      <c r="AT757" s="105"/>
      <c r="AU757" s="105"/>
      <c r="AV757" s="87"/>
      <c r="AW757" s="105"/>
      <c r="AX757" s="105"/>
      <c r="AY757" s="87"/>
      <c r="AZ757" s="105"/>
      <c r="BA757" s="105"/>
      <c r="BB757" s="105"/>
      <c r="BC757" s="87"/>
      <c r="BD757" s="87"/>
      <c r="BE757" s="105"/>
      <c r="BF757" s="105"/>
      <c r="BG757" s="105"/>
      <c r="BH757" s="105"/>
      <c r="BI757" s="105"/>
      <c r="BJ757" s="87"/>
      <c r="BK757" s="87"/>
      <c r="BL757" s="87"/>
      <c r="BM757" s="87"/>
      <c r="BN757" s="87"/>
      <c r="BO757" s="87"/>
      <c r="BP757" s="87"/>
      <c r="BQ757" s="87"/>
      <c r="BR757" s="87"/>
      <c r="BS757" s="87"/>
      <c r="BT757" s="87"/>
      <c r="BU757" s="87"/>
      <c r="BV757" s="87"/>
      <c r="BW757" s="87"/>
      <c r="BX757" s="87"/>
      <c r="BY757" s="87"/>
      <c r="BZ757" s="87"/>
      <c r="CA757" s="87"/>
      <c r="CB757" s="87"/>
      <c r="CC757" s="87"/>
      <c r="CD757" s="87"/>
      <c r="CE757" s="87"/>
      <c r="CF757" s="87"/>
      <c r="CG757" s="87"/>
      <c r="CH757" s="87"/>
      <c r="CI757" s="87"/>
      <c r="CJ757" s="87"/>
      <c r="CK757" s="87"/>
      <c r="CL757" s="87"/>
      <c r="CM757" s="87"/>
      <c r="CN757" s="87"/>
      <c r="CO757" s="87"/>
      <c r="CP757" s="87"/>
      <c r="CQ757" s="87"/>
      <c r="CR757" s="87"/>
      <c r="CS757" s="87"/>
      <c r="CT757" s="87"/>
      <c r="CU757" s="87"/>
      <c r="CV757" s="87"/>
      <c r="CW757" s="87"/>
      <c r="CX757" s="87"/>
      <c r="CY757" s="87"/>
      <c r="CZ757" s="87"/>
      <c r="DA757" s="87"/>
      <c r="DB757" s="87"/>
      <c r="DC757" s="87"/>
      <c r="DD757" s="87"/>
      <c r="DE757" s="87"/>
      <c r="DF757" s="87"/>
      <c r="DG757" s="87"/>
      <c r="DH757" s="87">
        <f>-2/7*C757</f>
        <v>-11.214285714285714</v>
      </c>
      <c r="DI757" s="87">
        <f>-DH757</f>
        <v>11.214285714285714</v>
      </c>
      <c r="DJ757" s="87"/>
      <c r="DK757" s="87"/>
      <c r="DL757" s="87"/>
      <c r="DM757" s="87"/>
      <c r="DN757" s="87"/>
      <c r="DO757" s="87"/>
      <c r="DP757" s="87"/>
      <c r="DQ757" s="87"/>
      <c r="DR757" s="87"/>
      <c r="DS757" s="87"/>
      <c r="DT757" s="87"/>
      <c r="DU757" s="87"/>
      <c r="DV757" s="87"/>
      <c r="DW757" s="87"/>
      <c r="DX757" s="87"/>
      <c r="DY757" s="87"/>
      <c r="DZ757" s="87"/>
      <c r="EA757" s="87"/>
      <c r="EB757" s="87"/>
      <c r="EC757" s="87"/>
      <c r="ED757" s="87"/>
      <c r="EE757" s="87"/>
      <c r="EF757" s="87"/>
      <c r="EG757" s="87"/>
      <c r="EH757" s="87"/>
      <c r="EI757" s="87"/>
    </row>
    <row r="758" spans="1:139" ht="16.5" hidden="1" thickBot="1" x14ac:dyDescent="0.35">
      <c r="A758" s="218" t="s">
        <v>776</v>
      </c>
      <c r="B758" s="194">
        <v>4</v>
      </c>
      <c r="C758" s="195">
        <f>0.3*10</f>
        <v>3</v>
      </c>
      <c r="D758" s="217">
        <f>C758/VLOOKUP(B758,'[2]Gas Prod per PADD'!$A$1:$C$6,2,FALSE)</f>
        <v>8.8235294117647058E-3</v>
      </c>
      <c r="E758" s="196">
        <v>45834</v>
      </c>
      <c r="F758" s="197">
        <f>E758+7</f>
        <v>45841</v>
      </c>
      <c r="G758" s="194" t="s">
        <v>777</v>
      </c>
      <c r="H758" s="198" t="s">
        <v>640</v>
      </c>
      <c r="I758" s="84"/>
      <c r="J758" s="85"/>
      <c r="K758" s="85"/>
      <c r="L758" s="85"/>
      <c r="M758" s="85"/>
      <c r="N758" s="85"/>
      <c r="O758" s="85"/>
      <c r="P758" s="85"/>
      <c r="Q758" s="85"/>
      <c r="R758" s="85"/>
      <c r="S758" s="85"/>
      <c r="T758" s="85"/>
      <c r="U758" s="85">
        <f t="shared" si="35"/>
        <v>-0.4</v>
      </c>
      <c r="V758" s="84">
        <f>-3/31*C758</f>
        <v>-0.29032258064516125</v>
      </c>
      <c r="W758" s="84"/>
      <c r="X758" s="84"/>
      <c r="Y758" s="87"/>
      <c r="Z758" s="87"/>
      <c r="AA758" s="87"/>
      <c r="AB758" s="87"/>
      <c r="AC758" s="87"/>
      <c r="AD758" s="87"/>
      <c r="AE758" s="87"/>
      <c r="AF758" s="87"/>
      <c r="AG758" s="87"/>
      <c r="AH758" s="87"/>
      <c r="AI758" s="87"/>
      <c r="AJ758" s="87"/>
      <c r="AK758" s="87"/>
      <c r="AL758" s="87"/>
      <c r="AM758" s="87"/>
      <c r="AN758" s="87"/>
      <c r="AO758" s="87"/>
      <c r="AP758" s="87"/>
      <c r="AQ758" s="87"/>
      <c r="AR758" s="87"/>
      <c r="AS758" s="87"/>
      <c r="AT758" s="87"/>
      <c r="AU758" s="87"/>
      <c r="AV758" s="87"/>
      <c r="AW758" s="87"/>
      <c r="AX758" s="87"/>
      <c r="AY758" s="87"/>
      <c r="AZ758" s="87"/>
      <c r="BA758" s="87"/>
      <c r="BB758" s="87"/>
      <c r="BC758" s="87"/>
      <c r="BD758" s="87"/>
      <c r="BE758" s="87"/>
      <c r="BF758" s="87"/>
      <c r="BG758" s="87"/>
      <c r="BH758" s="87"/>
      <c r="BI758" s="87"/>
      <c r="BJ758" s="87"/>
      <c r="BK758" s="87"/>
      <c r="BL758" s="87"/>
      <c r="BM758" s="87"/>
      <c r="BN758" s="87"/>
      <c r="BO758" s="87"/>
      <c r="BP758" s="87"/>
      <c r="BQ758" s="87"/>
      <c r="BR758" s="87"/>
      <c r="BS758" s="87"/>
      <c r="BT758" s="87"/>
      <c r="BU758" s="87"/>
      <c r="BV758" s="87"/>
      <c r="BW758" s="87"/>
      <c r="BX758" s="87"/>
      <c r="BY758" s="87"/>
      <c r="BZ758" s="87"/>
      <c r="CA758" s="87"/>
      <c r="CB758" s="87"/>
      <c r="CC758" s="87"/>
      <c r="CD758" s="87"/>
      <c r="CE758" s="87"/>
      <c r="CF758" s="87"/>
      <c r="CG758" s="87"/>
      <c r="CH758" s="87"/>
      <c r="CI758" s="87"/>
      <c r="CJ758" s="87"/>
      <c r="CK758" s="87"/>
      <c r="CL758" s="87"/>
      <c r="CM758" s="87"/>
      <c r="CN758" s="87"/>
      <c r="CO758" s="87"/>
      <c r="CP758" s="87"/>
      <c r="CQ758" s="87"/>
      <c r="CR758" s="87"/>
      <c r="CS758" s="87"/>
      <c r="CT758" s="87"/>
      <c r="CU758" s="87"/>
      <c r="CV758" s="87"/>
      <c r="CW758" s="87"/>
      <c r="CX758" s="87"/>
      <c r="CY758" s="87"/>
      <c r="CZ758" s="87"/>
      <c r="DA758" s="87"/>
      <c r="DB758" s="87"/>
      <c r="DC758" s="87"/>
      <c r="DD758" s="87"/>
      <c r="DE758" s="87"/>
      <c r="DF758" s="87"/>
      <c r="DG758" s="87">
        <f>-2/7*C758</f>
        <v>-0.8571428571428571</v>
      </c>
      <c r="DH758" s="87"/>
      <c r="DI758" s="87">
        <f>-DG758</f>
        <v>0.8571428571428571</v>
      </c>
      <c r="DJ758" s="87"/>
      <c r="DK758" s="87"/>
      <c r="DL758" s="87"/>
      <c r="DM758" s="87"/>
      <c r="DN758" s="87"/>
      <c r="DO758" s="87"/>
      <c r="DP758" s="87"/>
      <c r="DQ758" s="105"/>
      <c r="DR758" s="87"/>
      <c r="DS758" s="87"/>
      <c r="DT758" s="87"/>
      <c r="DU758" s="87"/>
      <c r="DV758" s="87"/>
      <c r="DW758" s="87"/>
      <c r="DX758" s="87"/>
      <c r="DY758" s="87"/>
      <c r="DZ758" s="105"/>
      <c r="EA758" s="105"/>
      <c r="EB758" s="87"/>
      <c r="EC758" s="87"/>
      <c r="ED758" s="87"/>
      <c r="EE758" s="87"/>
      <c r="EF758" s="87"/>
      <c r="EG758" s="87"/>
      <c r="EH758" s="87"/>
      <c r="EI758" s="87"/>
    </row>
    <row r="759" spans="1:139" ht="16.5" hidden="1" thickBot="1" x14ac:dyDescent="0.35">
      <c r="A759" s="219" t="s">
        <v>149</v>
      </c>
      <c r="B759" s="194">
        <v>3</v>
      </c>
      <c r="C759" s="195">
        <f>100*0.65</f>
        <v>65</v>
      </c>
      <c r="D759" s="217">
        <f>C759/VLOOKUP(B759,'[2]Gas Prod per PADD'!$A$1:$C$6,2,FALSE)</f>
        <v>1.4130434782608696E-2</v>
      </c>
      <c r="E759" s="178">
        <v>45838</v>
      </c>
      <c r="F759" s="179">
        <v>45841</v>
      </c>
      <c r="G759" s="194" t="s">
        <v>1264</v>
      </c>
      <c r="H759" s="181" t="s">
        <v>1265</v>
      </c>
      <c r="I759" s="371"/>
      <c r="J759" s="372"/>
      <c r="K759" s="372"/>
      <c r="L759" s="372"/>
      <c r="M759" s="372"/>
      <c r="N759" s="372"/>
      <c r="O759" s="372"/>
      <c r="P759" s="372"/>
      <c r="Q759" s="372"/>
      <c r="R759" s="372"/>
      <c r="S759" s="372"/>
      <c r="T759" s="85"/>
      <c r="U759" s="85">
        <f t="shared" si="35"/>
        <v>0</v>
      </c>
      <c r="V759" s="84">
        <f>-3/31*C759</f>
        <v>-6.290322580645161</v>
      </c>
      <c r="W759" s="84"/>
      <c r="X759" s="84"/>
      <c r="Y759" s="105"/>
      <c r="Z759" s="105"/>
      <c r="AA759" s="87"/>
      <c r="AB759" s="87"/>
      <c r="AC759" s="87"/>
      <c r="AD759" s="87"/>
      <c r="AE759" s="105"/>
      <c r="AF759" s="105"/>
      <c r="AG759" s="105"/>
      <c r="AH759" s="105"/>
      <c r="AI759" s="87"/>
      <c r="AJ759" s="87"/>
      <c r="AK759" s="105"/>
      <c r="AL759" s="87"/>
      <c r="AM759" s="105"/>
      <c r="AN759" s="105"/>
      <c r="AO759" s="87"/>
      <c r="AP759" s="87"/>
      <c r="AQ759" s="105"/>
      <c r="AR759" s="105"/>
      <c r="AS759" s="87"/>
      <c r="AT759" s="105"/>
      <c r="AU759" s="105"/>
      <c r="AV759" s="87"/>
      <c r="AW759" s="105"/>
      <c r="AX759" s="105"/>
      <c r="AY759" s="87"/>
      <c r="AZ759" s="105"/>
      <c r="BA759" s="105"/>
      <c r="BB759" s="105"/>
      <c r="BC759" s="87"/>
      <c r="BD759" s="87"/>
      <c r="BE759" s="105"/>
      <c r="BF759" s="105"/>
      <c r="BG759" s="105"/>
      <c r="BH759" s="105"/>
      <c r="BI759" s="105"/>
      <c r="BJ759" s="87"/>
      <c r="BK759" s="87"/>
      <c r="BL759" s="87"/>
      <c r="BM759" s="87"/>
      <c r="BN759" s="87"/>
      <c r="BO759" s="87"/>
      <c r="BP759" s="87"/>
      <c r="BQ759" s="87"/>
      <c r="BR759" s="87"/>
      <c r="BS759" s="87"/>
      <c r="BT759" s="87"/>
      <c r="BU759" s="87"/>
      <c r="BV759" s="87"/>
      <c r="BW759" s="87"/>
      <c r="BX759" s="87"/>
      <c r="BY759" s="87"/>
      <c r="BZ759" s="87"/>
      <c r="CA759" s="87"/>
      <c r="CB759" s="87"/>
      <c r="CC759" s="87"/>
      <c r="CD759" s="87"/>
      <c r="CE759" s="87"/>
      <c r="CF759" s="87"/>
      <c r="CG759" s="87"/>
      <c r="CH759" s="87"/>
      <c r="CI759" s="87"/>
      <c r="CJ759" s="87"/>
      <c r="CK759" s="87"/>
      <c r="CL759" s="87"/>
      <c r="CM759" s="87"/>
      <c r="CN759" s="87"/>
      <c r="CO759" s="87"/>
      <c r="CP759" s="87"/>
      <c r="CQ759" s="87"/>
      <c r="CR759" s="87"/>
      <c r="CS759" s="87"/>
      <c r="CT759" s="87"/>
      <c r="CU759" s="87"/>
      <c r="CV759" s="87"/>
      <c r="CW759" s="87"/>
      <c r="CX759" s="87"/>
      <c r="CY759" s="87"/>
      <c r="CZ759" s="87"/>
      <c r="DA759" s="87"/>
      <c r="DB759" s="87"/>
      <c r="DC759" s="87"/>
      <c r="DD759" s="87"/>
      <c r="DE759" s="87"/>
      <c r="DF759" s="87"/>
      <c r="DG759" s="87"/>
      <c r="DH759" s="87">
        <f>-3/7*C759</f>
        <v>-27.857142857142854</v>
      </c>
      <c r="DI759" s="87">
        <f>-DH759</f>
        <v>27.857142857142854</v>
      </c>
      <c r="DJ759" s="87"/>
      <c r="DK759" s="87"/>
      <c r="DL759" s="87"/>
      <c r="DM759" s="87"/>
      <c r="DN759" s="87"/>
      <c r="DO759" s="87"/>
      <c r="DP759" s="87"/>
      <c r="DQ759" s="87"/>
      <c r="DR759" s="87"/>
      <c r="DS759" s="87"/>
      <c r="DT759" s="87"/>
      <c r="DU759" s="87"/>
      <c r="DV759" s="87"/>
      <c r="DW759" s="87"/>
      <c r="DX759" s="87"/>
      <c r="DY759" s="87"/>
      <c r="DZ759" s="87"/>
      <c r="EA759" s="87"/>
      <c r="EB759" s="87"/>
      <c r="EC759" s="87"/>
      <c r="ED759" s="87"/>
      <c r="EE759" s="87"/>
      <c r="EF759" s="87"/>
      <c r="EG759" s="87"/>
      <c r="EH759" s="87"/>
      <c r="EI759" s="87"/>
    </row>
    <row r="760" spans="1:139" ht="16.5" hidden="1" thickBot="1" x14ac:dyDescent="0.35">
      <c r="A760" s="222" t="s">
        <v>339</v>
      </c>
      <c r="B760" s="191">
        <v>3</v>
      </c>
      <c r="C760" s="177">
        <f>50*0.25</f>
        <v>12.5</v>
      </c>
      <c r="D760" s="217">
        <v>2.717391304347826E-3</v>
      </c>
      <c r="E760" s="178">
        <v>45810</v>
      </c>
      <c r="F760" s="179">
        <v>45842</v>
      </c>
      <c r="G760" s="180" t="s">
        <v>351</v>
      </c>
      <c r="H760" s="181" t="s">
        <v>1266</v>
      </c>
      <c r="I760" s="84"/>
      <c r="J760" s="85"/>
      <c r="K760" s="85"/>
      <c r="L760" s="85"/>
      <c r="M760" s="85"/>
      <c r="N760" s="85"/>
      <c r="O760" s="85"/>
      <c r="P760" s="85"/>
      <c r="Q760" s="85"/>
      <c r="R760" s="85"/>
      <c r="S760" s="85"/>
      <c r="T760" s="85"/>
      <c r="U760" s="85">
        <f t="shared" si="35"/>
        <v>-11.666666666666666</v>
      </c>
      <c r="V760" s="84">
        <f>-4/31*C760</f>
        <v>-1.6129032258064515</v>
      </c>
      <c r="W760" s="84"/>
      <c r="X760" s="84" t="str">
        <f>IF(COUNTA(Y760:EI760)=0,"Missing","OK")</f>
        <v>OK</v>
      </c>
      <c r="Y760" s="105"/>
      <c r="Z760" s="105"/>
      <c r="AA760" s="87"/>
      <c r="AB760" s="87"/>
      <c r="AC760" s="87"/>
      <c r="AD760" s="87"/>
      <c r="AE760" s="105"/>
      <c r="AF760" s="105"/>
      <c r="AG760" s="105"/>
      <c r="AH760" s="105"/>
      <c r="AI760" s="87"/>
      <c r="AJ760" s="87"/>
      <c r="AK760" s="105"/>
      <c r="AL760" s="87"/>
      <c r="AM760" s="105"/>
      <c r="AN760" s="105"/>
      <c r="AO760" s="87"/>
      <c r="AP760" s="87"/>
      <c r="AQ760" s="105"/>
      <c r="AR760" s="105"/>
      <c r="AS760" s="87"/>
      <c r="AT760" s="105"/>
      <c r="AU760" s="105"/>
      <c r="AV760" s="87"/>
      <c r="AW760" s="105"/>
      <c r="AX760" s="105"/>
      <c r="AY760" s="87"/>
      <c r="AZ760" s="105"/>
      <c r="BA760" s="105"/>
      <c r="BB760" s="105"/>
      <c r="BC760" s="87"/>
      <c r="BD760" s="87"/>
      <c r="BE760" s="105"/>
      <c r="BF760" s="105"/>
      <c r="BG760" s="105"/>
      <c r="BH760" s="105"/>
      <c r="BI760" s="105"/>
      <c r="BJ760" s="87"/>
      <c r="BK760" s="87"/>
      <c r="BL760" s="87"/>
      <c r="BM760" s="87"/>
      <c r="BN760" s="87"/>
      <c r="BO760" s="105"/>
      <c r="BP760" s="105"/>
      <c r="BQ760" s="105"/>
      <c r="BR760" s="105"/>
      <c r="BS760" s="105"/>
      <c r="BT760" s="87"/>
      <c r="BU760" s="87"/>
      <c r="BV760" s="87"/>
      <c r="BW760" s="87"/>
      <c r="BX760" s="87"/>
      <c r="BY760" s="87"/>
      <c r="BZ760" s="87"/>
      <c r="CA760" s="87"/>
      <c r="CB760" s="87"/>
      <c r="CC760" s="87"/>
      <c r="CD760" s="87"/>
      <c r="CE760" s="87"/>
      <c r="CF760" s="87"/>
      <c r="CG760" s="87"/>
      <c r="CH760" s="87"/>
      <c r="CI760" s="87"/>
      <c r="CJ760" s="87"/>
      <c r="CK760" s="87"/>
      <c r="CL760" s="87"/>
      <c r="CM760" s="87"/>
      <c r="CN760" s="87"/>
      <c r="CO760" s="87"/>
      <c r="CP760" s="87"/>
      <c r="CQ760" s="87"/>
      <c r="CR760" s="87"/>
      <c r="CS760" s="87"/>
      <c r="CT760" s="87"/>
      <c r="CU760" s="87"/>
      <c r="CV760" s="87"/>
      <c r="CW760" s="87"/>
      <c r="CX760" s="87"/>
      <c r="CY760" s="87"/>
      <c r="CZ760" s="87"/>
      <c r="DA760" s="87"/>
      <c r="DB760" s="87"/>
      <c r="DC760" s="87"/>
      <c r="DD760" s="87">
        <f>-5/7*C760</f>
        <v>-8.9285714285714288</v>
      </c>
      <c r="DE760" s="87">
        <f>-2/7*C760</f>
        <v>-3.5714285714285712</v>
      </c>
      <c r="DF760" s="87"/>
      <c r="DG760" s="87">
        <f>-DD760</f>
        <v>8.9285714285714288</v>
      </c>
      <c r="DH760" s="87">
        <f>-DE760</f>
        <v>3.5714285714285712</v>
      </c>
      <c r="DI760" s="87"/>
      <c r="DJ760" s="87"/>
      <c r="DK760" s="87"/>
      <c r="DL760" s="87"/>
      <c r="DM760" s="87"/>
      <c r="DN760" s="87"/>
      <c r="DO760" s="87"/>
      <c r="DP760" s="87"/>
      <c r="DQ760" s="87"/>
      <c r="DR760" s="87"/>
      <c r="DS760" s="87"/>
      <c r="DT760" s="87"/>
      <c r="DU760" s="87"/>
      <c r="DV760" s="87"/>
      <c r="DW760" s="87"/>
      <c r="DX760" s="87"/>
      <c r="DY760" s="87"/>
      <c r="DZ760" s="87"/>
      <c r="EA760" s="87"/>
      <c r="EB760" s="87"/>
      <c r="EC760" s="87"/>
      <c r="ED760" s="87"/>
      <c r="EE760" s="87"/>
      <c r="EF760" s="87"/>
      <c r="EG760" s="87"/>
      <c r="EH760" s="87"/>
      <c r="EI760" s="87"/>
    </row>
    <row r="761" spans="1:139" ht="16.5" hidden="1" thickBot="1" x14ac:dyDescent="0.35">
      <c r="A761" s="113" t="s">
        <v>186</v>
      </c>
      <c r="B761" s="199">
        <v>4</v>
      </c>
      <c r="C761" s="195">
        <f>9*0.65</f>
        <v>5.8500000000000005</v>
      </c>
      <c r="D761" s="217">
        <f>C761/VLOOKUP(B761,'[2]Gas Prod per PADD'!$A$1:$C$6,2,FALSE)</f>
        <v>1.7205882352941178E-2</v>
      </c>
      <c r="E761" s="196">
        <v>45830</v>
      </c>
      <c r="F761" s="179">
        <v>45842</v>
      </c>
      <c r="G761" s="194" t="s">
        <v>683</v>
      </c>
      <c r="H761" s="198" t="s">
        <v>1267</v>
      </c>
      <c r="I761" s="84"/>
      <c r="J761" s="85"/>
      <c r="K761" s="85"/>
      <c r="L761" s="85"/>
      <c r="M761" s="85"/>
      <c r="N761" s="85"/>
      <c r="O761" s="85"/>
      <c r="P761" s="85"/>
      <c r="Q761" s="85"/>
      <c r="R761" s="85"/>
      <c r="S761" s="85"/>
      <c r="T761" s="85"/>
      <c r="U761" s="85">
        <f t="shared" si="35"/>
        <v>-1.56</v>
      </c>
      <c r="V761" s="84">
        <f>-4/31*C761</f>
        <v>-0.75483870967741939</v>
      </c>
      <c r="W761" s="84"/>
      <c r="X761" s="84"/>
      <c r="Y761" s="105"/>
      <c r="Z761" s="105"/>
      <c r="AA761" s="87"/>
      <c r="AB761" s="87"/>
      <c r="AC761" s="87"/>
      <c r="AD761" s="87"/>
      <c r="AE761" s="105"/>
      <c r="AF761" s="105"/>
      <c r="AG761" s="105"/>
      <c r="AH761" s="105"/>
      <c r="AI761" s="87"/>
      <c r="AJ761" s="87"/>
      <c r="AK761" s="105"/>
      <c r="AL761" s="87"/>
      <c r="AM761" s="105"/>
      <c r="AN761" s="105"/>
      <c r="AO761" s="87"/>
      <c r="AP761" s="87"/>
      <c r="AQ761" s="105"/>
      <c r="AR761" s="105"/>
      <c r="AS761" s="87"/>
      <c r="AT761" s="105"/>
      <c r="AU761" s="105"/>
      <c r="AV761" s="87"/>
      <c r="AW761" s="105"/>
      <c r="AX761" s="105"/>
      <c r="AY761" s="87"/>
      <c r="AZ761" s="105"/>
      <c r="BA761" s="105"/>
      <c r="BB761" s="105"/>
      <c r="BC761" s="87"/>
      <c r="BD761" s="87"/>
      <c r="BE761" s="105"/>
      <c r="BF761" s="105"/>
      <c r="BG761" s="105"/>
      <c r="BH761" s="105"/>
      <c r="BI761" s="105"/>
      <c r="BJ761" s="87"/>
      <c r="BK761" s="87"/>
      <c r="BL761" s="87"/>
      <c r="BM761" s="87"/>
      <c r="BN761" s="87"/>
      <c r="BO761" s="105"/>
      <c r="BP761" s="105"/>
      <c r="BQ761" s="105"/>
      <c r="BR761" s="87"/>
      <c r="BS761" s="87"/>
      <c r="BT761" s="87"/>
      <c r="BU761" s="87"/>
      <c r="BV761" s="87"/>
      <c r="BW761" s="87"/>
      <c r="BX761" s="87"/>
      <c r="BY761" s="87"/>
      <c r="BZ761" s="87"/>
      <c r="CA761" s="87"/>
      <c r="CB761" s="87"/>
      <c r="CC761" s="87"/>
      <c r="CD761" s="87"/>
      <c r="CE761" s="87"/>
      <c r="CF761" s="87"/>
      <c r="CG761" s="87"/>
      <c r="CH761" s="87"/>
      <c r="CI761" s="87"/>
      <c r="CJ761" s="87"/>
      <c r="CK761" s="87"/>
      <c r="CL761" s="87"/>
      <c r="CM761" s="87"/>
      <c r="CN761" s="87"/>
      <c r="CO761" s="87"/>
      <c r="CP761" s="87"/>
      <c r="CQ761" s="87"/>
      <c r="CR761" s="87"/>
      <c r="CS761" s="87"/>
      <c r="CT761" s="87"/>
      <c r="CU761" s="87"/>
      <c r="CV761" s="87"/>
      <c r="CW761" s="87"/>
      <c r="CX761" s="87"/>
      <c r="CY761" s="87"/>
      <c r="CZ761" s="87"/>
      <c r="DA761" s="87"/>
      <c r="DB761" s="87"/>
      <c r="DC761" s="87"/>
      <c r="DD761" s="87"/>
      <c r="DE761" s="87"/>
      <c r="DF761" s="87"/>
      <c r="DG761" s="87">
        <f>-5/7*C761</f>
        <v>-4.1785714285714288</v>
      </c>
      <c r="DH761" s="105">
        <f>-C761-DG761</f>
        <v>-1.6714285714285717</v>
      </c>
      <c r="DI761" s="87">
        <f>-DG761</f>
        <v>4.1785714285714288</v>
      </c>
      <c r="DJ761" s="105">
        <f>-DH761</f>
        <v>1.6714285714285717</v>
      </c>
      <c r="DK761" s="87"/>
      <c r="DL761" s="87"/>
      <c r="DM761" s="87"/>
      <c r="DN761" s="87"/>
      <c r="DO761" s="87"/>
      <c r="DP761" s="87"/>
      <c r="DQ761" s="87"/>
      <c r="DR761" s="87"/>
      <c r="DS761" s="87"/>
      <c r="DT761" s="87"/>
      <c r="DU761" s="87"/>
      <c r="DV761" s="87"/>
      <c r="DW761" s="87"/>
      <c r="DX761" s="87"/>
      <c r="DY761" s="87"/>
      <c r="DZ761" s="87"/>
      <c r="EA761" s="87"/>
      <c r="EB761" s="87"/>
      <c r="EC761" s="87"/>
      <c r="ED761" s="87"/>
      <c r="EE761" s="87"/>
      <c r="EF761" s="87"/>
      <c r="EG761" s="87"/>
      <c r="EH761" s="87"/>
      <c r="EI761" s="87"/>
    </row>
    <row r="762" spans="1:139" ht="16.5" hidden="1" thickBot="1" x14ac:dyDescent="0.35">
      <c r="A762" s="113" t="s">
        <v>82</v>
      </c>
      <c r="B762" s="199">
        <v>4</v>
      </c>
      <c r="C762" s="195">
        <f>9*0.65</f>
        <v>5.8500000000000005</v>
      </c>
      <c r="D762" s="217">
        <f>C762/VLOOKUP(B762,'[2]Gas Prod per PADD'!$A$1:$C$6,2,FALSE)</f>
        <v>1.7205882352941178E-2</v>
      </c>
      <c r="E762" s="178">
        <v>45831</v>
      </c>
      <c r="F762" s="179">
        <v>45842</v>
      </c>
      <c r="G762" s="180" t="s">
        <v>1268</v>
      </c>
      <c r="H762" s="198" t="s">
        <v>1267</v>
      </c>
      <c r="I762" s="84"/>
      <c r="J762" s="85"/>
      <c r="K762" s="85"/>
      <c r="L762" s="85"/>
      <c r="M762" s="85"/>
      <c r="N762" s="85"/>
      <c r="O762" s="85"/>
      <c r="P762" s="85"/>
      <c r="Q762" s="85"/>
      <c r="R762" s="85"/>
      <c r="S762" s="85"/>
      <c r="T762" s="85"/>
      <c r="U762" s="85">
        <f t="shared" si="35"/>
        <v>-1.365</v>
      </c>
      <c r="V762" s="84">
        <f>-4/31*C762</f>
        <v>-0.75483870967741939</v>
      </c>
      <c r="W762" s="84"/>
      <c r="X762" s="84"/>
      <c r="Y762" s="86"/>
      <c r="Z762" s="87"/>
      <c r="AA762" s="87"/>
      <c r="AB762" s="87"/>
      <c r="AC762" s="87"/>
      <c r="AD762" s="87"/>
      <c r="AE762" s="87"/>
      <c r="AF762" s="87"/>
      <c r="AG762" s="87"/>
      <c r="AH762" s="87"/>
      <c r="AI762" s="87"/>
      <c r="AJ762" s="87"/>
      <c r="AK762" s="87"/>
      <c r="AL762" s="87"/>
      <c r="AM762" s="87"/>
      <c r="AN762" s="87"/>
      <c r="AO762" s="87"/>
      <c r="AP762" s="87"/>
      <c r="AQ762" s="87"/>
      <c r="AR762" s="87"/>
      <c r="AS762" s="87"/>
      <c r="AT762" s="87"/>
      <c r="AU762" s="87"/>
      <c r="AV762" s="87"/>
      <c r="AW762" s="87"/>
      <c r="AX762" s="87"/>
      <c r="AY762" s="87"/>
      <c r="AZ762" s="87"/>
      <c r="BA762" s="87"/>
      <c r="BB762" s="87"/>
      <c r="BC762" s="87"/>
      <c r="BD762" s="87"/>
      <c r="BE762" s="87"/>
      <c r="BF762" s="87"/>
      <c r="BG762" s="87"/>
      <c r="BH762" s="87"/>
      <c r="BI762" s="87"/>
      <c r="BJ762" s="105"/>
      <c r="BK762" s="87"/>
      <c r="BL762" s="105"/>
      <c r="BM762" s="105"/>
      <c r="BN762" s="105"/>
      <c r="BO762" s="105"/>
      <c r="BP762" s="105"/>
      <c r="BQ762" s="87"/>
      <c r="BR762" s="87"/>
      <c r="BS762" s="87"/>
      <c r="BT762" s="87"/>
      <c r="BU762" s="87"/>
      <c r="BV762" s="87"/>
      <c r="BW762" s="87"/>
      <c r="BX762" s="87"/>
      <c r="BY762" s="87"/>
      <c r="BZ762" s="87"/>
      <c r="CA762" s="87"/>
      <c r="CB762" s="87"/>
      <c r="CC762" s="87"/>
      <c r="CD762" s="87"/>
      <c r="CE762" s="87"/>
      <c r="CF762" s="87"/>
      <c r="CG762" s="87"/>
      <c r="CH762" s="87"/>
      <c r="CI762" s="87"/>
      <c r="CJ762" s="87"/>
      <c r="CK762" s="87"/>
      <c r="CL762" s="87"/>
      <c r="CM762" s="87"/>
      <c r="CN762" s="295"/>
      <c r="CO762" s="87"/>
      <c r="CP762" s="87"/>
      <c r="CQ762" s="87"/>
      <c r="CR762" s="87"/>
      <c r="CS762" s="87"/>
      <c r="CT762" s="87"/>
      <c r="CU762" s="87"/>
      <c r="CV762" s="87"/>
      <c r="CW762" s="87"/>
      <c r="CX762" s="87"/>
      <c r="CY762" s="87"/>
      <c r="CZ762" s="87"/>
      <c r="DA762" s="87"/>
      <c r="DB762" s="87"/>
      <c r="DC762" s="87"/>
      <c r="DD762" s="87"/>
      <c r="DE762" s="87"/>
      <c r="DF762" s="105"/>
      <c r="DG762" s="105">
        <f>-4/7*C762</f>
        <v>-3.342857142857143</v>
      </c>
      <c r="DH762" s="105">
        <f>-C763-DG762</f>
        <v>-58.157142857142858</v>
      </c>
      <c r="DI762" s="105">
        <f>-DH762</f>
        <v>58.157142857142858</v>
      </c>
      <c r="DJ762" s="105">
        <f>-DG762</f>
        <v>3.342857142857143</v>
      </c>
      <c r="DK762" s="87"/>
      <c r="DL762" s="87"/>
      <c r="DM762" s="87"/>
      <c r="DN762" s="87"/>
      <c r="DO762" s="87"/>
      <c r="DP762" s="87"/>
      <c r="DQ762" s="87"/>
      <c r="DR762" s="87"/>
      <c r="DS762" s="87"/>
      <c r="DT762" s="87"/>
      <c r="DU762" s="87"/>
      <c r="DV762" s="87"/>
      <c r="DW762" s="87"/>
      <c r="DX762" s="87"/>
      <c r="DY762" s="87"/>
      <c r="DZ762" s="87"/>
      <c r="EA762" s="87"/>
      <c r="EB762" s="87"/>
      <c r="EC762" s="87"/>
      <c r="ED762" s="87"/>
      <c r="EE762" s="87"/>
      <c r="EF762" s="87"/>
      <c r="EG762" s="87"/>
      <c r="EH762" s="87"/>
      <c r="EI762" s="87"/>
    </row>
    <row r="763" spans="1:139" ht="29.25" hidden="1" thickBot="1" x14ac:dyDescent="0.35">
      <c r="A763" s="190" t="s">
        <v>294</v>
      </c>
      <c r="B763" s="194">
        <v>3</v>
      </c>
      <c r="C763" s="195">
        <f>246*0.25</f>
        <v>61.5</v>
      </c>
      <c r="D763" s="217">
        <f>C763/VLOOKUP(B763,'[2]Gas Prod per PADD'!$A$1:$C$6,2,FALSE)</f>
        <v>1.3369565217391305E-2</v>
      </c>
      <c r="E763" s="394">
        <v>45839</v>
      </c>
      <c r="F763" s="235">
        <v>45842</v>
      </c>
      <c r="G763" s="180" t="s">
        <v>1269</v>
      </c>
      <c r="H763" s="198" t="s">
        <v>1270</v>
      </c>
      <c r="I763" s="371"/>
      <c r="J763" s="372"/>
      <c r="K763" s="372"/>
      <c r="L763" s="372"/>
      <c r="M763" s="372"/>
      <c r="N763" s="372"/>
      <c r="O763" s="372"/>
      <c r="P763" s="372"/>
      <c r="Q763" s="372"/>
      <c r="R763" s="372"/>
      <c r="S763" s="372"/>
      <c r="T763" s="85"/>
      <c r="U763" s="85"/>
      <c r="V763" s="84">
        <f>C763*(E763-F763)/31</f>
        <v>-5.9516129032258061</v>
      </c>
      <c r="W763" s="84"/>
      <c r="X763" s="84"/>
      <c r="Y763" s="105"/>
      <c r="Z763" s="105"/>
      <c r="AA763" s="87"/>
      <c r="AB763" s="87"/>
      <c r="AC763" s="87"/>
      <c r="AD763" s="87"/>
      <c r="AE763" s="105"/>
      <c r="AF763" s="105"/>
      <c r="AG763" s="105"/>
      <c r="AH763" s="105"/>
      <c r="AI763" s="87"/>
      <c r="AJ763" s="87"/>
      <c r="AK763" s="105"/>
      <c r="AL763" s="87"/>
      <c r="AM763" s="105"/>
      <c r="AN763" s="105"/>
      <c r="AO763" s="87"/>
      <c r="AP763" s="87"/>
      <c r="AQ763" s="105"/>
      <c r="AR763" s="105"/>
      <c r="AS763" s="87"/>
      <c r="AT763" s="105"/>
      <c r="AU763" s="105"/>
      <c r="AV763" s="87"/>
      <c r="AW763" s="105"/>
      <c r="AX763" s="105"/>
      <c r="AY763" s="87"/>
      <c r="AZ763" s="105"/>
      <c r="BA763" s="105"/>
      <c r="BB763" s="105"/>
      <c r="BC763" s="87"/>
      <c r="BD763" s="87"/>
      <c r="BE763" s="105"/>
      <c r="BF763" s="105"/>
      <c r="BG763" s="105"/>
      <c r="BH763" s="105"/>
      <c r="BI763" s="105"/>
      <c r="BJ763" s="87"/>
      <c r="BK763" s="87"/>
      <c r="BL763" s="87"/>
      <c r="BM763" s="87"/>
      <c r="BN763" s="87"/>
      <c r="BO763" s="87"/>
      <c r="BP763" s="87"/>
      <c r="BQ763" s="87"/>
      <c r="BR763" s="87"/>
      <c r="BS763" s="87"/>
      <c r="BT763" s="87"/>
      <c r="BU763" s="87"/>
      <c r="BV763" s="87"/>
      <c r="BW763" s="87"/>
      <c r="BX763" s="87"/>
      <c r="BY763" s="87"/>
      <c r="BZ763" s="87"/>
      <c r="CA763" s="87"/>
      <c r="CB763" s="87"/>
      <c r="CC763" s="87"/>
      <c r="CD763" s="87"/>
      <c r="CE763" s="87"/>
      <c r="CF763" s="87"/>
      <c r="CG763" s="87"/>
      <c r="CH763" s="87"/>
      <c r="CI763" s="87"/>
      <c r="CJ763" s="87"/>
      <c r="CK763" s="87"/>
      <c r="CL763" s="87"/>
      <c r="CM763" s="87"/>
      <c r="CN763" s="87"/>
      <c r="CO763" s="87"/>
      <c r="CP763" s="87"/>
      <c r="CQ763" s="87"/>
      <c r="CR763" s="87"/>
      <c r="CS763" s="87"/>
      <c r="CT763" s="87"/>
      <c r="CU763" s="87"/>
      <c r="CV763" s="87"/>
      <c r="CW763" s="87"/>
      <c r="CX763" s="87"/>
      <c r="CY763" s="87"/>
      <c r="CZ763" s="87"/>
      <c r="DA763" s="87"/>
      <c r="DB763" s="87"/>
      <c r="DC763" s="87"/>
      <c r="DD763" s="87"/>
      <c r="DE763" s="87"/>
      <c r="DF763" s="87"/>
      <c r="DG763" s="87"/>
      <c r="DH763" s="87">
        <f>-3/7*C763</f>
        <v>-26.357142857142854</v>
      </c>
      <c r="DI763" s="87">
        <f>-DH763</f>
        <v>26.357142857142854</v>
      </c>
      <c r="DJ763" s="87"/>
      <c r="DK763" s="87"/>
      <c r="DL763" s="87"/>
      <c r="DM763" s="87"/>
      <c r="DN763" s="87"/>
      <c r="DO763" s="87"/>
      <c r="DP763" s="87"/>
      <c r="DQ763" s="87"/>
      <c r="DR763" s="87"/>
      <c r="DS763" s="87"/>
      <c r="DT763" s="87"/>
      <c r="DU763" s="87"/>
      <c r="DV763" s="87"/>
      <c r="DW763" s="87"/>
      <c r="DX763" s="87"/>
      <c r="DY763" s="87"/>
      <c r="DZ763" s="87"/>
      <c r="EA763" s="87"/>
      <c r="EB763" s="87"/>
      <c r="EC763" s="87"/>
      <c r="ED763" s="87"/>
      <c r="EE763" s="87"/>
      <c r="EF763" s="87"/>
      <c r="EG763" s="87"/>
      <c r="EH763" s="87"/>
      <c r="EI763" s="87"/>
    </row>
    <row r="764" spans="1:139" ht="16.5" hidden="1" thickBot="1" x14ac:dyDescent="0.35">
      <c r="A764" s="222" t="s">
        <v>322</v>
      </c>
      <c r="B764" s="191">
        <v>3</v>
      </c>
      <c r="C764" s="177">
        <f>30*0.85</f>
        <v>25.5</v>
      </c>
      <c r="D764" s="217">
        <f>C764/VLOOKUP(B764,'[2]Gas Prod per PADD'!$A$1:$C$6,2,FALSE)</f>
        <v>5.5434782608695648E-3</v>
      </c>
      <c r="E764" s="357">
        <v>45837</v>
      </c>
      <c r="F764" s="179">
        <f>E764+7</f>
        <v>45844</v>
      </c>
      <c r="G764" s="180" t="s">
        <v>692</v>
      </c>
      <c r="H764" s="181" t="s">
        <v>548</v>
      </c>
      <c r="I764" s="84"/>
      <c r="J764" s="85"/>
      <c r="K764" s="85"/>
      <c r="L764" s="85"/>
      <c r="M764" s="85"/>
      <c r="N764" s="85"/>
      <c r="O764" s="85"/>
      <c r="P764" s="85"/>
      <c r="Q764" s="85"/>
      <c r="R764" s="85"/>
      <c r="S764" s="85"/>
      <c r="T764" s="85"/>
      <c r="U764" s="85">
        <f t="shared" ref="U764:U770" si="36">C764*(E764-$U$1)/30</f>
        <v>-0.85</v>
      </c>
      <c r="V764" s="84">
        <f>-6/31*C764</f>
        <v>-4.935483870967742</v>
      </c>
      <c r="W764" s="84"/>
      <c r="X764" s="84"/>
      <c r="Y764" s="86"/>
      <c r="Z764" s="87"/>
      <c r="AA764" s="87"/>
      <c r="AB764" s="87"/>
      <c r="AC764" s="87"/>
      <c r="AD764" s="87"/>
      <c r="AE764" s="87"/>
      <c r="AF764" s="87"/>
      <c r="AG764" s="87"/>
      <c r="AH764" s="87"/>
      <c r="AI764" s="87"/>
      <c r="AJ764" s="87"/>
      <c r="AK764" s="87"/>
      <c r="AL764" s="87"/>
      <c r="AM764" s="87"/>
      <c r="AN764" s="87"/>
      <c r="AO764" s="87"/>
      <c r="AP764" s="87"/>
      <c r="AQ764" s="87"/>
      <c r="AR764" s="87"/>
      <c r="AS764" s="87"/>
      <c r="AT764" s="87"/>
      <c r="AU764" s="87"/>
      <c r="AV764" s="87"/>
      <c r="AW764" s="87"/>
      <c r="AX764" s="87"/>
      <c r="AY764" s="87"/>
      <c r="AZ764" s="87"/>
      <c r="BA764" s="87"/>
      <c r="BB764" s="87"/>
      <c r="BC764" s="87"/>
      <c r="BD764" s="87"/>
      <c r="BE764" s="87"/>
      <c r="BF764" s="87"/>
      <c r="BG764" s="87"/>
      <c r="BH764" s="87"/>
      <c r="BI764" s="87"/>
      <c r="BJ764" s="105"/>
      <c r="BK764" s="87"/>
      <c r="BL764" s="105"/>
      <c r="BM764" s="87"/>
      <c r="BN764" s="87"/>
      <c r="BO764" s="87"/>
      <c r="BP764" s="87"/>
      <c r="BQ764" s="87"/>
      <c r="BR764" s="87"/>
      <c r="BS764" s="87"/>
      <c r="BT764" s="87"/>
      <c r="BU764" s="87"/>
      <c r="BV764" s="87"/>
      <c r="BW764" s="87"/>
      <c r="BX764" s="87"/>
      <c r="BY764" s="87"/>
      <c r="BZ764" s="87"/>
      <c r="CA764" s="87"/>
      <c r="CB764" s="87"/>
      <c r="CC764" s="87"/>
      <c r="CD764" s="87"/>
      <c r="CE764" s="87"/>
      <c r="CF764" s="87"/>
      <c r="CG764" s="87"/>
      <c r="CH764" s="87"/>
      <c r="CI764" s="87"/>
      <c r="CJ764" s="87"/>
      <c r="CK764" s="87"/>
      <c r="CL764" s="87"/>
      <c r="CM764" s="87"/>
      <c r="CN764" s="87"/>
      <c r="CO764" s="87"/>
      <c r="CP764" s="87"/>
      <c r="CQ764" s="87"/>
      <c r="CR764" s="87"/>
      <c r="CS764" s="87"/>
      <c r="CT764" s="87"/>
      <c r="CU764" s="87"/>
      <c r="CV764" s="87"/>
      <c r="CW764" s="87"/>
      <c r="CX764" s="87"/>
      <c r="CY764" s="87"/>
      <c r="CZ764" s="87"/>
      <c r="DA764" s="87"/>
      <c r="DB764" s="87"/>
      <c r="DC764" s="87"/>
      <c r="DD764" s="87"/>
      <c r="DE764" s="87"/>
      <c r="DF764" s="87"/>
      <c r="DG764" s="87"/>
      <c r="DH764" s="87"/>
      <c r="DI764" s="87"/>
      <c r="DJ764" s="87"/>
      <c r="DK764" s="87"/>
      <c r="DL764" s="87"/>
      <c r="DM764" s="87"/>
      <c r="DN764" s="87"/>
      <c r="DO764" s="87"/>
      <c r="DP764" s="87"/>
      <c r="DQ764" s="87"/>
      <c r="DR764" s="87"/>
      <c r="DS764" s="87"/>
      <c r="DT764" s="105"/>
      <c r="DU764" s="87"/>
      <c r="DV764" s="87"/>
      <c r="DW764" s="87"/>
      <c r="DX764" s="87"/>
      <c r="DY764" s="105"/>
      <c r="DZ764" s="87"/>
      <c r="EA764" s="87"/>
      <c r="EB764" s="87"/>
      <c r="EC764" s="87"/>
      <c r="ED764" s="87"/>
      <c r="EE764" s="87"/>
      <c r="EF764" s="87"/>
      <c r="EG764" s="87"/>
      <c r="EH764" s="87"/>
      <c r="EI764" s="87"/>
    </row>
    <row r="765" spans="1:139" ht="16.5" hidden="1" thickBot="1" x14ac:dyDescent="0.35">
      <c r="A765" s="175" t="s">
        <v>357</v>
      </c>
      <c r="B765" s="199">
        <v>5</v>
      </c>
      <c r="C765" s="388">
        <f>24*0.25</f>
        <v>6</v>
      </c>
      <c r="D765" s="217">
        <f>C765/VLOOKUP(B765,'[2]Gas Prod per PADD'!$A$1:$C$6,2,FALSE)</f>
        <v>4.4444444444444444E-3</v>
      </c>
      <c r="E765" s="196">
        <v>45837</v>
      </c>
      <c r="F765" s="197">
        <f>E765+7</f>
        <v>45844</v>
      </c>
      <c r="G765" s="194" t="s">
        <v>1271</v>
      </c>
      <c r="H765" s="230" t="s">
        <v>614</v>
      </c>
      <c r="I765" s="84"/>
      <c r="J765" s="85"/>
      <c r="K765" s="85"/>
      <c r="L765" s="85"/>
      <c r="M765" s="85"/>
      <c r="N765" s="85"/>
      <c r="O765" s="85"/>
      <c r="P765" s="85"/>
      <c r="Q765" s="85"/>
      <c r="R765" s="85"/>
      <c r="S765" s="85"/>
      <c r="T765" s="85"/>
      <c r="U765" s="85">
        <f t="shared" si="36"/>
        <v>-0.2</v>
      </c>
      <c r="V765" s="84">
        <f>-6/31*C765</f>
        <v>-1.161290322580645</v>
      </c>
      <c r="W765" s="84"/>
      <c r="X765" s="84"/>
      <c r="Y765" s="87"/>
      <c r="Z765" s="87"/>
      <c r="AA765" s="87"/>
      <c r="AB765" s="87"/>
      <c r="AC765" s="87"/>
      <c r="AD765" s="87"/>
      <c r="AE765" s="87"/>
      <c r="AF765" s="87"/>
      <c r="AG765" s="87"/>
      <c r="AH765" s="87"/>
      <c r="AI765" s="87"/>
      <c r="AJ765" s="87"/>
      <c r="AK765" s="87"/>
      <c r="AL765" s="87"/>
      <c r="AM765" s="87"/>
      <c r="AN765" s="87"/>
      <c r="AO765" s="87"/>
      <c r="AP765" s="87"/>
      <c r="AQ765" s="87"/>
      <c r="AR765" s="87"/>
      <c r="AS765" s="87"/>
      <c r="AT765" s="87"/>
      <c r="AU765" s="87"/>
      <c r="AV765" s="87"/>
      <c r="AW765" s="87"/>
      <c r="AX765" s="87"/>
      <c r="AY765" s="87"/>
      <c r="AZ765" s="87"/>
      <c r="BA765" s="87"/>
      <c r="BB765" s="87"/>
      <c r="BC765" s="87"/>
      <c r="BD765" s="87"/>
      <c r="BE765" s="87"/>
      <c r="BF765" s="87"/>
      <c r="BG765" s="87"/>
      <c r="BH765" s="87"/>
      <c r="BI765" s="87"/>
      <c r="BJ765" s="87"/>
      <c r="BK765" s="87"/>
      <c r="BL765" s="87"/>
      <c r="BM765" s="87"/>
      <c r="BN765" s="87"/>
      <c r="BO765" s="87"/>
      <c r="BP765" s="87"/>
      <c r="BQ765" s="87"/>
      <c r="BR765" s="87"/>
      <c r="BS765" s="87"/>
      <c r="BT765" s="87"/>
      <c r="BU765" s="87"/>
      <c r="BV765" s="87"/>
      <c r="BW765" s="87"/>
      <c r="BX765" s="87"/>
      <c r="BY765" s="87"/>
      <c r="BZ765" s="87"/>
      <c r="CA765" s="87"/>
      <c r="CB765" s="87"/>
      <c r="CC765" s="87"/>
      <c r="CD765" s="87"/>
      <c r="CE765" s="87"/>
      <c r="CF765" s="87"/>
      <c r="CG765" s="87"/>
      <c r="CH765" s="87"/>
      <c r="CI765" s="87"/>
      <c r="CJ765" s="87"/>
      <c r="CK765" s="87"/>
      <c r="CL765" s="87"/>
      <c r="CM765" s="87"/>
      <c r="CN765" s="87"/>
      <c r="CO765" s="87"/>
      <c r="CP765" s="87"/>
      <c r="CQ765" s="87"/>
      <c r="CR765" s="87"/>
      <c r="CS765" s="87"/>
      <c r="CT765" s="87"/>
      <c r="CU765" s="87"/>
      <c r="CV765" s="105"/>
      <c r="CW765" s="87"/>
      <c r="CX765" s="87"/>
      <c r="CY765" s="87"/>
      <c r="CZ765" s="87"/>
      <c r="DA765" s="87"/>
      <c r="DB765" s="87"/>
      <c r="DC765" s="87"/>
      <c r="DD765" s="87"/>
      <c r="DE765" s="87"/>
      <c r="DF765" s="87"/>
      <c r="DG765" s="87"/>
      <c r="DH765" s="87">
        <f>-6/7*C765</f>
        <v>-5.1428571428571423</v>
      </c>
      <c r="DI765" s="87">
        <f>-DH765</f>
        <v>5.1428571428571423</v>
      </c>
      <c r="DJ765" s="87"/>
      <c r="DK765" s="87"/>
      <c r="DL765" s="87"/>
      <c r="DM765" s="87"/>
      <c r="DN765" s="87"/>
      <c r="DO765" s="87"/>
      <c r="DP765" s="87"/>
      <c r="DQ765" s="87"/>
      <c r="DR765" s="87"/>
      <c r="DS765" s="87"/>
      <c r="DT765" s="87"/>
      <c r="DU765" s="87"/>
      <c r="DV765" s="87"/>
      <c r="DW765" s="87"/>
      <c r="DX765" s="87"/>
      <c r="DY765" s="87"/>
      <c r="DZ765" s="87"/>
      <c r="EA765" s="87"/>
      <c r="EB765" s="87"/>
      <c r="EC765" s="87"/>
      <c r="ED765" s="87"/>
      <c r="EE765" s="87"/>
      <c r="EF765" s="87"/>
      <c r="EG765" s="87"/>
      <c r="EH765" s="87"/>
      <c r="EI765" s="87"/>
    </row>
    <row r="766" spans="1:139" ht="16.5" hidden="1" thickBot="1" x14ac:dyDescent="0.35">
      <c r="A766" s="242" t="s">
        <v>352</v>
      </c>
      <c r="B766" s="194">
        <v>5</v>
      </c>
      <c r="C766" s="195">
        <f>42*0.25</f>
        <v>10.5</v>
      </c>
      <c r="D766" s="217">
        <f>C766/VLOOKUP(B766,'[2]Gas Prod per PADD'!$A$1:$C$6,2,FALSE)</f>
        <v>7.7777777777777776E-3</v>
      </c>
      <c r="E766" s="231">
        <v>45826</v>
      </c>
      <c r="F766" s="197">
        <v>45845</v>
      </c>
      <c r="G766" s="194" t="s">
        <v>757</v>
      </c>
      <c r="H766" s="198" t="s">
        <v>640</v>
      </c>
      <c r="I766" s="305"/>
      <c r="J766" s="306"/>
      <c r="K766" s="306"/>
      <c r="L766" s="306"/>
      <c r="M766" s="306"/>
      <c r="N766" s="306"/>
      <c r="O766" s="306"/>
      <c r="P766" s="306"/>
      <c r="Q766" s="306"/>
      <c r="R766" s="306"/>
      <c r="S766" s="306"/>
      <c r="T766" s="85"/>
      <c r="U766" s="85">
        <f t="shared" si="36"/>
        <v>-4.2</v>
      </c>
      <c r="V766" s="84">
        <f>-7/31*C766</f>
        <v>-2.370967741935484</v>
      </c>
      <c r="W766" s="84"/>
      <c r="X766" s="84"/>
      <c r="Y766" s="105"/>
      <c r="Z766" s="105"/>
      <c r="AA766" s="87"/>
      <c r="AB766" s="87"/>
      <c r="AC766" s="87"/>
      <c r="AD766" s="87"/>
      <c r="AE766" s="105"/>
      <c r="AF766" s="105"/>
      <c r="AG766" s="105"/>
      <c r="AH766" s="105"/>
      <c r="AI766" s="87"/>
      <c r="AJ766" s="87"/>
      <c r="AK766" s="105"/>
      <c r="AL766" s="87"/>
      <c r="AM766" s="105"/>
      <c r="AN766" s="105"/>
      <c r="AO766" s="87"/>
      <c r="AP766" s="87"/>
      <c r="AQ766" s="105"/>
      <c r="AR766" s="105"/>
      <c r="AS766" s="87"/>
      <c r="AT766" s="105"/>
      <c r="AU766" s="105"/>
      <c r="AV766" s="87"/>
      <c r="AW766" s="105"/>
      <c r="AX766" s="105"/>
      <c r="AY766" s="87"/>
      <c r="AZ766" s="105"/>
      <c r="BA766" s="105"/>
      <c r="BB766" s="105"/>
      <c r="BC766" s="87"/>
      <c r="BD766" s="87"/>
      <c r="BE766" s="105"/>
      <c r="BF766" s="105"/>
      <c r="BG766" s="105"/>
      <c r="BH766" s="105"/>
      <c r="BI766" s="105"/>
      <c r="BJ766" s="87"/>
      <c r="BK766" s="87"/>
      <c r="BL766" s="87"/>
      <c r="BM766" s="87"/>
      <c r="BN766" s="87"/>
      <c r="BO766" s="87"/>
      <c r="BP766" s="87"/>
      <c r="BQ766" s="87"/>
      <c r="BR766" s="87"/>
      <c r="BS766" s="87"/>
      <c r="BT766" s="87"/>
      <c r="BU766" s="87"/>
      <c r="BV766" s="87"/>
      <c r="BW766" s="87"/>
      <c r="BX766" s="87"/>
      <c r="BY766" s="87"/>
      <c r="BZ766" s="87"/>
      <c r="CA766" s="87"/>
      <c r="CB766" s="87"/>
      <c r="CC766" s="87"/>
      <c r="CD766" s="87"/>
      <c r="CE766" s="87"/>
      <c r="CF766" s="87"/>
      <c r="CG766" s="87"/>
      <c r="CH766" s="87"/>
      <c r="CI766" s="87"/>
      <c r="CJ766" s="87"/>
      <c r="CK766" s="87"/>
      <c r="CL766" s="87"/>
      <c r="CM766" s="87"/>
      <c r="CN766" s="87"/>
      <c r="CO766" s="87"/>
      <c r="CP766" s="87"/>
      <c r="CQ766" s="87"/>
      <c r="CR766" s="87"/>
      <c r="CS766" s="87"/>
      <c r="CT766" s="87"/>
      <c r="CU766" s="105"/>
      <c r="CV766" s="105"/>
      <c r="CW766" s="87"/>
      <c r="CX766" s="87"/>
      <c r="CY766" s="87"/>
      <c r="CZ766" s="87"/>
      <c r="DA766" s="87"/>
      <c r="DB766" s="87"/>
      <c r="DC766" s="87"/>
      <c r="DD766" s="87"/>
      <c r="DE766" s="87"/>
      <c r="DF766" s="87">
        <f>-2/7*C766</f>
        <v>-3</v>
      </c>
      <c r="DG766" s="87">
        <f>-5/7*C766</f>
        <v>-7.5</v>
      </c>
      <c r="DH766" s="87"/>
      <c r="DI766" s="87">
        <f>-DF766</f>
        <v>3</v>
      </c>
      <c r="DJ766" s="87">
        <f>-DG766</f>
        <v>7.5</v>
      </c>
      <c r="DK766" s="87"/>
      <c r="DL766" s="87"/>
      <c r="DM766" s="87"/>
      <c r="DN766" s="87"/>
      <c r="DO766" s="87"/>
      <c r="DP766" s="87"/>
      <c r="DQ766" s="87"/>
      <c r="DR766" s="87"/>
      <c r="DS766" s="87"/>
      <c r="DT766" s="87"/>
      <c r="DU766" s="87"/>
      <c r="DV766" s="87"/>
      <c r="DW766" s="87"/>
      <c r="DX766" s="87"/>
      <c r="DY766" s="87"/>
      <c r="DZ766" s="87"/>
      <c r="EA766" s="87"/>
      <c r="EB766" s="87"/>
      <c r="EC766" s="87"/>
      <c r="ED766" s="87"/>
      <c r="EE766" s="87"/>
      <c r="EF766" s="87"/>
      <c r="EG766" s="87"/>
      <c r="EH766" s="87"/>
      <c r="EI766" s="87"/>
    </row>
    <row r="767" spans="1:139" ht="16.5" hidden="1" thickBot="1" x14ac:dyDescent="0.35">
      <c r="A767" s="237" t="s">
        <v>314</v>
      </c>
      <c r="B767" s="194">
        <v>2</v>
      </c>
      <c r="C767" s="195">
        <f>21*0.65</f>
        <v>13.65</v>
      </c>
      <c r="D767" s="217">
        <f>C767/VLOOKUP(B767,'[2]Gas Prod per PADD'!$A$1:$C$6,2,FALSE)</f>
        <v>5.6874999999999998E-3</v>
      </c>
      <c r="E767" s="196">
        <v>45838</v>
      </c>
      <c r="F767" s="197">
        <v>45845</v>
      </c>
      <c r="G767" s="194" t="s">
        <v>1272</v>
      </c>
      <c r="H767" s="198" t="s">
        <v>640</v>
      </c>
      <c r="I767" s="84"/>
      <c r="J767" s="85"/>
      <c r="K767" s="85"/>
      <c r="L767" s="85"/>
      <c r="M767" s="85"/>
      <c r="N767" s="85"/>
      <c r="O767" s="85"/>
      <c r="P767" s="85"/>
      <c r="Q767" s="85"/>
      <c r="R767" s="85"/>
      <c r="S767" s="85"/>
      <c r="T767" s="85"/>
      <c r="U767" s="85">
        <f t="shared" si="36"/>
        <v>0</v>
      </c>
      <c r="V767" s="84">
        <f>-7/31*C767</f>
        <v>-3.0822580645161288</v>
      </c>
      <c r="W767" s="84"/>
      <c r="X767" s="84"/>
      <c r="Y767" s="87"/>
      <c r="Z767" s="87"/>
      <c r="AA767" s="87"/>
      <c r="AB767" s="87"/>
      <c r="AC767" s="87"/>
      <c r="AD767" s="87"/>
      <c r="AE767" s="87"/>
      <c r="AF767" s="87"/>
      <c r="AG767" s="87"/>
      <c r="AH767" s="87"/>
      <c r="AI767" s="87"/>
      <c r="AJ767" s="87"/>
      <c r="AK767" s="87"/>
      <c r="AL767" s="87"/>
      <c r="AM767" s="87"/>
      <c r="AN767" s="87"/>
      <c r="AO767" s="87"/>
      <c r="AP767" s="87"/>
      <c r="AQ767" s="87"/>
      <c r="AR767" s="87"/>
      <c r="AS767" s="87"/>
      <c r="AT767" s="87"/>
      <c r="AU767" s="87"/>
      <c r="AV767" s="87"/>
      <c r="AW767" s="87"/>
      <c r="AX767" s="87"/>
      <c r="AY767" s="87"/>
      <c r="AZ767" s="87"/>
      <c r="BA767" s="87"/>
      <c r="BB767" s="87"/>
      <c r="BC767" s="87"/>
      <c r="BD767" s="87"/>
      <c r="BE767" s="87"/>
      <c r="BF767" s="87"/>
      <c r="BG767" s="87"/>
      <c r="BH767" s="87"/>
      <c r="BI767" s="87"/>
      <c r="BJ767" s="87"/>
      <c r="BK767" s="87"/>
      <c r="BL767" s="87"/>
      <c r="BM767" s="87"/>
      <c r="BN767" s="87"/>
      <c r="BO767" s="87"/>
      <c r="BP767" s="87"/>
      <c r="BQ767" s="87"/>
      <c r="BR767" s="87"/>
      <c r="BS767" s="87"/>
      <c r="BT767" s="87"/>
      <c r="BU767" s="87"/>
      <c r="BV767" s="87"/>
      <c r="BW767" s="87"/>
      <c r="BX767" s="87"/>
      <c r="BY767" s="87"/>
      <c r="BZ767" s="87"/>
      <c r="CA767" s="87"/>
      <c r="CB767" s="87"/>
      <c r="CC767" s="87"/>
      <c r="CD767" s="87"/>
      <c r="CE767" s="87"/>
      <c r="CF767" s="87"/>
      <c r="CG767" s="87"/>
      <c r="CH767" s="87"/>
      <c r="CI767" s="87"/>
      <c r="CJ767" s="87"/>
      <c r="CK767" s="87"/>
      <c r="CL767" s="87"/>
      <c r="CM767" s="87"/>
      <c r="CN767" s="87"/>
      <c r="CO767" s="87"/>
      <c r="CP767" s="87"/>
      <c r="CQ767" s="87"/>
      <c r="CR767" s="87"/>
      <c r="CS767" s="87"/>
      <c r="CT767" s="87"/>
      <c r="CU767" s="87"/>
      <c r="CV767" s="87"/>
      <c r="CW767" s="87"/>
      <c r="CX767" s="87"/>
      <c r="CY767" s="87"/>
      <c r="CZ767" s="87"/>
      <c r="DA767" s="87"/>
      <c r="DB767" s="87"/>
      <c r="DC767" s="87"/>
      <c r="DD767" s="105"/>
      <c r="DE767" s="87"/>
      <c r="DF767" s="105"/>
      <c r="DG767" s="87"/>
      <c r="DH767" s="87">
        <f>-4/7*C767</f>
        <v>-7.8</v>
      </c>
      <c r="DI767" s="87"/>
      <c r="DJ767" s="87">
        <f>-DH767</f>
        <v>7.8</v>
      </c>
      <c r="DK767" s="87"/>
      <c r="DL767" s="87"/>
      <c r="DM767" s="87"/>
      <c r="DN767" s="87"/>
      <c r="DO767" s="87"/>
      <c r="DP767" s="87"/>
      <c r="DQ767" s="105"/>
      <c r="DR767" s="87"/>
      <c r="DS767" s="87"/>
      <c r="DT767" s="87"/>
      <c r="DU767" s="87"/>
      <c r="DV767" s="87"/>
      <c r="DW767" s="87"/>
      <c r="DX767" s="87"/>
      <c r="DY767" s="87"/>
      <c r="DZ767" s="105"/>
      <c r="EA767" s="105"/>
      <c r="EB767" s="87"/>
      <c r="EC767" s="87"/>
      <c r="ED767" s="87"/>
      <c r="EE767" s="87"/>
      <c r="EF767" s="87"/>
      <c r="EG767" s="87"/>
      <c r="EH767" s="87"/>
      <c r="EI767" s="87"/>
    </row>
    <row r="768" spans="1:139" ht="16.5" hidden="1" thickBot="1" x14ac:dyDescent="0.35">
      <c r="A768" s="219" t="s">
        <v>152</v>
      </c>
      <c r="B768" s="194">
        <v>3</v>
      </c>
      <c r="C768" s="195">
        <f>25*0.65+84*0.25+30*0.25</f>
        <v>44.75</v>
      </c>
      <c r="D768" s="217">
        <f>C768/VLOOKUP(B768,'[2]Gas Prod per PADD'!$A$1:$C$6,2,FALSE)</f>
        <v>9.7282608695652174E-3</v>
      </c>
      <c r="E768" s="178">
        <v>45838</v>
      </c>
      <c r="F768" s="179">
        <f>E768+7</f>
        <v>45845</v>
      </c>
      <c r="G768" s="194" t="s">
        <v>1273</v>
      </c>
      <c r="H768" s="181"/>
      <c r="I768" s="371"/>
      <c r="J768" s="372"/>
      <c r="K768" s="372"/>
      <c r="L768" s="372"/>
      <c r="M768" s="372"/>
      <c r="N768" s="372"/>
      <c r="O768" s="372"/>
      <c r="P768" s="372"/>
      <c r="Q768" s="372"/>
      <c r="R768" s="372"/>
      <c r="S768" s="372"/>
      <c r="T768" s="85"/>
      <c r="U768" s="85">
        <f t="shared" si="36"/>
        <v>0</v>
      </c>
      <c r="V768" s="84">
        <f>-7/31*C768</f>
        <v>-10.10483870967742</v>
      </c>
      <c r="W768" s="84"/>
      <c r="X768" s="84"/>
      <c r="Y768" s="105"/>
      <c r="Z768" s="105"/>
      <c r="AA768" s="87"/>
      <c r="AB768" s="87"/>
      <c r="AC768" s="87"/>
      <c r="AD768" s="87"/>
      <c r="AE768" s="105"/>
      <c r="AF768" s="105"/>
      <c r="AG768" s="105"/>
      <c r="AH768" s="105"/>
      <c r="AI768" s="87"/>
      <c r="AJ768" s="87"/>
      <c r="AK768" s="105"/>
      <c r="AL768" s="87"/>
      <c r="AM768" s="105"/>
      <c r="AN768" s="105"/>
      <c r="AO768" s="87"/>
      <c r="AP768" s="87"/>
      <c r="AQ768" s="105"/>
      <c r="AR768" s="105"/>
      <c r="AS768" s="87"/>
      <c r="AT768" s="105"/>
      <c r="AU768" s="105"/>
      <c r="AV768" s="87"/>
      <c r="AW768" s="105"/>
      <c r="AX768" s="105"/>
      <c r="AY768" s="87"/>
      <c r="AZ768" s="105"/>
      <c r="BA768" s="105"/>
      <c r="BB768" s="105"/>
      <c r="BC768" s="87"/>
      <c r="BD768" s="87"/>
      <c r="BE768" s="105"/>
      <c r="BF768" s="105"/>
      <c r="BG768" s="105"/>
      <c r="BH768" s="105"/>
      <c r="BI768" s="105"/>
      <c r="BJ768" s="87"/>
      <c r="BK768" s="87"/>
      <c r="BL768" s="87"/>
      <c r="BM768" s="87"/>
      <c r="BN768" s="87"/>
      <c r="BO768" s="87"/>
      <c r="BP768" s="87"/>
      <c r="BQ768" s="87"/>
      <c r="BR768" s="87"/>
      <c r="BS768" s="87"/>
      <c r="BT768" s="87"/>
      <c r="BU768" s="87"/>
      <c r="BV768" s="87"/>
      <c r="BW768" s="87"/>
      <c r="BX768" s="87"/>
      <c r="BY768" s="87"/>
      <c r="BZ768" s="87"/>
      <c r="CA768" s="87"/>
      <c r="CB768" s="87"/>
      <c r="CC768" s="87"/>
      <c r="CD768" s="87"/>
      <c r="CE768" s="87"/>
      <c r="CF768" s="87"/>
      <c r="CG768" s="87"/>
      <c r="CH768" s="87"/>
      <c r="CI768" s="87"/>
      <c r="CJ768" s="87"/>
      <c r="CK768" s="87"/>
      <c r="CL768" s="87"/>
      <c r="CM768" s="87"/>
      <c r="CN768" s="87"/>
      <c r="CO768" s="87"/>
      <c r="CP768" s="87"/>
      <c r="CQ768" s="87"/>
      <c r="CR768" s="87"/>
      <c r="CS768" s="87"/>
      <c r="CT768" s="87"/>
      <c r="CU768" s="87"/>
      <c r="CV768" s="87"/>
      <c r="CW768" s="87"/>
      <c r="CX768" s="87"/>
      <c r="CY768" s="87"/>
      <c r="CZ768" s="87"/>
      <c r="DA768" s="87"/>
      <c r="DB768" s="87"/>
      <c r="DC768" s="87"/>
      <c r="DD768" s="87"/>
      <c r="DE768" s="87"/>
      <c r="DF768" s="87"/>
      <c r="DG768" s="87"/>
      <c r="DH768" s="87">
        <f>-4/7*C768</f>
        <v>-25.571428571428569</v>
      </c>
      <c r="DI768" s="87"/>
      <c r="DJ768" s="87">
        <f>-DH768</f>
        <v>25.571428571428569</v>
      </c>
      <c r="DK768" s="87"/>
      <c r="DL768" s="87"/>
      <c r="DM768" s="87"/>
      <c r="DN768" s="87"/>
      <c r="DO768" s="87"/>
      <c r="DP768" s="87"/>
      <c r="DQ768" s="87"/>
      <c r="DR768" s="87"/>
      <c r="DS768" s="87"/>
      <c r="DT768" s="87"/>
      <c r="DU768" s="87"/>
      <c r="DV768" s="87"/>
      <c r="DW768" s="87"/>
      <c r="DX768" s="87"/>
      <c r="DY768" s="87"/>
      <c r="DZ768" s="87"/>
      <c r="EA768" s="87"/>
      <c r="EB768" s="87"/>
      <c r="EC768" s="87"/>
      <c r="ED768" s="87"/>
      <c r="EE768" s="87"/>
      <c r="EF768" s="87"/>
      <c r="EG768" s="87"/>
      <c r="EH768" s="87"/>
      <c r="EI768" s="87"/>
    </row>
    <row r="769" spans="1:152" ht="16.5" hidden="1" thickBot="1" x14ac:dyDescent="0.35">
      <c r="A769" s="395" t="s">
        <v>229</v>
      </c>
      <c r="B769" s="194">
        <v>2</v>
      </c>
      <c r="C769" s="195">
        <f>16.2*0.65</f>
        <v>10.53</v>
      </c>
      <c r="D769" s="217">
        <f>C769/VLOOKUP(B769,'[2]Gas Prod per PADD'!$A$1:$C$6,2,FALSE)</f>
        <v>4.3874999999999999E-3</v>
      </c>
      <c r="E769" s="178">
        <v>45838</v>
      </c>
      <c r="F769" s="179">
        <f>E769+7</f>
        <v>45845</v>
      </c>
      <c r="G769" s="194" t="s">
        <v>1274</v>
      </c>
      <c r="H769" s="181" t="s">
        <v>1261</v>
      </c>
      <c r="I769" s="305"/>
      <c r="J769" s="306"/>
      <c r="K769" s="306"/>
      <c r="L769" s="306"/>
      <c r="M769" s="306"/>
      <c r="N769" s="306"/>
      <c r="O769" s="306"/>
      <c r="P769" s="306"/>
      <c r="Q769" s="306"/>
      <c r="R769" s="306"/>
      <c r="S769" s="306"/>
      <c r="T769" s="85"/>
      <c r="U769" s="85">
        <f t="shared" si="36"/>
        <v>0</v>
      </c>
      <c r="V769" s="84">
        <f>-7/31*C769</f>
        <v>-2.3777419354838707</v>
      </c>
      <c r="W769" s="84"/>
      <c r="X769" s="84"/>
      <c r="Y769" s="105"/>
      <c r="Z769" s="105"/>
      <c r="AA769" s="87"/>
      <c r="AB769" s="87"/>
      <c r="AC769" s="87"/>
      <c r="AD769" s="87"/>
      <c r="AE769" s="105"/>
      <c r="AF769" s="105"/>
      <c r="AG769" s="105"/>
      <c r="AH769" s="105"/>
      <c r="AI769" s="87"/>
      <c r="AJ769" s="87"/>
      <c r="AK769" s="105"/>
      <c r="AL769" s="87"/>
      <c r="AM769" s="105"/>
      <c r="AN769" s="105"/>
      <c r="AO769" s="87"/>
      <c r="AP769" s="87"/>
      <c r="AQ769" s="105"/>
      <c r="AR769" s="105"/>
      <c r="AS769" s="87"/>
      <c r="AT769" s="105"/>
      <c r="AU769" s="105"/>
      <c r="AV769" s="87"/>
      <c r="AW769" s="105"/>
      <c r="AX769" s="105"/>
      <c r="AY769" s="87"/>
      <c r="AZ769" s="105"/>
      <c r="BA769" s="105"/>
      <c r="BB769" s="105"/>
      <c r="BC769" s="87"/>
      <c r="BD769" s="87"/>
      <c r="BE769" s="105"/>
      <c r="BF769" s="105"/>
      <c r="BG769" s="105"/>
      <c r="BH769" s="105"/>
      <c r="BI769" s="105"/>
      <c r="BJ769" s="87"/>
      <c r="BK769" s="87"/>
      <c r="BL769" s="87"/>
      <c r="BM769" s="87"/>
      <c r="BN769" s="87"/>
      <c r="BO769" s="87"/>
      <c r="BP769" s="87"/>
      <c r="BQ769" s="87"/>
      <c r="BR769" s="87"/>
      <c r="BS769" s="87"/>
      <c r="BT769" s="87"/>
      <c r="BU769" s="87"/>
      <c r="BV769" s="87"/>
      <c r="BW769" s="87"/>
      <c r="BX769" s="87"/>
      <c r="BY769" s="87"/>
      <c r="BZ769" s="87"/>
      <c r="CA769" s="87"/>
      <c r="CB769" s="87"/>
      <c r="CC769" s="87"/>
      <c r="CD769" s="87"/>
      <c r="CE769" s="87"/>
      <c r="CF769" s="87"/>
      <c r="CG769" s="87"/>
      <c r="CH769" s="87"/>
      <c r="CI769" s="87"/>
      <c r="CJ769" s="87"/>
      <c r="CK769" s="87"/>
      <c r="CL769" s="87"/>
      <c r="CM769" s="87"/>
      <c r="CN769" s="87"/>
      <c r="CO769" s="87"/>
      <c r="CP769" s="87"/>
      <c r="CQ769" s="87"/>
      <c r="CR769" s="87"/>
      <c r="CS769" s="87"/>
      <c r="CT769" s="87"/>
      <c r="CU769" s="105"/>
      <c r="CV769" s="105"/>
      <c r="CW769" s="87"/>
      <c r="CX769" s="87"/>
      <c r="CY769" s="87"/>
      <c r="CZ769" s="87"/>
      <c r="DA769" s="87"/>
      <c r="DB769" s="87"/>
      <c r="DC769" s="87"/>
      <c r="DD769" s="87"/>
      <c r="DE769" s="87"/>
      <c r="DF769" s="87"/>
      <c r="DG769" s="87"/>
      <c r="DH769" s="87">
        <f>-4/7*C769</f>
        <v>-6.017142857142856</v>
      </c>
      <c r="DI769" s="87"/>
      <c r="DJ769" s="87">
        <f>-DH769</f>
        <v>6.017142857142856</v>
      </c>
      <c r="DK769" s="87"/>
      <c r="DL769" s="87"/>
      <c r="DM769" s="87"/>
      <c r="DN769" s="87"/>
      <c r="DO769" s="87"/>
      <c r="DP769" s="87"/>
      <c r="DQ769" s="87"/>
      <c r="DR769" s="87"/>
      <c r="DS769" s="87"/>
      <c r="DT769" s="87"/>
      <c r="DU769" s="87"/>
      <c r="DV769" s="87"/>
      <c r="DW769" s="87"/>
      <c r="DX769" s="87"/>
      <c r="DY769" s="87"/>
      <c r="DZ769" s="87"/>
      <c r="EA769" s="87"/>
      <c r="EB769" s="87"/>
      <c r="EC769" s="87"/>
      <c r="ED769" s="87"/>
      <c r="EE769" s="87"/>
      <c r="EF769" s="87"/>
      <c r="EG769" s="87"/>
      <c r="EH769" s="87"/>
      <c r="EI769" s="87"/>
    </row>
    <row r="770" spans="1:152" ht="16.5" hidden="1" thickBot="1" x14ac:dyDescent="0.35">
      <c r="A770" s="358" t="s">
        <v>780</v>
      </c>
      <c r="B770" s="194">
        <v>2</v>
      </c>
      <c r="C770" s="195">
        <f>8.5*0.25</f>
        <v>2.125</v>
      </c>
      <c r="D770" s="217">
        <f>C770/VLOOKUP(B770,'[2]Gas Prod per PADD'!$A$1:$C$6,2,FALSE)</f>
        <v>8.8541666666666662E-4</v>
      </c>
      <c r="E770" s="178">
        <v>45832</v>
      </c>
      <c r="F770" s="179">
        <v>45846</v>
      </c>
      <c r="G770" s="194" t="s">
        <v>781</v>
      </c>
      <c r="H770" s="181" t="s">
        <v>1275</v>
      </c>
      <c r="I770" s="373"/>
      <c r="J770" s="374"/>
      <c r="K770" s="374"/>
      <c r="L770" s="374"/>
      <c r="M770" s="374"/>
      <c r="N770" s="374"/>
      <c r="O770" s="374"/>
      <c r="P770" s="374"/>
      <c r="Q770" s="374"/>
      <c r="R770" s="374"/>
      <c r="S770" s="374"/>
      <c r="T770" s="85"/>
      <c r="U770" s="85">
        <f t="shared" si="36"/>
        <v>-0.42499999999999999</v>
      </c>
      <c r="V770" s="84">
        <f>-8/31*C770</f>
        <v>-0.54838709677419351</v>
      </c>
      <c r="W770" s="84"/>
      <c r="X770" s="84"/>
      <c r="Y770" s="105"/>
      <c r="Z770" s="105"/>
      <c r="AA770" s="87"/>
      <c r="AB770" s="87"/>
      <c r="AC770" s="87"/>
      <c r="AD770" s="87"/>
      <c r="AE770" s="105"/>
      <c r="AF770" s="105"/>
      <c r="AG770" s="105"/>
      <c r="AH770" s="105"/>
      <c r="AI770" s="87"/>
      <c r="AJ770" s="87"/>
      <c r="AK770" s="105"/>
      <c r="AL770" s="87"/>
      <c r="AM770" s="105"/>
      <c r="AN770" s="105"/>
      <c r="AO770" s="87"/>
      <c r="AP770" s="87"/>
      <c r="AQ770" s="105"/>
      <c r="AR770" s="105"/>
      <c r="AS770" s="87"/>
      <c r="AT770" s="105"/>
      <c r="AU770" s="105"/>
      <c r="AV770" s="87"/>
      <c r="AW770" s="105"/>
      <c r="AX770" s="105"/>
      <c r="AY770" s="87"/>
      <c r="AZ770" s="105"/>
      <c r="BA770" s="105"/>
      <c r="BB770" s="105"/>
      <c r="BC770" s="87"/>
      <c r="BD770" s="87"/>
      <c r="BE770" s="105"/>
      <c r="BF770" s="105"/>
      <c r="BG770" s="105"/>
      <c r="BH770" s="105"/>
      <c r="BI770" s="105"/>
      <c r="BJ770" s="87"/>
      <c r="BK770" s="87"/>
      <c r="BL770" s="87"/>
      <c r="BM770" s="87"/>
      <c r="BN770" s="87"/>
      <c r="BO770" s="87"/>
      <c r="BP770" s="87"/>
      <c r="BQ770" s="87"/>
      <c r="BR770" s="87"/>
      <c r="BS770" s="87"/>
      <c r="BT770" s="87"/>
      <c r="BU770" s="87"/>
      <c r="BV770" s="87"/>
      <c r="BW770" s="87"/>
      <c r="BX770" s="87"/>
      <c r="BY770" s="87"/>
      <c r="BZ770" s="87"/>
      <c r="CA770" s="87"/>
      <c r="CB770" s="87"/>
      <c r="CC770" s="87"/>
      <c r="CD770" s="87"/>
      <c r="CE770" s="87"/>
      <c r="CF770" s="87"/>
      <c r="CG770" s="87"/>
      <c r="CH770" s="87"/>
      <c r="CI770" s="87"/>
      <c r="CJ770" s="87"/>
      <c r="CK770" s="87"/>
      <c r="CL770" s="87"/>
      <c r="CM770" s="87"/>
      <c r="CN770" s="87"/>
      <c r="CO770" s="87"/>
      <c r="CP770" s="87"/>
      <c r="CQ770" s="87"/>
      <c r="CR770" s="87"/>
      <c r="CS770" s="87"/>
      <c r="CT770" s="87"/>
      <c r="CU770" s="87"/>
      <c r="CV770" s="87"/>
      <c r="CW770" s="87"/>
      <c r="CX770" s="87"/>
      <c r="CY770" s="87"/>
      <c r="CZ770" s="87"/>
      <c r="DA770" s="87"/>
      <c r="DB770" s="87"/>
      <c r="DC770" s="87"/>
      <c r="DD770" s="87"/>
      <c r="DE770" s="87"/>
      <c r="DF770" s="105"/>
      <c r="DG770" s="105">
        <f>-3/7*C770</f>
        <v>-0.9107142857142857</v>
      </c>
      <c r="DH770" s="87"/>
      <c r="DI770" s="105">
        <f>-DG770</f>
        <v>0.9107142857142857</v>
      </c>
      <c r="DJ770" s="87"/>
      <c r="DK770" s="87"/>
      <c r="DL770" s="87"/>
      <c r="DM770" s="87"/>
      <c r="DN770" s="87"/>
      <c r="DO770" s="87"/>
      <c r="DP770" s="87"/>
      <c r="DQ770" s="87"/>
      <c r="DR770" s="87"/>
      <c r="DS770" s="105"/>
      <c r="DT770" s="87"/>
      <c r="DU770" s="87"/>
      <c r="DV770" s="87"/>
      <c r="DW770" s="87"/>
      <c r="DX770" s="87"/>
      <c r="DY770" s="87"/>
      <c r="DZ770" s="105"/>
      <c r="EA770" s="87"/>
      <c r="EB770" s="105"/>
      <c r="EC770" s="87"/>
      <c r="ED770" s="87"/>
      <c r="EE770" s="87"/>
      <c r="EF770" s="87"/>
      <c r="EG770" s="87"/>
      <c r="EH770" s="87"/>
      <c r="EI770" s="87"/>
    </row>
    <row r="771" spans="1:152" ht="16.5" hidden="1" thickBot="1" x14ac:dyDescent="0.35">
      <c r="A771" s="175" t="s">
        <v>156</v>
      </c>
      <c r="B771" s="194">
        <v>2</v>
      </c>
      <c r="C771" s="195">
        <f>30*0.25</f>
        <v>7.5</v>
      </c>
      <c r="D771" s="217">
        <f>C771/VLOOKUP(B771,'[2]Gas Prod per PADD'!$A$1:$C$6,2,FALSE)</f>
        <v>3.1250000000000002E-3</v>
      </c>
      <c r="E771" s="196">
        <v>45856</v>
      </c>
      <c r="F771" s="197">
        <v>45862</v>
      </c>
      <c r="G771" s="194" t="s">
        <v>869</v>
      </c>
      <c r="H771" s="275" t="s">
        <v>1276</v>
      </c>
      <c r="I771" s="371"/>
      <c r="J771" s="372"/>
      <c r="K771" s="372"/>
      <c r="L771" s="372"/>
      <c r="M771" s="372"/>
      <c r="N771" s="372"/>
      <c r="O771" s="372"/>
      <c r="P771" s="372"/>
      <c r="Q771" s="372"/>
      <c r="R771" s="372"/>
      <c r="S771" s="372"/>
      <c r="T771" s="85"/>
      <c r="U771" s="85"/>
      <c r="V771" s="84">
        <f>C771*(E771-F771)/31</f>
        <v>-1.4516129032258065</v>
      </c>
      <c r="W771" s="84"/>
      <c r="X771" s="84"/>
      <c r="Y771" s="105"/>
      <c r="Z771" s="105"/>
      <c r="AA771" s="87"/>
      <c r="AB771" s="87"/>
      <c r="AC771" s="87"/>
      <c r="AD771" s="87"/>
      <c r="AE771" s="105"/>
      <c r="AF771" s="105"/>
      <c r="AG771" s="105"/>
      <c r="AH771" s="105"/>
      <c r="AI771" s="87"/>
      <c r="AJ771" s="87"/>
      <c r="AK771" s="105"/>
      <c r="AL771" s="87"/>
      <c r="AM771" s="105"/>
      <c r="AN771" s="105"/>
      <c r="AO771" s="87"/>
      <c r="AP771" s="87"/>
      <c r="AQ771" s="105"/>
      <c r="AR771" s="105"/>
      <c r="AS771" s="87"/>
      <c r="AT771" s="105"/>
      <c r="AU771" s="105"/>
      <c r="AV771" s="87"/>
      <c r="AW771" s="105"/>
      <c r="AX771" s="105"/>
      <c r="AY771" s="87"/>
      <c r="AZ771" s="105"/>
      <c r="BA771" s="105"/>
      <c r="BB771" s="105"/>
      <c r="BC771" s="87"/>
      <c r="BD771" s="87"/>
      <c r="BE771" s="105"/>
      <c r="BF771" s="105"/>
      <c r="BG771" s="105"/>
      <c r="BH771" s="105"/>
      <c r="BI771" s="105"/>
      <c r="BJ771" s="87"/>
      <c r="BK771" s="87"/>
      <c r="BL771" s="87"/>
      <c r="BM771" s="87"/>
      <c r="BN771" s="87"/>
      <c r="BO771" s="87"/>
      <c r="BP771" s="87"/>
      <c r="BQ771" s="87"/>
      <c r="BR771" s="87"/>
      <c r="BS771" s="87"/>
      <c r="BT771" s="87"/>
      <c r="BU771" s="87"/>
      <c r="BV771" s="87"/>
      <c r="BW771" s="87"/>
      <c r="BX771" s="87"/>
      <c r="BY771" s="87"/>
      <c r="BZ771" s="87"/>
      <c r="CA771" s="87"/>
      <c r="CB771" s="87"/>
      <c r="CC771" s="87"/>
      <c r="CD771" s="87"/>
      <c r="CE771" s="87"/>
      <c r="CF771" s="87"/>
      <c r="CG771" s="87"/>
      <c r="CH771" s="87"/>
      <c r="CI771" s="87"/>
      <c r="CJ771" s="87"/>
      <c r="CK771" s="87"/>
      <c r="CL771" s="87"/>
      <c r="CM771" s="87"/>
      <c r="CN771" s="87"/>
      <c r="CO771" s="87"/>
      <c r="CP771" s="87"/>
      <c r="CQ771" s="87"/>
      <c r="CR771" s="87"/>
      <c r="CS771" s="87"/>
      <c r="CT771" s="87"/>
      <c r="CU771" s="87"/>
      <c r="CV771" s="87"/>
      <c r="CW771" s="87"/>
      <c r="CX771" s="87"/>
      <c r="CY771" s="87"/>
      <c r="CZ771" s="87"/>
      <c r="DA771" s="87"/>
      <c r="DB771" s="87"/>
      <c r="DC771" s="87"/>
      <c r="DD771" s="87"/>
      <c r="DE771" s="87"/>
      <c r="DF771" s="87"/>
      <c r="DG771" s="87"/>
      <c r="DH771" s="87"/>
      <c r="DI771" s="87"/>
      <c r="DJ771" s="87">
        <f>-1/7*C771</f>
        <v>-1.0714285714285714</v>
      </c>
      <c r="DK771" s="87">
        <f>-5/7*C771</f>
        <v>-5.3571428571428577</v>
      </c>
      <c r="DL771" s="87">
        <f>-DK771</f>
        <v>5.3571428571428577</v>
      </c>
      <c r="DM771" s="87">
        <f>-DJ771</f>
        <v>1.0714285714285714</v>
      </c>
      <c r="DN771" s="87"/>
      <c r="DO771" s="87"/>
      <c r="DP771" s="87"/>
      <c r="DQ771" s="87"/>
      <c r="DR771" s="87"/>
      <c r="DS771" s="105"/>
      <c r="DT771" s="87"/>
      <c r="DU771" s="87"/>
      <c r="DV771" s="87"/>
      <c r="DW771" s="105"/>
      <c r="DX771" s="87"/>
      <c r="DY771" s="87"/>
      <c r="DZ771" s="87"/>
      <c r="EA771" s="87"/>
      <c r="EB771" s="87"/>
      <c r="EC771" s="87"/>
      <c r="ED771" s="87"/>
      <c r="EE771" s="87"/>
      <c r="EF771" s="87"/>
      <c r="EG771" s="87"/>
      <c r="EH771" s="87"/>
      <c r="EI771" s="87"/>
    </row>
    <row r="772" spans="1:152" ht="16.5" hidden="1" thickBot="1" x14ac:dyDescent="0.35">
      <c r="A772" s="175" t="s">
        <v>207</v>
      </c>
      <c r="B772" s="176">
        <v>5</v>
      </c>
      <c r="C772" s="177">
        <f>20*0.85</f>
        <v>17</v>
      </c>
      <c r="D772" s="234">
        <f>C772/VLOOKUP(B772,'[2]Gas Prod per PADD'!$A$1:$C$6,2,FALSE)</f>
        <v>1.2592592592592593E-2</v>
      </c>
      <c r="E772" s="220">
        <v>45844</v>
      </c>
      <c r="F772" s="179">
        <v>45872</v>
      </c>
      <c r="G772" s="180" t="s">
        <v>1277</v>
      </c>
      <c r="H772" s="198" t="s">
        <v>1278</v>
      </c>
      <c r="I772" s="371"/>
      <c r="J772" s="372"/>
      <c r="K772" s="372"/>
      <c r="L772" s="372"/>
      <c r="M772" s="372"/>
      <c r="N772" s="372"/>
      <c r="O772" s="372"/>
      <c r="P772" s="372"/>
      <c r="Q772" s="372"/>
      <c r="R772" s="372"/>
      <c r="S772" s="372"/>
      <c r="T772" s="85"/>
      <c r="U772" s="85"/>
      <c r="V772" s="84">
        <f>C772*(E772-$V$1)/31</f>
        <v>-13.709677419354838</v>
      </c>
      <c r="W772" s="84"/>
      <c r="X772" s="84" t="str">
        <f>IF(COUNTA(Y772:EI772)=0,"Missing","OK")</f>
        <v>OK</v>
      </c>
      <c r="Y772" s="105"/>
      <c r="Z772" s="105"/>
      <c r="AA772" s="87"/>
      <c r="AB772" s="87"/>
      <c r="AC772" s="87"/>
      <c r="AD772" s="87"/>
      <c r="AE772" s="105"/>
      <c r="AF772" s="105"/>
      <c r="AG772" s="105"/>
      <c r="AH772" s="105"/>
      <c r="AI772" s="87"/>
      <c r="AJ772" s="87"/>
      <c r="AK772" s="105"/>
      <c r="AL772" s="87"/>
      <c r="AM772" s="105"/>
      <c r="AN772" s="105"/>
      <c r="AO772" s="87"/>
      <c r="AP772" s="87"/>
      <c r="AQ772" s="105"/>
      <c r="AR772" s="105"/>
      <c r="AS772" s="87"/>
      <c r="AT772" s="105"/>
      <c r="AU772" s="105"/>
      <c r="AV772" s="87"/>
      <c r="AW772" s="105"/>
      <c r="AX772" s="105"/>
      <c r="AY772" s="87"/>
      <c r="AZ772" s="105"/>
      <c r="BA772" s="105"/>
      <c r="BB772" s="105"/>
      <c r="BC772" s="87"/>
      <c r="BD772" s="87"/>
      <c r="BE772" s="105"/>
      <c r="BF772" s="105"/>
      <c r="BG772" s="105"/>
      <c r="BH772" s="105"/>
      <c r="BI772" s="105"/>
      <c r="BJ772" s="87"/>
      <c r="BK772" s="87"/>
      <c r="BL772" s="87"/>
      <c r="BM772" s="87"/>
      <c r="BN772" s="87"/>
      <c r="BO772" s="87"/>
      <c r="BP772" s="87"/>
      <c r="BQ772" s="87"/>
      <c r="BR772" s="87"/>
      <c r="BS772" s="87"/>
      <c r="BT772" s="87"/>
      <c r="BU772" s="87"/>
      <c r="BV772" s="87"/>
      <c r="BW772" s="87"/>
      <c r="BX772" s="87"/>
      <c r="BY772" s="87"/>
      <c r="BZ772" s="87"/>
      <c r="CA772" s="87"/>
      <c r="CB772" s="87"/>
      <c r="CC772" s="87"/>
      <c r="CD772" s="87"/>
      <c r="CE772" s="87"/>
      <c r="CF772" s="87"/>
      <c r="CG772" s="87"/>
      <c r="CH772" s="87"/>
      <c r="CI772" s="87"/>
      <c r="CJ772" s="87"/>
      <c r="CK772" s="87"/>
      <c r="CL772" s="87"/>
      <c r="CM772" s="87"/>
      <c r="CN772" s="87"/>
      <c r="CO772" s="87"/>
      <c r="CP772" s="87"/>
      <c r="CQ772" s="87"/>
      <c r="CR772" s="87"/>
      <c r="CS772" s="87"/>
      <c r="CT772" s="87"/>
      <c r="CU772" s="87"/>
      <c r="CV772" s="87"/>
      <c r="CW772" s="87"/>
      <c r="CX772" s="87"/>
      <c r="CY772" s="87"/>
      <c r="CZ772" s="87"/>
      <c r="DA772" s="87"/>
      <c r="DB772" s="87"/>
      <c r="DC772" s="87"/>
      <c r="DD772" s="87"/>
      <c r="DE772" s="87"/>
      <c r="DF772" s="87"/>
      <c r="DG772" s="87"/>
      <c r="DH772" s="87"/>
      <c r="DI772" s="87">
        <f>-C772*(6/7)</f>
        <v>-14.571428571428571</v>
      </c>
      <c r="DJ772" s="87">
        <f>-C772*(1/7)</f>
        <v>-2.4285714285714284</v>
      </c>
      <c r="DK772" s="87"/>
      <c r="DL772" s="87"/>
      <c r="DM772" s="87">
        <f>C772*(3/7)</f>
        <v>7.2857142857142856</v>
      </c>
      <c r="DN772" s="87">
        <f>C772*(4/7)</f>
        <v>9.7142857142857135</v>
      </c>
      <c r="DO772" s="87"/>
      <c r="DP772" s="87"/>
      <c r="DQ772" s="87"/>
      <c r="DR772" s="87"/>
      <c r="DS772" s="87"/>
      <c r="DT772" s="87"/>
      <c r="DU772" s="87"/>
      <c r="DV772" s="87"/>
      <c r="DW772" s="87"/>
      <c r="DX772" s="87"/>
      <c r="DY772" s="87"/>
      <c r="DZ772" s="87"/>
      <c r="EA772" s="87"/>
      <c r="EB772" s="87"/>
      <c r="EC772" s="87"/>
      <c r="ED772" s="87"/>
      <c r="EE772" s="87"/>
      <c r="EF772" s="87"/>
      <c r="EG772" s="87"/>
      <c r="EH772" s="87"/>
      <c r="EI772" s="87"/>
    </row>
    <row r="773" spans="1:152" ht="16.5" hidden="1" thickBot="1" x14ac:dyDescent="0.35">
      <c r="A773" s="161" t="s">
        <v>212</v>
      </c>
      <c r="B773" s="194">
        <v>5</v>
      </c>
      <c r="C773" s="195">
        <f>24*0.05</f>
        <v>1.2000000000000002</v>
      </c>
      <c r="D773" s="217">
        <f>C773/VLOOKUP(B773,'[2]Gas Prod per PADD'!$A$1:$C$6,2,FALSE)</f>
        <v>8.8888888888888904E-4</v>
      </c>
      <c r="E773" s="394">
        <v>45849</v>
      </c>
      <c r="F773" s="235">
        <v>45893</v>
      </c>
      <c r="G773" s="180" t="s">
        <v>1279</v>
      </c>
      <c r="H773" s="198" t="s">
        <v>1280</v>
      </c>
      <c r="I773" s="371"/>
      <c r="J773" s="372"/>
      <c r="K773" s="372"/>
      <c r="L773" s="372"/>
      <c r="M773" s="372"/>
      <c r="N773" s="372"/>
      <c r="O773" s="372"/>
      <c r="P773" s="372"/>
      <c r="Q773" s="372"/>
      <c r="R773" s="372"/>
      <c r="S773" s="372"/>
      <c r="T773" s="85"/>
      <c r="U773" s="85"/>
      <c r="V773" s="84">
        <f>C773*(E773-$V$1)/31</f>
        <v>-0.77419354838709686</v>
      </c>
      <c r="W773" s="84"/>
      <c r="X773" s="84" t="str">
        <f>IF(COUNTA(Y773:EI773)=0,"Missing","OK")</f>
        <v>OK</v>
      </c>
      <c r="Y773" s="105"/>
      <c r="Z773" s="105"/>
      <c r="AA773" s="87"/>
      <c r="AB773" s="87"/>
      <c r="AC773" s="87"/>
      <c r="AD773" s="87"/>
      <c r="AE773" s="105"/>
      <c r="AF773" s="105"/>
      <c r="AG773" s="105"/>
      <c r="AH773" s="105"/>
      <c r="AI773" s="87"/>
      <c r="AJ773" s="87"/>
      <c r="AK773" s="105"/>
      <c r="AL773" s="87"/>
      <c r="AM773" s="105"/>
      <c r="AN773" s="105"/>
      <c r="AO773" s="87"/>
      <c r="AP773" s="87"/>
      <c r="AQ773" s="105"/>
      <c r="AR773" s="105"/>
      <c r="AS773" s="87"/>
      <c r="AT773" s="105"/>
      <c r="AU773" s="105"/>
      <c r="AV773" s="87"/>
      <c r="AW773" s="105"/>
      <c r="AX773" s="105"/>
      <c r="AY773" s="87"/>
      <c r="AZ773" s="105"/>
      <c r="BA773" s="105"/>
      <c r="BB773" s="105"/>
      <c r="BC773" s="87"/>
      <c r="BD773" s="87"/>
      <c r="BE773" s="105"/>
      <c r="BF773" s="105"/>
      <c r="BG773" s="105"/>
      <c r="BH773" s="105"/>
      <c r="BI773" s="105"/>
      <c r="BJ773" s="87"/>
      <c r="BK773" s="87"/>
      <c r="BL773" s="87"/>
      <c r="BM773" s="87"/>
      <c r="BN773" s="87"/>
      <c r="BO773" s="87"/>
      <c r="BP773" s="87"/>
      <c r="BQ773" s="87"/>
      <c r="BR773" s="87"/>
      <c r="BS773" s="87"/>
      <c r="BT773" s="87"/>
      <c r="BU773" s="87"/>
      <c r="BV773" s="87"/>
      <c r="BW773" s="87"/>
      <c r="BX773" s="87"/>
      <c r="BY773" s="87"/>
      <c r="BZ773" s="87"/>
      <c r="CA773" s="87"/>
      <c r="CB773" s="87"/>
      <c r="CC773" s="87"/>
      <c r="CD773" s="87"/>
      <c r="CE773" s="87"/>
      <c r="CF773" s="87"/>
      <c r="CG773" s="87"/>
      <c r="CH773" s="87"/>
      <c r="CI773" s="87"/>
      <c r="CJ773" s="87"/>
      <c r="CK773" s="87"/>
      <c r="CL773" s="87"/>
      <c r="CM773" s="87"/>
      <c r="CN773" s="87"/>
      <c r="CO773" s="87"/>
      <c r="CP773" s="87"/>
      <c r="CQ773" s="87"/>
      <c r="CR773" s="87"/>
      <c r="CS773" s="87"/>
      <c r="CT773" s="87"/>
      <c r="CU773" s="87"/>
      <c r="CV773" s="87"/>
      <c r="CW773" s="87"/>
      <c r="CX773" s="87"/>
      <c r="CY773" s="87"/>
      <c r="CZ773" s="87"/>
      <c r="DA773" s="87"/>
      <c r="DB773" s="87"/>
      <c r="DC773" s="87"/>
      <c r="DD773" s="87"/>
      <c r="DE773" s="87"/>
      <c r="DF773" s="87"/>
      <c r="DG773" s="87"/>
      <c r="DH773" s="87"/>
      <c r="DI773" s="87">
        <f>-1/7*C773</f>
        <v>-0.17142857142857146</v>
      </c>
      <c r="DJ773" s="87">
        <f>-C773*(6/7)</f>
        <v>-1.0285714285714287</v>
      </c>
      <c r="DK773" s="87"/>
      <c r="DL773" s="87"/>
      <c r="DM773" s="87">
        <f>-DJ773</f>
        <v>1.0285714285714287</v>
      </c>
      <c r="DN773" s="87">
        <f>-DI773</f>
        <v>0.17142857142857146</v>
      </c>
      <c r="DO773" s="87"/>
      <c r="DP773" s="87">
        <f>C773*(5/7)</f>
        <v>0.85714285714285732</v>
      </c>
      <c r="DQ773" s="87">
        <f>C773*(2/7)</f>
        <v>0.34285714285714292</v>
      </c>
      <c r="DR773" s="87"/>
      <c r="DS773" s="87"/>
      <c r="DT773" s="87"/>
      <c r="DU773" s="87"/>
      <c r="DV773" s="87"/>
      <c r="DW773" s="87"/>
      <c r="DX773" s="87"/>
      <c r="DY773" s="87"/>
      <c r="DZ773" s="87"/>
      <c r="EA773" s="87"/>
      <c r="EB773" s="87"/>
      <c r="EC773" s="87"/>
      <c r="ED773" s="87"/>
      <c r="EE773" s="87"/>
      <c r="EF773" s="87"/>
      <c r="EG773" s="87"/>
      <c r="EH773" s="87"/>
      <c r="EI773" s="87"/>
    </row>
    <row r="774" spans="1:152" ht="29.25" hidden="1" thickBot="1" x14ac:dyDescent="0.35">
      <c r="A774" s="190" t="s">
        <v>294</v>
      </c>
      <c r="B774" s="194">
        <v>3</v>
      </c>
      <c r="C774" s="195">
        <f>(70-61)*0.05+11*0.85</f>
        <v>9.7999999999999989</v>
      </c>
      <c r="D774" s="217">
        <f>C774/VLOOKUP(B774,'[2]Gas Prod per PADD'!$A$1:$C$6,2,FALSE)</f>
        <v>2.1304347826086954E-3</v>
      </c>
      <c r="E774" s="394">
        <v>45851</v>
      </c>
      <c r="F774" s="235">
        <v>45897</v>
      </c>
      <c r="G774" s="180" t="s">
        <v>1281</v>
      </c>
      <c r="H774" s="198" t="s">
        <v>1282</v>
      </c>
      <c r="I774" s="371"/>
      <c r="J774" s="372"/>
      <c r="K774" s="372"/>
      <c r="L774" s="372"/>
      <c r="M774" s="372"/>
      <c r="N774" s="372"/>
      <c r="O774" s="372"/>
      <c r="P774" s="372"/>
      <c r="Q774" s="372"/>
      <c r="R774" s="372"/>
      <c r="S774" s="372"/>
      <c r="T774" s="85"/>
      <c r="U774" s="85"/>
      <c r="V774" s="84">
        <f>C774*(E774-$V$1)/31</f>
        <v>-5.6903225806451605</v>
      </c>
      <c r="W774" s="84"/>
      <c r="X774" s="84"/>
      <c r="Y774" s="105"/>
      <c r="Z774" s="105"/>
      <c r="AA774" s="87"/>
      <c r="AB774" s="87"/>
      <c r="AC774" s="87"/>
      <c r="AD774" s="87"/>
      <c r="AE774" s="105"/>
      <c r="AF774" s="105"/>
      <c r="AG774" s="105"/>
      <c r="AH774" s="105"/>
      <c r="AI774" s="87"/>
      <c r="AJ774" s="87"/>
      <c r="AK774" s="105"/>
      <c r="AL774" s="87"/>
      <c r="AM774" s="105"/>
      <c r="AN774" s="105"/>
      <c r="AO774" s="87"/>
      <c r="AP774" s="87"/>
      <c r="AQ774" s="105"/>
      <c r="AR774" s="105"/>
      <c r="AS774" s="87"/>
      <c r="AT774" s="105"/>
      <c r="AU774" s="105"/>
      <c r="AV774" s="87"/>
      <c r="AW774" s="105"/>
      <c r="AX774" s="105"/>
      <c r="AY774" s="87"/>
      <c r="AZ774" s="105"/>
      <c r="BA774" s="105"/>
      <c r="BB774" s="105"/>
      <c r="BC774" s="87"/>
      <c r="BD774" s="87"/>
      <c r="BE774" s="105"/>
      <c r="BF774" s="105"/>
      <c r="BG774" s="105"/>
      <c r="BH774" s="105"/>
      <c r="BI774" s="105"/>
      <c r="BJ774" s="87"/>
      <c r="BK774" s="87"/>
      <c r="BL774" s="87"/>
      <c r="BM774" s="87"/>
      <c r="BN774" s="87"/>
      <c r="BO774" s="87"/>
      <c r="BP774" s="87"/>
      <c r="BQ774" s="87"/>
      <c r="BR774" s="87"/>
      <c r="BS774" s="87"/>
      <c r="BT774" s="87"/>
      <c r="BU774" s="87"/>
      <c r="BV774" s="87"/>
      <c r="BW774" s="87"/>
      <c r="BX774" s="87"/>
      <c r="BY774" s="87"/>
      <c r="BZ774" s="87"/>
      <c r="CA774" s="87"/>
      <c r="CB774" s="87"/>
      <c r="CC774" s="87"/>
      <c r="CD774" s="87"/>
      <c r="CE774" s="87"/>
      <c r="CF774" s="87"/>
      <c r="CG774" s="87"/>
      <c r="CH774" s="87"/>
      <c r="CI774" s="87"/>
      <c r="CJ774" s="87"/>
      <c r="CK774" s="87"/>
      <c r="CL774" s="87"/>
      <c r="CM774" s="87"/>
      <c r="CN774" s="87"/>
      <c r="CO774" s="87"/>
      <c r="CP774" s="87"/>
      <c r="CQ774" s="87"/>
      <c r="CR774" s="87"/>
      <c r="CS774" s="87"/>
      <c r="CT774" s="87"/>
      <c r="CU774" s="87"/>
      <c r="CV774" s="87"/>
      <c r="CW774" s="87"/>
      <c r="CX774" s="87"/>
      <c r="CY774" s="87"/>
      <c r="CZ774" s="87"/>
      <c r="DA774" s="87"/>
      <c r="DB774" s="87"/>
      <c r="DC774" s="87"/>
      <c r="DD774" s="87"/>
      <c r="DE774" s="87"/>
      <c r="DF774" s="87"/>
      <c r="DG774" s="87"/>
      <c r="DH774" s="87"/>
      <c r="DI774" s="87"/>
      <c r="DJ774" s="87">
        <f>-5/7*C774</f>
        <v>-6.9999999999999991</v>
      </c>
      <c r="DK774" s="105">
        <f>-C774-DJ774</f>
        <v>-2.8</v>
      </c>
      <c r="DL774" s="87"/>
      <c r="DM774" s="87"/>
      <c r="DN774" s="87"/>
      <c r="DO774" s="87"/>
      <c r="DP774" s="87">
        <f>1/7*C774</f>
        <v>1.3999999999999997</v>
      </c>
      <c r="DQ774" s="105">
        <f>C774-DP774</f>
        <v>8.3999999999999986</v>
      </c>
      <c r="DR774" s="87"/>
      <c r="DS774" s="87"/>
      <c r="DT774" s="87"/>
      <c r="DU774" s="87"/>
      <c r="DV774" s="87"/>
      <c r="DW774" s="87"/>
      <c r="DX774" s="87"/>
      <c r="DY774" s="87"/>
      <c r="DZ774" s="87"/>
      <c r="EA774" s="87"/>
      <c r="EB774" s="87"/>
      <c r="EC774" s="87"/>
      <c r="ED774" s="87"/>
      <c r="EE774" s="87"/>
      <c r="EF774" s="87"/>
      <c r="EG774" s="87"/>
      <c r="EH774" s="87"/>
      <c r="EI774" s="87"/>
    </row>
    <row r="775" spans="1:152" ht="29.25" hidden="1" thickBot="1" x14ac:dyDescent="0.35">
      <c r="A775" s="190" t="s">
        <v>158</v>
      </c>
      <c r="B775" s="282">
        <v>3</v>
      </c>
      <c r="C775" s="177">
        <f>145*0.65*1/3</f>
        <v>31.416666666666668</v>
      </c>
      <c r="D775" s="217">
        <v>2.717391304347826E-3</v>
      </c>
      <c r="E775" s="225">
        <v>45818</v>
      </c>
      <c r="F775" s="179">
        <v>45901</v>
      </c>
      <c r="G775" s="191" t="s">
        <v>1283</v>
      </c>
      <c r="H775" s="181" t="s">
        <v>1284</v>
      </c>
      <c r="I775" s="73"/>
      <c r="J775" s="229"/>
      <c r="K775" s="229"/>
      <c r="L775" s="229"/>
      <c r="M775" s="229"/>
      <c r="N775" s="229"/>
      <c r="O775" s="229"/>
      <c r="P775" s="229"/>
      <c r="Q775" s="229"/>
      <c r="R775" s="229"/>
      <c r="S775" s="229"/>
      <c r="T775" s="85"/>
      <c r="U775" s="85">
        <f>C775*(E775-$U$1)/30</f>
        <v>-20.944444444444446</v>
      </c>
      <c r="V775" s="451">
        <f>-C775</f>
        <v>-31.416666666666668</v>
      </c>
      <c r="W775" s="84"/>
      <c r="X775" s="84" t="str">
        <f>IF(COUNTA(Y775:EI775)=0,"Missing","OK")</f>
        <v>OK</v>
      </c>
      <c r="Y775" s="74"/>
      <c r="Z775" s="74"/>
      <c r="AA775" s="74"/>
      <c r="AB775" s="74"/>
      <c r="AC775" s="74"/>
      <c r="AD775" s="74"/>
      <c r="AE775" s="74"/>
      <c r="AF775" s="74"/>
      <c r="AG775" s="75"/>
      <c r="AH775" s="74"/>
      <c r="AI775" s="74"/>
      <c r="AJ775" s="74"/>
      <c r="AK775" s="74"/>
      <c r="AL775" s="74"/>
      <c r="AM775" s="74"/>
      <c r="AN775" s="74"/>
      <c r="AO775" s="74"/>
      <c r="AP775" s="74"/>
      <c r="AQ775" s="74"/>
      <c r="AR775" s="75"/>
      <c r="AS775" s="74"/>
      <c r="AT775" s="74"/>
      <c r="AU775" s="74"/>
      <c r="AV775" s="87"/>
      <c r="AW775" s="87"/>
      <c r="AX775" s="87"/>
      <c r="AY775" s="87"/>
      <c r="AZ775" s="87"/>
      <c r="BA775" s="87"/>
      <c r="BB775" s="87"/>
      <c r="BC775" s="87"/>
      <c r="BD775" s="87"/>
      <c r="BE775" s="87"/>
      <c r="BF775" s="74"/>
      <c r="BG775" s="74"/>
      <c r="BH775" s="74"/>
      <c r="BI775" s="74"/>
      <c r="BJ775" s="74"/>
      <c r="BK775" s="74"/>
      <c r="BL775" s="74"/>
      <c r="BM775" s="74"/>
      <c r="BN775" s="74"/>
      <c r="BO775" s="74"/>
      <c r="BP775" s="74"/>
      <c r="BQ775" s="74"/>
      <c r="BR775" s="74"/>
      <c r="BS775" s="74"/>
      <c r="BT775" s="74"/>
      <c r="BU775" s="74"/>
      <c r="BV775" s="74"/>
      <c r="BW775" s="74"/>
      <c r="BX775" s="74"/>
      <c r="BY775" s="74"/>
      <c r="BZ775" s="74"/>
      <c r="CA775" s="74"/>
      <c r="CB775" s="74"/>
      <c r="CC775" s="74"/>
      <c r="CD775" s="74"/>
      <c r="CE775" s="74"/>
      <c r="CF775" s="74"/>
      <c r="CG775" s="74"/>
      <c r="CH775" s="87"/>
      <c r="CI775" s="87"/>
      <c r="CJ775" s="87"/>
      <c r="CK775" s="87"/>
      <c r="CL775" s="87"/>
      <c r="CM775" s="87"/>
      <c r="CN775" s="87"/>
      <c r="CO775" s="87"/>
      <c r="CP775" s="87"/>
      <c r="CQ775" s="87"/>
      <c r="CR775" s="87"/>
      <c r="CS775" s="87"/>
      <c r="CT775" s="87"/>
      <c r="CU775" s="87"/>
      <c r="CV775" s="87"/>
      <c r="CW775" s="87"/>
      <c r="CX775" s="87"/>
      <c r="CY775" s="87"/>
      <c r="CZ775" s="87"/>
      <c r="DA775" s="87"/>
      <c r="DB775" s="87"/>
      <c r="DC775" s="87"/>
      <c r="DD775" s="87"/>
      <c r="DE775" s="87">
        <f>-3/7*C775</f>
        <v>-13.464285714285714</v>
      </c>
      <c r="DF775" s="87">
        <f>-4/7*C775</f>
        <v>-17.952380952380953</v>
      </c>
      <c r="DG775" s="87"/>
      <c r="DH775" s="87"/>
      <c r="DI775" s="87"/>
      <c r="DJ775" s="87"/>
      <c r="DK775" s="87"/>
      <c r="DL775" s="87"/>
      <c r="DM775" s="87"/>
      <c r="DN775" s="87"/>
      <c r="DO775" s="87"/>
      <c r="DP775" s="87"/>
      <c r="DQ775" s="87">
        <f>5/7*$C$761</f>
        <v>4.1785714285714288</v>
      </c>
      <c r="DR775" s="87">
        <f>2/7*$C$761</f>
        <v>1.6714285714285715</v>
      </c>
      <c r="DS775" s="87"/>
      <c r="DT775" s="87"/>
      <c r="DU775" s="87"/>
      <c r="DV775" s="87"/>
      <c r="DW775" s="87"/>
      <c r="DX775" s="87"/>
      <c r="DY775" s="87"/>
      <c r="DZ775" s="87"/>
      <c r="EA775" s="87"/>
      <c r="EB775" s="87"/>
      <c r="EC775" s="87"/>
      <c r="ED775" s="87"/>
      <c r="EE775" s="87"/>
      <c r="EF775" s="87"/>
      <c r="EG775" s="87"/>
      <c r="EH775" s="87"/>
      <c r="EI775" s="87"/>
      <c r="EJ775">
        <f>-ED775</f>
        <v>0</v>
      </c>
      <c r="EK775">
        <f>-EC775</f>
        <v>0</v>
      </c>
    </row>
    <row r="776" spans="1:152" ht="43.5" hidden="1" thickBot="1" x14ac:dyDescent="0.35">
      <c r="A776" s="190" t="s">
        <v>158</v>
      </c>
      <c r="B776" s="194">
        <v>3</v>
      </c>
      <c r="C776" s="195">
        <f>0.05*64+100*0.25</f>
        <v>28.2</v>
      </c>
      <c r="D776" s="217">
        <f>C776/VLOOKUP(B776,'[2]Gas Prod per PADD'!$A$1:$C$6,2,FALSE)</f>
        <v>6.1304347826086954E-3</v>
      </c>
      <c r="E776" s="196">
        <v>45822</v>
      </c>
      <c r="F776" s="197">
        <v>45901</v>
      </c>
      <c r="G776" s="180" t="s">
        <v>1285</v>
      </c>
      <c r="H776" s="181" t="s">
        <v>1286</v>
      </c>
      <c r="I776" s="373"/>
      <c r="J776" s="374"/>
      <c r="K776" s="374"/>
      <c r="L776" s="374"/>
      <c r="M776" s="374"/>
      <c r="N776" s="374"/>
      <c r="O776" s="374"/>
      <c r="P776" s="374"/>
      <c r="Q776" s="374"/>
      <c r="R776" s="374"/>
      <c r="S776" s="374"/>
      <c r="T776" s="85"/>
      <c r="U776" s="85">
        <f>C776*(E776-$U$1)/30</f>
        <v>-15.04</v>
      </c>
      <c r="V776" s="451">
        <f>-C776</f>
        <v>-28.2</v>
      </c>
      <c r="W776" s="84"/>
      <c r="X776" s="84"/>
      <c r="Y776" s="105"/>
      <c r="Z776" s="105"/>
      <c r="AA776" s="87"/>
      <c r="AB776" s="87"/>
      <c r="AC776" s="87"/>
      <c r="AD776" s="87"/>
      <c r="AE776" s="105"/>
      <c r="AF776" s="105"/>
      <c r="AG776" s="105"/>
      <c r="AH776" s="105"/>
      <c r="AI776" s="87"/>
      <c r="AJ776" s="87"/>
      <c r="AK776" s="105"/>
      <c r="AL776" s="87"/>
      <c r="AM776" s="105"/>
      <c r="AN776" s="105"/>
      <c r="AO776" s="87"/>
      <c r="AP776" s="87"/>
      <c r="AQ776" s="105"/>
      <c r="AR776" s="105"/>
      <c r="AS776" s="87"/>
      <c r="AT776" s="105"/>
      <c r="AU776" s="105"/>
      <c r="AV776" s="87"/>
      <c r="AW776" s="105"/>
      <c r="AX776" s="105"/>
      <c r="AY776" s="87"/>
      <c r="AZ776" s="105"/>
      <c r="BA776" s="105"/>
      <c r="BB776" s="105"/>
      <c r="BC776" s="87"/>
      <c r="BD776" s="87"/>
      <c r="BE776" s="105"/>
      <c r="BF776" s="105"/>
      <c r="BG776" s="105"/>
      <c r="BH776" s="105"/>
      <c r="BI776" s="105"/>
      <c r="BJ776" s="87"/>
      <c r="BK776" s="87"/>
      <c r="BL776" s="87"/>
      <c r="BM776" s="87"/>
      <c r="BN776" s="87"/>
      <c r="BO776" s="87"/>
      <c r="BP776" s="87"/>
      <c r="BQ776" s="87"/>
      <c r="BR776" s="87"/>
      <c r="BS776" s="87"/>
      <c r="BT776" s="87"/>
      <c r="BU776" s="87"/>
      <c r="BV776" s="87"/>
      <c r="BW776" s="87"/>
      <c r="BX776" s="87"/>
      <c r="BY776" s="87"/>
      <c r="BZ776" s="87"/>
      <c r="CA776" s="87"/>
      <c r="CB776" s="87"/>
      <c r="CC776" s="87"/>
      <c r="CD776" s="87"/>
      <c r="CE776" s="87"/>
      <c r="CF776" s="87"/>
      <c r="CG776" s="87"/>
      <c r="CH776" s="87"/>
      <c r="CI776" s="87"/>
      <c r="CJ776" s="87"/>
      <c r="CK776" s="87"/>
      <c r="CL776" s="87"/>
      <c r="CM776" s="87"/>
      <c r="CN776" s="87"/>
      <c r="CO776" s="87"/>
      <c r="CP776" s="87"/>
      <c r="CQ776" s="87"/>
      <c r="CR776" s="87"/>
      <c r="CS776" s="105"/>
      <c r="CT776" s="87"/>
      <c r="CU776" s="87"/>
      <c r="CV776" s="87"/>
      <c r="CW776" s="87"/>
      <c r="CX776" s="87"/>
      <c r="CY776" s="87"/>
      <c r="CZ776" s="87"/>
      <c r="DA776" s="87"/>
      <c r="DB776" s="87"/>
      <c r="DC776" s="87"/>
      <c r="DD776" s="105"/>
      <c r="DE776" s="87"/>
      <c r="DF776" s="87">
        <f>-6/7*C776</f>
        <v>-24.171428571428571</v>
      </c>
      <c r="DG776" s="87">
        <f>-1/7*C776</f>
        <v>-4.0285714285714285</v>
      </c>
      <c r="DH776" s="87"/>
      <c r="DI776" s="87"/>
      <c r="DJ776" s="87"/>
      <c r="DK776" s="87"/>
      <c r="DL776" s="87"/>
      <c r="DM776" s="87"/>
      <c r="DN776" s="87"/>
      <c r="DO776" s="87"/>
      <c r="DP776" s="87"/>
      <c r="DQ776" s="87">
        <f>-$DF$762</f>
        <v>0</v>
      </c>
      <c r="DR776" s="87">
        <f>-$DG$762</f>
        <v>3.342857142857143</v>
      </c>
      <c r="DS776" s="87"/>
      <c r="DT776" s="87"/>
      <c r="DU776" s="87"/>
      <c r="DV776" s="87"/>
      <c r="DW776" s="87"/>
      <c r="DX776" s="87"/>
      <c r="DY776" s="87"/>
      <c r="DZ776" s="87"/>
      <c r="EA776" s="87"/>
      <c r="EB776" s="87"/>
      <c r="EC776" s="87"/>
      <c r="ED776" s="87"/>
      <c r="EE776" s="87"/>
      <c r="EF776" s="87"/>
      <c r="EG776" s="87"/>
      <c r="EH776" s="87"/>
      <c r="EI776" s="87"/>
    </row>
    <row r="777" spans="1:152" ht="29.25" hidden="1" thickBot="1" x14ac:dyDescent="0.35">
      <c r="A777" s="353" t="s">
        <v>483</v>
      </c>
      <c r="B777" s="191">
        <v>2</v>
      </c>
      <c r="C777" s="396">
        <f>(92*0.1+19*0.85+26*0.65)</f>
        <v>42.25</v>
      </c>
      <c r="D777" s="234">
        <f>C777/VLOOKUP(B777,'[2]Gas Prod per PADD'!$A$1:$C$6,2,FALSE)</f>
        <v>1.7604166666666667E-2</v>
      </c>
      <c r="E777" s="178">
        <v>45847</v>
      </c>
      <c r="F777" s="179">
        <v>45906</v>
      </c>
      <c r="G777" s="180" t="s">
        <v>1054</v>
      </c>
      <c r="H777" s="181" t="s">
        <v>1287</v>
      </c>
      <c r="I777" s="84"/>
      <c r="J777" s="85"/>
      <c r="K777" s="85"/>
      <c r="L777" s="85"/>
      <c r="M777" s="85"/>
      <c r="N777" s="85"/>
      <c r="O777" s="85"/>
      <c r="P777" s="85"/>
      <c r="Q777" s="85"/>
      <c r="R777" s="85"/>
      <c r="S777" s="85"/>
      <c r="T777" s="85"/>
      <c r="U777" s="85"/>
      <c r="V777" s="84">
        <f>C777*(E777-V1)/31</f>
        <v>-29.983870967741936</v>
      </c>
      <c r="W777" s="84"/>
      <c r="X777" s="84" t="str">
        <f>IF(COUNTA(Y777:EI777)=0,"Missing","OK")</f>
        <v>OK</v>
      </c>
      <c r="Y777" s="105"/>
      <c r="Z777" s="105"/>
      <c r="AA777" s="87"/>
      <c r="AB777" s="87"/>
      <c r="AC777" s="87"/>
      <c r="AD777" s="87"/>
      <c r="AE777" s="105"/>
      <c r="AF777" s="105"/>
      <c r="AG777" s="105"/>
      <c r="AH777" s="105"/>
      <c r="AI777" s="87"/>
      <c r="AJ777" s="87"/>
      <c r="AK777" s="105"/>
      <c r="AL777" s="87"/>
      <c r="AM777" s="105"/>
      <c r="AN777" s="105"/>
      <c r="AO777" s="87"/>
      <c r="AP777" s="87"/>
      <c r="AQ777" s="105"/>
      <c r="AR777" s="105"/>
      <c r="AS777" s="87"/>
      <c r="AT777" s="105"/>
      <c r="AU777" s="105"/>
      <c r="AV777" s="87"/>
      <c r="AW777" s="105"/>
      <c r="AX777" s="105"/>
      <c r="AY777" s="87"/>
      <c r="AZ777" s="105"/>
      <c r="BA777" s="105"/>
      <c r="BB777" s="105"/>
      <c r="BC777" s="87"/>
      <c r="BD777" s="87"/>
      <c r="BE777" s="105"/>
      <c r="BF777" s="105"/>
      <c r="BG777" s="105"/>
      <c r="BH777" s="105"/>
      <c r="BI777" s="105"/>
      <c r="BJ777" s="87"/>
      <c r="BK777" s="87"/>
      <c r="BL777" s="87"/>
      <c r="BM777" s="87"/>
      <c r="BN777" s="87"/>
      <c r="BO777" s="105"/>
      <c r="BP777" s="105"/>
      <c r="BQ777" s="87"/>
      <c r="BR777" s="87"/>
      <c r="BS777" s="87"/>
      <c r="BT777" s="87"/>
      <c r="BU777" s="87"/>
      <c r="BV777" s="87"/>
      <c r="BW777" s="87"/>
      <c r="BX777" s="87"/>
      <c r="BY777" s="87"/>
      <c r="BZ777" s="87"/>
      <c r="CA777" s="87"/>
      <c r="CB777" s="87"/>
      <c r="CC777" s="87"/>
      <c r="CD777" s="87"/>
      <c r="CE777" s="87"/>
      <c r="CF777" s="87"/>
      <c r="CG777" s="87"/>
      <c r="CH777" s="87"/>
      <c r="CI777" s="87"/>
      <c r="CJ777" s="87"/>
      <c r="CK777" s="87"/>
      <c r="CL777" s="87"/>
      <c r="CM777" s="87"/>
      <c r="CN777" s="87"/>
      <c r="CO777" s="87"/>
      <c r="CP777" s="87"/>
      <c r="CQ777" s="87"/>
      <c r="CR777" s="87"/>
      <c r="CS777" s="87"/>
      <c r="CT777" s="87"/>
      <c r="CU777" s="87"/>
      <c r="CV777" s="87"/>
      <c r="CW777" s="87"/>
      <c r="CX777" s="87"/>
      <c r="CY777" s="87"/>
      <c r="CZ777" s="87"/>
      <c r="DA777" s="87"/>
      <c r="DB777" s="87"/>
      <c r="DC777" s="87"/>
      <c r="DD777" s="87"/>
      <c r="DE777" s="87"/>
      <c r="DF777" s="87"/>
      <c r="DG777" s="87"/>
      <c r="DH777" s="87"/>
      <c r="DI777" s="87">
        <f>-C777*(3/7)</f>
        <v>-18.107142857142858</v>
      </c>
      <c r="DJ777" s="105">
        <f>-C777-DI777</f>
        <v>-24.142857142857142</v>
      </c>
      <c r="DK777" s="87"/>
      <c r="DL777" s="87"/>
      <c r="DM777" s="87"/>
      <c r="DN777" s="87"/>
      <c r="DO777" s="87"/>
      <c r="DP777" s="87"/>
      <c r="DQ777" s="87">
        <f>-DI777</f>
        <v>18.107142857142858</v>
      </c>
      <c r="DR777" s="87">
        <f>-DJ777</f>
        <v>24.142857142857142</v>
      </c>
      <c r="DS777" s="87"/>
      <c r="DT777" s="87"/>
      <c r="DU777" s="87"/>
      <c r="DV777" s="87"/>
      <c r="DW777" s="87"/>
      <c r="DX777" s="87"/>
      <c r="DY777" s="87"/>
      <c r="DZ777" s="87"/>
      <c r="EA777" s="87"/>
      <c r="EB777" s="87"/>
      <c r="EC777" s="87"/>
      <c r="ED777" s="87"/>
      <c r="EE777" s="87"/>
      <c r="EF777" s="87"/>
      <c r="EG777" s="87"/>
      <c r="EH777" s="87"/>
      <c r="EI777" s="87"/>
      <c r="EM777">
        <f>-5/7*C777</f>
        <v>-30.178571428571431</v>
      </c>
      <c r="EN777">
        <f>-2/7*C777</f>
        <v>-12.071428571428571</v>
      </c>
      <c r="EU777">
        <f>-EN777</f>
        <v>12.071428571428571</v>
      </c>
      <c r="EV777">
        <f>-EM777</f>
        <v>30.178571428571431</v>
      </c>
    </row>
    <row r="778" spans="1:152" ht="16.5" hidden="1" thickBot="1" x14ac:dyDescent="0.35">
      <c r="A778" s="113" t="s">
        <v>519</v>
      </c>
      <c r="B778" s="194">
        <v>2</v>
      </c>
      <c r="C778" s="195">
        <f>165*0.25</f>
        <v>41.25</v>
      </c>
      <c r="D778" s="217">
        <v>2.9999999999999996E-3</v>
      </c>
      <c r="E778" s="346">
        <v>45898</v>
      </c>
      <c r="F778" s="235">
        <v>45924</v>
      </c>
      <c r="G778" s="180" t="s">
        <v>841</v>
      </c>
      <c r="H778" s="198" t="s">
        <v>1288</v>
      </c>
      <c r="I778" s="84" t="s">
        <v>1289</v>
      </c>
      <c r="J778" s="85"/>
      <c r="K778" s="85"/>
      <c r="L778" s="85"/>
      <c r="M778" s="85"/>
      <c r="N778" s="85"/>
      <c r="O778" s="85"/>
      <c r="P778" s="85"/>
      <c r="Q778" s="85"/>
      <c r="R778" s="85"/>
      <c r="S778" s="85"/>
      <c r="T778" s="85"/>
      <c r="U778" s="85"/>
      <c r="V778" s="84"/>
      <c r="W778" s="84"/>
      <c r="X778" s="84" t="str">
        <f>IF(COUNTA(Y778:EI778)=0,"Missing","OK")</f>
        <v>OK</v>
      </c>
      <c r="Y778" s="105"/>
      <c r="Z778" s="105"/>
      <c r="AA778" s="87"/>
      <c r="AB778" s="87"/>
      <c r="AC778" s="87"/>
      <c r="AD778" s="87"/>
      <c r="AE778" s="105"/>
      <c r="AF778" s="105"/>
      <c r="AG778" s="105"/>
      <c r="AH778" s="105"/>
      <c r="AI778" s="87"/>
      <c r="AJ778" s="87"/>
      <c r="AK778" s="105"/>
      <c r="AL778" s="87"/>
      <c r="AM778" s="105"/>
      <c r="AN778" s="105"/>
      <c r="AO778" s="87"/>
      <c r="AP778" s="87"/>
      <c r="AQ778" s="105"/>
      <c r="AR778" s="105"/>
      <c r="AS778" s="87"/>
      <c r="AT778" s="105"/>
      <c r="AU778" s="87"/>
      <c r="AV778" s="105"/>
      <c r="AW778" s="105"/>
      <c r="AX778" s="105"/>
      <c r="AY778" s="87"/>
      <c r="AZ778" s="105"/>
      <c r="BA778" s="105"/>
      <c r="BB778" s="105"/>
      <c r="BC778" s="105"/>
      <c r="BD778" s="105"/>
      <c r="BE778" s="105"/>
      <c r="BF778" s="87"/>
      <c r="BG778" s="87"/>
      <c r="BH778" s="87"/>
      <c r="BI778" s="87"/>
      <c r="BJ778" s="87"/>
      <c r="BK778" s="87"/>
      <c r="BL778" s="87"/>
      <c r="BM778" s="87"/>
      <c r="BN778" s="87"/>
      <c r="BO778" s="87"/>
      <c r="BP778" s="87"/>
      <c r="BQ778" s="87"/>
      <c r="BR778" s="87"/>
      <c r="BS778" s="87"/>
      <c r="BT778" s="87"/>
      <c r="BU778" s="87"/>
      <c r="BV778" s="87"/>
      <c r="BW778" s="87"/>
      <c r="BX778" s="87"/>
      <c r="BY778" s="87"/>
      <c r="BZ778" s="87"/>
      <c r="CA778" s="87"/>
      <c r="CB778" s="87"/>
      <c r="CC778" s="87"/>
      <c r="CD778" s="87"/>
      <c r="CE778" s="87"/>
      <c r="CF778" s="87"/>
      <c r="CG778" s="87"/>
      <c r="CH778" s="87"/>
      <c r="CI778" s="87"/>
      <c r="CJ778" s="87"/>
      <c r="CK778" s="87"/>
      <c r="CL778" s="87"/>
      <c r="CM778" s="87"/>
      <c r="CN778" s="87"/>
      <c r="CO778" s="87"/>
      <c r="CP778" s="87"/>
      <c r="CQ778" s="87"/>
      <c r="CR778" s="87"/>
      <c r="CS778" s="87"/>
      <c r="CT778" s="87"/>
      <c r="CU778" s="87"/>
      <c r="CV778" s="87"/>
      <c r="CW778" s="87"/>
      <c r="CX778" s="87"/>
      <c r="CY778" s="87"/>
      <c r="CZ778" s="87"/>
      <c r="DA778" s="87"/>
      <c r="DB778" s="87"/>
      <c r="DC778" s="87"/>
      <c r="DD778" s="87"/>
      <c r="DE778" s="87"/>
      <c r="DF778" s="87"/>
      <c r="DG778" s="87"/>
      <c r="DH778" s="87"/>
      <c r="DI778" s="87"/>
      <c r="DJ778" s="87"/>
      <c r="DK778" s="87"/>
      <c r="DL778" s="87"/>
      <c r="DM778" s="87"/>
      <c r="DN778" s="87"/>
      <c r="DO778" s="87"/>
      <c r="DP778" s="87"/>
      <c r="DQ778" s="105">
        <f>-C778</f>
        <v>-41.25</v>
      </c>
      <c r="DR778" s="87"/>
      <c r="DS778" s="87"/>
      <c r="DT778" s="87">
        <f>C778*2/7</f>
        <v>11.785714285714286</v>
      </c>
      <c r="DU778" s="87">
        <f>C778*5/7</f>
        <v>29.464285714285715</v>
      </c>
      <c r="DV778" s="87"/>
      <c r="DW778" s="87"/>
      <c r="DX778" s="87"/>
      <c r="DY778" s="87"/>
      <c r="DZ778" s="87"/>
      <c r="EA778" s="87"/>
      <c r="EB778" s="87"/>
      <c r="EC778" s="87"/>
      <c r="ED778" s="87"/>
      <c r="EE778" s="87"/>
      <c r="EF778" s="87"/>
      <c r="EG778" s="87"/>
      <c r="EH778" s="87"/>
      <c r="EI778" s="87"/>
    </row>
    <row r="779" spans="1:152" ht="16.5" hidden="1" thickBot="1" x14ac:dyDescent="0.35">
      <c r="A779" s="161" t="s">
        <v>409</v>
      </c>
      <c r="B779" s="191" t="s">
        <v>410</v>
      </c>
      <c r="C779" s="195">
        <f>25*0.65</f>
        <v>16.25</v>
      </c>
      <c r="D779" s="217"/>
      <c r="E779" s="220">
        <v>45809</v>
      </c>
      <c r="F779" s="179">
        <v>45930</v>
      </c>
      <c r="G779" s="180" t="s">
        <v>277</v>
      </c>
      <c r="H779" s="230" t="s">
        <v>1290</v>
      </c>
      <c r="I779" s="373"/>
      <c r="J779" s="374"/>
      <c r="K779" s="374"/>
      <c r="L779" s="374"/>
      <c r="M779" s="374"/>
      <c r="N779" s="374"/>
      <c r="O779" s="374"/>
      <c r="P779" s="374"/>
      <c r="Q779" s="374"/>
      <c r="R779" s="374"/>
      <c r="S779" s="374"/>
      <c r="T779" s="85"/>
      <c r="U779" s="85">
        <f>C779*(E779-$U$1)/30</f>
        <v>-15.708333333333334</v>
      </c>
      <c r="V779" s="451">
        <f>-C779</f>
        <v>-16.25</v>
      </c>
      <c r="W779" s="84"/>
      <c r="X779" s="84"/>
      <c r="Y779" s="105"/>
      <c r="Z779" s="105"/>
      <c r="AA779" s="87"/>
      <c r="AB779" s="87"/>
      <c r="AC779" s="87"/>
      <c r="AD779" s="87"/>
      <c r="AE779" s="105"/>
      <c r="AF779" s="105"/>
      <c r="AG779" s="105"/>
      <c r="AH779" s="105"/>
      <c r="AI779" s="87"/>
      <c r="AJ779" s="87"/>
      <c r="AK779" s="105"/>
      <c r="AL779" s="87"/>
      <c r="AM779" s="105"/>
      <c r="AN779" s="105"/>
      <c r="AO779" s="87"/>
      <c r="AP779" s="87"/>
      <c r="AQ779" s="105"/>
      <c r="AR779" s="105"/>
      <c r="AS779" s="87"/>
      <c r="AT779" s="105"/>
      <c r="AU779" s="105"/>
      <c r="AV779" s="87"/>
      <c r="AW779" s="105"/>
      <c r="AX779" s="105"/>
      <c r="AY779" s="87"/>
      <c r="AZ779" s="105"/>
      <c r="BA779" s="105"/>
      <c r="BB779" s="105"/>
      <c r="BC779" s="87"/>
      <c r="BD779" s="87"/>
      <c r="BE779" s="105"/>
      <c r="BF779" s="105"/>
      <c r="BG779" s="105"/>
      <c r="BH779" s="105"/>
      <c r="BI779" s="105"/>
      <c r="BJ779" s="87"/>
      <c r="BK779" s="87"/>
      <c r="BL779" s="87"/>
      <c r="BM779" s="87"/>
      <c r="BN779" s="87"/>
      <c r="BO779" s="87"/>
      <c r="BP779" s="87"/>
      <c r="BQ779" s="87"/>
      <c r="BR779" s="87"/>
      <c r="BS779" s="87"/>
      <c r="BT779" s="87"/>
      <c r="BU779" s="87"/>
      <c r="BV779" s="87"/>
      <c r="BW779" s="87"/>
      <c r="BX779" s="87"/>
      <c r="BY779" s="87"/>
      <c r="BZ779" s="87"/>
      <c r="CA779" s="87"/>
      <c r="CB779" s="87"/>
      <c r="CC779" s="87"/>
      <c r="CD779" s="87"/>
      <c r="CE779" s="87"/>
      <c r="CF779" s="87"/>
      <c r="CG779" s="87"/>
      <c r="CH779" s="87"/>
      <c r="CI779" s="87"/>
      <c r="CJ779" s="87"/>
      <c r="CK779" s="87"/>
      <c r="CL779" s="87"/>
      <c r="CM779" s="87"/>
      <c r="CN779" s="87"/>
      <c r="CO779" s="87"/>
      <c r="CP779" s="87"/>
      <c r="CQ779" s="87"/>
      <c r="CR779" s="87"/>
      <c r="CS779" s="87"/>
      <c r="CT779" s="87"/>
      <c r="CU779" s="87"/>
      <c r="CV779" s="87"/>
      <c r="CW779" s="87"/>
      <c r="CX779" s="87"/>
      <c r="CY779" s="87"/>
      <c r="CZ779" s="87"/>
      <c r="DA779" s="87"/>
      <c r="DB779" s="87"/>
      <c r="DC779" s="87"/>
      <c r="DD779" s="87"/>
      <c r="DE779" s="87"/>
      <c r="DF779" s="87"/>
      <c r="DG779" s="87"/>
      <c r="DH779" s="87"/>
      <c r="DI779" s="87"/>
      <c r="DJ779" s="87"/>
      <c r="DK779" s="87"/>
      <c r="DL779" s="87"/>
      <c r="DM779" s="87"/>
      <c r="DN779" s="87"/>
      <c r="DO779" s="87"/>
      <c r="DP779" s="87"/>
      <c r="DQ779" s="87"/>
      <c r="DR779" s="87"/>
      <c r="DS779" s="105"/>
      <c r="DT779" s="87"/>
      <c r="DU779" s="87"/>
      <c r="DV779" s="87"/>
      <c r="DW779" s="87"/>
      <c r="DX779" s="87"/>
      <c r="DY779" s="87"/>
      <c r="DZ779" s="87"/>
      <c r="EA779" s="87"/>
      <c r="EB779" s="105"/>
      <c r="EC779" s="87"/>
      <c r="ED779" s="87"/>
      <c r="EE779" s="87"/>
      <c r="EF779" s="87"/>
      <c r="EG779" s="87"/>
      <c r="EH779" s="87"/>
      <c r="EI779" s="87"/>
    </row>
    <row r="780" spans="1:152" ht="16.5" hidden="1" thickBot="1" x14ac:dyDescent="0.35">
      <c r="A780" s="190" t="s">
        <v>304</v>
      </c>
      <c r="B780" s="282">
        <v>3</v>
      </c>
      <c r="C780" s="177">
        <f>80*0.25</f>
        <v>20</v>
      </c>
      <c r="D780" s="217">
        <f>C780/VLOOKUP(B780,'[2]Gas Prod per PADD'!$A$1:$C$6,2,FALSE)</f>
        <v>4.3478260869565218E-3</v>
      </c>
      <c r="E780" s="346">
        <v>45901</v>
      </c>
      <c r="F780" s="197">
        <v>45935</v>
      </c>
      <c r="G780" s="180" t="s">
        <v>1247</v>
      </c>
      <c r="H780" s="233" t="s">
        <v>1291</v>
      </c>
      <c r="I780" s="373"/>
      <c r="J780" s="374"/>
      <c r="K780" s="374"/>
      <c r="L780" s="374"/>
      <c r="M780" s="374"/>
      <c r="N780" s="374"/>
      <c r="O780" s="374"/>
      <c r="P780" s="374"/>
      <c r="Q780" s="374"/>
      <c r="R780" s="374"/>
      <c r="S780" s="374"/>
      <c r="T780" s="85"/>
      <c r="U780" s="85"/>
      <c r="V780" s="84"/>
      <c r="W780" s="84"/>
      <c r="X780" s="84"/>
      <c r="Y780" s="105"/>
      <c r="Z780" s="105"/>
      <c r="AA780" s="87"/>
      <c r="AB780" s="87"/>
      <c r="AC780" s="87"/>
      <c r="AD780" s="87"/>
      <c r="AE780" s="105"/>
      <c r="AF780" s="105"/>
      <c r="AG780" s="105"/>
      <c r="AH780" s="105"/>
      <c r="AI780" s="87"/>
      <c r="AJ780" s="87"/>
      <c r="AK780" s="105"/>
      <c r="AL780" s="87"/>
      <c r="AM780" s="105"/>
      <c r="AN780" s="105"/>
      <c r="AO780" s="87"/>
      <c r="AP780" s="87"/>
      <c r="AQ780" s="105"/>
      <c r="AR780" s="105"/>
      <c r="AS780" s="87"/>
      <c r="AT780" s="105"/>
      <c r="AU780" s="105"/>
      <c r="AV780" s="87"/>
      <c r="AW780" s="105"/>
      <c r="AX780" s="105"/>
      <c r="AY780" s="87"/>
      <c r="AZ780" s="105"/>
      <c r="BA780" s="105"/>
      <c r="BB780" s="105"/>
      <c r="BC780" s="87"/>
      <c r="BD780" s="87"/>
      <c r="BE780" s="105"/>
      <c r="BF780" s="105"/>
      <c r="BG780" s="105"/>
      <c r="BH780" s="105"/>
      <c r="BI780" s="105"/>
      <c r="BJ780" s="87"/>
      <c r="BK780" s="87"/>
      <c r="BL780" s="87"/>
      <c r="BM780" s="87"/>
      <c r="BN780" s="87"/>
      <c r="BO780" s="87"/>
      <c r="BP780" s="87"/>
      <c r="BQ780" s="87"/>
      <c r="BR780" s="87"/>
      <c r="BS780" s="87"/>
      <c r="BT780" s="87"/>
      <c r="BU780" s="87"/>
      <c r="BV780" s="87"/>
      <c r="BW780" s="87"/>
      <c r="BX780" s="87"/>
      <c r="BY780" s="87"/>
      <c r="BZ780" s="87"/>
      <c r="CA780" s="87"/>
      <c r="CB780" s="87"/>
      <c r="CC780" s="87"/>
      <c r="CD780" s="87"/>
      <c r="CE780" s="87"/>
      <c r="CF780" s="87"/>
      <c r="CG780" s="87"/>
      <c r="CH780" s="87"/>
      <c r="CI780" s="87"/>
      <c r="CJ780" s="87"/>
      <c r="CK780" s="87"/>
      <c r="CL780" s="87"/>
      <c r="CM780" s="87"/>
      <c r="CN780" s="87"/>
      <c r="CO780" s="87"/>
      <c r="CP780" s="87"/>
      <c r="CQ780" s="87"/>
      <c r="CR780" s="87"/>
      <c r="CS780" s="87"/>
      <c r="CT780" s="87"/>
      <c r="CU780" s="87"/>
      <c r="CV780" s="87"/>
      <c r="CW780" s="87"/>
      <c r="CX780" s="87"/>
      <c r="CY780" s="87"/>
      <c r="CZ780" s="87"/>
      <c r="DA780" s="87"/>
      <c r="DB780" s="87"/>
      <c r="DC780" s="87"/>
      <c r="DD780" s="87"/>
      <c r="DE780" s="87"/>
      <c r="DF780" s="87"/>
      <c r="DG780" s="87"/>
      <c r="DH780" s="87"/>
      <c r="DI780" s="87"/>
      <c r="DJ780" s="87"/>
      <c r="DK780" s="87"/>
      <c r="DL780" s="87"/>
      <c r="DM780" s="87"/>
      <c r="DN780" s="87"/>
      <c r="DO780" s="87"/>
      <c r="DP780" s="87"/>
      <c r="DQ780" s="87">
        <f>-5/7*C780</f>
        <v>-14.285714285714286</v>
      </c>
      <c r="DR780" s="87">
        <f>-2/7*C780</f>
        <v>-5.7142857142857135</v>
      </c>
      <c r="DS780" s="105"/>
      <c r="DT780" s="87"/>
      <c r="DU780" s="87"/>
      <c r="DV780" s="87">
        <f>-DQ780</f>
        <v>14.285714285714286</v>
      </c>
      <c r="DW780" s="87">
        <f>-DR780</f>
        <v>5.7142857142857135</v>
      </c>
      <c r="DX780" s="87"/>
      <c r="DY780" s="87"/>
      <c r="DZ780" s="87"/>
      <c r="EA780" s="87"/>
      <c r="EB780" s="87"/>
      <c r="EC780" s="87"/>
      <c r="ED780" s="87"/>
      <c r="EE780" s="87"/>
      <c r="EF780" s="87"/>
      <c r="EG780" s="87"/>
      <c r="EH780" s="87"/>
      <c r="EI780" s="87"/>
    </row>
    <row r="781" spans="1:152" ht="29.25" hidden="1" thickBot="1" x14ac:dyDescent="0.35">
      <c r="A781" s="353" t="s">
        <v>402</v>
      </c>
      <c r="B781" s="191">
        <v>2</v>
      </c>
      <c r="C781" s="177">
        <f>110*0.25+65*0.65</f>
        <v>69.75</v>
      </c>
      <c r="D781" s="217">
        <v>2.9999999999999996E-3</v>
      </c>
      <c r="E781" s="220">
        <v>45901</v>
      </c>
      <c r="F781" s="179">
        <v>45935</v>
      </c>
      <c r="G781" s="180" t="s">
        <v>1292</v>
      </c>
      <c r="H781" s="181" t="s">
        <v>1293</v>
      </c>
      <c r="I781" s="371"/>
      <c r="J781" s="372"/>
      <c r="K781" s="372"/>
      <c r="L781" s="372"/>
      <c r="M781" s="372"/>
      <c r="N781" s="372"/>
      <c r="O781" s="372"/>
      <c r="P781" s="372"/>
      <c r="Q781" s="372"/>
      <c r="R781" s="372"/>
      <c r="S781" s="372"/>
      <c r="T781" s="85"/>
      <c r="U781" s="85"/>
      <c r="V781" s="84"/>
      <c r="W781" s="84"/>
      <c r="X781" s="84"/>
      <c r="Y781" s="105"/>
      <c r="Z781" s="105"/>
      <c r="AA781" s="87"/>
      <c r="AB781" s="87"/>
      <c r="AC781" s="87"/>
      <c r="AD781" s="87"/>
      <c r="AE781" s="105"/>
      <c r="AF781" s="105"/>
      <c r="AG781" s="105"/>
      <c r="AH781" s="105"/>
      <c r="AI781" s="87"/>
      <c r="AJ781" s="87"/>
      <c r="AK781" s="105"/>
      <c r="AL781" s="87"/>
      <c r="AM781" s="105"/>
      <c r="AN781" s="105"/>
      <c r="AO781" s="87"/>
      <c r="AP781" s="87"/>
      <c r="AQ781" s="105"/>
      <c r="AR781" s="105"/>
      <c r="AS781" s="87"/>
      <c r="AT781" s="105"/>
      <c r="AU781" s="105"/>
      <c r="AV781" s="87"/>
      <c r="AW781" s="105"/>
      <c r="AX781" s="105"/>
      <c r="AY781" s="87"/>
      <c r="AZ781" s="105"/>
      <c r="BA781" s="105"/>
      <c r="BB781" s="105"/>
      <c r="BC781" s="87"/>
      <c r="BD781" s="87"/>
      <c r="BE781" s="105"/>
      <c r="BF781" s="105"/>
      <c r="BG781" s="105"/>
      <c r="BH781" s="105"/>
      <c r="BI781" s="105"/>
      <c r="BJ781" s="87"/>
      <c r="BK781" s="87"/>
      <c r="BL781" s="87"/>
      <c r="BM781" s="87"/>
      <c r="BN781" s="87"/>
      <c r="BO781" s="87"/>
      <c r="BP781" s="87"/>
      <c r="BQ781" s="87"/>
      <c r="BR781" s="87"/>
      <c r="BS781" s="87"/>
      <c r="BT781" s="87"/>
      <c r="BU781" s="87"/>
      <c r="BV781" s="87"/>
      <c r="BW781" s="87"/>
      <c r="BX781" s="87"/>
      <c r="BY781" s="87"/>
      <c r="BZ781" s="87"/>
      <c r="CA781" s="87"/>
      <c r="CB781" s="87"/>
      <c r="CC781" s="87"/>
      <c r="CD781" s="87"/>
      <c r="CE781" s="87"/>
      <c r="CF781" s="87"/>
      <c r="CG781" s="87"/>
      <c r="CH781" s="87"/>
      <c r="CI781" s="87"/>
      <c r="CJ781" s="87"/>
      <c r="CK781" s="87"/>
      <c r="CL781" s="87"/>
      <c r="CM781" s="87"/>
      <c r="CN781" s="87"/>
      <c r="CO781" s="87"/>
      <c r="CP781" s="87"/>
      <c r="CQ781" s="87"/>
      <c r="CR781" s="87"/>
      <c r="CS781" s="87"/>
      <c r="CT781" s="87"/>
      <c r="CU781" s="87"/>
      <c r="CV781" s="87"/>
      <c r="CW781" s="87"/>
      <c r="CX781" s="87"/>
      <c r="CY781" s="87"/>
      <c r="CZ781" s="87"/>
      <c r="DA781" s="87"/>
      <c r="DB781" s="87"/>
      <c r="DC781" s="87"/>
      <c r="DD781" s="87"/>
      <c r="DE781" s="87"/>
      <c r="DF781" s="87"/>
      <c r="DG781" s="87"/>
      <c r="DH781" s="87"/>
      <c r="DI781" s="87"/>
      <c r="DJ781" s="87"/>
      <c r="DK781" s="87"/>
      <c r="DL781" s="87"/>
      <c r="DM781" s="87"/>
      <c r="DN781" s="87"/>
      <c r="DO781" s="87"/>
      <c r="DP781" s="87"/>
      <c r="DQ781" s="87">
        <f>-3/7*C781</f>
        <v>-29.892857142857142</v>
      </c>
      <c r="DR781" s="105">
        <f>-C781-DQ781</f>
        <v>-39.857142857142861</v>
      </c>
      <c r="DS781" s="87"/>
      <c r="DT781" s="87"/>
      <c r="DU781" s="87"/>
      <c r="DV781" s="87"/>
      <c r="DW781" s="87">
        <f>1/7*C781</f>
        <v>9.9642857142857135</v>
      </c>
      <c r="DX781" s="105">
        <f>C781-DW781-20</f>
        <v>39.785714285714285</v>
      </c>
      <c r="DY781" s="105">
        <f>C781-DW781-DX781</f>
        <v>20</v>
      </c>
      <c r="DZ781" s="87"/>
      <c r="EA781" s="87"/>
      <c r="EB781" s="87"/>
      <c r="EC781" s="87"/>
      <c r="ED781" s="87"/>
      <c r="EE781" s="87"/>
      <c r="EF781" s="87"/>
      <c r="EG781" s="87"/>
      <c r="EH781" s="87"/>
      <c r="EI781" s="87"/>
    </row>
    <row r="782" spans="1:152" ht="16.5" hidden="1" thickBot="1" x14ac:dyDescent="0.35">
      <c r="A782" s="190" t="s">
        <v>1294</v>
      </c>
      <c r="B782" s="191">
        <v>3</v>
      </c>
      <c r="C782" s="177">
        <f>25*0.25</f>
        <v>6.25</v>
      </c>
      <c r="D782" s="234">
        <f>C782/VLOOKUP(B782,'[2]Gas Prod per PADD'!$A$1:$C$6,2,FALSE)</f>
        <v>1.358695652173913E-3</v>
      </c>
      <c r="E782" s="225">
        <v>45903</v>
      </c>
      <c r="F782" s="179">
        <v>45937</v>
      </c>
      <c r="G782" s="191" t="s">
        <v>980</v>
      </c>
      <c r="H782" s="181" t="s">
        <v>1295</v>
      </c>
      <c r="I782" s="84"/>
      <c r="J782" s="85"/>
      <c r="K782" s="85"/>
      <c r="L782" s="85"/>
      <c r="M782" s="85"/>
      <c r="N782" s="85"/>
      <c r="O782" s="85"/>
      <c r="P782" s="85"/>
      <c r="Q782" s="85"/>
      <c r="R782" s="85"/>
      <c r="S782" s="85"/>
      <c r="T782" s="85"/>
      <c r="U782" s="85"/>
      <c r="V782" s="84"/>
      <c r="W782" s="84"/>
      <c r="X782" s="84"/>
      <c r="Y782" s="87"/>
      <c r="Z782" s="87"/>
      <c r="AA782" s="87"/>
      <c r="AB782" s="87"/>
      <c r="AC782" s="87"/>
      <c r="AD782" s="87"/>
      <c r="AE782" s="87"/>
      <c r="AF782" s="87"/>
      <c r="AG782" s="87"/>
      <c r="AH782" s="87"/>
      <c r="AI782" s="87"/>
      <c r="AJ782" s="87"/>
      <c r="AK782" s="87"/>
      <c r="AL782" s="87"/>
      <c r="AM782" s="87"/>
      <c r="AN782" s="87"/>
      <c r="AO782" s="87"/>
      <c r="AP782" s="87"/>
      <c r="AQ782" s="87"/>
      <c r="AR782" s="87"/>
      <c r="AS782" s="87"/>
      <c r="AT782" s="87"/>
      <c r="AU782" s="87"/>
      <c r="AV782" s="87"/>
      <c r="AW782" s="87"/>
      <c r="AX782" s="87"/>
      <c r="AY782" s="87"/>
      <c r="AZ782" s="87"/>
      <c r="BA782" s="87"/>
      <c r="BB782" s="87"/>
      <c r="BC782" s="87"/>
      <c r="BD782" s="87"/>
      <c r="BE782" s="87"/>
      <c r="BF782" s="87"/>
      <c r="BG782" s="87"/>
      <c r="BH782" s="87"/>
      <c r="BI782" s="87"/>
      <c r="BJ782" s="87"/>
      <c r="BK782" s="87"/>
      <c r="BL782" s="87"/>
      <c r="BM782" s="87"/>
      <c r="BN782" s="87"/>
      <c r="BO782" s="87"/>
      <c r="BP782" s="87"/>
      <c r="BQ782" s="87"/>
      <c r="BR782" s="87"/>
      <c r="BS782" s="87"/>
      <c r="BT782" s="87"/>
      <c r="BU782" s="87"/>
      <c r="BV782" s="87"/>
      <c r="BW782" s="87"/>
      <c r="BX782" s="87"/>
      <c r="BY782" s="105"/>
      <c r="BZ782" s="87"/>
      <c r="CA782" s="87"/>
      <c r="CB782" s="87"/>
      <c r="CC782" s="87"/>
      <c r="CD782" s="87"/>
      <c r="CE782" s="87"/>
      <c r="CF782" s="87"/>
      <c r="CG782" s="87"/>
      <c r="CH782" s="87"/>
      <c r="CI782" s="87"/>
      <c r="CJ782" s="87"/>
      <c r="CK782" s="87"/>
      <c r="CL782" s="87"/>
      <c r="CM782" s="87"/>
      <c r="CN782" s="87"/>
      <c r="CO782" s="87"/>
      <c r="CP782" s="295"/>
      <c r="CQ782" s="295"/>
      <c r="CR782" s="87"/>
      <c r="CS782" s="87"/>
      <c r="CT782" s="87"/>
      <c r="CU782" s="87"/>
      <c r="CV782" s="87"/>
      <c r="CW782" s="105"/>
      <c r="CX782" s="87"/>
      <c r="CY782" s="105"/>
      <c r="CZ782" s="87"/>
      <c r="DA782" s="87"/>
      <c r="DB782" s="87"/>
      <c r="DC782" s="87"/>
      <c r="DD782" s="87"/>
      <c r="DE782" s="87"/>
      <c r="DF782" s="87"/>
      <c r="DG782" s="87"/>
      <c r="DH782" s="87"/>
      <c r="DI782" s="87"/>
      <c r="DJ782" s="87"/>
      <c r="DK782" s="87"/>
      <c r="DL782" s="87"/>
      <c r="DM782" s="87"/>
      <c r="DN782" s="87"/>
      <c r="DO782" s="87"/>
      <c r="DP782" s="87"/>
      <c r="DQ782" s="87">
        <f>-2/7*C782</f>
        <v>-1.7857142857142856</v>
      </c>
      <c r="DR782" s="87">
        <f>-5/7*C782</f>
        <v>-4.4642857142857144</v>
      </c>
      <c r="DS782" s="87"/>
      <c r="DT782" s="87"/>
      <c r="DU782" s="87"/>
      <c r="DV782" s="87">
        <f>-DQ782</f>
        <v>1.7857142857142856</v>
      </c>
      <c r="DW782" s="87">
        <f>-DR782</f>
        <v>4.4642857142857144</v>
      </c>
      <c r="DX782" s="87"/>
      <c r="DY782" s="87"/>
      <c r="DZ782" s="87"/>
      <c r="EA782" s="87"/>
      <c r="EB782" s="87"/>
      <c r="EC782" s="87"/>
      <c r="ED782" s="87"/>
      <c r="EE782" s="87"/>
      <c r="EF782" s="87"/>
      <c r="EG782" s="87"/>
      <c r="EH782" s="87"/>
      <c r="EI782" s="87"/>
    </row>
    <row r="783" spans="1:152" ht="16.5" hidden="1" thickBot="1" x14ac:dyDescent="0.35">
      <c r="A783" s="175" t="s">
        <v>1296</v>
      </c>
      <c r="B783" s="191">
        <v>5</v>
      </c>
      <c r="C783" s="177">
        <f>5*0.25</f>
        <v>1.25</v>
      </c>
      <c r="D783" s="234">
        <f>C783/VLOOKUP(B783,'[2]Gas Prod per PADD'!$A$1:$C$6,2,FALSE)</f>
        <v>9.2592592592592596E-4</v>
      </c>
      <c r="E783" s="220">
        <v>45912</v>
      </c>
      <c r="F783" s="179">
        <v>45941</v>
      </c>
      <c r="G783" s="180" t="s">
        <v>1297</v>
      </c>
      <c r="H783" s="198" t="s">
        <v>1298</v>
      </c>
      <c r="I783" s="371"/>
      <c r="J783" s="372"/>
      <c r="K783" s="372"/>
      <c r="L783" s="372"/>
      <c r="M783" s="372"/>
      <c r="N783" s="372"/>
      <c r="O783" s="372"/>
      <c r="P783" s="372"/>
      <c r="Q783" s="372"/>
      <c r="R783" s="372"/>
      <c r="S783" s="372"/>
      <c r="T783" s="85"/>
      <c r="U783" s="85"/>
      <c r="V783" s="84"/>
      <c r="W783" s="84"/>
      <c r="X783" s="84" t="str">
        <f t="shared" ref="X783:X789" si="37">IF(COUNTA(Y783:EI783)=0,"Missing","OK")</f>
        <v>OK</v>
      </c>
      <c r="Y783" s="105"/>
      <c r="Z783" s="105"/>
      <c r="AA783" s="87"/>
      <c r="AB783" s="87"/>
      <c r="AC783" s="87"/>
      <c r="AD783" s="87"/>
      <c r="AE783" s="105"/>
      <c r="AF783" s="105"/>
      <c r="AG783" s="105"/>
      <c r="AH783" s="105"/>
      <c r="AI783" s="87"/>
      <c r="AJ783" s="87"/>
      <c r="AK783" s="105"/>
      <c r="AL783" s="87"/>
      <c r="AM783" s="105"/>
      <c r="AN783" s="105"/>
      <c r="AO783" s="87"/>
      <c r="AP783" s="87"/>
      <c r="AQ783" s="105"/>
      <c r="AR783" s="105"/>
      <c r="AS783" s="87"/>
      <c r="AT783" s="105"/>
      <c r="AU783" s="105"/>
      <c r="AV783" s="87"/>
      <c r="AW783" s="105"/>
      <c r="AX783" s="105"/>
      <c r="AY783" s="87"/>
      <c r="AZ783" s="105"/>
      <c r="BA783" s="105"/>
      <c r="BB783" s="105"/>
      <c r="BC783" s="87"/>
      <c r="BD783" s="87"/>
      <c r="BE783" s="105"/>
      <c r="BF783" s="105"/>
      <c r="BG783" s="105"/>
      <c r="BH783" s="105"/>
      <c r="BI783" s="105"/>
      <c r="BJ783" s="87"/>
      <c r="BK783" s="87"/>
      <c r="BL783" s="87"/>
      <c r="BM783" s="87"/>
      <c r="BN783" s="87"/>
      <c r="BO783" s="87"/>
      <c r="BP783" s="87"/>
      <c r="BQ783" s="87"/>
      <c r="BR783" s="87"/>
      <c r="BS783" s="87"/>
      <c r="BT783" s="87"/>
      <c r="BU783" s="87"/>
      <c r="BV783" s="87"/>
      <c r="BW783" s="87"/>
      <c r="BX783" s="87"/>
      <c r="BY783" s="87"/>
      <c r="BZ783" s="87"/>
      <c r="CA783" s="87"/>
      <c r="CB783" s="87"/>
      <c r="CC783" s="87"/>
      <c r="CD783" s="87"/>
      <c r="CE783" s="87"/>
      <c r="CF783" s="87"/>
      <c r="CG783" s="87"/>
      <c r="CH783" s="87"/>
      <c r="CI783" s="87"/>
      <c r="CJ783" s="87"/>
      <c r="CK783" s="87"/>
      <c r="CL783" s="87"/>
      <c r="CM783" s="87"/>
      <c r="CN783" s="87"/>
      <c r="CO783" s="87"/>
      <c r="CP783" s="87"/>
      <c r="CQ783" s="87"/>
      <c r="CR783" s="87"/>
      <c r="CS783" s="87"/>
      <c r="CT783" s="87"/>
      <c r="CU783" s="87"/>
      <c r="CV783" s="87"/>
      <c r="CW783" s="87"/>
      <c r="CX783" s="87"/>
      <c r="CY783" s="87"/>
      <c r="CZ783" s="87"/>
      <c r="DA783" s="87"/>
      <c r="DB783" s="87"/>
      <c r="DC783" s="87"/>
      <c r="DD783" s="87"/>
      <c r="DE783" s="87"/>
      <c r="DF783" s="87"/>
      <c r="DG783" s="87"/>
      <c r="DH783" s="87"/>
      <c r="DI783" s="87"/>
      <c r="DJ783" s="87"/>
      <c r="DK783" s="87"/>
      <c r="DL783" s="87"/>
      <c r="DM783" s="87"/>
      <c r="DN783" s="87"/>
      <c r="DO783" s="87"/>
      <c r="DP783" s="87"/>
      <c r="DQ783" s="87"/>
      <c r="DR783" s="87"/>
      <c r="DS783" s="105">
        <f>-C783</f>
        <v>-1.25</v>
      </c>
      <c r="DT783" s="87"/>
      <c r="DU783" s="87"/>
      <c r="DV783" s="87"/>
      <c r="DW783" s="105">
        <f>C783</f>
        <v>1.25</v>
      </c>
      <c r="DX783" s="87"/>
      <c r="DY783" s="87"/>
      <c r="DZ783" s="87"/>
      <c r="EA783" s="87"/>
      <c r="EB783" s="87"/>
      <c r="EC783" s="87"/>
      <c r="ED783" s="87"/>
      <c r="EE783" s="87"/>
      <c r="EF783" s="87"/>
      <c r="EG783" s="87"/>
      <c r="EH783" s="87"/>
      <c r="EI783" s="87"/>
    </row>
    <row r="784" spans="1:152" ht="29.25" hidden="1" customHeight="1" thickBot="1" x14ac:dyDescent="0.35">
      <c r="A784" s="353" t="s">
        <v>156</v>
      </c>
      <c r="B784" s="194">
        <v>2</v>
      </c>
      <c r="C784" s="195">
        <f>(75*0.25)+(48*0.65)+(65*0.1)</f>
        <v>56.45</v>
      </c>
      <c r="D784" s="234">
        <f>C784/VLOOKUP(B784,'[2]Gas Prod per PADD'!$A$1:$C$6,2,FALSE)</f>
        <v>2.3520833333333335E-2</v>
      </c>
      <c r="E784" s="196">
        <v>45901</v>
      </c>
      <c r="F784" s="197">
        <v>45945</v>
      </c>
      <c r="G784" s="194" t="s">
        <v>1299</v>
      </c>
      <c r="H784" s="198" t="s">
        <v>1300</v>
      </c>
      <c r="I784" s="84"/>
      <c r="J784" s="85"/>
      <c r="K784" s="85"/>
      <c r="L784" s="85"/>
      <c r="M784" s="85"/>
      <c r="N784" s="85"/>
      <c r="O784" s="85"/>
      <c r="P784" s="85"/>
      <c r="Q784" s="85"/>
      <c r="R784" s="85"/>
      <c r="S784" s="85"/>
      <c r="T784" s="85"/>
      <c r="U784" s="85"/>
      <c r="V784" s="84"/>
      <c r="W784" s="84"/>
      <c r="X784" s="84" t="str">
        <f t="shared" si="37"/>
        <v>OK</v>
      </c>
      <c r="Y784" s="87"/>
      <c r="Z784" s="87"/>
      <c r="AA784" s="87"/>
      <c r="AB784" s="87"/>
      <c r="AC784" s="87"/>
      <c r="AD784" s="87"/>
      <c r="AE784" s="87"/>
      <c r="AF784" s="87"/>
      <c r="AG784" s="87"/>
      <c r="AH784" s="87"/>
      <c r="AI784" s="87"/>
      <c r="AJ784" s="105"/>
      <c r="AK784" s="105"/>
      <c r="AL784" s="105"/>
      <c r="AM784" s="87"/>
      <c r="AN784" s="87"/>
      <c r="AO784" s="87"/>
      <c r="AP784" s="87"/>
      <c r="AQ784" s="87"/>
      <c r="AR784" s="87"/>
      <c r="AS784" s="87"/>
      <c r="AT784" s="87"/>
      <c r="AU784" s="87"/>
      <c r="AV784" s="87"/>
      <c r="AW784" s="87"/>
      <c r="AX784" s="87"/>
      <c r="AY784" s="87"/>
      <c r="AZ784" s="87"/>
      <c r="BA784" s="87"/>
      <c r="BB784" s="87"/>
      <c r="BC784" s="87"/>
      <c r="BD784" s="87"/>
      <c r="BE784" s="87"/>
      <c r="BF784" s="87"/>
      <c r="BG784" s="87"/>
      <c r="BH784" s="87"/>
      <c r="BI784" s="87"/>
      <c r="BJ784" s="87"/>
      <c r="BK784" s="87"/>
      <c r="BL784" s="87"/>
      <c r="BM784" s="87"/>
      <c r="BN784" s="87"/>
      <c r="BO784" s="87"/>
      <c r="BP784" s="87"/>
      <c r="BQ784" s="87"/>
      <c r="BR784" s="87"/>
      <c r="BS784" s="87"/>
      <c r="BT784" s="87"/>
      <c r="BU784" s="87"/>
      <c r="BV784" s="87"/>
      <c r="BW784" s="87"/>
      <c r="BX784" s="87"/>
      <c r="BY784" s="87"/>
      <c r="BZ784" s="87"/>
      <c r="CA784" s="87"/>
      <c r="CB784" s="87"/>
      <c r="CC784" s="87"/>
      <c r="CD784" s="87"/>
      <c r="CE784" s="87"/>
      <c r="CF784" s="87"/>
      <c r="CG784" s="87"/>
      <c r="CH784" s="87"/>
      <c r="CI784" s="87"/>
      <c r="CJ784" s="87"/>
      <c r="CK784" s="87"/>
      <c r="CL784" s="87"/>
      <c r="CM784" s="87"/>
      <c r="CN784" s="87"/>
      <c r="CO784" s="87"/>
      <c r="CP784" s="87"/>
      <c r="CQ784" s="87"/>
      <c r="CR784" s="87"/>
      <c r="CS784" s="87"/>
      <c r="CT784" s="87"/>
      <c r="CU784" s="87"/>
      <c r="CV784" s="87"/>
      <c r="CW784" s="87"/>
      <c r="CX784" s="87"/>
      <c r="CY784" s="87"/>
      <c r="CZ784" s="87"/>
      <c r="DA784" s="87"/>
      <c r="DB784" s="87"/>
      <c r="DC784" s="87"/>
      <c r="DD784" s="87"/>
      <c r="DE784" s="87"/>
      <c r="DF784" s="87"/>
      <c r="DG784" s="87"/>
      <c r="DH784" s="87"/>
      <c r="DI784" s="87"/>
      <c r="DJ784" s="87"/>
      <c r="DK784" s="87"/>
      <c r="DL784" s="87"/>
      <c r="DM784" s="87"/>
      <c r="DN784" s="87"/>
      <c r="DO784" s="87"/>
      <c r="DP784" s="87"/>
      <c r="DQ784" s="87">
        <f>-C784*(5/7)</f>
        <v>-40.321428571428577</v>
      </c>
      <c r="DR784" s="87">
        <f>-C784*(2/7)</f>
        <v>-16.12857142857143</v>
      </c>
      <c r="DS784" s="87"/>
      <c r="DT784" s="87"/>
      <c r="DU784" s="87"/>
      <c r="DV784" s="87"/>
      <c r="DW784" s="87">
        <f>-DR784</f>
        <v>16.12857142857143</v>
      </c>
      <c r="DX784" s="87">
        <f>-DQ784</f>
        <v>40.321428571428577</v>
      </c>
      <c r="DY784" s="87"/>
      <c r="DZ784" s="87"/>
      <c r="EA784" s="87"/>
      <c r="EB784" s="87"/>
      <c r="EC784" s="87"/>
      <c r="ED784" s="87"/>
      <c r="EE784" s="87"/>
      <c r="EF784" s="87"/>
      <c r="EG784" s="87"/>
      <c r="EH784" s="87"/>
      <c r="EI784" s="87"/>
    </row>
    <row r="785" spans="1:139" ht="29.25" hidden="1" thickBot="1" x14ac:dyDescent="0.35">
      <c r="A785" s="200" t="s">
        <v>1301</v>
      </c>
      <c r="B785" s="223">
        <v>1</v>
      </c>
      <c r="C785" s="338">
        <f>12*0.1+2.2*0.85</f>
        <v>3.0700000000000003</v>
      </c>
      <c r="D785" s="234">
        <f>C785/VLOOKUP(B785,'[2]Gas Prod per PADD'!$A$1:$C$6,2,FALSE)</f>
        <v>6.3958333333333341E-3</v>
      </c>
      <c r="E785" s="225">
        <v>45912</v>
      </c>
      <c r="F785" s="226">
        <v>45946</v>
      </c>
      <c r="G785" s="180" t="s">
        <v>1302</v>
      </c>
      <c r="H785" s="221" t="s">
        <v>1303</v>
      </c>
      <c r="I785" s="84"/>
      <c r="J785" s="85"/>
      <c r="K785" s="85"/>
      <c r="L785" s="85"/>
      <c r="M785" s="85"/>
      <c r="N785" s="85"/>
      <c r="O785" s="85"/>
      <c r="P785" s="85"/>
      <c r="Q785" s="85"/>
      <c r="R785" s="85"/>
      <c r="S785" s="85"/>
      <c r="T785" s="85"/>
      <c r="U785" s="85"/>
      <c r="V785" s="84"/>
      <c r="W785" s="84"/>
      <c r="X785" s="84" t="str">
        <f t="shared" si="37"/>
        <v>OK</v>
      </c>
      <c r="Y785" s="105"/>
      <c r="Z785" s="105"/>
      <c r="AA785" s="87"/>
      <c r="AB785" s="87"/>
      <c r="AC785" s="87"/>
      <c r="AD785" s="87"/>
      <c r="AE785" s="105"/>
      <c r="AF785" s="105"/>
      <c r="AG785" s="105"/>
      <c r="AH785" s="105"/>
      <c r="AI785" s="87"/>
      <c r="AJ785" s="87"/>
      <c r="AK785" s="105"/>
      <c r="AL785" s="87"/>
      <c r="AM785" s="105"/>
      <c r="AN785" s="105"/>
      <c r="AO785" s="87"/>
      <c r="AP785" s="87"/>
      <c r="AQ785" s="105"/>
      <c r="AR785" s="105"/>
      <c r="AS785" s="87"/>
      <c r="AT785" s="105"/>
      <c r="AU785" s="87"/>
      <c r="AV785" s="87"/>
      <c r="AW785" s="105"/>
      <c r="AX785" s="105"/>
      <c r="AY785" s="105"/>
      <c r="AZ785" s="105"/>
      <c r="BA785" s="105"/>
      <c r="BB785" s="105"/>
      <c r="BC785" s="105"/>
      <c r="BD785" s="87"/>
      <c r="BE785" s="87"/>
      <c r="BF785" s="87"/>
      <c r="BG785" s="87"/>
      <c r="BH785" s="87"/>
      <c r="BI785" s="87"/>
      <c r="BJ785" s="87"/>
      <c r="BK785" s="87"/>
      <c r="BL785" s="87"/>
      <c r="BM785" s="87"/>
      <c r="BN785" s="87"/>
      <c r="BO785" s="87"/>
      <c r="BP785" s="87"/>
      <c r="BQ785" s="87"/>
      <c r="BR785" s="87"/>
      <c r="BS785" s="87"/>
      <c r="BT785" s="87"/>
      <c r="BU785" s="87"/>
      <c r="BV785" s="87"/>
      <c r="BW785" s="87"/>
      <c r="BX785" s="87"/>
      <c r="BY785" s="87"/>
      <c r="BZ785" s="87"/>
      <c r="CA785" s="87"/>
      <c r="CB785" s="87"/>
      <c r="CC785" s="87"/>
      <c r="CD785" s="87"/>
      <c r="CE785" s="87"/>
      <c r="CF785" s="87"/>
      <c r="CG785" s="87"/>
      <c r="CH785" s="87"/>
      <c r="CI785" s="87"/>
      <c r="CJ785" s="87"/>
      <c r="CK785" s="87"/>
      <c r="CL785" s="87"/>
      <c r="CM785" s="87"/>
      <c r="CN785" s="87"/>
      <c r="CO785" s="87"/>
      <c r="CP785" s="87"/>
      <c r="CQ785" s="87"/>
      <c r="CR785" s="87"/>
      <c r="CS785" s="87"/>
      <c r="CT785" s="87"/>
      <c r="CU785" s="87"/>
      <c r="CV785" s="87"/>
      <c r="CW785" s="87"/>
      <c r="CX785" s="87"/>
      <c r="CY785" s="87"/>
      <c r="CZ785" s="87"/>
      <c r="DA785" s="87"/>
      <c r="DB785" s="87"/>
      <c r="DC785" s="87"/>
      <c r="DD785" s="87"/>
      <c r="DE785" s="87"/>
      <c r="DF785" s="87"/>
      <c r="DG785" s="87"/>
      <c r="DH785" s="87"/>
      <c r="DI785" s="87"/>
      <c r="DJ785" s="87"/>
      <c r="DK785" s="87"/>
      <c r="DL785" s="87"/>
      <c r="DM785" s="87"/>
      <c r="DN785" s="87"/>
      <c r="DO785" s="87"/>
      <c r="DP785" s="87"/>
      <c r="DQ785" s="87"/>
      <c r="DR785" s="87">
        <f>-1/7*C785</f>
        <v>-0.43857142857142861</v>
      </c>
      <c r="DS785" s="87">
        <f>-6/7*C785</f>
        <v>-2.6314285714285717</v>
      </c>
      <c r="DT785" s="87"/>
      <c r="DU785" s="87"/>
      <c r="DV785" s="87"/>
      <c r="DW785" s="87">
        <f>-DR785</f>
        <v>0.43857142857142861</v>
      </c>
      <c r="DX785" s="87">
        <f>-DS785</f>
        <v>2.6314285714285717</v>
      </c>
      <c r="DY785" s="87"/>
      <c r="DZ785" s="87"/>
      <c r="EA785" s="87"/>
      <c r="EB785" s="87"/>
      <c r="EC785" s="87"/>
      <c r="ED785" s="87"/>
      <c r="EE785" s="87"/>
      <c r="EF785" s="87"/>
      <c r="EG785" s="87"/>
      <c r="EH785" s="87"/>
      <c r="EI785" s="87"/>
    </row>
    <row r="786" spans="1:139" ht="16.5" hidden="1" thickBot="1" x14ac:dyDescent="0.35">
      <c r="A786" s="175" t="s">
        <v>207</v>
      </c>
      <c r="B786" s="176">
        <v>5</v>
      </c>
      <c r="C786" s="396">
        <f>104*0.65</f>
        <v>67.600000000000009</v>
      </c>
      <c r="D786" s="234">
        <f>C786/VLOOKUP(B786,'[2]Gas Prod per PADD'!$A$1:$C$6,2,FALSE)</f>
        <v>5.0074074074074083E-2</v>
      </c>
      <c r="E786" s="220">
        <v>45920</v>
      </c>
      <c r="F786" s="179">
        <f>E786+30</f>
        <v>45950</v>
      </c>
      <c r="G786" s="180" t="s">
        <v>1304</v>
      </c>
      <c r="H786" s="198" t="s">
        <v>1305</v>
      </c>
      <c r="I786" s="305"/>
      <c r="J786" s="306"/>
      <c r="K786" s="306"/>
      <c r="L786" s="306"/>
      <c r="M786" s="306"/>
      <c r="N786" s="306"/>
      <c r="O786" s="306"/>
      <c r="P786" s="306"/>
      <c r="Q786" s="306"/>
      <c r="R786" s="306"/>
      <c r="S786" s="306"/>
      <c r="T786" s="85"/>
      <c r="U786" s="85"/>
      <c r="V786" s="84"/>
      <c r="W786" s="84"/>
      <c r="X786" s="84" t="str">
        <f t="shared" si="37"/>
        <v>OK</v>
      </c>
      <c r="Y786" s="105"/>
      <c r="Z786" s="105"/>
      <c r="AA786" s="87"/>
      <c r="AB786" s="87"/>
      <c r="AC786" s="87"/>
      <c r="AD786" s="87"/>
      <c r="AE786" s="105"/>
      <c r="AF786" s="105"/>
      <c r="AG786" s="105"/>
      <c r="AH786" s="105"/>
      <c r="AI786" s="87"/>
      <c r="AJ786" s="87"/>
      <c r="AK786" s="105"/>
      <c r="AL786" s="87"/>
      <c r="AM786" s="105"/>
      <c r="AN786" s="105"/>
      <c r="AO786" s="87"/>
      <c r="AP786" s="87"/>
      <c r="AQ786" s="105"/>
      <c r="AR786" s="105"/>
      <c r="AS786" s="87"/>
      <c r="AT786" s="105"/>
      <c r="AU786" s="105"/>
      <c r="AV786" s="87"/>
      <c r="AW786" s="105"/>
      <c r="AX786" s="105"/>
      <c r="AY786" s="87"/>
      <c r="AZ786" s="105"/>
      <c r="BA786" s="105"/>
      <c r="BB786" s="105"/>
      <c r="BC786" s="87"/>
      <c r="BD786" s="87"/>
      <c r="BE786" s="105"/>
      <c r="BF786" s="105"/>
      <c r="BG786" s="105"/>
      <c r="BH786" s="105"/>
      <c r="BI786" s="105"/>
      <c r="BJ786" s="87"/>
      <c r="BK786" s="87"/>
      <c r="BL786" s="87"/>
      <c r="BM786" s="87"/>
      <c r="BN786" s="87"/>
      <c r="BO786" s="87"/>
      <c r="BP786" s="87"/>
      <c r="BQ786" s="87"/>
      <c r="BR786" s="87"/>
      <c r="BS786" s="87"/>
      <c r="BT786" s="87"/>
      <c r="BU786" s="87"/>
      <c r="BV786" s="87"/>
      <c r="BW786" s="87"/>
      <c r="BX786" s="87"/>
      <c r="BY786" s="87"/>
      <c r="BZ786" s="87"/>
      <c r="CA786" s="87"/>
      <c r="CB786" s="87"/>
      <c r="CC786" s="87"/>
      <c r="CD786" s="87"/>
      <c r="CE786" s="87"/>
      <c r="CF786" s="87"/>
      <c r="CG786" s="87"/>
      <c r="CH786" s="87"/>
      <c r="CI786" s="87"/>
      <c r="CJ786" s="87"/>
      <c r="CK786" s="87"/>
      <c r="CL786" s="87"/>
      <c r="CM786" s="87"/>
      <c r="CN786" s="87"/>
      <c r="CO786" s="87"/>
      <c r="CP786" s="87"/>
      <c r="CQ786" s="87"/>
      <c r="CR786" s="87"/>
      <c r="CS786" s="87"/>
      <c r="CT786" s="87"/>
      <c r="CU786" s="87"/>
      <c r="CV786" s="87"/>
      <c r="CW786" s="87"/>
      <c r="CX786" s="87"/>
      <c r="CY786" s="87"/>
      <c r="CZ786" s="87"/>
      <c r="DA786" s="87"/>
      <c r="DB786" s="87"/>
      <c r="DC786" s="87"/>
      <c r="DD786" s="87"/>
      <c r="DE786" s="87"/>
      <c r="DF786" s="87"/>
      <c r="DG786" s="87"/>
      <c r="DH786" s="87"/>
      <c r="DI786" s="87"/>
      <c r="DJ786" s="87"/>
      <c r="DK786" s="87"/>
      <c r="DL786" s="87"/>
      <c r="DM786" s="87"/>
      <c r="DN786" s="87"/>
      <c r="DO786" s="87"/>
      <c r="DP786" s="87"/>
      <c r="DQ786" s="87"/>
      <c r="DR786" s="87"/>
      <c r="DS786" s="87"/>
      <c r="DT786" s="87">
        <f>-6/7*C786</f>
        <v>-57.94285714285715</v>
      </c>
      <c r="DU786" s="87">
        <f>-1/7*C786</f>
        <v>-9.6571428571428584</v>
      </c>
      <c r="DV786" s="87"/>
      <c r="DW786" s="87"/>
      <c r="DX786" s="87">
        <f>C786*4/7</f>
        <v>38.628571428571433</v>
      </c>
      <c r="DY786" s="87">
        <f>C786*3/7</f>
        <v>28.971428571428572</v>
      </c>
      <c r="DZ786" s="87"/>
      <c r="EA786" s="87"/>
      <c r="EB786" s="87"/>
      <c r="EC786" s="87"/>
      <c r="ED786" s="87"/>
      <c r="EE786" s="87"/>
      <c r="EF786" s="87"/>
      <c r="EG786" s="87"/>
      <c r="EH786" s="87"/>
      <c r="EI786" s="87"/>
    </row>
    <row r="787" spans="1:139" ht="16.5" hidden="1" thickBot="1" x14ac:dyDescent="0.35">
      <c r="A787" s="190" t="s">
        <v>140</v>
      </c>
      <c r="B787" s="282">
        <v>3</v>
      </c>
      <c r="C787" s="396">
        <f>0.25*145</f>
        <v>36.25</v>
      </c>
      <c r="D787" s="234">
        <f>C787/VLOOKUP(B787,'[2]Gas Prod per PADD'!$A$1:$C$6,2,FALSE)</f>
        <v>7.8804347826086953E-3</v>
      </c>
      <c r="E787" s="225">
        <v>45934</v>
      </c>
      <c r="F787" s="226">
        <v>45954</v>
      </c>
      <c r="G787" s="180" t="s">
        <v>626</v>
      </c>
      <c r="H787" s="221" t="s">
        <v>1306</v>
      </c>
      <c r="I787" s="84"/>
      <c r="J787" s="85"/>
      <c r="K787" s="85"/>
      <c r="L787" s="85"/>
      <c r="M787" s="85"/>
      <c r="N787" s="85"/>
      <c r="O787" s="85"/>
      <c r="P787" s="85"/>
      <c r="Q787" s="85"/>
      <c r="R787" s="85"/>
      <c r="S787" s="85"/>
      <c r="T787" s="85"/>
      <c r="U787" s="85"/>
      <c r="V787" s="84"/>
      <c r="W787" s="84"/>
      <c r="X787" s="84" t="str">
        <f t="shared" si="37"/>
        <v>OK</v>
      </c>
      <c r="Y787" s="105"/>
      <c r="Z787" s="105"/>
      <c r="AA787" s="87"/>
      <c r="AB787" s="87"/>
      <c r="AC787" s="87"/>
      <c r="AD787" s="87"/>
      <c r="AE787" s="105"/>
      <c r="AF787" s="105"/>
      <c r="AG787" s="105"/>
      <c r="AH787" s="105"/>
      <c r="AI787" s="87"/>
      <c r="AJ787" s="87"/>
      <c r="AK787" s="87"/>
      <c r="AL787" s="87"/>
      <c r="AM787" s="87"/>
      <c r="AN787" s="87"/>
      <c r="AO787" s="87"/>
      <c r="AP787" s="87"/>
      <c r="AQ787" s="87"/>
      <c r="AR787" s="87"/>
      <c r="AS787" s="87"/>
      <c r="AT787" s="87"/>
      <c r="AU787" s="87"/>
      <c r="AV787" s="87"/>
      <c r="AW787" s="87"/>
      <c r="AX787" s="87"/>
      <c r="AY787" s="87"/>
      <c r="AZ787" s="87"/>
      <c r="BA787" s="87"/>
      <c r="BB787" s="87"/>
      <c r="BC787" s="87"/>
      <c r="BD787" s="87"/>
      <c r="BE787" s="87"/>
      <c r="BF787" s="87"/>
      <c r="BG787" s="87"/>
      <c r="BH787" s="87"/>
      <c r="BI787" s="87"/>
      <c r="BJ787" s="87"/>
      <c r="BK787" s="87"/>
      <c r="BL787" s="87"/>
      <c r="BM787" s="87"/>
      <c r="BN787" s="87"/>
      <c r="BO787" s="87"/>
      <c r="BP787" s="87"/>
      <c r="BQ787" s="87"/>
      <c r="BR787" s="87"/>
      <c r="BS787" s="87"/>
      <c r="BT787" s="87"/>
      <c r="BU787" s="87"/>
      <c r="BV787" s="87"/>
      <c r="BW787" s="87"/>
      <c r="BX787" s="87"/>
      <c r="BY787" s="87"/>
      <c r="BZ787" s="87"/>
      <c r="CA787" s="87"/>
      <c r="CB787" s="87"/>
      <c r="CC787" s="87"/>
      <c r="CD787" s="87"/>
      <c r="CE787" s="87"/>
      <c r="CF787" s="87"/>
      <c r="CG787" s="87"/>
      <c r="CH787" s="87"/>
      <c r="CI787" s="87"/>
      <c r="CJ787" s="87"/>
      <c r="CK787" s="87"/>
      <c r="CL787" s="105"/>
      <c r="CM787" s="105"/>
      <c r="CN787" s="105"/>
      <c r="CO787" s="105"/>
      <c r="CP787" s="105"/>
      <c r="CQ787" s="87"/>
      <c r="CR787" s="87"/>
      <c r="CS787" s="87"/>
      <c r="CT787" s="87"/>
      <c r="CU787" s="87"/>
      <c r="CV787" s="87"/>
      <c r="CW787" s="87"/>
      <c r="CX787" s="87"/>
      <c r="CY787" s="87"/>
      <c r="CZ787" s="87"/>
      <c r="DA787" s="87"/>
      <c r="DB787" s="87"/>
      <c r="DC787" s="87"/>
      <c r="DD787" s="87"/>
      <c r="DE787" s="87"/>
      <c r="DF787" s="87"/>
      <c r="DG787" s="87"/>
      <c r="DH787" s="87"/>
      <c r="DI787" s="87"/>
      <c r="DJ787" s="87"/>
      <c r="DK787" s="87"/>
      <c r="DL787" s="87"/>
      <c r="DM787" s="87"/>
      <c r="DN787" s="87"/>
      <c r="DO787" s="87"/>
      <c r="DP787" s="87"/>
      <c r="DQ787" s="87"/>
      <c r="DR787" s="87"/>
      <c r="DS787" s="87"/>
      <c r="DT787" s="87"/>
      <c r="DU787" s="87"/>
      <c r="DV787" s="105">
        <f>-C787</f>
        <v>-36.25</v>
      </c>
      <c r="DW787" s="87"/>
      <c r="DX787" s="87"/>
      <c r="DY787" s="105">
        <f>C787</f>
        <v>36.25</v>
      </c>
      <c r="DZ787" s="87"/>
      <c r="EA787" s="87"/>
      <c r="EB787" s="87"/>
      <c r="EC787" s="87"/>
      <c r="ED787" s="87"/>
      <c r="EE787" s="87"/>
      <c r="EF787" s="87"/>
      <c r="EG787" s="87"/>
      <c r="EH787" s="87"/>
      <c r="EI787" s="87"/>
    </row>
    <row r="788" spans="1:139" ht="29.25" hidden="1" thickBot="1" x14ac:dyDescent="0.35">
      <c r="A788" s="352" t="s">
        <v>371</v>
      </c>
      <c r="B788" s="199">
        <v>2</v>
      </c>
      <c r="C788" s="388">
        <f>95*0.1+20*0.85</f>
        <v>26.5</v>
      </c>
      <c r="D788" s="234">
        <f>C788/VLOOKUP(B788,'[2]Gas Prod per PADD'!$A$1:$C$6,2,FALSE)</f>
        <v>1.1041666666666667E-2</v>
      </c>
      <c r="E788" s="225">
        <v>45912</v>
      </c>
      <c r="F788" s="226">
        <v>45956</v>
      </c>
      <c r="G788" s="180" t="s">
        <v>1307</v>
      </c>
      <c r="H788" s="181" t="s">
        <v>1308</v>
      </c>
      <c r="I788" s="84"/>
      <c r="J788" s="85"/>
      <c r="K788" s="85"/>
      <c r="L788" s="85"/>
      <c r="M788" s="85"/>
      <c r="N788" s="85"/>
      <c r="O788" s="85"/>
      <c r="P788" s="85"/>
      <c r="Q788" s="85"/>
      <c r="R788" s="85"/>
      <c r="S788" s="85"/>
      <c r="T788" s="85"/>
      <c r="U788" s="85"/>
      <c r="V788" s="84"/>
      <c r="W788" s="84"/>
      <c r="X788" s="84" t="str">
        <f t="shared" si="37"/>
        <v>OK</v>
      </c>
      <c r="Y788" s="87"/>
      <c r="Z788" s="87"/>
      <c r="AA788" s="87"/>
      <c r="AB788" s="87"/>
      <c r="AC788" s="87"/>
      <c r="AD788" s="87"/>
      <c r="AE788" s="87"/>
      <c r="AF788" s="87"/>
      <c r="AG788" s="87"/>
      <c r="AH788" s="87"/>
      <c r="AI788" s="87"/>
      <c r="AJ788" s="87"/>
      <c r="AK788" s="87"/>
      <c r="AL788" s="87"/>
      <c r="AM788" s="87"/>
      <c r="AN788" s="87"/>
      <c r="AO788" s="87"/>
      <c r="AP788" s="87"/>
      <c r="AQ788" s="87"/>
      <c r="AR788" s="87"/>
      <c r="AS788" s="87"/>
      <c r="AT788" s="87"/>
      <c r="AU788" s="87"/>
      <c r="AV788" s="87"/>
      <c r="AW788" s="87"/>
      <c r="AX788" s="87"/>
      <c r="AY788" s="87"/>
      <c r="AZ788" s="87"/>
      <c r="BA788" s="87"/>
      <c r="BB788" s="87"/>
      <c r="BC788" s="87"/>
      <c r="BD788" s="87"/>
      <c r="BE788" s="87"/>
      <c r="BF788" s="87"/>
      <c r="BG788" s="87"/>
      <c r="BH788" s="87"/>
      <c r="BI788" s="87"/>
      <c r="BJ788" s="87"/>
      <c r="BK788" s="87"/>
      <c r="BL788" s="87"/>
      <c r="BM788" s="87"/>
      <c r="BN788" s="87"/>
      <c r="BO788" s="87"/>
      <c r="BP788" s="87"/>
      <c r="BQ788" s="87"/>
      <c r="BR788" s="87"/>
      <c r="BS788" s="87"/>
      <c r="BT788" s="87"/>
      <c r="BU788" s="87"/>
      <c r="BV788" s="87"/>
      <c r="BW788" s="87"/>
      <c r="BX788" s="87"/>
      <c r="BY788" s="87"/>
      <c r="BZ788" s="87"/>
      <c r="CA788" s="87"/>
      <c r="CB788" s="87"/>
      <c r="CC788" s="87"/>
      <c r="CD788" s="87"/>
      <c r="CE788" s="87"/>
      <c r="CF788" s="87"/>
      <c r="CG788" s="87"/>
      <c r="CH788" s="87"/>
      <c r="CI788" s="87"/>
      <c r="CJ788" s="87"/>
      <c r="CK788" s="87"/>
      <c r="CL788" s="87"/>
      <c r="CM788" s="87"/>
      <c r="CN788" s="87"/>
      <c r="CO788" s="87"/>
      <c r="CP788" s="87"/>
      <c r="CQ788" s="87"/>
      <c r="CR788" s="87"/>
      <c r="CS788" s="87"/>
      <c r="CT788" s="87"/>
      <c r="CU788" s="87"/>
      <c r="CV788" s="87"/>
      <c r="CW788" s="87"/>
      <c r="CX788" s="87"/>
      <c r="CY788" s="87"/>
      <c r="CZ788" s="87"/>
      <c r="DA788" s="87"/>
      <c r="DB788" s="87"/>
      <c r="DC788" s="87"/>
      <c r="DD788" s="87"/>
      <c r="DE788" s="87"/>
      <c r="DF788" s="87"/>
      <c r="DG788" s="87"/>
      <c r="DH788" s="87"/>
      <c r="DI788" s="87"/>
      <c r="DJ788" s="87"/>
      <c r="DK788" s="87"/>
      <c r="DL788" s="87"/>
      <c r="DM788" s="87"/>
      <c r="DN788" s="87"/>
      <c r="DO788" s="87"/>
      <c r="DP788" s="87"/>
      <c r="DQ788" s="87"/>
      <c r="DR788" s="87">
        <f>-C788*(1/7)</f>
        <v>-3.7857142857142856</v>
      </c>
      <c r="DS788" s="87">
        <f>-C788*(6/7)</f>
        <v>-22.714285714285712</v>
      </c>
      <c r="DT788" s="87"/>
      <c r="DU788" s="87"/>
      <c r="DV788" s="87"/>
      <c r="DW788" s="87"/>
      <c r="DX788" s="87"/>
      <c r="DY788" s="87">
        <f>-DR788</f>
        <v>3.7857142857142856</v>
      </c>
      <c r="DZ788" s="87">
        <f>-DS788</f>
        <v>22.714285714285712</v>
      </c>
      <c r="EA788" s="87"/>
      <c r="EB788" s="87"/>
      <c r="EC788" s="87"/>
      <c r="ED788" s="87"/>
      <c r="EE788" s="87"/>
      <c r="EF788" s="87"/>
      <c r="EG788" s="87"/>
      <c r="EH788" s="87"/>
      <c r="EI788" s="87"/>
    </row>
    <row r="789" spans="1:139" ht="29.25" hidden="1" thickBot="1" x14ac:dyDescent="0.35">
      <c r="A789" s="222" t="s">
        <v>1309</v>
      </c>
      <c r="B789" s="191">
        <v>3</v>
      </c>
      <c r="C789" s="177">
        <f>20*0.1+(3.7*0.85)</f>
        <v>5.1449999999999996</v>
      </c>
      <c r="D789" s="217">
        <f>C789/VLOOKUP(B789,'[2]Gas Prod per PADD'!$A$1:$C$6,2,FALSE)</f>
        <v>1.1184782608695651E-3</v>
      </c>
      <c r="E789" s="178">
        <v>45933</v>
      </c>
      <c r="F789" s="226">
        <v>45956</v>
      </c>
      <c r="G789" s="180" t="s">
        <v>1310</v>
      </c>
      <c r="H789" s="181" t="s">
        <v>1311</v>
      </c>
      <c r="I789" s="84" t="s">
        <v>1312</v>
      </c>
      <c r="J789" s="85"/>
      <c r="K789" s="85"/>
      <c r="L789" s="85"/>
      <c r="M789" s="85"/>
      <c r="N789" s="85"/>
      <c r="O789" s="85"/>
      <c r="P789" s="85"/>
      <c r="Q789" s="85"/>
      <c r="R789" s="85"/>
      <c r="S789" s="85"/>
      <c r="T789" s="85"/>
      <c r="U789" s="85"/>
      <c r="V789" s="84"/>
      <c r="W789" s="84"/>
      <c r="X789" s="84" t="str">
        <f t="shared" si="37"/>
        <v>OK</v>
      </c>
      <c r="Y789" s="105"/>
      <c r="Z789" s="105"/>
      <c r="AA789" s="87"/>
      <c r="AB789" s="87"/>
      <c r="AC789" s="87"/>
      <c r="AD789" s="87"/>
      <c r="AE789" s="105"/>
      <c r="AF789" s="105"/>
      <c r="AG789" s="105"/>
      <c r="AH789" s="105"/>
      <c r="AI789" s="87"/>
      <c r="AJ789" s="87"/>
      <c r="AK789" s="105"/>
      <c r="AL789" s="87"/>
      <c r="AM789" s="105"/>
      <c r="AN789" s="105"/>
      <c r="AO789" s="87"/>
      <c r="AP789" s="87"/>
      <c r="AQ789" s="105"/>
      <c r="AR789" s="105"/>
      <c r="AS789" s="87"/>
      <c r="AT789" s="105"/>
      <c r="AU789" s="105"/>
      <c r="AV789" s="87"/>
      <c r="AW789" s="105"/>
      <c r="AX789" s="105"/>
      <c r="AY789" s="87"/>
      <c r="AZ789" s="105"/>
      <c r="BA789" s="105"/>
      <c r="BB789" s="105"/>
      <c r="BC789" s="87"/>
      <c r="BD789" s="87"/>
      <c r="BE789" s="105"/>
      <c r="BF789" s="105"/>
      <c r="BG789" s="105"/>
      <c r="BH789" s="105"/>
      <c r="BI789" s="105"/>
      <c r="BJ789" s="87"/>
      <c r="BK789" s="87"/>
      <c r="BL789" s="87"/>
      <c r="BM789" s="87"/>
      <c r="BN789" s="87"/>
      <c r="BO789" s="87"/>
      <c r="BP789" s="87"/>
      <c r="BQ789" s="87"/>
      <c r="BR789" s="87"/>
      <c r="BS789" s="87"/>
      <c r="BT789" s="87"/>
      <c r="BU789" s="87"/>
      <c r="BV789" s="87"/>
      <c r="BW789" s="87"/>
      <c r="BX789" s="87"/>
      <c r="BY789" s="87"/>
      <c r="BZ789" s="87"/>
      <c r="CA789" s="87"/>
      <c r="CB789" s="87"/>
      <c r="CC789" s="87"/>
      <c r="CD789" s="87"/>
      <c r="CE789" s="87"/>
      <c r="CF789" s="87"/>
      <c r="CG789" s="87"/>
      <c r="CH789" s="87"/>
      <c r="CI789" s="87"/>
      <c r="CJ789" s="87"/>
      <c r="CK789" s="87"/>
      <c r="CL789" s="87"/>
      <c r="CM789" s="87"/>
      <c r="CN789" s="87"/>
      <c r="CO789" s="87"/>
      <c r="CP789" s="87"/>
      <c r="CQ789" s="87"/>
      <c r="CR789" s="87"/>
      <c r="CS789" s="87"/>
      <c r="CT789" s="87"/>
      <c r="CU789" s="87"/>
      <c r="CV789" s="87"/>
      <c r="CW789" s="87"/>
      <c r="CX789" s="87"/>
      <c r="CY789" s="87"/>
      <c r="CZ789" s="87"/>
      <c r="DA789" s="87"/>
      <c r="DB789" s="87"/>
      <c r="DC789" s="87"/>
      <c r="DD789" s="87"/>
      <c r="DE789" s="87"/>
      <c r="DF789" s="87"/>
      <c r="DG789" s="87"/>
      <c r="DH789" s="87"/>
      <c r="DI789" s="87"/>
      <c r="DJ789" s="87"/>
      <c r="DK789" s="87"/>
      <c r="DL789" s="87"/>
      <c r="DM789" s="87"/>
      <c r="DN789" s="87"/>
      <c r="DO789" s="87"/>
      <c r="DP789" s="87"/>
      <c r="DQ789" s="87"/>
      <c r="DR789" s="87"/>
      <c r="DS789" s="105"/>
      <c r="DT789" s="87"/>
      <c r="DU789" s="87"/>
      <c r="DV789" s="105">
        <f>-C789</f>
        <v>-5.1449999999999996</v>
      </c>
      <c r="DW789" s="87"/>
      <c r="DX789" s="105"/>
      <c r="DY789" s="105">
        <f>C789</f>
        <v>5.1449999999999996</v>
      </c>
      <c r="DZ789" s="87"/>
      <c r="EA789" s="87"/>
      <c r="EB789" s="87"/>
      <c r="EC789" s="87"/>
      <c r="ED789" s="87"/>
      <c r="EE789" s="87"/>
      <c r="EF789" s="87"/>
      <c r="EG789" s="87"/>
      <c r="EH789" s="87"/>
      <c r="EI789" s="87"/>
    </row>
    <row r="790" spans="1:139" ht="16.5" hidden="1" thickBot="1" x14ac:dyDescent="0.35">
      <c r="A790" s="190" t="s">
        <v>336</v>
      </c>
      <c r="B790" s="191">
        <v>3</v>
      </c>
      <c r="C790" s="388">
        <f>112*0.65</f>
        <v>72.8</v>
      </c>
      <c r="D790" s="234">
        <f>C790/VLOOKUP(B790,'[2]Gas Prod per PADD'!$A$1:$C$6,2,FALSE)</f>
        <v>1.582608695652174E-2</v>
      </c>
      <c r="E790" s="220">
        <v>45908</v>
      </c>
      <c r="F790" s="179">
        <v>45957</v>
      </c>
      <c r="G790" s="180" t="s">
        <v>1313</v>
      </c>
      <c r="H790" s="230" t="s">
        <v>379</v>
      </c>
      <c r="I790" s="373"/>
      <c r="J790" s="374"/>
      <c r="K790" s="374"/>
      <c r="L790" s="374"/>
      <c r="M790" s="374"/>
      <c r="N790" s="374"/>
      <c r="O790" s="374"/>
      <c r="P790" s="374"/>
      <c r="Q790" s="374"/>
      <c r="R790" s="374"/>
      <c r="S790" s="374"/>
      <c r="T790" s="85"/>
      <c r="U790" s="85"/>
      <c r="V790" s="84"/>
      <c r="W790" s="84"/>
      <c r="X790" s="84"/>
      <c r="Y790" s="105"/>
      <c r="Z790" s="105"/>
      <c r="AA790" s="87"/>
      <c r="AB790" s="87"/>
      <c r="AC790" s="87"/>
      <c r="AD790" s="87"/>
      <c r="AE790" s="105"/>
      <c r="AF790" s="105"/>
      <c r="AG790" s="105"/>
      <c r="AH790" s="105"/>
      <c r="AI790" s="87"/>
      <c r="AJ790" s="87"/>
      <c r="AK790" s="105"/>
      <c r="AL790" s="87"/>
      <c r="AM790" s="105"/>
      <c r="AN790" s="105"/>
      <c r="AO790" s="87"/>
      <c r="AP790" s="87"/>
      <c r="AQ790" s="105"/>
      <c r="AR790" s="105"/>
      <c r="AS790" s="87"/>
      <c r="AT790" s="105"/>
      <c r="AU790" s="105"/>
      <c r="AV790" s="87"/>
      <c r="AW790" s="105"/>
      <c r="AX790" s="105"/>
      <c r="AY790" s="87"/>
      <c r="AZ790" s="105"/>
      <c r="BA790" s="105"/>
      <c r="BB790" s="105"/>
      <c r="BC790" s="87"/>
      <c r="BD790" s="87"/>
      <c r="BE790" s="105"/>
      <c r="BF790" s="105"/>
      <c r="BG790" s="105"/>
      <c r="BH790" s="105"/>
      <c r="BI790" s="105"/>
      <c r="BJ790" s="87"/>
      <c r="BK790" s="87"/>
      <c r="BL790" s="87"/>
      <c r="BM790" s="87"/>
      <c r="BN790" s="87"/>
      <c r="BO790" s="87"/>
      <c r="BP790" s="87"/>
      <c r="BQ790" s="87"/>
      <c r="BR790" s="87"/>
      <c r="BS790" s="87"/>
      <c r="BT790" s="87"/>
      <c r="BU790" s="87"/>
      <c r="BV790" s="87"/>
      <c r="BW790" s="87"/>
      <c r="BX790" s="87"/>
      <c r="BY790" s="87"/>
      <c r="BZ790" s="87"/>
      <c r="CA790" s="87"/>
      <c r="CB790" s="87"/>
      <c r="CC790" s="87"/>
      <c r="CD790" s="87"/>
      <c r="CE790" s="87"/>
      <c r="CF790" s="87"/>
      <c r="CG790" s="87"/>
      <c r="CH790" s="87"/>
      <c r="CI790" s="87"/>
      <c r="CJ790" s="87"/>
      <c r="CK790" s="87"/>
      <c r="CL790" s="87"/>
      <c r="CM790" s="87"/>
      <c r="CN790" s="87"/>
      <c r="CO790" s="87"/>
      <c r="CP790" s="87"/>
      <c r="CQ790" s="87"/>
      <c r="CR790" s="87"/>
      <c r="CS790" s="87"/>
      <c r="CT790" s="87"/>
      <c r="CU790" s="87"/>
      <c r="CV790" s="87"/>
      <c r="CW790" s="87"/>
      <c r="CX790" s="87"/>
      <c r="CY790" s="87"/>
      <c r="CZ790" s="87"/>
      <c r="DA790" s="87"/>
      <c r="DB790" s="87"/>
      <c r="DC790" s="87"/>
      <c r="DD790" s="87"/>
      <c r="DE790" s="87"/>
      <c r="DF790" s="87"/>
      <c r="DG790" s="87"/>
      <c r="DH790" s="87"/>
      <c r="DI790" s="87"/>
      <c r="DJ790" s="87"/>
      <c r="DK790" s="87"/>
      <c r="DL790" s="87"/>
      <c r="DM790" s="87"/>
      <c r="DN790" s="87"/>
      <c r="DO790" s="87"/>
      <c r="DP790" s="87"/>
      <c r="DQ790" s="87"/>
      <c r="DR790" s="87">
        <f>-4/7*C790</f>
        <v>-41.599999999999994</v>
      </c>
      <c r="DS790" s="105">
        <f>-C790-DR790</f>
        <v>-31.200000000000003</v>
      </c>
      <c r="DT790" s="87"/>
      <c r="DU790" s="87"/>
      <c r="DV790" s="87"/>
      <c r="DW790" s="87"/>
      <c r="DX790" s="87"/>
      <c r="DY790" s="87">
        <f>5/7*C790</f>
        <v>52</v>
      </c>
      <c r="DZ790" s="105">
        <f>C790-DY790</f>
        <v>20.799999999999997</v>
      </c>
      <c r="EA790" s="87"/>
      <c r="EB790" s="105"/>
      <c r="EC790" s="87"/>
      <c r="ED790" s="87"/>
      <c r="EE790" s="87"/>
      <c r="EF790" s="87"/>
      <c r="EG790" s="87"/>
      <c r="EH790" s="87"/>
      <c r="EI790" s="87"/>
    </row>
    <row r="791" spans="1:139" ht="16.5" hidden="1" thickBot="1" x14ac:dyDescent="0.35">
      <c r="A791" s="222" t="s">
        <v>243</v>
      </c>
      <c r="B791" s="191">
        <v>3</v>
      </c>
      <c r="C791" s="177">
        <f>30*0.65</f>
        <v>19.5</v>
      </c>
      <c r="D791" s="234">
        <f>C791/VLOOKUP(B791,'[2]Gas Prod per PADD'!$A$1:$C$6,2,FALSE)</f>
        <v>4.239130434782609E-3</v>
      </c>
      <c r="E791" s="178">
        <v>45920</v>
      </c>
      <c r="F791" s="179">
        <v>45958</v>
      </c>
      <c r="G791" s="180" t="s">
        <v>862</v>
      </c>
      <c r="H791" s="181" t="s">
        <v>1314</v>
      </c>
      <c r="I791" s="84" t="s">
        <v>1315</v>
      </c>
      <c r="J791" s="85"/>
      <c r="K791" s="85"/>
      <c r="L791" s="85"/>
      <c r="M791" s="85"/>
      <c r="N791" s="85"/>
      <c r="O791" s="85"/>
      <c r="P791" s="85"/>
      <c r="Q791" s="85"/>
      <c r="R791" s="85"/>
      <c r="S791" s="85"/>
      <c r="T791" s="85"/>
      <c r="U791" s="85"/>
      <c r="V791" s="84"/>
      <c r="W791" s="84"/>
      <c r="X791" s="84" t="str">
        <f>IF(COUNTA(Y791:EI791)=0,"Missing","OK")</f>
        <v>OK</v>
      </c>
      <c r="Y791" s="86"/>
      <c r="Z791" s="87"/>
      <c r="AA791" s="87"/>
      <c r="AB791" s="87"/>
      <c r="AC791" s="87"/>
      <c r="AD791" s="87"/>
      <c r="AE791" s="87"/>
      <c r="AF791" s="87"/>
      <c r="AG791" s="87"/>
      <c r="AH791" s="87"/>
      <c r="AI791" s="87"/>
      <c r="AJ791" s="87"/>
      <c r="AK791" s="87"/>
      <c r="AL791" s="87"/>
      <c r="AM791" s="87"/>
      <c r="AN791" s="87"/>
      <c r="AO791" s="87"/>
      <c r="AP791" s="87"/>
      <c r="AQ791" s="87"/>
      <c r="AR791" s="87"/>
      <c r="AS791" s="87"/>
      <c r="AT791" s="87"/>
      <c r="AU791" s="87"/>
      <c r="AV791" s="87"/>
      <c r="AW791" s="87"/>
      <c r="AX791" s="87"/>
      <c r="AY791" s="87"/>
      <c r="AZ791" s="87"/>
      <c r="BA791" s="87"/>
      <c r="BB791" s="87"/>
      <c r="BC791" s="87"/>
      <c r="BD791" s="87"/>
      <c r="BE791" s="87"/>
      <c r="BF791" s="87"/>
      <c r="BG791" s="87"/>
      <c r="BH791" s="87"/>
      <c r="BI791" s="87"/>
      <c r="BJ791" s="105"/>
      <c r="BK791" s="87"/>
      <c r="BL791" s="105"/>
      <c r="BM791" s="87"/>
      <c r="BN791" s="87"/>
      <c r="BO791" s="87"/>
      <c r="BP791" s="87"/>
      <c r="BQ791" s="87"/>
      <c r="BR791" s="87"/>
      <c r="BS791" s="87"/>
      <c r="BT791" s="87"/>
      <c r="BU791" s="87"/>
      <c r="BV791" s="87"/>
      <c r="BW791" s="87"/>
      <c r="BX791" s="87"/>
      <c r="BY791" s="87"/>
      <c r="BZ791" s="87"/>
      <c r="CA791" s="87"/>
      <c r="CB791" s="87"/>
      <c r="CC791" s="87"/>
      <c r="CD791" s="87"/>
      <c r="CE791" s="87"/>
      <c r="CF791" s="87"/>
      <c r="CG791" s="87"/>
      <c r="CH791" s="87"/>
      <c r="CI791" s="87"/>
      <c r="CJ791" s="87"/>
      <c r="CK791" s="87"/>
      <c r="CL791" s="87"/>
      <c r="CM791" s="87"/>
      <c r="CN791" s="87"/>
      <c r="CO791" s="87"/>
      <c r="CP791" s="87"/>
      <c r="CQ791" s="87"/>
      <c r="CR791" s="87"/>
      <c r="CS791" s="87"/>
      <c r="CT791" s="87"/>
      <c r="CU791" s="87"/>
      <c r="CV791" s="87"/>
      <c r="CW791" s="87"/>
      <c r="CX791" s="87"/>
      <c r="CY791" s="87"/>
      <c r="CZ791" s="87"/>
      <c r="DA791" s="87"/>
      <c r="DB791" s="87"/>
      <c r="DC791" s="87"/>
      <c r="DD791" s="87"/>
      <c r="DE791" s="87"/>
      <c r="DF791" s="87"/>
      <c r="DG791" s="87"/>
      <c r="DH791" s="87"/>
      <c r="DI791" s="87"/>
      <c r="DJ791" s="87"/>
      <c r="DK791" s="87"/>
      <c r="DL791" s="87"/>
      <c r="DM791" s="87"/>
      <c r="DN791" s="87"/>
      <c r="DO791" s="87"/>
      <c r="DP791" s="87"/>
      <c r="DQ791" s="87"/>
      <c r="DR791" s="87"/>
      <c r="DS791" s="87"/>
      <c r="DT791" s="105">
        <f>-C791</f>
        <v>-19.5</v>
      </c>
      <c r="DU791" s="87"/>
      <c r="DV791" s="87"/>
      <c r="DW791" s="87"/>
      <c r="DX791" s="87"/>
      <c r="DY791" s="105">
        <f>-DT791*(4/7)</f>
        <v>11.142857142857142</v>
      </c>
      <c r="DZ791" s="87">
        <f>-DT791*(3/7)</f>
        <v>8.3571428571428559</v>
      </c>
      <c r="EA791" s="87"/>
      <c r="EB791" s="87"/>
      <c r="EC791" s="87"/>
      <c r="ED791" s="87"/>
      <c r="EE791" s="87"/>
      <c r="EF791" s="87"/>
      <c r="EG791" s="87"/>
      <c r="EH791" s="87"/>
      <c r="EI791" s="87"/>
    </row>
    <row r="792" spans="1:139" ht="29.25" hidden="1" thickBot="1" x14ac:dyDescent="0.35">
      <c r="A792" s="222" t="s">
        <v>1316</v>
      </c>
      <c r="B792" s="191">
        <v>3</v>
      </c>
      <c r="C792" s="396">
        <f>165*0.1+(45*0.1)+(20*0.1)</f>
        <v>23</v>
      </c>
      <c r="D792" s="234">
        <f>C792/VLOOKUP(B792,'[2]Gas Prod per PADD'!$A$1:$C$6,2,FALSE)</f>
        <v>5.0000000000000001E-3</v>
      </c>
      <c r="E792" s="178">
        <v>45929</v>
      </c>
      <c r="F792" s="179">
        <v>45959</v>
      </c>
      <c r="G792" s="180" t="s">
        <v>1317</v>
      </c>
      <c r="H792" s="181" t="s">
        <v>1318</v>
      </c>
      <c r="I792" s="84"/>
      <c r="J792" s="85"/>
      <c r="K792" s="85"/>
      <c r="L792" s="85"/>
      <c r="M792" s="85"/>
      <c r="N792" s="85"/>
      <c r="O792" s="85"/>
      <c r="P792" s="85"/>
      <c r="Q792" s="85"/>
      <c r="R792" s="85"/>
      <c r="S792" s="85"/>
      <c r="T792" s="85"/>
      <c r="U792" s="85"/>
      <c r="V792" s="84"/>
      <c r="W792" s="84"/>
      <c r="X792" s="84" t="str">
        <f>IF(COUNTA(Y792:EI792)=0,"Missing","OK")</f>
        <v>OK</v>
      </c>
      <c r="Y792" s="105"/>
      <c r="Z792" s="105"/>
      <c r="AA792" s="87"/>
      <c r="AB792" s="87"/>
      <c r="AC792" s="87"/>
      <c r="AD792" s="87"/>
      <c r="AE792" s="105"/>
      <c r="AF792" s="105"/>
      <c r="AG792" s="105"/>
      <c r="AH792" s="105"/>
      <c r="AI792" s="87"/>
      <c r="AJ792" s="87"/>
      <c r="AK792" s="105"/>
      <c r="AL792" s="87"/>
      <c r="AM792" s="105"/>
      <c r="AN792" s="105"/>
      <c r="AO792" s="87"/>
      <c r="AP792" s="87"/>
      <c r="AQ792" s="105"/>
      <c r="AR792" s="105"/>
      <c r="AS792" s="87"/>
      <c r="AT792" s="105"/>
      <c r="AU792" s="105"/>
      <c r="AV792" s="87"/>
      <c r="AW792" s="105"/>
      <c r="AX792" s="105"/>
      <c r="AY792" s="87"/>
      <c r="AZ792" s="105"/>
      <c r="BA792" s="105"/>
      <c r="BB792" s="105"/>
      <c r="BC792" s="87"/>
      <c r="BD792" s="87"/>
      <c r="BE792" s="105"/>
      <c r="BF792" s="105"/>
      <c r="BG792" s="105"/>
      <c r="BH792" s="105"/>
      <c r="BI792" s="105"/>
      <c r="BJ792" s="87"/>
      <c r="BK792" s="87"/>
      <c r="BL792" s="87"/>
      <c r="BM792" s="87"/>
      <c r="BN792" s="87"/>
      <c r="BO792" s="105"/>
      <c r="BP792" s="105"/>
      <c r="BQ792" s="105"/>
      <c r="BR792" s="105"/>
      <c r="BS792" s="105"/>
      <c r="BT792" s="87"/>
      <c r="BU792" s="87"/>
      <c r="BV792" s="87"/>
      <c r="BW792" s="87"/>
      <c r="BX792" s="87"/>
      <c r="BY792" s="87"/>
      <c r="BZ792" s="87"/>
      <c r="CA792" s="87"/>
      <c r="CB792" s="87"/>
      <c r="CC792" s="87"/>
      <c r="CD792" s="87"/>
      <c r="CE792" s="87"/>
      <c r="CF792" s="87"/>
      <c r="CG792" s="87"/>
      <c r="CH792" s="87"/>
      <c r="CI792" s="87"/>
      <c r="CJ792" s="87"/>
      <c r="CK792" s="87"/>
      <c r="CL792" s="87"/>
      <c r="CM792" s="87"/>
      <c r="CN792" s="87"/>
      <c r="CO792" s="87"/>
      <c r="CP792" s="87"/>
      <c r="CQ792" s="87"/>
      <c r="CR792" s="87"/>
      <c r="CS792" s="87"/>
      <c r="CT792" s="87"/>
      <c r="CU792" s="87"/>
      <c r="CV792" s="87"/>
      <c r="CW792" s="87"/>
      <c r="CX792" s="87"/>
      <c r="CY792" s="87"/>
      <c r="CZ792" s="87"/>
      <c r="DA792" s="87"/>
      <c r="DB792" s="87"/>
      <c r="DC792" s="87"/>
      <c r="DD792" s="87"/>
      <c r="DE792" s="87"/>
      <c r="DF792" s="87"/>
      <c r="DG792" s="87"/>
      <c r="DH792" s="87"/>
      <c r="DI792" s="87"/>
      <c r="DJ792" s="87"/>
      <c r="DK792" s="87"/>
      <c r="DL792" s="87"/>
      <c r="DM792" s="87"/>
      <c r="DN792" s="87"/>
      <c r="DO792" s="87"/>
      <c r="DP792" s="87"/>
      <c r="DQ792" s="87"/>
      <c r="DR792" s="87"/>
      <c r="DS792" s="87"/>
      <c r="DT792" s="87"/>
      <c r="DU792" s="87">
        <f>-4/7*C792</f>
        <v>-13.142857142857142</v>
      </c>
      <c r="DV792" s="87">
        <f>-3/7*C792</f>
        <v>-9.8571428571428559</v>
      </c>
      <c r="DW792" s="87"/>
      <c r="DX792" s="87"/>
      <c r="DY792" s="87">
        <f>-DV792</f>
        <v>9.8571428571428559</v>
      </c>
      <c r="DZ792" s="87">
        <f>-DU792</f>
        <v>13.142857142857142</v>
      </c>
      <c r="EA792" s="87"/>
      <c r="EB792" s="87"/>
      <c r="EC792" s="87"/>
      <c r="ED792" s="87"/>
      <c r="EE792" s="87"/>
      <c r="EF792" s="87"/>
      <c r="EG792" s="87"/>
      <c r="EH792" s="87"/>
      <c r="EI792" s="87"/>
    </row>
    <row r="793" spans="1:139" ht="16.5" hidden="1" thickBot="1" x14ac:dyDescent="0.35">
      <c r="A793" s="200" t="s">
        <v>1163</v>
      </c>
      <c r="B793" s="176">
        <v>4</v>
      </c>
      <c r="C793" s="396">
        <f>(3.4*0.1)+(3*0.85)</f>
        <v>2.8899999999999997</v>
      </c>
      <c r="D793" s="234">
        <f>C793/VLOOKUP(B793,'[2]Gas Prod per PADD'!$A$1:$C$6,2,FALSE)</f>
        <v>8.4999999999999989E-3</v>
      </c>
      <c r="E793" s="178">
        <v>45948</v>
      </c>
      <c r="F793" s="179">
        <v>45961</v>
      </c>
      <c r="G793" s="180" t="s">
        <v>1164</v>
      </c>
      <c r="H793" s="198" t="s">
        <v>1319</v>
      </c>
      <c r="I793" s="84"/>
      <c r="J793" s="85"/>
      <c r="K793" s="85"/>
      <c r="L793" s="85"/>
      <c r="M793" s="85"/>
      <c r="N793" s="85"/>
      <c r="O793" s="85"/>
      <c r="P793" s="85"/>
      <c r="Q793" s="85"/>
      <c r="R793" s="85"/>
      <c r="S793" s="85"/>
      <c r="T793" s="85"/>
      <c r="U793" s="85"/>
      <c r="V793" s="84"/>
      <c r="W793" s="84"/>
      <c r="X793" s="84" t="str">
        <f>IF(COUNTA(Y793:EI793)=0,"Missing","OK")</f>
        <v>OK</v>
      </c>
      <c r="Y793" s="105"/>
      <c r="Z793" s="105"/>
      <c r="AA793" s="87"/>
      <c r="AB793" s="87"/>
      <c r="AC793" s="87"/>
      <c r="AD793" s="87"/>
      <c r="AE793" s="105"/>
      <c r="AF793" s="105"/>
      <c r="AG793" s="105"/>
      <c r="AH793" s="105"/>
      <c r="AI793" s="87"/>
      <c r="AJ793" s="87"/>
      <c r="AK793" s="105"/>
      <c r="AL793" s="87"/>
      <c r="AM793" s="105"/>
      <c r="AN793" s="105"/>
      <c r="AO793" s="87"/>
      <c r="AP793" s="87"/>
      <c r="AQ793" s="105"/>
      <c r="AR793" s="105"/>
      <c r="AS793" s="87"/>
      <c r="AT793" s="105"/>
      <c r="AU793" s="87"/>
      <c r="AV793" s="105"/>
      <c r="AW793" s="105"/>
      <c r="AX793" s="105"/>
      <c r="AY793" s="87"/>
      <c r="AZ793" s="105"/>
      <c r="BA793" s="105"/>
      <c r="BB793" s="105"/>
      <c r="BC793" s="105"/>
      <c r="BD793" s="105"/>
      <c r="BE793" s="105"/>
      <c r="BF793" s="87"/>
      <c r="BG793" s="87"/>
      <c r="BH793" s="87"/>
      <c r="BI793" s="87"/>
      <c r="BJ793" s="87"/>
      <c r="BK793" s="87"/>
      <c r="BL793" s="87"/>
      <c r="BM793" s="87"/>
      <c r="BN793" s="87"/>
      <c r="BO793" s="87"/>
      <c r="BP793" s="87"/>
      <c r="BQ793" s="87"/>
      <c r="BR793" s="87"/>
      <c r="BS793" s="87"/>
      <c r="BT793" s="87"/>
      <c r="BU793" s="87"/>
      <c r="BV793" s="87"/>
      <c r="BW793" s="87"/>
      <c r="BX793" s="87"/>
      <c r="BY793" s="87"/>
      <c r="BZ793" s="87"/>
      <c r="CA793" s="87"/>
      <c r="CB793" s="87"/>
      <c r="CC793" s="87"/>
      <c r="CD793" s="87"/>
      <c r="CE793" s="87"/>
      <c r="CF793" s="87"/>
      <c r="CG793" s="87"/>
      <c r="CH793" s="87"/>
      <c r="CI793" s="87"/>
      <c r="CJ793" s="87"/>
      <c r="CK793" s="87"/>
      <c r="CL793" s="87"/>
      <c r="CM793" s="87"/>
      <c r="CN793" s="87"/>
      <c r="CO793" s="87"/>
      <c r="CP793" s="87"/>
      <c r="CQ793" s="87"/>
      <c r="CR793" s="87"/>
      <c r="CS793" s="87"/>
      <c r="CT793" s="87"/>
      <c r="CU793" s="87"/>
      <c r="CV793" s="87"/>
      <c r="CW793" s="87"/>
      <c r="CX793" s="87"/>
      <c r="CY793" s="87"/>
      <c r="CZ793" s="87"/>
      <c r="DA793" s="87"/>
      <c r="DB793" s="87"/>
      <c r="DC793" s="87"/>
      <c r="DD793" s="87"/>
      <c r="DE793" s="87"/>
      <c r="DF793" s="87"/>
      <c r="DG793" s="87"/>
      <c r="DH793" s="87"/>
      <c r="DI793" s="87"/>
      <c r="DJ793" s="87"/>
      <c r="DK793" s="87"/>
      <c r="DL793" s="87"/>
      <c r="DM793" s="87"/>
      <c r="DN793" s="87"/>
      <c r="DO793" s="87"/>
      <c r="DP793" s="87"/>
      <c r="DQ793" s="87"/>
      <c r="DR793" s="87"/>
      <c r="DS793" s="87"/>
      <c r="DT793" s="87"/>
      <c r="DU793" s="87"/>
      <c r="DV793" s="87"/>
      <c r="DW793" s="87"/>
      <c r="DX793" s="87">
        <f>-C793</f>
        <v>-2.8899999999999997</v>
      </c>
      <c r="DY793" s="87"/>
      <c r="DZ793" s="87">
        <f>-DX793</f>
        <v>2.8899999999999997</v>
      </c>
      <c r="EA793" s="87"/>
      <c r="EB793" s="87"/>
      <c r="EC793" s="87"/>
      <c r="ED793" s="87"/>
      <c r="EE793" s="87"/>
      <c r="EF793" s="87"/>
      <c r="EG793" s="87"/>
      <c r="EH793" s="87"/>
      <c r="EI793" s="87"/>
    </row>
    <row r="794" spans="1:139" ht="29.25" hidden="1" thickBot="1" x14ac:dyDescent="0.35">
      <c r="A794" s="200" t="s">
        <v>251</v>
      </c>
      <c r="B794" s="223">
        <v>5</v>
      </c>
      <c r="C794" s="338">
        <f>70*0.65+60*0.25</f>
        <v>60.5</v>
      </c>
      <c r="D794" s="234">
        <f>C794/VLOOKUP(B794,'[2]Gas Prod per PADD'!$A$1:$C$6,2,FALSE)</f>
        <v>4.4814814814814814E-2</v>
      </c>
      <c r="E794" s="228">
        <v>45774</v>
      </c>
      <c r="F794" s="226">
        <v>45962</v>
      </c>
      <c r="G794" s="180" t="s">
        <v>1320</v>
      </c>
      <c r="H794" s="221" t="s">
        <v>1321</v>
      </c>
      <c r="I794" s="84" t="s">
        <v>1322</v>
      </c>
      <c r="J794" s="85"/>
      <c r="K794" s="85"/>
      <c r="L794" s="85"/>
      <c r="M794" s="85"/>
      <c r="N794" s="85"/>
      <c r="O794" s="85"/>
      <c r="P794" s="85"/>
      <c r="Q794" s="85"/>
      <c r="R794" s="85"/>
      <c r="S794" s="85">
        <f>C794*(E794-$S$1)/30</f>
        <v>-6.05</v>
      </c>
      <c r="T794" s="85">
        <f>-C794</f>
        <v>-60.5</v>
      </c>
      <c r="U794" s="85">
        <f>-C794</f>
        <v>-60.5</v>
      </c>
      <c r="V794" s="451">
        <f>-C794</f>
        <v>-60.5</v>
      </c>
      <c r="W794" s="84"/>
      <c r="X794" s="84" t="str">
        <f>IF(COUNTA(Y794:EI794)=0,"Missing","OK")</f>
        <v>OK</v>
      </c>
      <c r="Y794" s="105"/>
      <c r="Z794" s="105"/>
      <c r="AA794" s="87"/>
      <c r="AB794" s="87"/>
      <c r="AC794" s="87"/>
      <c r="AD794" s="87"/>
      <c r="AE794" s="105"/>
      <c r="AF794" s="105"/>
      <c r="AG794" s="105"/>
      <c r="AH794" s="105"/>
      <c r="AI794" s="87"/>
      <c r="AJ794" s="87"/>
      <c r="AK794" s="105"/>
      <c r="AL794" s="87"/>
      <c r="AM794" s="105"/>
      <c r="AN794" s="105"/>
      <c r="AO794" s="87"/>
      <c r="AP794" s="87"/>
      <c r="AQ794" s="105"/>
      <c r="AR794" s="105"/>
      <c r="AS794" s="87"/>
      <c r="AT794" s="105"/>
      <c r="AU794" s="87"/>
      <c r="AV794" s="87"/>
      <c r="AW794" s="105"/>
      <c r="AX794" s="105"/>
      <c r="AY794" s="105"/>
      <c r="AZ794" s="105"/>
      <c r="BA794" s="105"/>
      <c r="BB794" s="105"/>
      <c r="BC794" s="105"/>
      <c r="BD794" s="105"/>
      <c r="BE794" s="105"/>
      <c r="BF794" s="105"/>
      <c r="BG794" s="87"/>
      <c r="BH794" s="87"/>
      <c r="BI794" s="87"/>
      <c r="BJ794" s="87"/>
      <c r="BK794" s="87"/>
      <c r="BL794" s="87"/>
      <c r="BM794" s="87"/>
      <c r="BN794" s="87"/>
      <c r="BO794" s="87"/>
      <c r="BP794" s="87"/>
      <c r="BQ794" s="87"/>
      <c r="BR794" s="87"/>
      <c r="BS794" s="87"/>
      <c r="BT794" s="87"/>
      <c r="BU794" s="87"/>
      <c r="BV794" s="87"/>
      <c r="BW794" s="87"/>
      <c r="BX794" s="87"/>
      <c r="BY794" s="87"/>
      <c r="BZ794" s="87"/>
      <c r="CA794" s="87"/>
      <c r="CB794" s="87"/>
      <c r="CC794" s="87"/>
      <c r="CD794" s="87"/>
      <c r="CE794" s="87"/>
      <c r="CF794" s="87"/>
      <c r="CG794" s="87"/>
      <c r="CH794" s="87"/>
      <c r="CI794" s="87"/>
      <c r="CJ794" s="87"/>
      <c r="CK794" s="87"/>
      <c r="CL794" s="87"/>
      <c r="CM794" s="87"/>
      <c r="CN794" s="87"/>
      <c r="CO794" s="87"/>
      <c r="CP794" s="87"/>
      <c r="CQ794" s="87"/>
      <c r="CR794" s="87"/>
      <c r="CS794" s="87"/>
      <c r="CT794" s="87"/>
      <c r="CU794" s="87"/>
      <c r="CV794" s="87"/>
      <c r="CW794" s="87"/>
      <c r="CX794" s="87"/>
      <c r="CY794" s="87">
        <f>-5/7*C794</f>
        <v>-43.214285714285715</v>
      </c>
      <c r="CZ794" s="87">
        <f>-2/7*C794</f>
        <v>-17.285714285714285</v>
      </c>
      <c r="DA794" s="87"/>
      <c r="DB794" s="87"/>
      <c r="DC794" s="87"/>
      <c r="DD794" s="87"/>
      <c r="DE794" s="87"/>
      <c r="DF794" s="87"/>
      <c r="DG794" s="87"/>
      <c r="DH794" s="87"/>
      <c r="DI794" s="87"/>
      <c r="DJ794" s="87"/>
      <c r="DK794" s="87"/>
      <c r="DL794" s="87"/>
      <c r="DM794" s="295"/>
      <c r="DN794" s="87"/>
      <c r="DO794" s="87"/>
      <c r="DP794" s="87"/>
      <c r="DQ794" s="87"/>
      <c r="DR794" s="87"/>
      <c r="DS794" s="87"/>
      <c r="DT794" s="87"/>
      <c r="DU794" s="87"/>
      <c r="DV794" s="87"/>
      <c r="DW794" s="87"/>
      <c r="DX794" s="87"/>
      <c r="DY794" s="87"/>
      <c r="DZ794" s="87">
        <f>6/7*C794</f>
        <v>51.857142857142854</v>
      </c>
      <c r="EA794" s="87">
        <f>1/7*C794</f>
        <v>8.6428571428571423</v>
      </c>
      <c r="EB794" s="87"/>
      <c r="EC794" s="87"/>
      <c r="ED794" s="87"/>
      <c r="EE794" s="87"/>
      <c r="EF794" s="87"/>
      <c r="EG794" s="87"/>
      <c r="EH794" s="87"/>
      <c r="EI794" s="87"/>
    </row>
    <row r="795" spans="1:139" ht="29.25" hidden="1" thickBot="1" x14ac:dyDescent="0.35">
      <c r="A795" s="193" t="s">
        <v>409</v>
      </c>
      <c r="B795" s="282" t="s">
        <v>410</v>
      </c>
      <c r="C795" s="177">
        <f>150*0.1+(30*0.85)</f>
        <v>40.5</v>
      </c>
      <c r="D795" s="217" t="e">
        <f>C795/VLOOKUP(B795,'[2]Gas Prod per PADD'!$A$1:$C$6,2,FALSE)</f>
        <v>#N/A</v>
      </c>
      <c r="E795" s="196">
        <v>45901</v>
      </c>
      <c r="F795" s="197">
        <v>45962</v>
      </c>
      <c r="G795" s="180" t="s">
        <v>1323</v>
      </c>
      <c r="H795" s="198" t="s">
        <v>1295</v>
      </c>
      <c r="I795" s="84"/>
      <c r="J795" s="85"/>
      <c r="K795" s="85"/>
      <c r="L795" s="85"/>
      <c r="M795" s="85"/>
      <c r="N795" s="85"/>
      <c r="O795" s="85"/>
      <c r="P795" s="85"/>
      <c r="Q795" s="85"/>
      <c r="R795" s="85"/>
      <c r="S795" s="85"/>
      <c r="T795" s="85"/>
      <c r="U795" s="85"/>
      <c r="V795" s="84"/>
      <c r="W795" s="84"/>
      <c r="X795" s="84"/>
      <c r="Y795" s="105"/>
      <c r="Z795" s="105"/>
      <c r="AA795" s="87"/>
      <c r="AB795" s="87"/>
      <c r="AC795" s="87"/>
      <c r="AD795" s="87"/>
      <c r="AE795" s="105"/>
      <c r="AF795" s="105"/>
      <c r="AG795" s="105"/>
      <c r="AH795" s="105"/>
      <c r="AI795" s="87"/>
      <c r="AJ795" s="87"/>
      <c r="AK795" s="105"/>
      <c r="AL795" s="87"/>
      <c r="AM795" s="105"/>
      <c r="AN795" s="105"/>
      <c r="AO795" s="87"/>
      <c r="AP795" s="87"/>
      <c r="AQ795" s="105"/>
      <c r="AR795" s="105"/>
      <c r="AS795" s="87"/>
      <c r="AT795" s="105"/>
      <c r="AU795" s="87"/>
      <c r="AV795" s="105"/>
      <c r="AW795" s="105"/>
      <c r="AX795" s="105"/>
      <c r="AY795" s="87"/>
      <c r="AZ795" s="105"/>
      <c r="BA795" s="105"/>
      <c r="BB795" s="105"/>
      <c r="BC795" s="105"/>
      <c r="BD795" s="105"/>
      <c r="BE795" s="105"/>
      <c r="BF795" s="87"/>
      <c r="BG795" s="87"/>
      <c r="BH795" s="87"/>
      <c r="BI795" s="87"/>
      <c r="BJ795" s="87"/>
      <c r="BK795" s="87"/>
      <c r="BL795" s="87"/>
      <c r="BM795" s="87"/>
      <c r="BN795" s="87"/>
      <c r="BO795" s="87"/>
      <c r="BP795" s="87"/>
      <c r="BQ795" s="87"/>
      <c r="BR795" s="87"/>
      <c r="BS795" s="87"/>
      <c r="BT795" s="87"/>
      <c r="BU795" s="87"/>
      <c r="BV795" s="87"/>
      <c r="BW795" s="87"/>
      <c r="BX795" s="87"/>
      <c r="BY795" s="87"/>
      <c r="BZ795" s="87"/>
      <c r="CA795" s="87"/>
      <c r="CB795" s="87"/>
      <c r="CC795" s="87"/>
      <c r="CD795" s="87"/>
      <c r="CE795" s="87"/>
      <c r="CF795" s="87"/>
      <c r="CG795" s="87"/>
      <c r="CH795" s="87"/>
      <c r="CI795" s="87"/>
      <c r="CJ795" s="87"/>
      <c r="CK795" s="87"/>
      <c r="CL795" s="87"/>
      <c r="CM795" s="87"/>
      <c r="CN795" s="87"/>
      <c r="CO795" s="87"/>
      <c r="CP795" s="87"/>
      <c r="CQ795" s="87"/>
      <c r="CR795" s="87"/>
      <c r="CS795" s="87"/>
      <c r="CT795" s="87"/>
      <c r="CU795" s="87"/>
      <c r="CV795" s="87"/>
      <c r="CW795" s="87"/>
      <c r="CX795" s="87"/>
      <c r="CY795" s="87"/>
      <c r="CZ795" s="87"/>
      <c r="DA795" s="87"/>
      <c r="DB795" s="87"/>
      <c r="DC795" s="87"/>
      <c r="DD795" s="87"/>
      <c r="DE795" s="87"/>
      <c r="DF795" s="87"/>
      <c r="DG795" s="87"/>
      <c r="DH795" s="87"/>
      <c r="DI795" s="87"/>
      <c r="DJ795" s="87"/>
      <c r="DK795" s="87"/>
      <c r="DL795" s="87"/>
      <c r="DM795" s="87"/>
      <c r="DN795" s="87"/>
      <c r="DO795" s="87"/>
      <c r="DP795" s="87"/>
      <c r="DQ795" s="105"/>
      <c r="DR795" s="87"/>
      <c r="DS795" s="87"/>
      <c r="DT795" s="87"/>
      <c r="DU795" s="87"/>
      <c r="DV795" s="87"/>
      <c r="DW795" s="87"/>
      <c r="DX795" s="87"/>
      <c r="DY795" s="87"/>
      <c r="DZ795" s="87"/>
      <c r="EA795" s="87"/>
      <c r="EB795" s="87"/>
      <c r="EC795" s="87"/>
      <c r="ED795" s="87"/>
      <c r="EE795" s="87"/>
      <c r="EF795" s="87"/>
      <c r="EG795" s="87"/>
      <c r="EH795" s="87"/>
      <c r="EI795" s="87"/>
    </row>
    <row r="796" spans="1:139" ht="72" hidden="1" thickBot="1" x14ac:dyDescent="0.35">
      <c r="A796" s="382" t="s">
        <v>168</v>
      </c>
      <c r="B796" s="282">
        <v>2</v>
      </c>
      <c r="C796" s="396">
        <f>(40*0.65)+(26*0.05+40*0.85+185*0.1)*0.25</f>
        <v>39.450000000000003</v>
      </c>
      <c r="D796" s="234">
        <f>C796/VLOOKUP(B796,'[2]Gas Prod per PADD'!$A$1:$C$6,2,FALSE)</f>
        <v>1.6437500000000001E-2</v>
      </c>
      <c r="E796" s="397">
        <v>45919</v>
      </c>
      <c r="F796" s="179">
        <v>45963</v>
      </c>
      <c r="G796" s="180" t="s">
        <v>1324</v>
      </c>
      <c r="H796" s="181" t="s">
        <v>1325</v>
      </c>
      <c r="I796" s="84"/>
      <c r="J796" s="85"/>
      <c r="K796" s="85"/>
      <c r="L796" s="85"/>
      <c r="M796" s="85"/>
      <c r="N796" s="85"/>
      <c r="O796" s="85"/>
      <c r="P796" s="85"/>
      <c r="Q796" s="85"/>
      <c r="R796" s="85"/>
      <c r="S796" s="85"/>
      <c r="T796" s="85"/>
      <c r="U796" s="85"/>
      <c r="V796" s="84"/>
      <c r="W796" s="84"/>
      <c r="X796" s="84" t="str">
        <f>IF(COUNTA(Y796:EI796)=0,"Missing","OK")</f>
        <v>OK</v>
      </c>
      <c r="Y796" s="87"/>
      <c r="Z796" s="87"/>
      <c r="AA796" s="87"/>
      <c r="AB796" s="87"/>
      <c r="AC796" s="87"/>
      <c r="AD796" s="87"/>
      <c r="AE796" s="87"/>
      <c r="AF796" s="87"/>
      <c r="AG796" s="87"/>
      <c r="AH796" s="87"/>
      <c r="AI796" s="87"/>
      <c r="AJ796" s="87"/>
      <c r="AK796" s="87"/>
      <c r="AL796" s="87"/>
      <c r="AM796" s="87"/>
      <c r="AN796" s="87"/>
      <c r="AO796" s="87"/>
      <c r="AP796" s="87"/>
      <c r="AQ796" s="87"/>
      <c r="AR796" s="87"/>
      <c r="AS796" s="87"/>
      <c r="AT796" s="87"/>
      <c r="AU796" s="87"/>
      <c r="AV796" s="87"/>
      <c r="AW796" s="87"/>
      <c r="AX796" s="87"/>
      <c r="AY796" s="87"/>
      <c r="AZ796" s="87"/>
      <c r="BA796" s="87"/>
      <c r="BB796" s="87"/>
      <c r="BC796" s="87"/>
      <c r="BD796" s="87"/>
      <c r="BE796" s="87"/>
      <c r="BF796" s="87"/>
      <c r="BG796" s="87"/>
      <c r="BH796" s="87"/>
      <c r="BI796" s="87"/>
      <c r="BJ796" s="87"/>
      <c r="BK796" s="87"/>
      <c r="BL796" s="87"/>
      <c r="BM796" s="87"/>
      <c r="BN796" s="87"/>
      <c r="BO796" s="87"/>
      <c r="BP796" s="87"/>
      <c r="BQ796" s="87"/>
      <c r="BR796" s="87"/>
      <c r="BS796" s="87"/>
      <c r="BT796" s="87"/>
      <c r="BU796" s="87"/>
      <c r="BV796" s="87"/>
      <c r="BW796" s="87"/>
      <c r="BX796" s="87"/>
      <c r="BY796" s="87"/>
      <c r="BZ796" s="87"/>
      <c r="CA796" s="87"/>
      <c r="CB796" s="87"/>
      <c r="CC796" s="87"/>
      <c r="CD796" s="87"/>
      <c r="CE796" s="87"/>
      <c r="CF796" s="87"/>
      <c r="CG796" s="87"/>
      <c r="CH796" s="87"/>
      <c r="CI796" s="87"/>
      <c r="CJ796" s="87"/>
      <c r="CK796" s="87"/>
      <c r="CL796" s="87"/>
      <c r="CM796" s="87"/>
      <c r="CN796" s="87"/>
      <c r="CO796" s="87"/>
      <c r="CP796" s="87"/>
      <c r="CQ796" s="87"/>
      <c r="CR796" s="87"/>
      <c r="CS796" s="87"/>
      <c r="CT796" s="87"/>
      <c r="CU796" s="87"/>
      <c r="CV796" s="87"/>
      <c r="CW796" s="87"/>
      <c r="CX796" s="87"/>
      <c r="CY796" s="87"/>
      <c r="CZ796" s="87"/>
      <c r="DA796" s="87"/>
      <c r="DB796" s="87"/>
      <c r="DC796" s="87"/>
      <c r="DD796" s="87"/>
      <c r="DE796" s="87"/>
      <c r="DF796" s="87"/>
      <c r="DG796" s="87"/>
      <c r="DH796" s="87"/>
      <c r="DI796" s="87"/>
      <c r="DJ796" s="87"/>
      <c r="DK796" s="87"/>
      <c r="DL796" s="87"/>
      <c r="DM796" s="87"/>
      <c r="DN796" s="87"/>
      <c r="DO796" s="87"/>
      <c r="DP796" s="87"/>
      <c r="DQ796" s="87"/>
      <c r="DR796" s="87"/>
      <c r="DS796" s="87">
        <f>-C796*(1/7)</f>
        <v>-5.6357142857142861</v>
      </c>
      <c r="DT796" s="87">
        <f>-C796*(6/7)</f>
        <v>-33.814285714285717</v>
      </c>
      <c r="DU796" s="87"/>
      <c r="DV796" s="87"/>
      <c r="DW796" s="87"/>
      <c r="DX796" s="87"/>
      <c r="DY796" s="87"/>
      <c r="DZ796" s="87">
        <f>-DS796</f>
        <v>5.6357142857142861</v>
      </c>
      <c r="EA796" s="87">
        <f>-DT796</f>
        <v>33.814285714285717</v>
      </c>
      <c r="EB796" s="87"/>
      <c r="EC796" s="87"/>
      <c r="ED796" s="87"/>
      <c r="EE796" s="87"/>
      <c r="EF796" s="87"/>
      <c r="EG796" s="87"/>
      <c r="EH796" s="87"/>
      <c r="EI796" s="87"/>
    </row>
    <row r="797" spans="1:139" ht="16.5" hidden="1" thickBot="1" x14ac:dyDescent="0.35">
      <c r="A797" s="190" t="s">
        <v>140</v>
      </c>
      <c r="B797" s="282">
        <v>3</v>
      </c>
      <c r="C797" s="177">
        <f>34.5*0.25</f>
        <v>8.625</v>
      </c>
      <c r="D797" s="217">
        <f>C797/VLOOKUP(B797,'[2]Gas Prod per PADD'!$A$1:$C$6,2,FALSE)</f>
        <v>1.8749999999999999E-3</v>
      </c>
      <c r="E797" s="283">
        <v>45934</v>
      </c>
      <c r="F797" s="294">
        <v>45963</v>
      </c>
      <c r="G797" s="180" t="s">
        <v>1326</v>
      </c>
      <c r="H797" s="221" t="s">
        <v>379</v>
      </c>
      <c r="I797" s="84"/>
      <c r="J797" s="85"/>
      <c r="K797" s="85"/>
      <c r="L797" s="85"/>
      <c r="M797" s="85"/>
      <c r="N797" s="85"/>
      <c r="O797" s="85"/>
      <c r="P797" s="85"/>
      <c r="Q797" s="85"/>
      <c r="R797" s="85"/>
      <c r="S797" s="85"/>
      <c r="T797" s="85"/>
      <c r="U797" s="85"/>
      <c r="V797" s="84"/>
      <c r="W797" s="84"/>
      <c r="X797" s="84" t="str">
        <f>IF(COUNTA(Y797:EI797)=0,"Missing","OK")</f>
        <v>OK</v>
      </c>
      <c r="Y797" s="105"/>
      <c r="Z797" s="105"/>
      <c r="AA797" s="87"/>
      <c r="AB797" s="87"/>
      <c r="AC797" s="87"/>
      <c r="AD797" s="87"/>
      <c r="AE797" s="105"/>
      <c r="AF797" s="105"/>
      <c r="AG797" s="105"/>
      <c r="AH797" s="105"/>
      <c r="AI797" s="87"/>
      <c r="AJ797" s="87"/>
      <c r="AK797" s="87"/>
      <c r="AL797" s="87"/>
      <c r="AM797" s="87"/>
      <c r="AN797" s="87"/>
      <c r="AO797" s="87"/>
      <c r="AP797" s="87"/>
      <c r="AQ797" s="87"/>
      <c r="AR797" s="87"/>
      <c r="AS797" s="87"/>
      <c r="AT797" s="87"/>
      <c r="AU797" s="87"/>
      <c r="AV797" s="87"/>
      <c r="AW797" s="87"/>
      <c r="AX797" s="87"/>
      <c r="AY797" s="87"/>
      <c r="AZ797" s="87"/>
      <c r="BA797" s="87"/>
      <c r="BB797" s="87"/>
      <c r="BC797" s="87"/>
      <c r="BD797" s="87"/>
      <c r="BE797" s="87"/>
      <c r="BF797" s="87"/>
      <c r="BG797" s="87"/>
      <c r="BH797" s="87"/>
      <c r="BI797" s="87"/>
      <c r="BJ797" s="87"/>
      <c r="BK797" s="87"/>
      <c r="BL797" s="87"/>
      <c r="BM797" s="87"/>
      <c r="BN797" s="87"/>
      <c r="BO797" s="87"/>
      <c r="BP797" s="87"/>
      <c r="BQ797" s="87"/>
      <c r="BR797" s="87"/>
      <c r="BS797" s="87"/>
      <c r="BT797" s="87"/>
      <c r="BU797" s="87"/>
      <c r="BV797" s="87"/>
      <c r="BW797" s="87"/>
      <c r="BX797" s="87"/>
      <c r="BY797" s="87"/>
      <c r="BZ797" s="87"/>
      <c r="CA797" s="87"/>
      <c r="CB797" s="87"/>
      <c r="CC797" s="87"/>
      <c r="CD797" s="87"/>
      <c r="CE797" s="87"/>
      <c r="CF797" s="87"/>
      <c r="CG797" s="87"/>
      <c r="CH797" s="87"/>
      <c r="CI797" s="87"/>
      <c r="CJ797" s="87"/>
      <c r="CK797" s="87"/>
      <c r="CL797" s="105"/>
      <c r="CM797" s="105"/>
      <c r="CN797" s="105"/>
      <c r="CO797" s="105"/>
      <c r="CP797" s="105"/>
      <c r="CQ797" s="87"/>
      <c r="CR797" s="87"/>
      <c r="CS797" s="87"/>
      <c r="CT797" s="87"/>
      <c r="CU797" s="87"/>
      <c r="CV797" s="87"/>
      <c r="CW797" s="87"/>
      <c r="CX797" s="87"/>
      <c r="CY797" s="87"/>
      <c r="CZ797" s="87"/>
      <c r="DA797" s="87"/>
      <c r="DB797" s="87"/>
      <c r="DC797" s="87"/>
      <c r="DD797" s="87"/>
      <c r="DE797" s="87"/>
      <c r="DF797" s="87"/>
      <c r="DG797" s="87"/>
      <c r="DH797" s="87"/>
      <c r="DI797" s="87"/>
      <c r="DJ797" s="87"/>
      <c r="DK797" s="87"/>
      <c r="DL797" s="87"/>
      <c r="DM797" s="87"/>
      <c r="DN797" s="87"/>
      <c r="DO797" s="87"/>
      <c r="DP797" s="87"/>
      <c r="DQ797" s="87"/>
      <c r="DR797" s="87"/>
      <c r="DS797" s="87"/>
      <c r="DT797" s="87"/>
      <c r="DU797" s="87"/>
      <c r="DV797" s="105">
        <f>-C797</f>
        <v>-8.625</v>
      </c>
      <c r="DW797" s="87"/>
      <c r="DX797" s="87"/>
      <c r="DY797" s="105"/>
      <c r="DZ797" s="87">
        <f>C797*6/7</f>
        <v>7.3928571428571432</v>
      </c>
      <c r="EA797" s="87">
        <f>C797*1/7</f>
        <v>1.2321428571428572</v>
      </c>
      <c r="EB797" s="105"/>
      <c r="EC797" s="87"/>
      <c r="ED797" s="87"/>
      <c r="EE797" s="87"/>
      <c r="EF797" s="87"/>
      <c r="EG797" s="87"/>
      <c r="EH797" s="87"/>
      <c r="EI797" s="87"/>
    </row>
    <row r="798" spans="1:139" ht="29.25" hidden="1" thickBot="1" x14ac:dyDescent="0.35">
      <c r="A798" s="190" t="s">
        <v>127</v>
      </c>
      <c r="B798" s="191">
        <v>3</v>
      </c>
      <c r="C798" s="388">
        <f>150*0.1+35*0.85+5*0.9</f>
        <v>49.25</v>
      </c>
      <c r="D798" s="234">
        <f>C798/VLOOKUP(B798,'[2]Gas Prod per PADD'!$A$1:$C$6,2,FALSE)</f>
        <v>1.0706521739130434E-2</v>
      </c>
      <c r="E798" s="220">
        <v>45905</v>
      </c>
      <c r="F798" s="179">
        <v>45964</v>
      </c>
      <c r="G798" s="180" t="s">
        <v>1327</v>
      </c>
      <c r="H798" s="230" t="s">
        <v>1328</v>
      </c>
      <c r="I798" s="373"/>
      <c r="J798" s="374"/>
      <c r="K798" s="374"/>
      <c r="L798" s="374"/>
      <c r="M798" s="374"/>
      <c r="N798" s="374"/>
      <c r="O798" s="374"/>
      <c r="P798" s="374"/>
      <c r="Q798" s="374"/>
      <c r="R798" s="374"/>
      <c r="S798" s="374"/>
      <c r="T798" s="85"/>
      <c r="U798" s="85"/>
      <c r="V798" s="84"/>
      <c r="W798" s="84"/>
      <c r="X798" s="84"/>
      <c r="Y798" s="105"/>
      <c r="Z798" s="105"/>
      <c r="AA798" s="87"/>
      <c r="AB798" s="87"/>
      <c r="AC798" s="87"/>
      <c r="AD798" s="87"/>
      <c r="AE798" s="105"/>
      <c r="AF798" s="105"/>
      <c r="AG798" s="105"/>
      <c r="AH798" s="105"/>
      <c r="AI798" s="87"/>
      <c r="AJ798" s="87"/>
      <c r="AK798" s="105"/>
      <c r="AL798" s="87"/>
      <c r="AM798" s="105"/>
      <c r="AN798" s="105"/>
      <c r="AO798" s="87"/>
      <c r="AP798" s="87"/>
      <c r="AQ798" s="105"/>
      <c r="AR798" s="105"/>
      <c r="AS798" s="87"/>
      <c r="AT798" s="105"/>
      <c r="AU798" s="105"/>
      <c r="AV798" s="87"/>
      <c r="AW798" s="105"/>
      <c r="AX798" s="105"/>
      <c r="AY798" s="87"/>
      <c r="AZ798" s="105"/>
      <c r="BA798" s="105"/>
      <c r="BB798" s="105"/>
      <c r="BC798" s="87"/>
      <c r="BD798" s="87"/>
      <c r="BE798" s="105"/>
      <c r="BF798" s="105"/>
      <c r="BG798" s="105"/>
      <c r="BH798" s="105"/>
      <c r="BI798" s="105"/>
      <c r="BJ798" s="87"/>
      <c r="BK798" s="87"/>
      <c r="BL798" s="87"/>
      <c r="BM798" s="87"/>
      <c r="BN798" s="87"/>
      <c r="BO798" s="87"/>
      <c r="BP798" s="87"/>
      <c r="BQ798" s="87"/>
      <c r="BR798" s="87"/>
      <c r="BS798" s="87"/>
      <c r="BT798" s="87"/>
      <c r="BU798" s="87"/>
      <c r="BV798" s="87"/>
      <c r="BW798" s="87"/>
      <c r="BX798" s="87"/>
      <c r="BY798" s="87"/>
      <c r="BZ798" s="87"/>
      <c r="CA798" s="87"/>
      <c r="CB798" s="87"/>
      <c r="CC798" s="87"/>
      <c r="CD798" s="87"/>
      <c r="CE798" s="87"/>
      <c r="CF798" s="87"/>
      <c r="CG798" s="87"/>
      <c r="CH798" s="87"/>
      <c r="CI798" s="87"/>
      <c r="CJ798" s="87"/>
      <c r="CK798" s="87"/>
      <c r="CL798" s="87"/>
      <c r="CM798" s="87"/>
      <c r="CN798" s="87"/>
      <c r="CO798" s="87"/>
      <c r="CP798" s="87"/>
      <c r="CQ798" s="87"/>
      <c r="CR798" s="87"/>
      <c r="CS798" s="87"/>
      <c r="CT798" s="87"/>
      <c r="CU798" s="87"/>
      <c r="CV798" s="87"/>
      <c r="CW798" s="87"/>
      <c r="CX798" s="87"/>
      <c r="CY798" s="87"/>
      <c r="CZ798" s="87"/>
      <c r="DA798" s="87"/>
      <c r="DB798" s="87"/>
      <c r="DC798" s="87"/>
      <c r="DD798" s="87"/>
      <c r="DE798" s="87"/>
      <c r="DF798" s="87"/>
      <c r="DG798" s="87"/>
      <c r="DH798" s="87"/>
      <c r="DI798" s="87"/>
      <c r="DJ798" s="87"/>
      <c r="DK798" s="87"/>
      <c r="DL798" s="87"/>
      <c r="DM798" s="87"/>
      <c r="DN798" s="87"/>
      <c r="DO798" s="87"/>
      <c r="DP798" s="87"/>
      <c r="DQ798" s="87"/>
      <c r="DR798" s="87">
        <f>C798*-5/7</f>
        <v>-35.178571428571431</v>
      </c>
      <c r="DS798" s="105">
        <f>-C798-DR798</f>
        <v>-14.071428571428569</v>
      </c>
      <c r="DT798" s="87"/>
      <c r="DU798" s="87"/>
      <c r="DV798" s="87"/>
      <c r="DW798" s="87"/>
      <c r="DX798" s="87"/>
      <c r="DY798" s="87"/>
      <c r="DZ798" s="87"/>
      <c r="EA798" s="87">
        <f>3/7*C798</f>
        <v>21.107142857142858</v>
      </c>
      <c r="EB798" s="105">
        <f>C798-EA798</f>
        <v>28.142857142857142</v>
      </c>
      <c r="EC798" s="87"/>
      <c r="ED798" s="87"/>
      <c r="EE798" s="87"/>
      <c r="EF798" s="87"/>
      <c r="EG798" s="87"/>
      <c r="EH798" s="87"/>
      <c r="EI798" s="87"/>
    </row>
    <row r="799" spans="1:139" ht="16.5" hidden="1" thickBot="1" x14ac:dyDescent="0.35">
      <c r="A799" s="88" t="s">
        <v>117</v>
      </c>
      <c r="B799" s="199">
        <v>3</v>
      </c>
      <c r="C799" s="388">
        <f>270*0.1+(75*0.85)+(92*0.1)+(70*0.65*0.3)</f>
        <v>113.60000000000001</v>
      </c>
      <c r="D799" s="234">
        <f>C799/VLOOKUP(B799,'[2]Gas Prod per PADD'!$A$1:$C$6,2,FALSE)</f>
        <v>2.4695652173913046E-2</v>
      </c>
      <c r="E799" s="196">
        <v>45933</v>
      </c>
      <c r="F799" s="197">
        <v>45967</v>
      </c>
      <c r="G799" s="194" t="s">
        <v>1329</v>
      </c>
      <c r="H799" s="230" t="s">
        <v>1330</v>
      </c>
      <c r="I799" s="84"/>
      <c r="J799" s="85"/>
      <c r="K799" s="85"/>
      <c r="L799" s="85"/>
      <c r="M799" s="85"/>
      <c r="N799" s="85"/>
      <c r="O799" s="85"/>
      <c r="P799" s="85"/>
      <c r="Q799" s="85"/>
      <c r="R799" s="85"/>
      <c r="S799" s="85"/>
      <c r="T799" s="85"/>
      <c r="U799" s="85"/>
      <c r="V799" s="84"/>
      <c r="W799" s="84"/>
      <c r="X799" s="84"/>
      <c r="Y799" s="87"/>
      <c r="Z799" s="87"/>
      <c r="AA799" s="87"/>
      <c r="AB799" s="87"/>
      <c r="AC799" s="87"/>
      <c r="AD799" s="87"/>
      <c r="AE799" s="87"/>
      <c r="AF799" s="87"/>
      <c r="AG799" s="87"/>
      <c r="AH799" s="87"/>
      <c r="AI799" s="87"/>
      <c r="AJ799" s="87"/>
      <c r="AK799" s="87"/>
      <c r="AL799" s="87"/>
      <c r="AM799" s="87"/>
      <c r="AN799" s="87"/>
      <c r="AO799" s="87"/>
      <c r="AP799" s="87"/>
      <c r="AQ799" s="87"/>
      <c r="AR799" s="87"/>
      <c r="AS799" s="87"/>
      <c r="AT799" s="87"/>
      <c r="AU799" s="87"/>
      <c r="AV799" s="87"/>
      <c r="AW799" s="87"/>
      <c r="AX799" s="87"/>
      <c r="AY799" s="87"/>
      <c r="AZ799" s="87"/>
      <c r="BA799" s="87"/>
      <c r="BB799" s="87"/>
      <c r="BC799" s="87"/>
      <c r="BD799" s="87"/>
      <c r="BE799" s="87"/>
      <c r="BF799" s="87"/>
      <c r="BG799" s="87"/>
      <c r="BH799" s="87"/>
      <c r="BI799" s="87"/>
      <c r="BJ799" s="87"/>
      <c r="BK799" s="87"/>
      <c r="BL799" s="87"/>
      <c r="BM799" s="87"/>
      <c r="BN799" s="87"/>
      <c r="BO799" s="87"/>
      <c r="BP799" s="87"/>
      <c r="BQ799" s="87"/>
      <c r="BR799" s="87"/>
      <c r="BS799" s="87"/>
      <c r="BT799" s="87"/>
      <c r="BU799" s="87"/>
      <c r="BV799" s="87"/>
      <c r="BW799" s="87"/>
      <c r="BX799" s="87"/>
      <c r="BY799" s="87"/>
      <c r="BZ799" s="87"/>
      <c r="CA799" s="87"/>
      <c r="CB799" s="87"/>
      <c r="CC799" s="87"/>
      <c r="CD799" s="87"/>
      <c r="CE799" s="87"/>
      <c r="CF799" s="87"/>
      <c r="CG799" s="87"/>
      <c r="CH799" s="87"/>
      <c r="CI799" s="87"/>
      <c r="CJ799" s="87"/>
      <c r="CK799" s="87"/>
      <c r="CL799" s="87"/>
      <c r="CM799" s="87"/>
      <c r="CN799" s="87"/>
      <c r="CO799" s="87"/>
      <c r="CP799" s="87"/>
      <c r="CQ799" s="87"/>
      <c r="CR799" s="87"/>
      <c r="CS799" s="87"/>
      <c r="CT799" s="87"/>
      <c r="CU799" s="87"/>
      <c r="CV799" s="105"/>
      <c r="CW799" s="87"/>
      <c r="CX799" s="87"/>
      <c r="CY799" s="87"/>
      <c r="CZ799" s="87"/>
      <c r="DA799" s="87"/>
      <c r="DB799" s="87"/>
      <c r="DC799" s="87"/>
      <c r="DD799" s="87"/>
      <c r="DE799" s="87"/>
      <c r="DF799" s="87"/>
      <c r="DG799" s="87"/>
      <c r="DH799" s="87"/>
      <c r="DI799" s="87"/>
      <c r="DJ799" s="87"/>
      <c r="DK799" s="87"/>
      <c r="DL799" s="87"/>
      <c r="DM799" s="87"/>
      <c r="DN799" s="87"/>
      <c r="DO799" s="87"/>
      <c r="DP799" s="87"/>
      <c r="DQ799" s="87"/>
      <c r="DR799" s="87"/>
      <c r="DS799" s="87"/>
      <c r="DT799" s="87"/>
      <c r="DU799" s="87">
        <f>-1/7*C799</f>
        <v>-16.228571428571428</v>
      </c>
      <c r="DV799" s="87">
        <f>-6/7*C799</f>
        <v>-97.371428571428567</v>
      </c>
      <c r="DW799" s="87"/>
      <c r="DX799" s="87"/>
      <c r="DY799" s="87"/>
      <c r="DZ799" s="87">
        <f>-DU799</f>
        <v>16.228571428571428</v>
      </c>
      <c r="EA799" s="87">
        <f>-DV799</f>
        <v>97.371428571428567</v>
      </c>
      <c r="EB799" s="87"/>
      <c r="EC799" s="87"/>
      <c r="ED799" s="87"/>
      <c r="EE799" s="87"/>
      <c r="EF799" s="87"/>
      <c r="EG799" s="87"/>
      <c r="EH799" s="87"/>
      <c r="EI799" s="87"/>
    </row>
    <row r="800" spans="1:139" ht="43.5" hidden="1" thickBot="1" x14ac:dyDescent="0.35">
      <c r="A800" s="175" t="s">
        <v>357</v>
      </c>
      <c r="B800" s="191">
        <v>5</v>
      </c>
      <c r="C800" s="177">
        <f>(144*0.1)+(24*0.1)+(17*0.85)</f>
        <v>31.25</v>
      </c>
      <c r="D800" s="234">
        <f>C800/VLOOKUP(B800,'[2]Gas Prod per PADD'!$A$1:$C$6,2,FALSE)</f>
        <v>2.3148148148148147E-2</v>
      </c>
      <c r="E800" s="220">
        <v>45933</v>
      </c>
      <c r="F800" s="179">
        <v>45972</v>
      </c>
      <c r="G800" s="180" t="s">
        <v>1331</v>
      </c>
      <c r="H800" s="181" t="s">
        <v>666</v>
      </c>
      <c r="I800" s="371"/>
      <c r="J800" s="372"/>
      <c r="K800" s="372"/>
      <c r="L800" s="372"/>
      <c r="M800" s="372"/>
      <c r="N800" s="372"/>
      <c r="O800" s="372"/>
      <c r="P800" s="372"/>
      <c r="Q800" s="372"/>
      <c r="R800" s="372"/>
      <c r="S800" s="372"/>
      <c r="T800" s="85"/>
      <c r="U800" s="85"/>
      <c r="V800" s="84"/>
      <c r="W800" s="84"/>
      <c r="X800" s="84" t="str">
        <f>IF(COUNTA(Y800:EI800)=0,"Missing","OK")</f>
        <v>OK</v>
      </c>
      <c r="Y800" s="105"/>
      <c r="Z800" s="105"/>
      <c r="AA800" s="87"/>
      <c r="AB800" s="87"/>
      <c r="AC800" s="87"/>
      <c r="AD800" s="87"/>
      <c r="AE800" s="105"/>
      <c r="AF800" s="105"/>
      <c r="AG800" s="105"/>
      <c r="AH800" s="105"/>
      <c r="AI800" s="87"/>
      <c r="AJ800" s="87"/>
      <c r="AK800" s="105"/>
      <c r="AL800" s="87"/>
      <c r="AM800" s="105"/>
      <c r="AN800" s="105"/>
      <c r="AO800" s="87"/>
      <c r="AP800" s="87"/>
      <c r="AQ800" s="105"/>
      <c r="AR800" s="105"/>
      <c r="AS800" s="87"/>
      <c r="AT800" s="105"/>
      <c r="AU800" s="105"/>
      <c r="AV800" s="87"/>
      <c r="AW800" s="105"/>
      <c r="AX800" s="105"/>
      <c r="AY800" s="87"/>
      <c r="AZ800" s="105"/>
      <c r="BA800" s="105"/>
      <c r="BB800" s="105"/>
      <c r="BC800" s="87"/>
      <c r="BD800" s="87"/>
      <c r="BE800" s="105"/>
      <c r="BF800" s="105"/>
      <c r="BG800" s="105"/>
      <c r="BH800" s="105"/>
      <c r="BI800" s="105"/>
      <c r="BJ800" s="87"/>
      <c r="BK800" s="87"/>
      <c r="BL800" s="87"/>
      <c r="BM800" s="87"/>
      <c r="BN800" s="87"/>
      <c r="BO800" s="87"/>
      <c r="BP800" s="87"/>
      <c r="BQ800" s="87"/>
      <c r="BR800" s="87"/>
      <c r="BS800" s="87"/>
      <c r="BT800" s="87"/>
      <c r="BU800" s="87"/>
      <c r="BV800" s="87"/>
      <c r="BW800" s="87"/>
      <c r="BX800" s="87"/>
      <c r="BY800" s="87"/>
      <c r="BZ800" s="87"/>
      <c r="CA800" s="87"/>
      <c r="CB800" s="87"/>
      <c r="CC800" s="87"/>
      <c r="CD800" s="87"/>
      <c r="CE800" s="87"/>
      <c r="CF800" s="87"/>
      <c r="CG800" s="87"/>
      <c r="CH800" s="87"/>
      <c r="CI800" s="87"/>
      <c r="CJ800" s="87"/>
      <c r="CK800" s="87"/>
      <c r="CL800" s="87"/>
      <c r="CM800" s="87"/>
      <c r="CN800" s="87"/>
      <c r="CO800" s="87"/>
      <c r="CP800" s="87"/>
      <c r="CQ800" s="87"/>
      <c r="CR800" s="87"/>
      <c r="CS800" s="87"/>
      <c r="CT800" s="87"/>
      <c r="CU800" s="87"/>
      <c r="CV800" s="87"/>
      <c r="CW800" s="87"/>
      <c r="CX800" s="87"/>
      <c r="CY800" s="87"/>
      <c r="CZ800" s="87"/>
      <c r="DA800" s="87"/>
      <c r="DB800" s="87"/>
      <c r="DC800" s="87"/>
      <c r="DD800" s="87"/>
      <c r="DE800" s="87"/>
      <c r="DF800" s="87"/>
      <c r="DG800" s="87"/>
      <c r="DH800" s="87"/>
      <c r="DI800" s="87"/>
      <c r="DJ800" s="87"/>
      <c r="DK800" s="87"/>
      <c r="DL800" s="87"/>
      <c r="DM800" s="87"/>
      <c r="DN800" s="87"/>
      <c r="DO800" s="87"/>
      <c r="DP800" s="87"/>
      <c r="DQ800" s="87"/>
      <c r="DR800" s="105"/>
      <c r="DS800" s="87"/>
      <c r="DT800" s="87"/>
      <c r="DU800" s="87">
        <f>-1/7*C800</f>
        <v>-4.4642857142857144</v>
      </c>
      <c r="DV800" s="87">
        <f>-6/7*C800</f>
        <v>-26.785714285714285</v>
      </c>
      <c r="DW800" s="105"/>
      <c r="DX800" s="105"/>
      <c r="DY800" s="87"/>
      <c r="DZ800" s="87"/>
      <c r="EA800" s="87">
        <f>3/7*C800</f>
        <v>13.392857142857142</v>
      </c>
      <c r="EB800" s="87">
        <f>4/7*C800</f>
        <v>17.857142857142858</v>
      </c>
      <c r="EC800" s="87"/>
      <c r="ED800" s="87"/>
      <c r="EE800" s="87"/>
      <c r="EF800" s="87"/>
      <c r="EG800" s="87"/>
      <c r="EH800" s="87"/>
      <c r="EI800" s="87"/>
    </row>
    <row r="801" spans="1:139" ht="16.5" hidden="1" thickBot="1" x14ac:dyDescent="0.35">
      <c r="A801" s="190" t="s">
        <v>140</v>
      </c>
      <c r="B801" s="282">
        <v>3</v>
      </c>
      <c r="C801" s="396">
        <f>0.25*145</f>
        <v>36.25</v>
      </c>
      <c r="D801" s="234">
        <f>C801/VLOOKUP(B801,'[2]Gas Prod per PADD'!$A$1:$C$6,2,FALSE)</f>
        <v>7.8804347826086953E-3</v>
      </c>
      <c r="E801" s="225">
        <v>45955</v>
      </c>
      <c r="F801" s="226">
        <v>45975</v>
      </c>
      <c r="G801" s="180" t="s">
        <v>628</v>
      </c>
      <c r="H801" s="221" t="s">
        <v>379</v>
      </c>
      <c r="I801" s="84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4"/>
      <c r="W801" s="84"/>
      <c r="X801" s="84" t="str">
        <f>IF(COUNTA(Y801:EI801)=0,"Missing","OK")</f>
        <v>OK</v>
      </c>
      <c r="Y801" s="105"/>
      <c r="Z801" s="105"/>
      <c r="AA801" s="87"/>
      <c r="AB801" s="87"/>
      <c r="AC801" s="87"/>
      <c r="AD801" s="87"/>
      <c r="AE801" s="105"/>
      <c r="AF801" s="105"/>
      <c r="AG801" s="105"/>
      <c r="AH801" s="105"/>
      <c r="AI801" s="87"/>
      <c r="AJ801" s="87"/>
      <c r="AK801" s="87"/>
      <c r="AL801" s="87"/>
      <c r="AM801" s="87"/>
      <c r="AN801" s="87"/>
      <c r="AO801" s="87"/>
      <c r="AP801" s="87"/>
      <c r="AQ801" s="87"/>
      <c r="AR801" s="87"/>
      <c r="AS801" s="87"/>
      <c r="AT801" s="87"/>
      <c r="AU801" s="87"/>
      <c r="AV801" s="87"/>
      <c r="AW801" s="87"/>
      <c r="AX801" s="87"/>
      <c r="AY801" s="87"/>
      <c r="AZ801" s="87"/>
      <c r="BA801" s="87"/>
      <c r="BB801" s="87"/>
      <c r="BC801" s="87"/>
      <c r="BD801" s="87"/>
      <c r="BE801" s="87"/>
      <c r="BF801" s="87"/>
      <c r="BG801" s="87"/>
      <c r="BH801" s="87"/>
      <c r="BI801" s="87"/>
      <c r="BJ801" s="87"/>
      <c r="BK801" s="87"/>
      <c r="BL801" s="87"/>
      <c r="BM801" s="87"/>
      <c r="BN801" s="87"/>
      <c r="BO801" s="87"/>
      <c r="BP801" s="87"/>
      <c r="BQ801" s="87"/>
      <c r="BR801" s="87"/>
      <c r="BS801" s="87"/>
      <c r="BT801" s="87"/>
      <c r="BU801" s="87"/>
      <c r="BV801" s="87"/>
      <c r="BW801" s="87"/>
      <c r="BX801" s="87"/>
      <c r="BY801" s="87"/>
      <c r="BZ801" s="87"/>
      <c r="CA801" s="87"/>
      <c r="CB801" s="87"/>
      <c r="CC801" s="87"/>
      <c r="CD801" s="87"/>
      <c r="CE801" s="87"/>
      <c r="CF801" s="87"/>
      <c r="CG801" s="87"/>
      <c r="CH801" s="87"/>
      <c r="CI801" s="87"/>
      <c r="CJ801" s="87"/>
      <c r="CK801" s="87"/>
      <c r="CL801" s="105"/>
      <c r="CM801" s="105"/>
      <c r="CN801" s="105"/>
      <c r="CO801" s="105"/>
      <c r="CP801" s="105"/>
      <c r="CQ801" s="87"/>
      <c r="CR801" s="87"/>
      <c r="CS801" s="87"/>
      <c r="CT801" s="87"/>
      <c r="CU801" s="87"/>
      <c r="CV801" s="87"/>
      <c r="CW801" s="87"/>
      <c r="CX801" s="87"/>
      <c r="CY801" s="87"/>
      <c r="CZ801" s="87"/>
      <c r="DA801" s="87"/>
      <c r="DB801" s="87"/>
      <c r="DC801" s="87"/>
      <c r="DD801" s="87"/>
      <c r="DE801" s="87"/>
      <c r="DF801" s="87"/>
      <c r="DG801" s="87"/>
      <c r="DH801" s="87"/>
      <c r="DI801" s="87"/>
      <c r="DJ801" s="87"/>
      <c r="DK801" s="87"/>
      <c r="DL801" s="87"/>
      <c r="DM801" s="87"/>
      <c r="DN801" s="87"/>
      <c r="DO801" s="87"/>
      <c r="DP801" s="87"/>
      <c r="DQ801" s="87"/>
      <c r="DR801" s="87"/>
      <c r="DS801" s="87"/>
      <c r="DT801" s="87"/>
      <c r="DU801" s="87"/>
      <c r="DV801" s="87"/>
      <c r="DW801" s="87"/>
      <c r="DX801" s="87"/>
      <c r="DY801" s="105">
        <f>-C801</f>
        <v>-36.25</v>
      </c>
      <c r="DZ801" s="87"/>
      <c r="EA801" s="87"/>
      <c r="EB801" s="105">
        <f>C801</f>
        <v>36.25</v>
      </c>
      <c r="EC801" s="87"/>
      <c r="ED801" s="87"/>
      <c r="EE801" s="87"/>
      <c r="EF801" s="87"/>
      <c r="EG801" s="87"/>
      <c r="EH801" s="87"/>
      <c r="EI801" s="87"/>
    </row>
    <row r="802" spans="1:139" ht="29.25" hidden="1" thickBot="1" x14ac:dyDescent="0.35">
      <c r="A802" s="222" t="s">
        <v>1116</v>
      </c>
      <c r="B802" s="176">
        <v>3</v>
      </c>
      <c r="C802" s="177">
        <f>32*0.25</f>
        <v>8</v>
      </c>
      <c r="D802" s="217">
        <f>C802/VLOOKUP(B802,'[2]Gas Prod per PADD'!$A$1:$C$6,2,FALSE)</f>
        <v>1.7391304347826088E-3</v>
      </c>
      <c r="E802" s="178">
        <v>45791</v>
      </c>
      <c r="F802" s="292">
        <v>45976</v>
      </c>
      <c r="G802" s="180" t="s">
        <v>1332</v>
      </c>
      <c r="H802" s="377" t="s">
        <v>1333</v>
      </c>
      <c r="I802" s="84"/>
      <c r="J802" s="85"/>
      <c r="K802" s="85"/>
      <c r="L802" s="85"/>
      <c r="M802" s="85"/>
      <c r="N802" s="85"/>
      <c r="O802" s="85"/>
      <c r="P802" s="85"/>
      <c r="Q802" s="85"/>
      <c r="R802" s="85"/>
      <c r="S802" s="85"/>
      <c r="T802" s="85">
        <f>C802*(E802-$T$1)/31</f>
        <v>-4.387096774193548</v>
      </c>
      <c r="U802" s="85">
        <f>-C802</f>
        <v>-8</v>
      </c>
      <c r="V802" s="451">
        <f>-C802</f>
        <v>-8</v>
      </c>
      <c r="W802" s="84"/>
      <c r="X802" s="84"/>
      <c r="Y802" s="105"/>
      <c r="Z802" s="105"/>
      <c r="AA802" s="87"/>
      <c r="AB802" s="87"/>
      <c r="AC802" s="87"/>
      <c r="AD802" s="87"/>
      <c r="AE802" s="105"/>
      <c r="AF802" s="105"/>
      <c r="AG802" s="105"/>
      <c r="AH802" s="105"/>
      <c r="AI802" s="87"/>
      <c r="AJ802" s="87"/>
      <c r="AK802" s="105"/>
      <c r="AL802" s="87"/>
      <c r="AM802" s="87"/>
      <c r="AN802" s="87"/>
      <c r="AO802" s="87"/>
      <c r="AP802" s="87"/>
      <c r="AQ802" s="105"/>
      <c r="AR802" s="87"/>
      <c r="AS802" s="87"/>
      <c r="AT802" s="87"/>
      <c r="AU802" s="87"/>
      <c r="AV802" s="87"/>
      <c r="AW802" s="87"/>
      <c r="AX802" s="87"/>
      <c r="AY802" s="87"/>
      <c r="AZ802" s="87"/>
      <c r="BA802" s="87"/>
      <c r="BB802" s="87"/>
      <c r="BC802" s="87"/>
      <c r="BD802" s="87"/>
      <c r="BE802" s="87"/>
      <c r="BF802" s="87"/>
      <c r="BG802" s="87"/>
      <c r="BH802" s="87"/>
      <c r="BI802" s="87"/>
      <c r="BJ802" s="87"/>
      <c r="BK802" s="87"/>
      <c r="BL802" s="87"/>
      <c r="BM802" s="87"/>
      <c r="BN802" s="87"/>
      <c r="BO802" s="87"/>
      <c r="BP802" s="87"/>
      <c r="BQ802" s="87"/>
      <c r="BR802" s="87"/>
      <c r="BS802" s="87"/>
      <c r="BT802" s="87"/>
      <c r="BU802" s="87"/>
      <c r="BV802" s="87"/>
      <c r="BW802" s="87"/>
      <c r="BX802" s="87"/>
      <c r="BY802" s="87"/>
      <c r="BZ802" s="87"/>
      <c r="CA802" s="87"/>
      <c r="CB802" s="87"/>
      <c r="CC802" s="87"/>
      <c r="CD802" s="87"/>
      <c r="CE802" s="87"/>
      <c r="CF802" s="87"/>
      <c r="CG802" s="87"/>
      <c r="CH802" s="87"/>
      <c r="CI802" s="87"/>
      <c r="CJ802" s="87"/>
      <c r="CK802" s="87"/>
      <c r="CL802" s="87"/>
      <c r="CM802" s="87"/>
      <c r="CN802" s="87"/>
      <c r="CO802" s="87"/>
      <c r="CP802" s="87"/>
      <c r="CQ802" s="87"/>
      <c r="CR802" s="87"/>
      <c r="CS802" s="87"/>
      <c r="CT802" s="87"/>
      <c r="CU802" s="87"/>
      <c r="CV802" s="87"/>
      <c r="CW802" s="87"/>
      <c r="CX802" s="87"/>
      <c r="CY802" s="87"/>
      <c r="CZ802" s="87"/>
      <c r="DA802" s="87">
        <f>-2/7*C802</f>
        <v>-2.2857142857142856</v>
      </c>
      <c r="DB802" s="87">
        <f>-5/7*C802</f>
        <v>-5.7142857142857144</v>
      </c>
      <c r="DC802" s="87"/>
      <c r="DD802" s="87"/>
      <c r="DE802" s="87"/>
      <c r="DF802" s="87"/>
      <c r="DG802" s="87"/>
      <c r="DH802" s="87"/>
      <c r="DI802" s="87"/>
      <c r="DJ802" s="87"/>
      <c r="DK802" s="87"/>
      <c r="DL802" s="87"/>
      <c r="DM802" s="87"/>
      <c r="DN802" s="87"/>
      <c r="DO802" s="87"/>
      <c r="DP802" s="87"/>
      <c r="DQ802" s="87"/>
      <c r="DR802" s="87"/>
      <c r="DS802" s="87"/>
      <c r="DT802" s="87"/>
      <c r="DU802" s="87"/>
      <c r="DV802" s="87"/>
      <c r="DW802" s="87"/>
      <c r="DX802" s="87"/>
      <c r="DY802" s="87"/>
      <c r="DZ802" s="87"/>
      <c r="EA802" s="87"/>
      <c r="EB802" s="105">
        <f>C802</f>
        <v>8</v>
      </c>
      <c r="EC802" s="87"/>
      <c r="ED802" s="87"/>
      <c r="EE802" s="87"/>
      <c r="EF802" s="87"/>
      <c r="EG802" s="87"/>
      <c r="EH802" s="87"/>
      <c r="EI802" s="87"/>
    </row>
    <row r="803" spans="1:139" ht="29.25" hidden="1" thickBot="1" x14ac:dyDescent="0.35">
      <c r="A803" s="175" t="s">
        <v>85</v>
      </c>
      <c r="B803" s="191">
        <v>5</v>
      </c>
      <c r="C803" s="396">
        <f>(42*0.01)+(8.4*0.85)</f>
        <v>7.56</v>
      </c>
      <c r="D803" s="234">
        <f>C803/VLOOKUP(B803,'[2]Gas Prod per PADD'!$A$1:$C$6,2,FALSE)</f>
        <v>5.5999999999999999E-3</v>
      </c>
      <c r="E803" s="228">
        <v>45961</v>
      </c>
      <c r="F803" s="226">
        <v>46009</v>
      </c>
      <c r="G803" s="180" t="s">
        <v>1334</v>
      </c>
      <c r="H803" s="275" t="s">
        <v>1335</v>
      </c>
      <c r="I803" s="305" t="s">
        <v>1336</v>
      </c>
      <c r="J803" s="306"/>
      <c r="K803" s="306"/>
      <c r="L803" s="306"/>
      <c r="M803" s="306"/>
      <c r="N803" s="306"/>
      <c r="O803" s="306"/>
      <c r="P803" s="306"/>
      <c r="Q803" s="306"/>
      <c r="R803" s="306"/>
      <c r="S803" s="306"/>
      <c r="T803" s="85"/>
      <c r="U803" s="85"/>
      <c r="V803" s="84"/>
      <c r="W803" s="84"/>
      <c r="X803" s="84" t="str">
        <f>IF(COUNTA(Y803:EI803)=0,"Missing","OK")</f>
        <v>OK</v>
      </c>
      <c r="Y803" s="105"/>
      <c r="Z803" s="105"/>
      <c r="AA803" s="87"/>
      <c r="AB803" s="87"/>
      <c r="AC803" s="87"/>
      <c r="AD803" s="87"/>
      <c r="AE803" s="105"/>
      <c r="AF803" s="105"/>
      <c r="AG803" s="105"/>
      <c r="AH803" s="105"/>
      <c r="AI803" s="87"/>
      <c r="AJ803" s="87"/>
      <c r="AK803" s="105"/>
      <c r="AL803" s="87"/>
      <c r="AM803" s="105"/>
      <c r="AN803" s="105"/>
      <c r="AO803" s="87"/>
      <c r="AP803" s="87"/>
      <c r="AQ803" s="105"/>
      <c r="AR803" s="105"/>
      <c r="AS803" s="87"/>
      <c r="AT803" s="105"/>
      <c r="AU803" s="105"/>
      <c r="AV803" s="87"/>
      <c r="AW803" s="105"/>
      <c r="AX803" s="105"/>
      <c r="AY803" s="87"/>
      <c r="AZ803" s="105"/>
      <c r="BA803" s="105"/>
      <c r="BB803" s="105"/>
      <c r="BC803" s="87"/>
      <c r="BD803" s="87"/>
      <c r="BE803" s="105"/>
      <c r="BF803" s="105"/>
      <c r="BG803" s="105"/>
      <c r="BH803" s="105"/>
      <c r="BI803" s="105"/>
      <c r="BJ803" s="87"/>
      <c r="BK803" s="87"/>
      <c r="BL803" s="87"/>
      <c r="BM803" s="87"/>
      <c r="BN803" s="87"/>
      <c r="BO803" s="87"/>
      <c r="BP803" s="87"/>
      <c r="BQ803" s="87"/>
      <c r="BR803" s="87"/>
      <c r="BS803" s="87"/>
      <c r="BT803" s="87"/>
      <c r="BU803" s="87"/>
      <c r="BV803" s="87"/>
      <c r="BW803" s="87"/>
      <c r="BX803" s="87"/>
      <c r="BY803" s="87"/>
      <c r="BZ803" s="87"/>
      <c r="CA803" s="87"/>
      <c r="CB803" s="87"/>
      <c r="CC803" s="87"/>
      <c r="CD803" s="87"/>
      <c r="CE803" s="87"/>
      <c r="CF803" s="87"/>
      <c r="CG803" s="87"/>
      <c r="CH803" s="87"/>
      <c r="CI803" s="87"/>
      <c r="CJ803" s="87"/>
      <c r="CK803" s="87"/>
      <c r="CL803" s="87"/>
      <c r="CM803" s="87"/>
      <c r="CN803" s="87"/>
      <c r="CO803" s="87"/>
      <c r="CP803" s="87"/>
      <c r="CQ803" s="105"/>
      <c r="CR803" s="87"/>
      <c r="CS803" s="87"/>
      <c r="CT803" s="87"/>
      <c r="CU803" s="87"/>
      <c r="CV803" s="87"/>
      <c r="CW803" s="87"/>
      <c r="CX803" s="87"/>
      <c r="CY803" s="105"/>
      <c r="CZ803" s="87"/>
      <c r="DA803" s="87"/>
      <c r="DB803" s="87"/>
      <c r="DC803" s="87"/>
      <c r="DD803" s="87"/>
      <c r="DE803" s="87"/>
      <c r="DF803" s="87"/>
      <c r="DG803" s="87"/>
      <c r="DH803" s="87"/>
      <c r="DI803" s="87"/>
      <c r="DJ803" s="87"/>
      <c r="DK803" s="87"/>
      <c r="DL803" s="87"/>
      <c r="DM803" s="87"/>
      <c r="DN803" s="87"/>
      <c r="DO803" s="87"/>
      <c r="DP803" s="87"/>
      <c r="DQ803" s="87"/>
      <c r="DR803" s="87"/>
      <c r="DS803" s="87"/>
      <c r="DT803" s="87"/>
      <c r="DU803" s="87"/>
      <c r="DV803" s="87"/>
      <c r="DW803" s="87"/>
      <c r="DX803" s="87"/>
      <c r="DY803" s="87"/>
      <c r="DZ803" s="105">
        <f>-C803</f>
        <v>-7.56</v>
      </c>
      <c r="EA803" s="87"/>
      <c r="EB803" s="87"/>
      <c r="EC803" s="87"/>
      <c r="ED803" s="87"/>
      <c r="EE803" s="87"/>
      <c r="EF803" s="87">
        <f>C803*(1/7)</f>
        <v>1.0799999999999998</v>
      </c>
      <c r="EG803" s="87">
        <f>C803*(6/7)</f>
        <v>6.4799999999999995</v>
      </c>
      <c r="EH803" s="87"/>
      <c r="EI803" s="87"/>
    </row>
    <row r="804" spans="1:139" ht="16.5" hidden="1" thickBot="1" x14ac:dyDescent="0.35">
      <c r="A804" s="161" t="s">
        <v>212</v>
      </c>
      <c r="B804" s="194">
        <v>5</v>
      </c>
      <c r="C804" s="195">
        <f>8*0.25</f>
        <v>2</v>
      </c>
      <c r="D804" s="217">
        <f>C804/VLOOKUP(B804,'[2]Gas Prod per PADD'!$A$1:$C$6,2,FALSE)</f>
        <v>1.4814814814814814E-3</v>
      </c>
      <c r="E804" s="394">
        <v>45988</v>
      </c>
      <c r="F804" s="235">
        <v>46032</v>
      </c>
      <c r="G804" s="180" t="s">
        <v>1337</v>
      </c>
      <c r="H804" s="198" t="s">
        <v>1338</v>
      </c>
      <c r="I804" s="371"/>
      <c r="J804" s="372"/>
      <c r="K804" s="372"/>
      <c r="L804" s="372"/>
      <c r="M804" s="372"/>
      <c r="N804" s="372"/>
      <c r="O804" s="372"/>
      <c r="P804" s="372"/>
      <c r="Q804" s="372"/>
      <c r="R804" s="372"/>
      <c r="S804" s="372"/>
      <c r="T804" s="85"/>
      <c r="U804" s="85"/>
      <c r="V804" s="84"/>
      <c r="W804" s="84"/>
      <c r="X804" s="84"/>
      <c r="Y804" s="105"/>
      <c r="Z804" s="105"/>
      <c r="AA804" s="87"/>
      <c r="AB804" s="87"/>
      <c r="AC804" s="87"/>
      <c r="AD804" s="87"/>
      <c r="AE804" s="105"/>
      <c r="AF804" s="105"/>
      <c r="AG804" s="105"/>
      <c r="AH804" s="105"/>
      <c r="AI804" s="87"/>
      <c r="AJ804" s="87"/>
      <c r="AK804" s="105"/>
      <c r="AL804" s="87"/>
      <c r="AM804" s="105"/>
      <c r="AN804" s="105"/>
      <c r="AO804" s="87"/>
      <c r="AP804" s="87"/>
      <c r="AQ804" s="105"/>
      <c r="AR804" s="105"/>
      <c r="AS804" s="87"/>
      <c r="AT804" s="105"/>
      <c r="AU804" s="105"/>
      <c r="AV804" s="87"/>
      <c r="AW804" s="105"/>
      <c r="AX804" s="105"/>
      <c r="AY804" s="87"/>
      <c r="AZ804" s="105"/>
      <c r="BA804" s="105"/>
      <c r="BB804" s="105"/>
      <c r="BC804" s="87"/>
      <c r="BD804" s="87"/>
      <c r="BE804" s="105"/>
      <c r="BF804" s="105"/>
      <c r="BG804" s="105"/>
      <c r="BH804" s="105"/>
      <c r="BI804" s="105"/>
      <c r="BJ804" s="87"/>
      <c r="BK804" s="87"/>
      <c r="BL804" s="87"/>
      <c r="BM804" s="87"/>
      <c r="BN804" s="87"/>
      <c r="BO804" s="87"/>
      <c r="BP804" s="87"/>
      <c r="BQ804" s="87"/>
      <c r="BR804" s="87"/>
      <c r="BS804" s="87"/>
      <c r="BT804" s="87"/>
      <c r="BU804" s="87"/>
      <c r="BV804" s="87"/>
      <c r="BW804" s="87"/>
      <c r="BX804" s="87"/>
      <c r="BY804" s="87"/>
      <c r="BZ804" s="87"/>
      <c r="CA804" s="87"/>
      <c r="CB804" s="87"/>
      <c r="CC804" s="87"/>
      <c r="CD804" s="87"/>
      <c r="CE804" s="87"/>
      <c r="CF804" s="87"/>
      <c r="CG804" s="87"/>
      <c r="CH804" s="87"/>
      <c r="CI804" s="87"/>
      <c r="CJ804" s="87"/>
      <c r="CK804" s="87"/>
      <c r="CL804" s="87"/>
      <c r="CM804" s="87"/>
      <c r="CN804" s="87"/>
      <c r="CO804" s="87"/>
      <c r="CP804" s="87"/>
      <c r="CQ804" s="87"/>
      <c r="CR804" s="87"/>
      <c r="CS804" s="87"/>
      <c r="CT804" s="87"/>
      <c r="CU804" s="87"/>
      <c r="CV804" s="87"/>
      <c r="CW804" s="87"/>
      <c r="CX804" s="87"/>
      <c r="CY804" s="87"/>
      <c r="CZ804" s="87"/>
      <c r="DA804" s="87"/>
      <c r="DB804" s="87"/>
      <c r="DC804" s="87"/>
      <c r="DD804" s="87"/>
      <c r="DE804" s="87"/>
      <c r="DF804" s="87"/>
      <c r="DG804" s="87"/>
      <c r="DH804" s="87"/>
      <c r="DI804" s="87"/>
      <c r="DJ804" s="87"/>
      <c r="DK804" s="87"/>
      <c r="DL804" s="87"/>
      <c r="DM804" s="87"/>
      <c r="DN804" s="87"/>
      <c r="DO804" s="87"/>
      <c r="DP804" s="87"/>
      <c r="DQ804" s="87"/>
      <c r="DR804" s="105"/>
      <c r="DS804" s="87"/>
      <c r="DT804" s="87"/>
      <c r="DU804" s="87"/>
      <c r="DV804" s="87"/>
      <c r="DW804" s="87"/>
      <c r="DX804" s="105"/>
      <c r="DY804" s="105"/>
      <c r="DZ804" s="87"/>
      <c r="EA804" s="87"/>
      <c r="EB804" s="87"/>
      <c r="EC804" s="87">
        <f>-1/7*C804</f>
        <v>-0.2857142857142857</v>
      </c>
      <c r="ED804" s="87">
        <f>-6/7*C804</f>
        <v>-1.7142857142857142</v>
      </c>
      <c r="EE804" s="87"/>
      <c r="EF804" s="87"/>
      <c r="EG804" s="87"/>
      <c r="EH804" s="87"/>
      <c r="EI804" s="87"/>
    </row>
    <row r="805" spans="1:139" ht="16.5" hidden="1" thickBot="1" x14ac:dyDescent="0.35">
      <c r="A805" s="175" t="s">
        <v>352</v>
      </c>
      <c r="B805" s="191">
        <v>5</v>
      </c>
      <c r="C805" s="177">
        <f>103*0.25</f>
        <v>25.75</v>
      </c>
      <c r="D805" s="234">
        <f>C805/VLOOKUP(B805,'[2]Gas Prod per PADD'!$A$1:$C$6,2,FALSE)</f>
        <v>1.9074074074074073E-2</v>
      </c>
      <c r="E805" s="299">
        <v>46023</v>
      </c>
      <c r="F805" s="292">
        <f>E805+32</f>
        <v>46055</v>
      </c>
      <c r="G805" s="180" t="s">
        <v>1339</v>
      </c>
      <c r="H805" s="198" t="s">
        <v>1340</v>
      </c>
      <c r="I805" s="84"/>
      <c r="J805" s="85"/>
      <c r="K805" s="85"/>
      <c r="L805" s="85"/>
      <c r="M805" s="85"/>
      <c r="N805" s="85"/>
      <c r="O805" s="85"/>
      <c r="P805" s="85"/>
      <c r="Q805" s="85"/>
      <c r="R805" s="85"/>
      <c r="S805" s="85"/>
      <c r="T805" s="85"/>
      <c r="U805" s="85"/>
      <c r="V805" s="84"/>
      <c r="W805" s="84"/>
      <c r="X805" s="84" t="str">
        <f>IF(COUNTA(Y805:EI805)=0,"Missing","OK")</f>
        <v>Missing</v>
      </c>
      <c r="Y805" s="105"/>
      <c r="Z805" s="105"/>
      <c r="AA805" s="87"/>
      <c r="AB805" s="87"/>
      <c r="AC805" s="87"/>
      <c r="AD805" s="87"/>
      <c r="AE805" s="105"/>
      <c r="AF805" s="105"/>
      <c r="AG805" s="105"/>
      <c r="AH805" s="105"/>
      <c r="AI805" s="87"/>
      <c r="AJ805" s="87"/>
      <c r="AK805" s="105"/>
      <c r="AL805" s="87"/>
      <c r="AM805" s="105"/>
      <c r="AN805" s="105"/>
      <c r="AO805" s="87"/>
      <c r="AP805" s="87"/>
      <c r="AQ805" s="105"/>
      <c r="AR805" s="105"/>
      <c r="AS805" s="87"/>
      <c r="AT805" s="105"/>
      <c r="AU805" s="105"/>
      <c r="AV805" s="87"/>
      <c r="AW805" s="105"/>
      <c r="AX805" s="105"/>
      <c r="AY805" s="87"/>
      <c r="AZ805" s="105"/>
      <c r="BA805" s="105"/>
      <c r="BB805" s="105"/>
      <c r="BC805" s="87"/>
      <c r="BD805" s="87"/>
      <c r="BE805" s="105"/>
      <c r="BF805" s="105"/>
      <c r="BG805" s="105"/>
      <c r="BH805" s="105"/>
      <c r="BI805" s="105"/>
      <c r="BJ805" s="87"/>
      <c r="BK805" s="87"/>
      <c r="BL805" s="87"/>
      <c r="BM805" s="87"/>
      <c r="BN805" s="87"/>
      <c r="BO805" s="87"/>
      <c r="BP805" s="87"/>
      <c r="BQ805" s="87"/>
      <c r="BR805" s="87"/>
      <c r="BS805" s="87"/>
      <c r="BT805" s="87"/>
      <c r="BU805" s="87"/>
      <c r="BV805" s="87"/>
      <c r="BW805" s="87"/>
      <c r="BX805" s="87"/>
      <c r="BY805" s="87"/>
      <c r="BZ805" s="87"/>
      <c r="CA805" s="87"/>
      <c r="CB805" s="87"/>
      <c r="CC805" s="87"/>
      <c r="CD805" s="87"/>
      <c r="CE805" s="87"/>
      <c r="CF805" s="87"/>
      <c r="CG805" s="87"/>
      <c r="CH805" s="87"/>
      <c r="CI805" s="87"/>
      <c r="CJ805" s="87"/>
      <c r="CK805" s="87"/>
      <c r="CL805" s="87"/>
      <c r="CM805" s="87"/>
      <c r="CN805" s="87"/>
      <c r="CO805" s="87"/>
      <c r="CP805" s="87"/>
      <c r="CQ805" s="87"/>
      <c r="CR805" s="87"/>
      <c r="CS805" s="87"/>
      <c r="CT805" s="87"/>
      <c r="CU805" s="87"/>
      <c r="CV805" s="87"/>
      <c r="CW805" s="87"/>
      <c r="CX805" s="87"/>
      <c r="CY805" s="87"/>
      <c r="CZ805" s="87"/>
      <c r="DA805" s="87"/>
      <c r="DB805" s="87"/>
      <c r="DC805" s="87"/>
      <c r="DD805" s="87"/>
      <c r="DE805" s="87"/>
      <c r="DF805" s="87"/>
      <c r="DG805" s="87"/>
      <c r="DH805" s="87"/>
      <c r="DI805" s="87"/>
      <c r="DJ805" s="87"/>
      <c r="DK805" s="87"/>
      <c r="DL805" s="87"/>
      <c r="DM805" s="87"/>
      <c r="DN805" s="87"/>
      <c r="DO805" s="87"/>
      <c r="DP805" s="87"/>
      <c r="DQ805" s="87"/>
      <c r="DR805" s="87"/>
      <c r="DS805" s="87"/>
      <c r="DT805" s="87"/>
      <c r="DU805" s="87"/>
      <c r="DV805" s="87"/>
      <c r="DW805" s="87"/>
      <c r="DX805" s="87"/>
      <c r="DY805" s="87"/>
      <c r="DZ805" s="87"/>
      <c r="EA805" s="87"/>
      <c r="EB805" s="87"/>
      <c r="EC805" s="87"/>
      <c r="ED805" s="87"/>
      <c r="EE805" s="87"/>
      <c r="EF805" s="87"/>
      <c r="EG805" s="87"/>
      <c r="EH805" s="87"/>
      <c r="EI805" s="87"/>
    </row>
    <row r="806" spans="1:139" ht="16.5" hidden="1" thickBot="1" x14ac:dyDescent="0.35">
      <c r="A806" s="175" t="s">
        <v>260</v>
      </c>
      <c r="B806" s="176">
        <v>4</v>
      </c>
      <c r="C806" s="177">
        <f>11.5*0.65</f>
        <v>7.4750000000000005</v>
      </c>
      <c r="D806" s="234">
        <f>C806/VLOOKUP(B806,'[2]Gas Prod per PADD'!$A$1:$C$6,2,FALSE)</f>
        <v>2.1985294117647061E-2</v>
      </c>
      <c r="E806" s="179">
        <v>46059</v>
      </c>
      <c r="F806" s="179">
        <v>46088</v>
      </c>
      <c r="G806" s="180" t="s">
        <v>1341</v>
      </c>
      <c r="H806" s="198" t="s">
        <v>1342</v>
      </c>
      <c r="I806" s="84"/>
      <c r="J806" s="85"/>
      <c r="K806" s="85"/>
      <c r="L806" s="85"/>
      <c r="M806" s="85"/>
      <c r="N806" s="85"/>
      <c r="O806" s="85"/>
      <c r="P806" s="85"/>
      <c r="Q806" s="85"/>
      <c r="R806" s="85"/>
      <c r="S806" s="85"/>
      <c r="T806" s="85"/>
      <c r="U806" s="85"/>
      <c r="V806" s="84"/>
      <c r="W806" s="84"/>
      <c r="X806" s="84" t="str">
        <f>IF(COUNTA(Y806:EI806)=0,"Missing","OK")</f>
        <v>Missing</v>
      </c>
      <c r="Y806" s="105"/>
      <c r="Z806" s="105"/>
      <c r="AA806" s="87"/>
      <c r="AB806" s="87"/>
      <c r="AC806" s="87"/>
      <c r="AD806" s="87"/>
      <c r="AE806" s="105"/>
      <c r="AF806" s="105"/>
      <c r="AG806" s="105"/>
      <c r="AH806" s="105"/>
      <c r="AI806" s="87"/>
      <c r="AJ806" s="87"/>
      <c r="AK806" s="87"/>
      <c r="AL806" s="87"/>
      <c r="AM806" s="87"/>
      <c r="AN806" s="87"/>
      <c r="AO806" s="87"/>
      <c r="AP806" s="87"/>
      <c r="AQ806" s="87"/>
      <c r="AR806" s="87"/>
      <c r="AS806" s="87"/>
      <c r="AT806" s="87"/>
      <c r="AU806" s="87"/>
      <c r="AV806" s="87"/>
      <c r="AW806" s="87"/>
      <c r="AX806" s="87"/>
      <c r="AY806" s="87"/>
      <c r="AZ806" s="87"/>
      <c r="BA806" s="87"/>
      <c r="BB806" s="87"/>
      <c r="BC806" s="87"/>
      <c r="BD806" s="87"/>
      <c r="BE806" s="87"/>
      <c r="BF806" s="87"/>
      <c r="BG806" s="87"/>
      <c r="BH806" s="87"/>
      <c r="BI806" s="87"/>
      <c r="BJ806" s="87"/>
      <c r="BK806" s="87"/>
      <c r="BL806" s="87"/>
      <c r="BM806" s="87"/>
      <c r="BN806" s="87"/>
      <c r="BO806" s="87"/>
      <c r="BP806" s="87"/>
      <c r="BQ806" s="87"/>
      <c r="BR806" s="87"/>
      <c r="BS806" s="87"/>
      <c r="BT806" s="87"/>
      <c r="BU806" s="87"/>
      <c r="BV806" s="87"/>
      <c r="BW806" s="87"/>
      <c r="BX806" s="87"/>
      <c r="BY806" s="87"/>
      <c r="BZ806" s="87"/>
      <c r="CA806" s="87"/>
      <c r="CB806" s="87"/>
      <c r="CC806" s="87"/>
      <c r="CD806" s="87"/>
      <c r="CE806" s="87"/>
      <c r="CF806" s="87"/>
      <c r="CG806" s="87"/>
      <c r="CH806" s="87"/>
      <c r="CI806" s="87"/>
      <c r="CJ806" s="87"/>
      <c r="CK806" s="87"/>
      <c r="CL806" s="87"/>
      <c r="CM806" s="87"/>
      <c r="CN806" s="87"/>
      <c r="CO806" s="87"/>
      <c r="CP806" s="87"/>
      <c r="CQ806" s="87"/>
      <c r="CR806" s="87"/>
      <c r="CS806" s="87"/>
      <c r="CT806" s="87"/>
      <c r="CU806" s="87"/>
      <c r="CV806" s="87"/>
      <c r="CW806" s="87"/>
      <c r="CX806" s="87"/>
      <c r="CY806" s="87"/>
      <c r="CZ806" s="87"/>
      <c r="DA806" s="87"/>
      <c r="DB806" s="87"/>
      <c r="DC806" s="87"/>
      <c r="DD806" s="87"/>
      <c r="DE806" s="87"/>
      <c r="DF806" s="87"/>
      <c r="DG806" s="87"/>
      <c r="DH806" s="87"/>
      <c r="DI806" s="87"/>
      <c r="DJ806" s="87"/>
      <c r="DK806" s="87"/>
      <c r="DL806" s="87"/>
      <c r="DM806" s="87"/>
      <c r="DN806" s="87"/>
      <c r="DO806" s="87"/>
      <c r="DP806" s="87"/>
      <c r="DQ806" s="87"/>
      <c r="DR806" s="87"/>
      <c r="DS806" s="87"/>
      <c r="DT806" s="87"/>
      <c r="DU806" s="87"/>
      <c r="DV806" s="87"/>
      <c r="DW806" s="87"/>
      <c r="DX806" s="87"/>
      <c r="DY806" s="87"/>
      <c r="DZ806" s="87"/>
      <c r="EA806" s="87"/>
      <c r="EB806" s="87"/>
      <c r="EC806" s="87"/>
      <c r="ED806" s="87"/>
      <c r="EE806" s="87"/>
      <c r="EF806" s="87"/>
      <c r="EG806" s="87"/>
      <c r="EH806" s="87"/>
      <c r="EI806" s="87"/>
    </row>
    <row r="807" spans="1:139" ht="29.25" hidden="1" thickBot="1" x14ac:dyDescent="0.35">
      <c r="A807" s="222" t="s">
        <v>162</v>
      </c>
      <c r="B807" s="191">
        <v>3</v>
      </c>
      <c r="C807" s="177">
        <f>60*0.25</f>
        <v>15</v>
      </c>
      <c r="D807" s="234">
        <f>C807/VLOOKUP(B807,'[2]Gas Prod per PADD'!$A$1:$C$6,2,FALSE)</f>
        <v>3.2608695652173911E-3</v>
      </c>
      <c r="E807" s="220">
        <v>46034</v>
      </c>
      <c r="F807" s="179">
        <v>46094</v>
      </c>
      <c r="G807" s="180" t="s">
        <v>1343</v>
      </c>
      <c r="H807" s="230" t="s">
        <v>1344</v>
      </c>
      <c r="I807" s="373"/>
      <c r="J807" s="374"/>
      <c r="K807" s="374"/>
      <c r="L807" s="374"/>
      <c r="M807" s="374"/>
      <c r="N807" s="374"/>
      <c r="O807" s="374"/>
      <c r="P807" s="374"/>
      <c r="Q807" s="374"/>
      <c r="R807" s="374"/>
      <c r="S807" s="374"/>
      <c r="T807" s="85"/>
      <c r="U807" s="85"/>
      <c r="V807" s="84"/>
      <c r="W807" s="84"/>
      <c r="X807" s="84" t="str">
        <f>IF(COUNTA(Y807:EI807)=0,"Missing","OK")</f>
        <v>Missing</v>
      </c>
      <c r="Y807" s="105"/>
      <c r="Z807" s="105"/>
      <c r="AA807" s="87"/>
      <c r="AB807" s="87"/>
      <c r="AC807" s="87"/>
      <c r="AD807" s="87"/>
      <c r="AE807" s="105"/>
      <c r="AF807" s="105"/>
      <c r="AG807" s="105"/>
      <c r="AH807" s="105"/>
      <c r="AI807" s="87"/>
      <c r="AJ807" s="87"/>
      <c r="AK807" s="105"/>
      <c r="AL807" s="87"/>
      <c r="AM807" s="105"/>
      <c r="AN807" s="105"/>
      <c r="AO807" s="87"/>
      <c r="AP807" s="87"/>
      <c r="AQ807" s="105"/>
      <c r="AR807" s="105"/>
      <c r="AS807" s="87"/>
      <c r="AT807" s="105"/>
      <c r="AU807" s="105"/>
      <c r="AV807" s="87"/>
      <c r="AW807" s="105"/>
      <c r="AX807" s="105"/>
      <c r="AY807" s="87"/>
      <c r="AZ807" s="105"/>
      <c r="BA807" s="105"/>
      <c r="BB807" s="105"/>
      <c r="BC807" s="87"/>
      <c r="BD807" s="87"/>
      <c r="BE807" s="105"/>
      <c r="BF807" s="105"/>
      <c r="BG807" s="105"/>
      <c r="BH807" s="105"/>
      <c r="BI807" s="105"/>
      <c r="BJ807" s="87"/>
      <c r="BK807" s="87"/>
      <c r="BL807" s="87"/>
      <c r="BM807" s="87"/>
      <c r="BN807" s="87"/>
      <c r="BO807" s="87"/>
      <c r="BP807" s="87"/>
      <c r="BQ807" s="87"/>
      <c r="BR807" s="87"/>
      <c r="BS807" s="87"/>
      <c r="BT807" s="87"/>
      <c r="BU807" s="87"/>
      <c r="BV807" s="87"/>
      <c r="BW807" s="87"/>
      <c r="BX807" s="87"/>
      <c r="BY807" s="87"/>
      <c r="BZ807" s="87"/>
      <c r="CA807" s="87"/>
      <c r="CB807" s="87"/>
      <c r="CC807" s="87"/>
      <c r="CD807" s="87"/>
      <c r="CE807" s="87"/>
      <c r="CF807" s="87"/>
      <c r="CG807" s="87"/>
      <c r="CH807" s="87"/>
      <c r="CI807" s="87"/>
      <c r="CJ807" s="87"/>
      <c r="CK807" s="87"/>
      <c r="CL807" s="87"/>
      <c r="CM807" s="87"/>
      <c r="CN807" s="87"/>
      <c r="CO807" s="87"/>
      <c r="CP807" s="87"/>
      <c r="CQ807" s="87"/>
      <c r="CR807" s="87"/>
      <c r="CS807" s="87"/>
      <c r="CT807" s="87"/>
      <c r="CU807" s="87"/>
      <c r="CV807" s="87"/>
      <c r="CW807" s="87"/>
      <c r="CX807" s="87"/>
      <c r="CY807" s="87"/>
      <c r="CZ807" s="87"/>
      <c r="DA807" s="87"/>
      <c r="DB807" s="87"/>
      <c r="DC807" s="87"/>
      <c r="DD807" s="87"/>
      <c r="DE807" s="87"/>
      <c r="DF807" s="87"/>
      <c r="DG807" s="87"/>
      <c r="DH807" s="87"/>
      <c r="DI807" s="87"/>
      <c r="DJ807" s="87"/>
      <c r="DK807" s="87"/>
      <c r="DL807" s="87"/>
      <c r="DM807" s="87"/>
      <c r="DN807" s="87"/>
      <c r="DO807" s="87"/>
      <c r="DP807" s="87"/>
      <c r="DQ807" s="87"/>
      <c r="DR807" s="87"/>
      <c r="DS807" s="105"/>
      <c r="DT807" s="87"/>
      <c r="DU807" s="87"/>
      <c r="DV807" s="87"/>
      <c r="DW807" s="87"/>
      <c r="DX807" s="87"/>
      <c r="DY807" s="87"/>
      <c r="DZ807" s="87"/>
      <c r="EA807" s="87"/>
      <c r="EB807" s="87"/>
      <c r="EC807" s="87"/>
      <c r="ED807" s="87"/>
      <c r="EE807" s="87"/>
      <c r="EF807" s="87"/>
      <c r="EG807" s="87"/>
      <c r="EH807" s="87"/>
      <c r="EI807" s="87"/>
    </row>
    <row r="808" spans="1:139" ht="29.25" hidden="1" thickBot="1" x14ac:dyDescent="0.35">
      <c r="A808" s="190" t="s">
        <v>173</v>
      </c>
      <c r="B808" s="191">
        <v>3</v>
      </c>
      <c r="C808" s="195">
        <f>21.5*0.85+(25*0.65)+(73*0.1)</f>
        <v>41.825000000000003</v>
      </c>
      <c r="D808" s="217">
        <f>C808/VLOOKUP(B808,'[2]Gas Prod per PADD'!$A$1:$C$6,2,FALSE)</f>
        <v>9.0923913043478265E-3</v>
      </c>
      <c r="E808" s="220">
        <v>46066</v>
      </c>
      <c r="F808" s="179">
        <v>46106</v>
      </c>
      <c r="G808" s="180" t="s">
        <v>1345</v>
      </c>
      <c r="H808" s="230" t="s">
        <v>1346</v>
      </c>
      <c r="I808" s="373" t="s">
        <v>1347</v>
      </c>
      <c r="J808" s="374"/>
      <c r="K808" s="374"/>
      <c r="L808" s="374"/>
      <c r="M808" s="374"/>
      <c r="N808" s="374"/>
      <c r="O808" s="374"/>
      <c r="P808" s="374"/>
      <c r="Q808" s="374"/>
      <c r="R808" s="374"/>
      <c r="S808" s="374"/>
      <c r="T808" s="85"/>
      <c r="U808" s="85"/>
      <c r="V808" s="84"/>
      <c r="W808" s="84"/>
      <c r="X808" s="84" t="str">
        <f>IF(COUNTA(Y808:EI808)=0,"Missing","OK")</f>
        <v>Missing</v>
      </c>
      <c r="Y808" s="105"/>
      <c r="Z808" s="105"/>
      <c r="AA808" s="87"/>
      <c r="AB808" s="87"/>
      <c r="AC808" s="87"/>
      <c r="AD808" s="87"/>
      <c r="AE808" s="105"/>
      <c r="AF808" s="105"/>
      <c r="AG808" s="105"/>
      <c r="AH808" s="105"/>
      <c r="AI808" s="87"/>
      <c r="AJ808" s="87"/>
      <c r="AK808" s="105"/>
      <c r="AL808" s="87"/>
      <c r="AM808" s="105"/>
      <c r="AN808" s="105"/>
      <c r="AO808" s="87"/>
      <c r="AP808" s="87"/>
      <c r="AQ808" s="105"/>
      <c r="AR808" s="105"/>
      <c r="AS808" s="87"/>
      <c r="AT808" s="105"/>
      <c r="AU808" s="105"/>
      <c r="AV808" s="87"/>
      <c r="AW808" s="105"/>
      <c r="AX808" s="105"/>
      <c r="AY808" s="87"/>
      <c r="AZ808" s="105"/>
      <c r="BA808" s="105"/>
      <c r="BB808" s="105"/>
      <c r="BC808" s="87"/>
      <c r="BD808" s="87"/>
      <c r="BE808" s="105"/>
      <c r="BF808" s="105"/>
      <c r="BG808" s="105"/>
      <c r="BH808" s="105"/>
      <c r="BI808" s="105"/>
      <c r="BJ808" s="87"/>
      <c r="BK808" s="87"/>
      <c r="BL808" s="87"/>
      <c r="BM808" s="87"/>
      <c r="BN808" s="87"/>
      <c r="BO808" s="87"/>
      <c r="BP808" s="87"/>
      <c r="BQ808" s="87"/>
      <c r="BR808" s="87"/>
      <c r="BS808" s="87"/>
      <c r="BT808" s="87"/>
      <c r="BU808" s="87"/>
      <c r="BV808" s="87"/>
      <c r="BW808" s="87"/>
      <c r="BX808" s="87"/>
      <c r="BY808" s="87"/>
      <c r="BZ808" s="87"/>
      <c r="CA808" s="87"/>
      <c r="CB808" s="87"/>
      <c r="CC808" s="87"/>
      <c r="CD808" s="87"/>
      <c r="CE808" s="87"/>
      <c r="CF808" s="87"/>
      <c r="CG808" s="87"/>
      <c r="CH808" s="87"/>
      <c r="CI808" s="87"/>
      <c r="CJ808" s="87"/>
      <c r="CK808" s="87"/>
      <c r="CL808" s="87"/>
      <c r="CM808" s="87"/>
      <c r="CN808" s="87"/>
      <c r="CO808" s="87"/>
      <c r="CP808" s="87"/>
      <c r="CQ808" s="87"/>
      <c r="CR808" s="87"/>
      <c r="CS808" s="87"/>
      <c r="CT808" s="87"/>
      <c r="CU808" s="87"/>
      <c r="CV808" s="87"/>
      <c r="CW808" s="87"/>
      <c r="CX808" s="87"/>
      <c r="CY808" s="87"/>
      <c r="CZ808" s="87"/>
      <c r="DA808" s="87"/>
      <c r="DB808" s="87"/>
      <c r="DC808" s="87"/>
      <c r="DD808" s="87"/>
      <c r="DE808" s="87"/>
      <c r="DF808" s="87"/>
      <c r="DG808" s="87"/>
      <c r="DH808" s="87"/>
      <c r="DI808" s="87"/>
      <c r="DJ808" s="87"/>
      <c r="DK808" s="87"/>
      <c r="DL808" s="87"/>
      <c r="DM808" s="87"/>
      <c r="DN808" s="87"/>
      <c r="DO808" s="87"/>
      <c r="DP808" s="87"/>
      <c r="DQ808" s="87"/>
      <c r="DR808" s="87"/>
      <c r="DS808" s="105"/>
      <c r="DT808" s="87"/>
      <c r="DU808" s="87"/>
      <c r="DV808" s="87"/>
      <c r="DW808" s="87"/>
      <c r="DX808" s="87"/>
      <c r="DY808" s="87"/>
      <c r="DZ808" s="87"/>
      <c r="EA808" s="87"/>
      <c r="EB808" s="87"/>
      <c r="EC808" s="87"/>
      <c r="ED808" s="87"/>
      <c r="EE808" s="87"/>
      <c r="EF808" s="87"/>
      <c r="EG808" s="87"/>
      <c r="EH808" s="87"/>
      <c r="EI808" s="87"/>
    </row>
    <row r="809" spans="1:139" ht="16.5" hidden="1" thickBot="1" x14ac:dyDescent="0.35">
      <c r="A809" s="175" t="s">
        <v>357</v>
      </c>
      <c r="B809" s="191">
        <v>5</v>
      </c>
      <c r="C809" s="177">
        <f>(24*0.25)</f>
        <v>6</v>
      </c>
      <c r="D809" s="234">
        <f>C809/VLOOKUP(B809,'[2]Gas Prod per PADD'!$A$1:$C$6,2,FALSE)</f>
        <v>4.4444444444444444E-3</v>
      </c>
      <c r="E809" s="220">
        <v>46054</v>
      </c>
      <c r="F809" s="179">
        <v>46111</v>
      </c>
      <c r="G809" s="180" t="s">
        <v>1348</v>
      </c>
      <c r="H809" s="181" t="s">
        <v>1349</v>
      </c>
      <c r="I809" s="84"/>
      <c r="J809" s="85"/>
      <c r="K809" s="85"/>
      <c r="L809" s="85"/>
      <c r="M809" s="85"/>
      <c r="N809" s="85"/>
      <c r="O809" s="85"/>
      <c r="P809" s="85"/>
      <c r="Q809" s="85"/>
      <c r="R809" s="85"/>
      <c r="S809" s="85"/>
      <c r="T809" s="85"/>
      <c r="U809" s="85"/>
      <c r="V809" s="84"/>
      <c r="W809" s="84"/>
      <c r="X809" s="84"/>
      <c r="Y809" s="105"/>
      <c r="Z809" s="105"/>
      <c r="AA809" s="87"/>
      <c r="AB809" s="87"/>
      <c r="AC809" s="87"/>
      <c r="AD809" s="87"/>
      <c r="AE809" s="105"/>
      <c r="AF809" s="105"/>
      <c r="AG809" s="105"/>
      <c r="AH809" s="105"/>
      <c r="AI809" s="87"/>
      <c r="AJ809" s="87"/>
      <c r="AK809" s="105"/>
      <c r="AL809" s="87"/>
      <c r="AM809" s="105"/>
      <c r="AN809" s="105"/>
      <c r="AO809" s="87"/>
      <c r="AP809" s="87"/>
      <c r="AQ809" s="105"/>
      <c r="AR809" s="105"/>
      <c r="AS809" s="87"/>
      <c r="AT809" s="105"/>
      <c r="AU809" s="87"/>
      <c r="AV809" s="105"/>
      <c r="AW809" s="105"/>
      <c r="AX809" s="105"/>
      <c r="AY809" s="87"/>
      <c r="AZ809" s="105"/>
      <c r="BA809" s="105"/>
      <c r="BB809" s="105"/>
      <c r="BC809" s="105"/>
      <c r="BD809" s="105"/>
      <c r="BE809" s="105"/>
      <c r="BF809" s="87"/>
      <c r="BG809" s="87"/>
      <c r="BH809" s="87"/>
      <c r="BI809" s="87"/>
      <c r="BJ809" s="87"/>
      <c r="BK809" s="87"/>
      <c r="BL809" s="87"/>
      <c r="BM809" s="87"/>
      <c r="BN809" s="87"/>
      <c r="BO809" s="87"/>
      <c r="BP809" s="87"/>
      <c r="BQ809" s="87"/>
      <c r="BR809" s="87"/>
      <c r="BS809" s="87"/>
      <c r="BT809" s="87"/>
      <c r="BU809" s="87"/>
      <c r="BV809" s="87"/>
      <c r="BW809" s="87"/>
      <c r="BX809" s="87"/>
      <c r="BY809" s="87"/>
      <c r="BZ809" s="87"/>
      <c r="CA809" s="87"/>
      <c r="CB809" s="87"/>
      <c r="CC809" s="87"/>
      <c r="CD809" s="87"/>
      <c r="CE809" s="87"/>
      <c r="CF809" s="87"/>
      <c r="CG809" s="87"/>
      <c r="CH809" s="87"/>
      <c r="CI809" s="87"/>
      <c r="CJ809" s="87"/>
      <c r="CK809" s="87"/>
      <c r="CL809" s="87"/>
      <c r="CM809" s="87"/>
      <c r="CN809" s="87"/>
      <c r="CO809" s="87"/>
      <c r="CP809" s="87"/>
      <c r="CQ809" s="87"/>
      <c r="CR809" s="87"/>
      <c r="CS809" s="87"/>
      <c r="CT809" s="87"/>
      <c r="CU809" s="87"/>
      <c r="CV809" s="87"/>
      <c r="CW809" s="87"/>
      <c r="CX809" s="87"/>
      <c r="CY809" s="87"/>
      <c r="CZ809" s="87"/>
      <c r="DA809" s="87"/>
      <c r="DB809" s="87"/>
      <c r="DC809" s="87"/>
      <c r="DD809" s="87"/>
      <c r="DE809" s="87"/>
      <c r="DF809" s="87"/>
      <c r="DG809" s="87"/>
      <c r="DH809" s="87"/>
      <c r="DI809" s="87"/>
      <c r="DJ809" s="87"/>
      <c r="DK809" s="87"/>
      <c r="DL809" s="87"/>
      <c r="DM809" s="87"/>
      <c r="DN809" s="87"/>
      <c r="DO809" s="87"/>
      <c r="DP809" s="87"/>
      <c r="DQ809" s="87"/>
      <c r="DR809" s="105"/>
      <c r="DS809" s="87"/>
      <c r="DT809" s="87"/>
      <c r="DU809" s="87"/>
      <c r="DV809" s="87"/>
      <c r="DW809" s="87"/>
      <c r="DX809" s="87"/>
      <c r="DY809" s="87"/>
      <c r="DZ809" s="87"/>
      <c r="EA809" s="87"/>
      <c r="EB809" s="87"/>
      <c r="EC809" s="87"/>
      <c r="ED809" s="87"/>
      <c r="EE809" s="87"/>
      <c r="EF809" s="87"/>
      <c r="EG809" s="87"/>
      <c r="EH809" s="87"/>
      <c r="EI809" s="87"/>
    </row>
    <row r="810" spans="1:139" ht="43.5" hidden="1" thickBot="1" x14ac:dyDescent="0.35">
      <c r="A810" s="353" t="s">
        <v>597</v>
      </c>
      <c r="B810" s="176">
        <v>2</v>
      </c>
      <c r="C810" s="177">
        <f>58*0.65+(189*0.25*0.3)+(18*0.25*0.3)</f>
        <v>53.225000000000001</v>
      </c>
      <c r="D810" s="234">
        <f>C810/VLOOKUP(B810,'[2]Gas Prod per PADD'!$A$1:$C$6,2,FALSE)</f>
        <v>2.2177083333333333E-2</v>
      </c>
      <c r="E810" s="292">
        <v>46101</v>
      </c>
      <c r="F810" s="292">
        <v>46151</v>
      </c>
      <c r="G810" s="180" t="s">
        <v>1350</v>
      </c>
      <c r="H810" s="293" t="s">
        <v>1351</v>
      </c>
      <c r="I810" s="84"/>
      <c r="J810" s="85"/>
      <c r="K810" s="85"/>
      <c r="L810" s="85"/>
      <c r="M810" s="85"/>
      <c r="N810" s="85"/>
      <c r="O810" s="85"/>
      <c r="P810" s="85"/>
      <c r="Q810" s="85"/>
      <c r="R810" s="85"/>
      <c r="S810" s="85"/>
      <c r="T810" s="85"/>
      <c r="U810" s="85"/>
      <c r="V810" s="84"/>
      <c r="W810" s="84"/>
      <c r="X810" s="84" t="str">
        <f t="shared" ref="X810:X818" si="38">IF(COUNTA(Y810:EI810)=0,"Missing","OK")</f>
        <v>Missing</v>
      </c>
      <c r="Y810" s="105"/>
      <c r="Z810" s="105"/>
      <c r="AA810" s="87"/>
      <c r="AB810" s="87"/>
      <c r="AC810" s="87"/>
      <c r="AD810" s="87"/>
      <c r="AE810" s="105"/>
      <c r="AF810" s="105"/>
      <c r="AG810" s="105"/>
      <c r="AH810" s="105"/>
      <c r="AI810" s="87"/>
      <c r="AJ810" s="87"/>
      <c r="AK810" s="105"/>
      <c r="AL810" s="87"/>
      <c r="AM810" s="105"/>
      <c r="AN810" s="105"/>
      <c r="AO810" s="87"/>
      <c r="AP810" s="87"/>
      <c r="AQ810" s="105"/>
      <c r="AR810" s="105"/>
      <c r="AS810" s="87"/>
      <c r="AT810" s="105"/>
      <c r="AU810" s="105"/>
      <c r="AV810" s="87"/>
      <c r="AW810" s="105"/>
      <c r="AX810" s="105"/>
      <c r="AY810" s="87"/>
      <c r="AZ810" s="105"/>
      <c r="BA810" s="105"/>
      <c r="BB810" s="105"/>
      <c r="BC810" s="87"/>
      <c r="BD810" s="87"/>
      <c r="BE810" s="105"/>
      <c r="BF810" s="105"/>
      <c r="BG810" s="105"/>
      <c r="BH810" s="105"/>
      <c r="BI810" s="105"/>
      <c r="BJ810" s="87"/>
      <c r="BK810" s="87"/>
      <c r="BL810" s="87"/>
      <c r="BM810" s="87"/>
      <c r="BN810" s="87"/>
      <c r="BO810" s="87"/>
      <c r="BP810" s="87"/>
      <c r="BQ810" s="87"/>
      <c r="BR810" s="87"/>
      <c r="BS810" s="87"/>
      <c r="BT810" s="87"/>
      <c r="BU810" s="87"/>
      <c r="BV810" s="87"/>
      <c r="BW810" s="87"/>
      <c r="BX810" s="87"/>
      <c r="BY810" s="105"/>
      <c r="BZ810" s="87"/>
      <c r="CA810" s="87"/>
      <c r="CB810" s="87"/>
      <c r="CC810" s="87"/>
      <c r="CD810" s="87"/>
      <c r="CE810" s="87"/>
      <c r="CF810" s="87"/>
      <c r="CG810" s="87"/>
      <c r="CH810" s="87"/>
      <c r="CI810" s="87"/>
      <c r="CJ810" s="87"/>
      <c r="CK810" s="87"/>
      <c r="CL810" s="87"/>
      <c r="CM810" s="87"/>
      <c r="CN810" s="87"/>
      <c r="CO810" s="87"/>
      <c r="CP810" s="87"/>
      <c r="CQ810" s="87"/>
      <c r="CR810" s="87"/>
      <c r="CS810" s="87"/>
      <c r="CT810" s="87"/>
      <c r="CU810" s="105"/>
      <c r="CV810" s="87"/>
      <c r="CW810" s="87"/>
      <c r="CX810" s="87"/>
      <c r="CY810" s="87"/>
      <c r="CZ810" s="87"/>
      <c r="DA810" s="87"/>
      <c r="DB810" s="105"/>
      <c r="DC810" s="105"/>
      <c r="DD810" s="105"/>
      <c r="DE810" s="87"/>
      <c r="DF810" s="87"/>
      <c r="DG810" s="87"/>
      <c r="DH810" s="87"/>
      <c r="DI810" s="87"/>
      <c r="DJ810" s="87"/>
      <c r="DK810" s="87"/>
      <c r="DL810" s="87"/>
      <c r="DM810" s="87"/>
      <c r="DN810" s="87"/>
      <c r="DO810" s="87"/>
      <c r="DP810" s="87"/>
      <c r="DQ810" s="87"/>
      <c r="DR810" s="87"/>
      <c r="DS810" s="87"/>
      <c r="DT810" s="87"/>
      <c r="DU810" s="87"/>
      <c r="DV810" s="87"/>
      <c r="DW810" s="87"/>
      <c r="DX810" s="87"/>
      <c r="DY810" s="87"/>
      <c r="DZ810" s="87"/>
      <c r="EA810" s="87"/>
      <c r="EB810" s="87"/>
      <c r="EC810" s="87"/>
      <c r="ED810" s="87"/>
      <c r="EE810" s="87"/>
      <c r="EF810" s="87"/>
      <c r="EG810" s="87"/>
      <c r="EH810" s="87"/>
      <c r="EI810" s="87"/>
    </row>
    <row r="811" spans="1:139" ht="29.25" hidden="1" thickBot="1" x14ac:dyDescent="0.35">
      <c r="A811" s="351" t="s">
        <v>237</v>
      </c>
      <c r="B811" s="282">
        <v>2</v>
      </c>
      <c r="C811" s="177">
        <f>(90*0.1)+(65*0.65)</f>
        <v>51.25</v>
      </c>
      <c r="D811" s="234">
        <f>C811/VLOOKUP(B811,'[2]Gas Prod per PADD'!$A$1:$C$6,2,FALSE)</f>
        <v>2.1354166666666667E-2</v>
      </c>
      <c r="E811" s="292">
        <v>46270</v>
      </c>
      <c r="F811" s="292">
        <v>46329</v>
      </c>
      <c r="G811" s="180" t="s">
        <v>1352</v>
      </c>
      <c r="H811" s="277" t="s">
        <v>1353</v>
      </c>
      <c r="I811" s="84"/>
      <c r="J811" s="85"/>
      <c r="K811" s="85"/>
      <c r="L811" s="85"/>
      <c r="M811" s="85"/>
      <c r="N811" s="85"/>
      <c r="O811" s="85"/>
      <c r="P811" s="85"/>
      <c r="Q811" s="85"/>
      <c r="R811" s="85"/>
      <c r="S811" s="85"/>
      <c r="T811" s="85"/>
      <c r="U811" s="85"/>
      <c r="V811" s="84"/>
      <c r="W811" s="84"/>
      <c r="X811" s="84" t="str">
        <f t="shared" si="38"/>
        <v>Missing</v>
      </c>
      <c r="Y811" s="87"/>
      <c r="Z811" s="87"/>
      <c r="AA811" s="87"/>
      <c r="AB811" s="87"/>
      <c r="AC811" s="87"/>
      <c r="AD811" s="87"/>
      <c r="AE811" s="87"/>
      <c r="AF811" s="87"/>
      <c r="AG811" s="87"/>
      <c r="AH811" s="87"/>
      <c r="AI811" s="87"/>
      <c r="AJ811" s="87"/>
      <c r="AK811" s="87"/>
      <c r="AL811" s="87"/>
      <c r="AM811" s="87"/>
      <c r="AN811" s="87"/>
      <c r="AO811" s="87"/>
      <c r="AP811" s="87"/>
      <c r="AQ811" s="87"/>
      <c r="AR811" s="87"/>
      <c r="AS811" s="87"/>
      <c r="AT811" s="87"/>
      <c r="AU811" s="87"/>
      <c r="AV811" s="87"/>
      <c r="AW811" s="87"/>
      <c r="AX811" s="87"/>
      <c r="AY811" s="87"/>
      <c r="AZ811" s="87"/>
      <c r="BA811" s="87"/>
      <c r="BB811" s="87"/>
      <c r="BC811" s="87"/>
      <c r="BD811" s="87"/>
      <c r="BE811" s="87"/>
      <c r="BF811" s="87"/>
      <c r="BG811" s="87"/>
      <c r="BH811" s="87"/>
      <c r="BI811" s="87"/>
      <c r="BJ811" s="87"/>
      <c r="BK811" s="87"/>
      <c r="BL811" s="87"/>
      <c r="BM811" s="87"/>
      <c r="BN811" s="87"/>
      <c r="BO811" s="87"/>
      <c r="BP811" s="87"/>
      <c r="BQ811" s="87"/>
      <c r="BR811" s="87"/>
      <c r="BS811" s="87"/>
      <c r="BT811" s="87"/>
      <c r="BU811" s="87"/>
      <c r="BV811" s="87"/>
      <c r="BW811" s="87"/>
      <c r="BX811" s="87"/>
      <c r="BY811" s="87"/>
      <c r="BZ811" s="87"/>
      <c r="CA811" s="87"/>
      <c r="CB811" s="87"/>
      <c r="CC811" s="87"/>
      <c r="CD811" s="87"/>
      <c r="CE811" s="87"/>
      <c r="CF811" s="87"/>
      <c r="CG811" s="87"/>
      <c r="CH811" s="87"/>
      <c r="CI811" s="87"/>
      <c r="CJ811" s="87"/>
      <c r="CK811" s="87"/>
      <c r="CL811" s="87"/>
      <c r="CM811" s="87"/>
      <c r="CN811" s="87"/>
      <c r="CO811" s="87"/>
      <c r="CP811" s="87"/>
      <c r="CQ811" s="87"/>
      <c r="CR811" s="87"/>
      <c r="CS811" s="87"/>
      <c r="CT811" s="87"/>
      <c r="CU811" s="87"/>
      <c r="CV811" s="87"/>
      <c r="CW811" s="87"/>
      <c r="CX811" s="87"/>
      <c r="CY811" s="87"/>
      <c r="CZ811" s="87"/>
      <c r="DA811" s="87"/>
      <c r="DB811" s="87"/>
      <c r="DC811" s="87"/>
      <c r="DD811" s="87"/>
      <c r="DE811" s="87"/>
      <c r="DF811" s="87"/>
      <c r="DG811" s="87"/>
      <c r="DH811" s="87"/>
      <c r="DI811" s="87"/>
      <c r="DJ811" s="87"/>
      <c r="DK811" s="87"/>
      <c r="DL811" s="87"/>
      <c r="DM811" s="87"/>
      <c r="DN811" s="87"/>
      <c r="DO811" s="87"/>
      <c r="DP811" s="87"/>
      <c r="DQ811" s="105"/>
      <c r="DR811" s="87"/>
      <c r="DS811" s="87"/>
      <c r="DT811" s="87"/>
      <c r="DU811" s="87"/>
      <c r="DV811" s="87"/>
      <c r="DW811" s="87"/>
      <c r="DX811" s="87"/>
      <c r="DY811" s="87"/>
      <c r="DZ811" s="105"/>
      <c r="EA811" s="105"/>
      <c r="EB811" s="87"/>
      <c r="EC811" s="87"/>
      <c r="ED811" s="87"/>
      <c r="EE811" s="87"/>
      <c r="EF811" s="87"/>
      <c r="EG811" s="87"/>
      <c r="EH811" s="87"/>
      <c r="EI811" s="87"/>
    </row>
    <row r="812" spans="1:139" ht="16.5" hidden="1" thickBot="1" x14ac:dyDescent="0.35">
      <c r="A812" s="218" t="s">
        <v>386</v>
      </c>
      <c r="B812" s="194">
        <v>4</v>
      </c>
      <c r="C812" s="224">
        <f>(13*0.65)+(8*0.85)</f>
        <v>15.25</v>
      </c>
      <c r="D812" s="234">
        <f>C812/VLOOKUP(B812,'[2]Gas Prod per PADD'!$A$1:$C$6,2,FALSE)</f>
        <v>4.4852941176470588E-2</v>
      </c>
      <c r="E812" s="231">
        <v>46312</v>
      </c>
      <c r="F812" s="197">
        <v>46362</v>
      </c>
      <c r="G812" s="194" t="s">
        <v>1354</v>
      </c>
      <c r="H812" s="198" t="s">
        <v>1355</v>
      </c>
      <c r="I812" s="84"/>
      <c r="J812" s="85"/>
      <c r="K812" s="85"/>
      <c r="L812" s="85"/>
      <c r="M812" s="85"/>
      <c r="N812" s="85"/>
      <c r="O812" s="85"/>
      <c r="P812" s="85"/>
      <c r="Q812" s="85"/>
      <c r="R812" s="85"/>
      <c r="S812" s="85"/>
      <c r="T812" s="85"/>
      <c r="U812" s="85"/>
      <c r="V812" s="84"/>
      <c r="W812" s="84"/>
      <c r="X812" s="84" t="str">
        <f t="shared" si="38"/>
        <v>Missing</v>
      </c>
      <c r="Y812" s="87"/>
      <c r="Z812" s="87"/>
      <c r="AA812" s="87"/>
      <c r="AB812" s="87"/>
      <c r="AC812" s="87"/>
      <c r="AD812" s="87"/>
      <c r="AE812" s="87"/>
      <c r="AF812" s="87"/>
      <c r="AG812" s="87"/>
      <c r="AH812" s="87"/>
      <c r="AI812" s="87"/>
      <c r="AJ812" s="87"/>
      <c r="AK812" s="87"/>
      <c r="AL812" s="87"/>
      <c r="AM812" s="87"/>
      <c r="AN812" s="87"/>
      <c r="AO812" s="87"/>
      <c r="AP812" s="87"/>
      <c r="AQ812" s="87"/>
      <c r="AR812" s="87"/>
      <c r="AS812" s="87"/>
      <c r="AT812" s="87"/>
      <c r="AU812" s="87"/>
      <c r="AV812" s="87"/>
      <c r="AW812" s="87"/>
      <c r="AX812" s="87"/>
      <c r="AY812" s="87"/>
      <c r="AZ812" s="87"/>
      <c r="BA812" s="87"/>
      <c r="BB812" s="87"/>
      <c r="BC812" s="87"/>
      <c r="BD812" s="87"/>
      <c r="BE812" s="87"/>
      <c r="BF812" s="87"/>
      <c r="BG812" s="87"/>
      <c r="BH812" s="87"/>
      <c r="BI812" s="87"/>
      <c r="BJ812" s="87"/>
      <c r="BK812" s="87"/>
      <c r="BL812" s="87"/>
      <c r="BM812" s="87"/>
      <c r="BN812" s="87"/>
      <c r="BO812" s="87"/>
      <c r="BP812" s="87"/>
      <c r="BQ812" s="87"/>
      <c r="BR812" s="87"/>
      <c r="BS812" s="87"/>
      <c r="BT812" s="87"/>
      <c r="BU812" s="87"/>
      <c r="BV812" s="87"/>
      <c r="BW812" s="87"/>
      <c r="BX812" s="87"/>
      <c r="BY812" s="87"/>
      <c r="BZ812" s="87"/>
      <c r="CA812" s="87"/>
      <c r="CB812" s="87"/>
      <c r="CC812" s="87"/>
      <c r="CD812" s="87"/>
      <c r="CE812" s="87"/>
      <c r="CF812" s="87"/>
      <c r="CG812" s="87"/>
      <c r="CH812" s="87"/>
      <c r="CI812" s="87"/>
      <c r="CJ812" s="87"/>
      <c r="CK812" s="87"/>
      <c r="CL812" s="87"/>
      <c r="CM812" s="87"/>
      <c r="CN812" s="87"/>
      <c r="CO812" s="87"/>
      <c r="CP812" s="87"/>
      <c r="CQ812" s="87"/>
      <c r="CR812" s="87"/>
      <c r="CS812" s="87"/>
      <c r="CT812" s="87"/>
      <c r="CU812" s="87"/>
      <c r="CV812" s="87"/>
      <c r="CW812" s="87"/>
      <c r="CX812" s="87"/>
      <c r="CY812" s="87"/>
      <c r="CZ812" s="87"/>
      <c r="DA812" s="87"/>
      <c r="DB812" s="87"/>
      <c r="DC812" s="87"/>
      <c r="DD812" s="87"/>
      <c r="DE812" s="87"/>
      <c r="DF812" s="87"/>
      <c r="DG812" s="87"/>
      <c r="DH812" s="87"/>
      <c r="DI812" s="87"/>
      <c r="DJ812" s="87"/>
      <c r="DK812" s="87"/>
      <c r="DL812" s="87"/>
      <c r="DM812" s="87"/>
      <c r="DN812" s="87"/>
      <c r="DO812" s="87"/>
      <c r="DP812" s="87"/>
      <c r="DQ812" s="87"/>
      <c r="DR812" s="87"/>
      <c r="DS812" s="87"/>
      <c r="DT812" s="87"/>
      <c r="DU812" s="87"/>
      <c r="DV812" s="87"/>
      <c r="DW812" s="87"/>
      <c r="DX812" s="87"/>
      <c r="DY812" s="87"/>
      <c r="DZ812" s="87"/>
      <c r="EA812" s="87"/>
      <c r="EB812" s="87"/>
      <c r="EC812" s="87"/>
      <c r="ED812" s="87"/>
      <c r="EE812" s="87"/>
      <c r="EF812" s="87"/>
      <c r="EG812" s="87"/>
      <c r="EH812" s="87"/>
      <c r="EI812" s="87"/>
    </row>
    <row r="813" spans="1:139" ht="43.5" hidden="1" thickBot="1" x14ac:dyDescent="0.35">
      <c r="A813" s="222" t="s">
        <v>451</v>
      </c>
      <c r="B813" s="191">
        <v>3</v>
      </c>
      <c r="C813" s="177">
        <f>290*0.1+(97*0.65)+(0.99*0.1)+(42*0.85)</f>
        <v>127.84900000000002</v>
      </c>
      <c r="D813" s="234">
        <f>C813/VLOOKUP(B813,'[2]Gas Prod per PADD'!$A$1:$C$6,2,FALSE)</f>
        <v>2.7793260869565222E-2</v>
      </c>
      <c r="E813" s="178">
        <v>45681</v>
      </c>
      <c r="F813" s="179" t="s">
        <v>1356</v>
      </c>
      <c r="G813" s="180" t="s">
        <v>1357</v>
      </c>
      <c r="H813" s="181" t="s">
        <v>1358</v>
      </c>
      <c r="I813" s="84"/>
      <c r="J813" s="85"/>
      <c r="K813" s="85"/>
      <c r="L813" s="85"/>
      <c r="M813" s="85"/>
      <c r="N813" s="85"/>
      <c r="O813" s="85"/>
      <c r="P813" s="85">
        <f>C813*(E813-$P$1)/31</f>
        <v>-28.869129032258069</v>
      </c>
      <c r="Q813" s="85">
        <f>-C813</f>
        <v>-127.84900000000002</v>
      </c>
      <c r="R813" s="85">
        <f>-C813</f>
        <v>-127.84900000000002</v>
      </c>
      <c r="S813" s="85">
        <f>-C813</f>
        <v>-127.84900000000002</v>
      </c>
      <c r="T813" s="85">
        <f>-C813</f>
        <v>-127.84900000000002</v>
      </c>
      <c r="U813" s="85">
        <f>-C813</f>
        <v>-127.84900000000002</v>
      </c>
      <c r="V813" s="451">
        <f>-C813</f>
        <v>-127.84900000000002</v>
      </c>
      <c r="W813" s="84"/>
      <c r="X813" s="84" t="str">
        <f t="shared" si="38"/>
        <v>OK</v>
      </c>
      <c r="Y813" s="87"/>
      <c r="Z813" s="87"/>
      <c r="AA813" s="87"/>
      <c r="AB813" s="87"/>
      <c r="AC813" s="87"/>
      <c r="AD813" s="87"/>
      <c r="AE813" s="87"/>
      <c r="AF813" s="87"/>
      <c r="AG813" s="87"/>
      <c r="AH813" s="87"/>
      <c r="AI813" s="87"/>
      <c r="AJ813" s="87"/>
      <c r="AK813" s="87"/>
      <c r="AL813" s="87"/>
      <c r="AM813" s="87"/>
      <c r="AN813" s="87"/>
      <c r="AO813" s="87"/>
      <c r="AP813" s="87"/>
      <c r="AQ813" s="87"/>
      <c r="AR813" s="87"/>
      <c r="AS813" s="87"/>
      <c r="AT813" s="87"/>
      <c r="AU813" s="87"/>
      <c r="AV813" s="87"/>
      <c r="AW813" s="87"/>
      <c r="AX813" s="87"/>
      <c r="AY813" s="87"/>
      <c r="AZ813" s="87"/>
      <c r="BA813" s="87"/>
      <c r="BB813" s="87"/>
      <c r="BC813" s="87"/>
      <c r="BD813" s="87"/>
      <c r="BE813" s="87"/>
      <c r="BF813" s="87"/>
      <c r="BG813" s="87"/>
      <c r="BH813" s="87"/>
      <c r="BI813" s="87"/>
      <c r="BJ813" s="87"/>
      <c r="BK813" s="87"/>
      <c r="BL813" s="87"/>
      <c r="BM813" s="87"/>
      <c r="BN813" s="87"/>
      <c r="BO813" s="87"/>
      <c r="BP813" s="87"/>
      <c r="BQ813" s="87"/>
      <c r="BR813" s="87"/>
      <c r="BS813" s="87"/>
      <c r="BT813" s="87"/>
      <c r="BU813" s="87"/>
      <c r="BV813" s="87"/>
      <c r="BW813" s="87"/>
      <c r="BX813" s="87"/>
      <c r="BY813" s="87"/>
      <c r="BZ813" s="87"/>
      <c r="CA813" s="87"/>
      <c r="CB813" s="87"/>
      <c r="CC813" s="87"/>
      <c r="CD813" s="87"/>
      <c r="CE813" s="87"/>
      <c r="CF813" s="87"/>
      <c r="CG813" s="87"/>
      <c r="CH813" s="87"/>
      <c r="CI813" s="87"/>
      <c r="CJ813" s="87"/>
      <c r="CK813" s="87"/>
      <c r="CL813" s="87">
        <v>-20</v>
      </c>
      <c r="CM813" s="105">
        <v>-50</v>
      </c>
      <c r="CN813" s="87"/>
      <c r="CO813" s="87"/>
      <c r="CP813" s="339">
        <f>-58</f>
        <v>-58</v>
      </c>
      <c r="CQ813" s="339"/>
      <c r="CR813" s="87"/>
      <c r="CS813" s="87"/>
      <c r="CT813" s="87"/>
      <c r="CU813" s="87"/>
      <c r="CV813" s="87"/>
      <c r="CW813" s="87"/>
      <c r="CX813" s="87"/>
      <c r="CY813" s="87"/>
      <c r="CZ813" s="87"/>
      <c r="DA813" s="87"/>
      <c r="DB813" s="87"/>
      <c r="DC813" s="87"/>
      <c r="DD813" s="87"/>
      <c r="DE813" s="87"/>
      <c r="DF813" s="87"/>
      <c r="DG813" s="87"/>
      <c r="DH813" s="87"/>
      <c r="DI813" s="87"/>
      <c r="DJ813" s="87"/>
      <c r="DK813" s="87"/>
      <c r="DL813" s="87"/>
      <c r="DM813" s="87"/>
      <c r="DN813" s="87"/>
      <c r="DO813" s="87"/>
      <c r="DP813" s="87"/>
      <c r="DQ813" s="87"/>
      <c r="DR813" s="87"/>
      <c r="DS813" s="87"/>
      <c r="DT813" s="87"/>
      <c r="DU813" s="87"/>
      <c r="DV813" s="87"/>
      <c r="DW813" s="87"/>
      <c r="DX813" s="87"/>
      <c r="DY813" s="87"/>
      <c r="DZ813" s="87"/>
      <c r="EA813" s="87"/>
      <c r="EB813" s="87"/>
      <c r="EC813" s="87"/>
      <c r="ED813" s="87"/>
      <c r="EE813" s="87"/>
      <c r="EF813" s="87"/>
      <c r="EG813" s="87"/>
      <c r="EH813" s="87"/>
      <c r="EI813" s="87"/>
    </row>
    <row r="814" spans="1:139" ht="16.5" hidden="1" thickBot="1" x14ac:dyDescent="0.35">
      <c r="A814" s="161" t="s">
        <v>212</v>
      </c>
      <c r="B814" s="194">
        <v>5</v>
      </c>
      <c r="C814" s="195">
        <f>155*0.25*0</f>
        <v>0</v>
      </c>
      <c r="D814" s="217">
        <f>C814/VLOOKUP(B814,'[2]Gas Prod per PADD'!$A$1:$C$6,2,FALSE)</f>
        <v>0</v>
      </c>
      <c r="E814" s="398" t="s">
        <v>133</v>
      </c>
      <c r="F814" s="290" t="s">
        <v>133</v>
      </c>
      <c r="G814" s="194" t="s">
        <v>1359</v>
      </c>
      <c r="H814" s="230" t="s">
        <v>1360</v>
      </c>
      <c r="I814" s="305" t="s">
        <v>1361</v>
      </c>
      <c r="J814" s="306"/>
      <c r="K814" s="306"/>
      <c r="L814" s="306"/>
      <c r="M814" s="306"/>
      <c r="N814" s="306"/>
      <c r="O814" s="306"/>
      <c r="P814" s="306"/>
      <c r="Q814" s="306"/>
      <c r="R814" s="306"/>
      <c r="S814" s="306"/>
      <c r="T814" s="85"/>
      <c r="U814" s="85"/>
      <c r="V814" s="84"/>
      <c r="W814" s="84"/>
      <c r="X814" s="84" t="str">
        <f t="shared" si="38"/>
        <v>Missing</v>
      </c>
      <c r="Y814" s="105"/>
      <c r="Z814" s="105"/>
      <c r="AA814" s="87"/>
      <c r="AB814" s="87"/>
      <c r="AC814" s="87"/>
      <c r="AD814" s="87"/>
      <c r="AE814" s="105"/>
      <c r="AF814" s="105"/>
      <c r="AG814" s="105"/>
      <c r="AH814" s="105"/>
      <c r="AI814" s="87"/>
      <c r="AJ814" s="87"/>
      <c r="AK814" s="105"/>
      <c r="AL814" s="87"/>
      <c r="AM814" s="105"/>
      <c r="AN814" s="105"/>
      <c r="AO814" s="87"/>
      <c r="AP814" s="87"/>
      <c r="AQ814" s="105"/>
      <c r="AR814" s="105"/>
      <c r="AS814" s="87"/>
      <c r="AT814" s="105"/>
      <c r="AU814" s="105"/>
      <c r="AV814" s="87"/>
      <c r="AW814" s="105"/>
      <c r="AX814" s="105"/>
      <c r="AY814" s="87"/>
      <c r="AZ814" s="105"/>
      <c r="BA814" s="105"/>
      <c r="BB814" s="105"/>
      <c r="BC814" s="87"/>
      <c r="BD814" s="87"/>
      <c r="BE814" s="105"/>
      <c r="BF814" s="105"/>
      <c r="BG814" s="105"/>
      <c r="BH814" s="105"/>
      <c r="BI814" s="105"/>
      <c r="BJ814" s="87"/>
      <c r="BK814" s="87"/>
      <c r="BL814" s="87"/>
      <c r="BM814" s="87"/>
      <c r="BN814" s="87"/>
      <c r="BO814" s="87"/>
      <c r="BP814" s="87"/>
      <c r="BQ814" s="87"/>
      <c r="BR814" s="87"/>
      <c r="BS814" s="87"/>
      <c r="BT814" s="87"/>
      <c r="BU814" s="87"/>
      <c r="BV814" s="87"/>
      <c r="BW814" s="87"/>
      <c r="BX814" s="87"/>
      <c r="BY814" s="87"/>
      <c r="BZ814" s="87"/>
      <c r="CA814" s="87"/>
      <c r="CB814" s="87"/>
      <c r="CC814" s="87"/>
      <c r="CD814" s="87"/>
      <c r="CE814" s="87"/>
      <c r="CF814" s="87"/>
      <c r="CG814" s="87"/>
      <c r="CH814" s="87"/>
      <c r="CI814" s="87"/>
      <c r="CJ814" s="87"/>
      <c r="CK814" s="87"/>
      <c r="CL814" s="87"/>
      <c r="CM814" s="87"/>
      <c r="CN814" s="87"/>
      <c r="CO814" s="87"/>
      <c r="CP814" s="87"/>
      <c r="CQ814" s="87"/>
      <c r="CR814" s="87"/>
      <c r="CS814" s="87"/>
      <c r="CT814" s="87"/>
      <c r="CU814" s="87"/>
      <c r="CV814" s="87"/>
      <c r="CW814" s="87"/>
      <c r="CX814" s="87"/>
      <c r="CY814" s="87"/>
      <c r="CZ814" s="87"/>
      <c r="DA814" s="87"/>
      <c r="DB814" s="87"/>
      <c r="DC814" s="87"/>
      <c r="DD814" s="87"/>
      <c r="DE814" s="87"/>
      <c r="DF814" s="87"/>
      <c r="DG814" s="87"/>
      <c r="DH814" s="87"/>
      <c r="DI814" s="87"/>
      <c r="DJ814" s="87"/>
      <c r="DK814" s="87"/>
      <c r="DL814" s="87"/>
      <c r="DM814" s="87"/>
      <c r="DN814" s="87"/>
      <c r="DO814" s="87"/>
      <c r="DP814" s="87"/>
      <c r="DQ814" s="87"/>
      <c r="DR814" s="87"/>
      <c r="DS814" s="87"/>
      <c r="DT814" s="87"/>
      <c r="DU814" s="87"/>
      <c r="DV814" s="87"/>
      <c r="DW814" s="87"/>
      <c r="DX814" s="87"/>
      <c r="DY814" s="87"/>
      <c r="DZ814" s="87"/>
      <c r="EA814" s="87"/>
      <c r="EB814" s="87"/>
      <c r="EC814" s="87"/>
      <c r="ED814" s="87"/>
      <c r="EE814" s="87"/>
      <c r="EF814" s="87"/>
      <c r="EG814" s="87"/>
      <c r="EH814" s="87"/>
      <c r="EI814" s="87"/>
    </row>
    <row r="815" spans="1:139" ht="16.5" hidden="1" thickBot="1" x14ac:dyDescent="0.35">
      <c r="A815" s="161" t="s">
        <v>212</v>
      </c>
      <c r="B815" s="194">
        <v>5</v>
      </c>
      <c r="C815" s="195">
        <f>25*0.25</f>
        <v>6.25</v>
      </c>
      <c r="D815" s="217">
        <f>C815/VLOOKUP(B815,'[2]Gas Prod per PADD'!$A$1:$C$6,2,FALSE)</f>
        <v>4.6296296296296294E-3</v>
      </c>
      <c r="E815" s="398" t="s">
        <v>133</v>
      </c>
      <c r="F815" s="290" t="s">
        <v>133</v>
      </c>
      <c r="G815" s="194" t="s">
        <v>1362</v>
      </c>
      <c r="H815" s="230" t="s">
        <v>1363</v>
      </c>
      <c r="I815" s="305" t="s">
        <v>1361</v>
      </c>
      <c r="J815" s="306"/>
      <c r="K815" s="306"/>
      <c r="L815" s="306"/>
      <c r="M815" s="306"/>
      <c r="N815" s="306"/>
      <c r="O815" s="306"/>
      <c r="P815" s="306"/>
      <c r="Q815" s="306"/>
      <c r="R815" s="306"/>
      <c r="S815" s="306"/>
      <c r="T815" s="85"/>
      <c r="U815" s="85"/>
      <c r="V815" s="84"/>
      <c r="W815" s="84"/>
      <c r="X815" s="84" t="str">
        <f t="shared" si="38"/>
        <v>Missing</v>
      </c>
      <c r="Y815" s="105"/>
      <c r="Z815" s="105"/>
      <c r="AA815" s="87"/>
      <c r="AB815" s="87"/>
      <c r="AC815" s="87"/>
      <c r="AD815" s="87"/>
      <c r="AE815" s="105"/>
      <c r="AF815" s="105"/>
      <c r="AG815" s="105"/>
      <c r="AH815" s="105"/>
      <c r="AI815" s="87"/>
      <c r="AJ815" s="87"/>
      <c r="AK815" s="105"/>
      <c r="AL815" s="87"/>
      <c r="AM815" s="105"/>
      <c r="AN815" s="105"/>
      <c r="AO815" s="87"/>
      <c r="AP815" s="87"/>
      <c r="AQ815" s="105"/>
      <c r="AR815" s="105"/>
      <c r="AS815" s="87"/>
      <c r="AT815" s="105"/>
      <c r="AU815" s="105"/>
      <c r="AV815" s="87"/>
      <c r="AW815" s="105"/>
      <c r="AX815" s="105"/>
      <c r="AY815" s="87"/>
      <c r="AZ815" s="105"/>
      <c r="BA815" s="105"/>
      <c r="BB815" s="105"/>
      <c r="BC815" s="87"/>
      <c r="BD815" s="87"/>
      <c r="BE815" s="105"/>
      <c r="BF815" s="105"/>
      <c r="BG815" s="105"/>
      <c r="BH815" s="105"/>
      <c r="BI815" s="105"/>
      <c r="BJ815" s="87"/>
      <c r="BK815" s="87"/>
      <c r="BL815" s="87"/>
      <c r="BM815" s="87"/>
      <c r="BN815" s="87"/>
      <c r="BO815" s="87"/>
      <c r="BP815" s="87"/>
      <c r="BQ815" s="87"/>
      <c r="BR815" s="87"/>
      <c r="BS815" s="87"/>
      <c r="BT815" s="87"/>
      <c r="BU815" s="87"/>
      <c r="BV815" s="87"/>
      <c r="BW815" s="87"/>
      <c r="BX815" s="87"/>
      <c r="BY815" s="87"/>
      <c r="BZ815" s="87"/>
      <c r="CA815" s="87"/>
      <c r="CB815" s="87"/>
      <c r="CC815" s="87"/>
      <c r="CD815" s="87"/>
      <c r="CE815" s="87"/>
      <c r="CF815" s="87"/>
      <c r="CG815" s="87"/>
      <c r="CH815" s="87"/>
      <c r="CI815" s="87"/>
      <c r="CJ815" s="87"/>
      <c r="CK815" s="87"/>
      <c r="CL815" s="87"/>
      <c r="CM815" s="87"/>
      <c r="CN815" s="87"/>
      <c r="CO815" s="87"/>
      <c r="CP815" s="87"/>
      <c r="CQ815" s="87"/>
      <c r="CR815" s="87"/>
      <c r="CS815" s="87"/>
      <c r="CT815" s="87"/>
      <c r="CU815" s="105"/>
      <c r="CV815" s="105"/>
      <c r="CW815" s="87"/>
      <c r="CX815" s="87"/>
      <c r="CY815" s="87"/>
      <c r="CZ815" s="87"/>
      <c r="DA815" s="87"/>
      <c r="DB815" s="87"/>
      <c r="DC815" s="87"/>
      <c r="DD815" s="87"/>
      <c r="DE815" s="87"/>
      <c r="DF815" s="87"/>
      <c r="DG815" s="87"/>
      <c r="DH815" s="87"/>
      <c r="DI815" s="87"/>
      <c r="DJ815" s="87"/>
      <c r="DK815" s="87"/>
      <c r="DL815" s="87"/>
      <c r="DM815" s="87"/>
      <c r="DN815" s="87"/>
      <c r="DO815" s="87"/>
      <c r="DP815" s="87"/>
      <c r="DQ815" s="87"/>
      <c r="DR815" s="87"/>
      <c r="DS815" s="87"/>
      <c r="DT815" s="87"/>
      <c r="DU815" s="87"/>
      <c r="DV815" s="87"/>
      <c r="DW815" s="87"/>
      <c r="DX815" s="87"/>
      <c r="DY815" s="87"/>
      <c r="DZ815" s="87"/>
      <c r="EA815" s="87"/>
      <c r="EB815" s="87"/>
      <c r="EC815" s="87"/>
      <c r="ED815" s="87"/>
      <c r="EE815" s="87"/>
      <c r="EF815" s="87"/>
      <c r="EG815" s="87"/>
      <c r="EH815" s="87"/>
      <c r="EI815" s="87"/>
    </row>
    <row r="816" spans="1:139" ht="16.5" hidden="1" thickBot="1" x14ac:dyDescent="0.35">
      <c r="A816" s="175" t="s">
        <v>324</v>
      </c>
      <c r="B816" s="176">
        <v>5</v>
      </c>
      <c r="C816" s="177">
        <f>50*0.65+36*0.85+28*0.05</f>
        <v>64.5</v>
      </c>
      <c r="D816" s="234">
        <f>C816/VLOOKUP(B816,'[2]Gas Prod per PADD'!$A$1:$C$6,2,FALSE)</f>
        <v>4.777777777777778E-2</v>
      </c>
      <c r="E816" s="220">
        <v>45931</v>
      </c>
      <c r="F816" s="179" t="s">
        <v>1364</v>
      </c>
      <c r="G816" s="180" t="s">
        <v>1365</v>
      </c>
      <c r="H816" s="181" t="s">
        <v>1366</v>
      </c>
      <c r="I816" s="373" t="s">
        <v>1367</v>
      </c>
      <c r="J816" s="374"/>
      <c r="K816" s="374"/>
      <c r="L816" s="374"/>
      <c r="M816" s="374"/>
      <c r="N816" s="374"/>
      <c r="O816" s="374"/>
      <c r="P816" s="374"/>
      <c r="Q816" s="374"/>
      <c r="R816" s="374"/>
      <c r="S816" s="374"/>
      <c r="T816" s="85"/>
      <c r="U816" s="85"/>
      <c r="V816" s="84"/>
      <c r="W816" s="84"/>
      <c r="X816" s="84" t="str">
        <f t="shared" si="38"/>
        <v>OK</v>
      </c>
      <c r="Y816" s="105"/>
      <c r="Z816" s="105"/>
      <c r="AA816" s="87"/>
      <c r="AB816" s="87"/>
      <c r="AC816" s="87"/>
      <c r="AD816" s="87"/>
      <c r="AE816" s="105"/>
      <c r="AF816" s="105"/>
      <c r="AG816" s="105"/>
      <c r="AH816" s="105"/>
      <c r="AI816" s="87"/>
      <c r="AJ816" s="87"/>
      <c r="AK816" s="105"/>
      <c r="AL816" s="87"/>
      <c r="AM816" s="105"/>
      <c r="AN816" s="105"/>
      <c r="AO816" s="87"/>
      <c r="AP816" s="87"/>
      <c r="AQ816" s="105"/>
      <c r="AR816" s="105"/>
      <c r="AS816" s="87"/>
      <c r="AT816" s="105"/>
      <c r="AU816" s="105"/>
      <c r="AV816" s="87"/>
      <c r="AW816" s="105"/>
      <c r="AX816" s="105"/>
      <c r="AY816" s="87"/>
      <c r="AZ816" s="105"/>
      <c r="BA816" s="105"/>
      <c r="BB816" s="105"/>
      <c r="BC816" s="87"/>
      <c r="BD816" s="87"/>
      <c r="BE816" s="105"/>
      <c r="BF816" s="105"/>
      <c r="BG816" s="105"/>
      <c r="BH816" s="105"/>
      <c r="BI816" s="105"/>
      <c r="BJ816" s="87"/>
      <c r="BK816" s="87"/>
      <c r="BL816" s="87"/>
      <c r="BM816" s="87"/>
      <c r="BN816" s="87"/>
      <c r="BO816" s="87"/>
      <c r="BP816" s="87"/>
      <c r="BQ816" s="87"/>
      <c r="BR816" s="87"/>
      <c r="BS816" s="87"/>
      <c r="BT816" s="87"/>
      <c r="BU816" s="87"/>
      <c r="BV816" s="87"/>
      <c r="BW816" s="87"/>
      <c r="BX816" s="87"/>
      <c r="BY816" s="87"/>
      <c r="BZ816" s="87"/>
      <c r="CA816" s="87"/>
      <c r="CB816" s="87"/>
      <c r="CC816" s="87"/>
      <c r="CD816" s="87"/>
      <c r="CE816" s="87"/>
      <c r="CF816" s="87"/>
      <c r="CG816" s="87"/>
      <c r="CH816" s="87"/>
      <c r="CI816" s="87"/>
      <c r="CJ816" s="87"/>
      <c r="CK816" s="87"/>
      <c r="CL816" s="87"/>
      <c r="CM816" s="87"/>
      <c r="CN816" s="87"/>
      <c r="CO816" s="87"/>
      <c r="CP816" s="87"/>
      <c r="CQ816" s="87"/>
      <c r="CR816" s="87"/>
      <c r="CS816" s="87"/>
      <c r="CT816" s="87"/>
      <c r="CU816" s="87"/>
      <c r="CV816" s="87"/>
      <c r="CW816" s="87"/>
      <c r="CX816" s="87"/>
      <c r="CY816" s="87"/>
      <c r="CZ816" s="87"/>
      <c r="DA816" s="87"/>
      <c r="DB816" s="87"/>
      <c r="DC816" s="87"/>
      <c r="DD816" s="87"/>
      <c r="DE816" s="87"/>
      <c r="DF816" s="87"/>
      <c r="DG816" s="87"/>
      <c r="DH816" s="87"/>
      <c r="DI816" s="87"/>
      <c r="DJ816" s="87"/>
      <c r="DK816" s="87"/>
      <c r="DL816" s="87"/>
      <c r="DM816" s="87"/>
      <c r="DN816" s="87"/>
      <c r="DO816" s="87"/>
      <c r="DP816" s="87"/>
      <c r="DQ816" s="87">
        <f>-C816/2</f>
        <v>-32.25</v>
      </c>
      <c r="DR816" s="87"/>
      <c r="DS816" s="87"/>
      <c r="DT816" s="87"/>
      <c r="DU816" s="105">
        <f>-C816-DQ816</f>
        <v>-32.25</v>
      </c>
      <c r="DV816" s="87"/>
      <c r="DW816" s="87"/>
      <c r="DX816" s="87"/>
      <c r="DY816" s="399"/>
      <c r="DZ816" s="87"/>
      <c r="EA816" s="87"/>
      <c r="EB816" s="87"/>
      <c r="EC816" s="87"/>
      <c r="ED816" s="87"/>
      <c r="EE816" s="87"/>
      <c r="EF816" s="87"/>
      <c r="EG816" s="87"/>
      <c r="EH816" s="87"/>
      <c r="EI816" s="87"/>
    </row>
    <row r="817" spans="1:139" ht="16.5" hidden="1" thickBot="1" x14ac:dyDescent="0.35">
      <c r="A817" s="175" t="s">
        <v>369</v>
      </c>
      <c r="B817" s="176">
        <v>5</v>
      </c>
      <c r="C817" s="177">
        <f>133*0.1+0.1*53</f>
        <v>18.600000000000001</v>
      </c>
      <c r="D817" s="234">
        <f>C817/VLOOKUP(B817,'[2]Gas Prod per PADD'!$A$1:$C$6,2,FALSE)</f>
        <v>1.3777777777777779E-2</v>
      </c>
      <c r="E817" s="220">
        <v>45931</v>
      </c>
      <c r="F817" s="226" t="s">
        <v>1364</v>
      </c>
      <c r="G817" s="180" t="s">
        <v>378</v>
      </c>
      <c r="H817" s="181" t="s">
        <v>1366</v>
      </c>
      <c r="I817" s="373" t="s">
        <v>1367</v>
      </c>
      <c r="J817" s="374"/>
      <c r="K817" s="374"/>
      <c r="L817" s="374"/>
      <c r="M817" s="374"/>
      <c r="N817" s="374"/>
      <c r="O817" s="374"/>
      <c r="P817" s="374"/>
      <c r="Q817" s="374"/>
      <c r="R817" s="374"/>
      <c r="S817" s="374"/>
      <c r="T817" s="85"/>
      <c r="U817" s="85"/>
      <c r="V817" s="84"/>
      <c r="W817" s="84"/>
      <c r="X817" s="84" t="str">
        <f t="shared" si="38"/>
        <v>OK</v>
      </c>
      <c r="Y817" s="105"/>
      <c r="Z817" s="105"/>
      <c r="AA817" s="87"/>
      <c r="AB817" s="87"/>
      <c r="AC817" s="87"/>
      <c r="AD817" s="87"/>
      <c r="AE817" s="105"/>
      <c r="AF817" s="105"/>
      <c r="AG817" s="105"/>
      <c r="AH817" s="105"/>
      <c r="AI817" s="87"/>
      <c r="AJ817" s="87"/>
      <c r="AK817" s="105"/>
      <c r="AL817" s="87"/>
      <c r="AM817" s="105"/>
      <c r="AN817" s="105"/>
      <c r="AO817" s="87"/>
      <c r="AP817" s="87"/>
      <c r="AQ817" s="105"/>
      <c r="AR817" s="105"/>
      <c r="AS817" s="87"/>
      <c r="AT817" s="105"/>
      <c r="AU817" s="105"/>
      <c r="AV817" s="87"/>
      <c r="AW817" s="105"/>
      <c r="AX817" s="105"/>
      <c r="AY817" s="87"/>
      <c r="AZ817" s="105"/>
      <c r="BA817" s="105"/>
      <c r="BB817" s="105"/>
      <c r="BC817" s="87"/>
      <c r="BD817" s="87"/>
      <c r="BE817" s="105"/>
      <c r="BF817" s="105"/>
      <c r="BG817" s="105"/>
      <c r="BH817" s="105"/>
      <c r="BI817" s="105"/>
      <c r="BJ817" s="87"/>
      <c r="BK817" s="87"/>
      <c r="BL817" s="87"/>
      <c r="BM817" s="87"/>
      <c r="BN817" s="87"/>
      <c r="BO817" s="87"/>
      <c r="BP817" s="87"/>
      <c r="BQ817" s="87"/>
      <c r="BR817" s="87"/>
      <c r="BS817" s="87"/>
      <c r="BT817" s="87"/>
      <c r="BU817" s="87">
        <f>-4/7*C817*0.5</f>
        <v>-5.3142857142857141</v>
      </c>
      <c r="BV817" s="87">
        <f>-3/7*C817*0.5</f>
        <v>-3.9857142857142858</v>
      </c>
      <c r="BW817" s="87"/>
      <c r="BX817" s="87"/>
      <c r="BY817" s="87"/>
      <c r="BZ817" s="87">
        <f>-C817/2</f>
        <v>-9.3000000000000007</v>
      </c>
      <c r="CA817" s="87"/>
      <c r="CB817" s="87"/>
      <c r="CC817" s="87"/>
      <c r="CD817" s="87"/>
      <c r="CE817" s="87"/>
      <c r="CF817" s="87"/>
      <c r="CG817" s="87"/>
      <c r="CH817" s="87"/>
      <c r="CI817" s="87"/>
      <c r="CJ817" s="87"/>
      <c r="CK817" s="87"/>
      <c r="CL817" s="87"/>
      <c r="CM817" s="87"/>
      <c r="CN817" s="87"/>
      <c r="CO817" s="87"/>
      <c r="CP817" s="87"/>
      <c r="CQ817" s="400" t="s">
        <v>1368</v>
      </c>
      <c r="CR817" s="87"/>
      <c r="CS817" s="87"/>
      <c r="CT817" s="87"/>
      <c r="CU817" s="87"/>
      <c r="CV817" s="87"/>
      <c r="CW817" s="87"/>
      <c r="CX817" s="87"/>
      <c r="CY817" s="87"/>
      <c r="CZ817" s="87"/>
      <c r="DA817" s="87"/>
      <c r="DB817" s="87"/>
      <c r="DC817" s="87"/>
      <c r="DD817" s="87"/>
      <c r="DE817" s="87"/>
      <c r="DF817" s="87"/>
      <c r="DG817" s="87"/>
      <c r="DH817" s="87"/>
      <c r="DI817" s="87"/>
      <c r="DJ817" s="87"/>
      <c r="DK817" s="87"/>
      <c r="DL817" s="87"/>
      <c r="DM817" s="87"/>
      <c r="DN817" s="87"/>
      <c r="DO817" s="87"/>
      <c r="DP817" s="87"/>
      <c r="DQ817" s="87">
        <f>-C817/2</f>
        <v>-9.3000000000000007</v>
      </c>
      <c r="DR817" s="87"/>
      <c r="DS817" s="87"/>
      <c r="DT817" s="87"/>
      <c r="DU817" s="105">
        <f>-C817-DQ817</f>
        <v>-9.3000000000000007</v>
      </c>
      <c r="DV817" s="87"/>
      <c r="DW817" s="87"/>
      <c r="DX817" s="87"/>
      <c r="DY817" s="87"/>
      <c r="DZ817" s="87"/>
      <c r="EA817" s="87"/>
      <c r="EB817" s="87"/>
      <c r="EC817" s="87"/>
      <c r="ED817" s="87"/>
      <c r="EE817" s="87"/>
      <c r="EF817" s="87"/>
      <c r="EG817" s="87"/>
      <c r="EH817" s="87"/>
      <c r="EI817" s="87"/>
    </row>
    <row r="818" spans="1:139" ht="16.5" thickBot="1" x14ac:dyDescent="0.35">
      <c r="A818" s="401"/>
      <c r="B818" s="402" t="s">
        <v>1369</v>
      </c>
      <c r="C818" s="402"/>
      <c r="D818" s="402"/>
      <c r="E818" s="284" t="s">
        <v>1361</v>
      </c>
      <c r="F818" s="361" t="s">
        <v>1361</v>
      </c>
      <c r="G818" s="403" t="s">
        <v>1361</v>
      </c>
      <c r="H818" s="230"/>
      <c r="I818" s="84"/>
      <c r="J818" s="405">
        <f>SUM(J2:J817)</f>
        <v>-518.53516129032255</v>
      </c>
      <c r="K818" s="405">
        <f>SUM(K2:K817)</f>
        <v>-905.17339901477828</v>
      </c>
      <c r="L818" s="404">
        <f>SUM(L2:L817)</f>
        <v>-815.41001612903221</v>
      </c>
      <c r="M818" s="404">
        <f>SUM(M2:M817)</f>
        <v>-696.64373333333344</v>
      </c>
      <c r="N818" s="404">
        <f>SUM(N2:N817)</f>
        <v>-460.26048387096773</v>
      </c>
      <c r="O818" s="404"/>
      <c r="P818" s="404">
        <f t="shared" ref="P818:T818" si="39">SUM(P2:P817)</f>
        <v>-689.226870967742</v>
      </c>
      <c r="Q818" s="404">
        <f t="shared" si="39"/>
        <v>-871.33632142857141</v>
      </c>
      <c r="R818" s="404">
        <f t="shared" si="39"/>
        <v>-931.76404558204763</v>
      </c>
      <c r="S818" s="405">
        <f t="shared" si="39"/>
        <v>-1037.8529166666672</v>
      </c>
      <c r="T818" s="404">
        <f t="shared" si="39"/>
        <v>-699.32891935483894</v>
      </c>
      <c r="U818" s="405">
        <f>SUM(U820:U824)</f>
        <v>-284.16566666666665</v>
      </c>
      <c r="V818" s="405">
        <f>SUM(V820:V824)</f>
        <v>-286.57499999999999</v>
      </c>
      <c r="W818" s="84"/>
      <c r="X818" s="84" t="str">
        <f t="shared" si="38"/>
        <v>Missing</v>
      </c>
      <c r="Y818" s="87"/>
      <c r="Z818" s="87"/>
      <c r="AA818" s="87"/>
      <c r="AB818" s="87"/>
      <c r="AC818" s="87"/>
      <c r="AD818" s="87"/>
      <c r="AE818" s="87"/>
      <c r="AF818" s="87"/>
      <c r="AG818" s="87"/>
      <c r="AH818" s="74"/>
      <c r="AI818" s="74"/>
      <c r="AJ818" s="74"/>
      <c r="AK818" s="74"/>
      <c r="AL818" s="74"/>
      <c r="AM818" s="74"/>
      <c r="AN818" s="74"/>
      <c r="AO818" s="74"/>
      <c r="AP818" s="74"/>
      <c r="AQ818" s="74"/>
      <c r="AR818" s="74"/>
      <c r="AS818" s="74"/>
      <c r="AT818" s="74"/>
      <c r="AU818" s="74"/>
      <c r="AV818" s="74"/>
      <c r="AW818" s="74"/>
      <c r="AX818" s="74"/>
      <c r="AY818" s="74"/>
      <c r="AZ818" s="74"/>
      <c r="BA818" s="74"/>
      <c r="BB818" s="74"/>
      <c r="BC818" s="74"/>
      <c r="BD818" s="74"/>
      <c r="BE818" s="74"/>
      <c r="BF818" s="74"/>
      <c r="BG818" s="74"/>
      <c r="BH818" s="74"/>
      <c r="BI818" s="74"/>
      <c r="BJ818" s="87"/>
      <c r="BK818" s="87"/>
      <c r="BL818" s="87"/>
      <c r="BM818" s="87"/>
      <c r="BN818" s="87"/>
      <c r="BO818" s="87"/>
      <c r="BP818" s="87"/>
      <c r="BQ818" s="87"/>
      <c r="BR818" s="87"/>
      <c r="BS818" s="87"/>
      <c r="BT818" s="87"/>
      <c r="BU818" s="87"/>
      <c r="BV818" s="87"/>
      <c r="BW818" s="87"/>
      <c r="BX818" s="87"/>
      <c r="BY818" s="87"/>
      <c r="BZ818" s="87"/>
      <c r="CA818" s="87"/>
      <c r="CB818" s="87"/>
      <c r="CC818" s="87"/>
      <c r="CD818" s="87"/>
      <c r="CE818" s="87"/>
      <c r="CF818" s="87"/>
      <c r="CG818" s="87"/>
      <c r="CH818" s="87"/>
      <c r="CI818" s="87"/>
      <c r="CJ818" s="87"/>
      <c r="CK818" s="87"/>
      <c r="CL818" s="87"/>
      <c r="CM818" s="87"/>
      <c r="CN818" s="87"/>
      <c r="CO818" s="87"/>
      <c r="CP818" s="87"/>
      <c r="CQ818" s="87"/>
      <c r="CR818" s="87"/>
      <c r="CS818" s="87"/>
      <c r="CT818" s="87"/>
      <c r="CU818" s="87"/>
      <c r="CV818" s="87"/>
      <c r="CW818" s="87"/>
      <c r="CX818" s="87"/>
      <c r="CY818" s="87"/>
      <c r="CZ818" s="87"/>
      <c r="DA818" s="87"/>
      <c r="DB818" s="87"/>
      <c r="DC818" s="87"/>
      <c r="DD818" s="87"/>
      <c r="DE818" s="87"/>
      <c r="DF818" s="87"/>
      <c r="DG818" s="87"/>
      <c r="DH818" s="87"/>
      <c r="DI818" s="87"/>
      <c r="DJ818" s="87"/>
      <c r="DK818" s="87"/>
      <c r="DL818" s="87"/>
      <c r="DM818" s="87"/>
      <c r="DN818" s="87"/>
      <c r="DO818" s="87"/>
      <c r="DP818" s="87"/>
      <c r="DQ818" s="87"/>
      <c r="DR818" s="87"/>
      <c r="DS818" s="87"/>
      <c r="DT818" s="87"/>
      <c r="DU818" s="87"/>
      <c r="DV818" s="87"/>
      <c r="DW818" s="87"/>
      <c r="DX818" s="87"/>
      <c r="DY818" s="87"/>
      <c r="DZ818" s="87"/>
      <c r="EA818" s="87"/>
      <c r="EB818" s="87"/>
      <c r="EC818" s="87"/>
      <c r="ED818" s="87"/>
      <c r="EE818" s="87"/>
      <c r="EF818" s="87"/>
      <c r="EG818" s="87"/>
      <c r="EH818" s="87"/>
      <c r="EI818" s="87"/>
    </row>
    <row r="819" spans="1:139" ht="16.5" thickBot="1" x14ac:dyDescent="0.35">
      <c r="A819" s="401"/>
      <c r="B819" s="402" t="s">
        <v>1369</v>
      </c>
      <c r="C819" s="402"/>
      <c r="D819" s="402"/>
      <c r="E819" s="284" t="s">
        <v>1361</v>
      </c>
      <c r="F819" s="361" t="s">
        <v>1361</v>
      </c>
      <c r="G819" s="403" t="s">
        <v>1361</v>
      </c>
      <c r="H819" s="198"/>
      <c r="I819" s="339" t="s">
        <v>1370</v>
      </c>
      <c r="J819" s="339"/>
      <c r="K819" s="339"/>
      <c r="L819" s="339"/>
      <c r="M819" s="339"/>
      <c r="N819" s="339"/>
      <c r="O819" s="339"/>
      <c r="P819" s="339"/>
      <c r="Q819" s="339"/>
      <c r="R819" s="339"/>
      <c r="S819" s="339"/>
      <c r="T819" s="84"/>
      <c r="U819" s="84"/>
      <c r="V819" s="84"/>
      <c r="W819" s="84"/>
      <c r="X819" s="84"/>
      <c r="Y819" s="87"/>
      <c r="Z819" s="87"/>
      <c r="AA819" s="87"/>
      <c r="AB819" s="87"/>
      <c r="AC819" s="87"/>
      <c r="AD819" s="87"/>
      <c r="AE819" s="87"/>
      <c r="AF819" s="87"/>
      <c r="AG819" s="87"/>
      <c r="AH819" s="406" t="s">
        <v>1371</v>
      </c>
      <c r="AI819" s="406">
        <v>2</v>
      </c>
      <c r="AJ819" s="406">
        <v>3</v>
      </c>
      <c r="AK819" s="407" t="s">
        <v>1372</v>
      </c>
      <c r="AL819" s="406">
        <v>6</v>
      </c>
      <c r="AM819" s="408" t="s">
        <v>1373</v>
      </c>
      <c r="AN819" s="406">
        <v>9</v>
      </c>
      <c r="AO819" s="406">
        <v>10</v>
      </c>
      <c r="AP819" s="408" t="s">
        <v>1374</v>
      </c>
      <c r="AQ819" s="406">
        <v>13</v>
      </c>
      <c r="AR819" s="408" t="s">
        <v>1375</v>
      </c>
      <c r="AS819" s="406">
        <v>16</v>
      </c>
      <c r="AT819" s="406">
        <v>17</v>
      </c>
      <c r="AU819" s="406">
        <v>18</v>
      </c>
      <c r="AV819" s="87" t="s">
        <v>1376</v>
      </c>
      <c r="AW819" s="87" t="s">
        <v>1377</v>
      </c>
      <c r="AX819" s="406">
        <v>23</v>
      </c>
      <c r="AY819" s="406">
        <v>24</v>
      </c>
      <c r="AZ819" s="87"/>
      <c r="BA819" s="87"/>
      <c r="BB819" s="87"/>
      <c r="BC819" s="87"/>
      <c r="BD819" s="87"/>
      <c r="BE819" s="87"/>
      <c r="BF819" s="87"/>
      <c r="BG819" s="87"/>
      <c r="BH819" s="87"/>
      <c r="BI819" s="87"/>
      <c r="BJ819" s="87"/>
      <c r="BK819" s="87"/>
      <c r="BL819" s="87"/>
      <c r="BM819" s="87"/>
      <c r="BN819" s="87"/>
      <c r="BO819" s="87"/>
      <c r="BP819" s="87"/>
      <c r="BQ819" s="87"/>
      <c r="BR819" s="87"/>
      <c r="BS819" s="87"/>
      <c r="BT819" s="87"/>
      <c r="BU819" s="87"/>
      <c r="BV819" s="87"/>
      <c r="BW819" s="87"/>
      <c r="BX819" s="87"/>
      <c r="BY819" s="87"/>
      <c r="BZ819" s="87"/>
      <c r="CA819" s="87"/>
      <c r="CB819" s="87"/>
      <c r="CC819" s="87"/>
      <c r="CD819" s="87"/>
      <c r="CE819" s="87"/>
      <c r="CF819" s="87"/>
      <c r="CG819" s="87"/>
      <c r="CH819" s="87"/>
      <c r="CI819" s="87"/>
      <c r="CJ819" s="87"/>
      <c r="CK819" s="87"/>
      <c r="CL819" s="87"/>
      <c r="CM819" s="87"/>
      <c r="CN819" s="87"/>
      <c r="CO819" s="87"/>
      <c r="CP819" s="87"/>
      <c r="CQ819" s="87"/>
      <c r="CR819" s="87"/>
      <c r="CS819" s="87"/>
      <c r="CT819" s="87"/>
      <c r="CU819" s="87"/>
      <c r="CV819" s="87"/>
      <c r="CW819" s="87"/>
      <c r="CX819" s="87"/>
      <c r="CY819" s="87"/>
      <c r="CZ819" s="87"/>
      <c r="DA819" s="87"/>
      <c r="DB819" s="87"/>
      <c r="DC819" s="87"/>
      <c r="DD819" s="87"/>
      <c r="DE819" s="87"/>
      <c r="DF819" s="87"/>
      <c r="DG819" s="87"/>
      <c r="DH819" s="87"/>
      <c r="DI819" s="87"/>
      <c r="DJ819" s="87"/>
      <c r="DK819" s="87"/>
      <c r="DL819" s="87"/>
      <c r="DM819" s="87"/>
      <c r="DN819" s="87"/>
      <c r="DO819" s="87"/>
      <c r="DP819" s="87"/>
      <c r="DQ819" s="87"/>
      <c r="DR819" s="87"/>
      <c r="DS819" s="87"/>
      <c r="DT819" s="87"/>
      <c r="DU819" s="87"/>
      <c r="DV819" s="87"/>
      <c r="DW819" s="87"/>
      <c r="DX819" s="87"/>
      <c r="DY819" s="87"/>
      <c r="DZ819" s="87"/>
      <c r="EA819" s="87"/>
      <c r="EB819" s="87"/>
      <c r="EC819" s="87"/>
      <c r="ED819" s="87"/>
      <c r="EE819" s="87"/>
      <c r="EF819" s="87"/>
      <c r="EG819" s="87"/>
      <c r="EH819" s="87"/>
      <c r="EI819" s="87"/>
    </row>
    <row r="820" spans="1:139" ht="15.75" x14ac:dyDescent="0.3">
      <c r="A820" s="87"/>
      <c r="B820" s="406" t="s">
        <v>1369</v>
      </c>
      <c r="C820" s="406"/>
      <c r="D820" s="406"/>
      <c r="E820" s="409" t="s">
        <v>1361</v>
      </c>
      <c r="F820" s="410" t="s">
        <v>1361</v>
      </c>
      <c r="G820" s="411" t="s">
        <v>1361</v>
      </c>
      <c r="H820" s="188">
        <v>1</v>
      </c>
      <c r="I820" s="84" t="s">
        <v>1378</v>
      </c>
      <c r="J820" s="84">
        <f>SUMIF($B$2:$B$817,H820,$J$2:$J$817)</f>
        <v>-24.525161290322586</v>
      </c>
      <c r="K820" s="84">
        <f>SUMIF($B$2:$B$817,H$820,$K$2:$K$817)</f>
        <v>0</v>
      </c>
      <c r="L820" s="84">
        <f>SUMIF($B$2:$B$817,H820,$L$2:$L$817)</f>
        <v>-51.45556451612903</v>
      </c>
      <c r="M820" s="84">
        <f>SUMIF($B$2:$B$817,H820,$M$2:$M$817)</f>
        <v>-2.2966666666666669</v>
      </c>
      <c r="N820" s="84">
        <f>SUMIF($B$2:$B$817,$H820,N$2:N$817)</f>
        <v>-13.064516129032258</v>
      </c>
      <c r="O820" s="84"/>
      <c r="P820" s="84">
        <f t="shared" ref="P820:U824" si="40">SUMIF($B$2:$B$817,$H820,P$2:P$817)</f>
        <v>-45.980645161290319</v>
      </c>
      <c r="Q820" s="84">
        <f t="shared" si="40"/>
        <v>-68.106785714285721</v>
      </c>
      <c r="R820" s="84">
        <f t="shared" si="40"/>
        <v>-116.04</v>
      </c>
      <c r="S820" s="84">
        <f t="shared" si="40"/>
        <v>-34.515166666666666</v>
      </c>
      <c r="T820" s="84">
        <f t="shared" si="40"/>
        <v>-24.220161290322583</v>
      </c>
      <c r="U820" s="84">
        <f>-38.5</f>
        <v>-38.5</v>
      </c>
      <c r="V820" s="412">
        <v>-30.82</v>
      </c>
      <c r="W820" s="84"/>
      <c r="X820" s="84"/>
      <c r="Y820" s="87">
        <f t="shared" ref="Y820:AB824" si="41">SUMIF($B$6:$B$463,$H820,Y$6:Y$463)</f>
        <v>0</v>
      </c>
      <c r="Z820" s="87">
        <f t="shared" si="41"/>
        <v>0</v>
      </c>
      <c r="AA820" s="87">
        <f t="shared" si="41"/>
        <v>0</v>
      </c>
      <c r="AB820" s="87">
        <f t="shared" si="41"/>
        <v>0</v>
      </c>
      <c r="AC820" s="105">
        <f t="shared" ref="AC820:AL821" si="42">SUMIF($B$6:$B$846,$H820,AC$6:AC$846)</f>
        <v>0</v>
      </c>
      <c r="AD820" s="105">
        <f t="shared" si="42"/>
        <v>0</v>
      </c>
      <c r="AE820" s="105">
        <f t="shared" si="42"/>
        <v>0</v>
      </c>
      <c r="AF820" s="105">
        <f t="shared" si="42"/>
        <v>0</v>
      </c>
      <c r="AG820" s="105">
        <f t="shared" si="42"/>
        <v>0</v>
      </c>
      <c r="AH820" s="105">
        <f t="shared" si="42"/>
        <v>-4.9214285714285717</v>
      </c>
      <c r="AI820" s="105">
        <f t="shared" si="42"/>
        <v>-86.671428571428578</v>
      </c>
      <c r="AJ820" s="105">
        <f t="shared" si="42"/>
        <v>0</v>
      </c>
      <c r="AK820" s="105">
        <f t="shared" si="42"/>
        <v>57.142857142857146</v>
      </c>
      <c r="AL820" s="105">
        <f t="shared" si="42"/>
        <v>0</v>
      </c>
      <c r="AM820" s="105">
        <f t="shared" ref="AM820:AV821" si="43">SUMIF($B$6:$B$846,$H820,AM$6:AM$846)</f>
        <v>-11.657142857142857</v>
      </c>
      <c r="AN820" s="105">
        <f t="shared" si="43"/>
        <v>-3.8857142857142852</v>
      </c>
      <c r="AO820" s="105">
        <f t="shared" si="43"/>
        <v>45.071428571428569</v>
      </c>
      <c r="AP820" s="105">
        <f t="shared" si="43"/>
        <v>4.9214285714285717</v>
      </c>
      <c r="AQ820" s="105">
        <f t="shared" si="43"/>
        <v>-29.464285714285715</v>
      </c>
      <c r="AR820" s="105">
        <f t="shared" si="43"/>
        <v>1.973035714285718</v>
      </c>
      <c r="AS820" s="105">
        <f t="shared" si="43"/>
        <v>-11.607142857142858</v>
      </c>
      <c r="AT820" s="105">
        <f t="shared" si="43"/>
        <v>5</v>
      </c>
      <c r="AU820" s="105">
        <f t="shared" si="43"/>
        <v>6.6071428571428577</v>
      </c>
      <c r="AV820" s="105">
        <f t="shared" si="43"/>
        <v>0</v>
      </c>
      <c r="AW820" s="105">
        <f t="shared" ref="AW820:BF821" si="44">SUMIF($B$6:$B$846,$H820,AW$6:AW$846)</f>
        <v>0</v>
      </c>
      <c r="AX820" s="105">
        <f t="shared" si="44"/>
        <v>-9.8428571428571434</v>
      </c>
      <c r="AY820" s="105">
        <f t="shared" si="44"/>
        <v>-4.9214285714285717</v>
      </c>
      <c r="AZ820" s="105">
        <f t="shared" si="44"/>
        <v>9.8428571428571434</v>
      </c>
      <c r="BA820" s="105" t="e">
        <f t="shared" si="44"/>
        <v>#REF!</v>
      </c>
      <c r="BB820" s="105" t="e">
        <f t="shared" si="44"/>
        <v>#REF!</v>
      </c>
      <c r="BC820" s="105">
        <f t="shared" si="44"/>
        <v>0</v>
      </c>
      <c r="BD820" s="105">
        <f t="shared" si="44"/>
        <v>0</v>
      </c>
      <c r="BE820" s="105">
        <f t="shared" si="44"/>
        <v>0</v>
      </c>
      <c r="BF820" s="105">
        <f t="shared" si="44"/>
        <v>0</v>
      </c>
      <c r="BG820" s="105">
        <f t="shared" ref="BG820:BP821" si="45">SUMIF($B$6:$B$846,$H820,BG$6:BG$846)</f>
        <v>0</v>
      </c>
      <c r="BH820" s="105">
        <f t="shared" si="45"/>
        <v>0</v>
      </c>
      <c r="BI820" s="105">
        <f t="shared" si="45"/>
        <v>0</v>
      </c>
      <c r="BJ820" s="105">
        <f t="shared" si="45"/>
        <v>-34.764285714285712</v>
      </c>
      <c r="BK820" s="105">
        <f t="shared" si="45"/>
        <v>-0.23571428571428577</v>
      </c>
      <c r="BL820" s="105">
        <f t="shared" si="45"/>
        <v>10</v>
      </c>
      <c r="BM820" s="105">
        <f t="shared" si="45"/>
        <v>10</v>
      </c>
      <c r="BN820" s="105">
        <f t="shared" si="45"/>
        <v>15</v>
      </c>
      <c r="BO820" s="105">
        <f t="shared" si="45"/>
        <v>0</v>
      </c>
      <c r="BP820" s="105">
        <f t="shared" si="45"/>
        <v>0</v>
      </c>
      <c r="BQ820" s="105">
        <f t="shared" ref="BQ820:BZ821" si="46">SUMIF($B$6:$B$846,$H820,BQ$6:BQ$846)</f>
        <v>0</v>
      </c>
      <c r="BR820" s="105">
        <f t="shared" si="46"/>
        <v>0</v>
      </c>
      <c r="BS820" s="105">
        <f t="shared" si="46"/>
        <v>-20.885714285714283</v>
      </c>
      <c r="BT820" s="105">
        <f t="shared" si="46"/>
        <v>20.885714285714283</v>
      </c>
      <c r="BU820" s="105">
        <f t="shared" si="46"/>
        <v>-9.8428571428571434</v>
      </c>
      <c r="BV820" s="105">
        <f t="shared" si="46"/>
        <v>9.8428571428571434</v>
      </c>
      <c r="BW820" s="105">
        <f t="shared" si="46"/>
        <v>-17.5</v>
      </c>
      <c r="BX820" s="105">
        <f t="shared" si="46"/>
        <v>-17.75</v>
      </c>
      <c r="BY820" s="105">
        <f t="shared" si="46"/>
        <v>8.0357142857142847</v>
      </c>
      <c r="BZ820" s="105">
        <f t="shared" si="46"/>
        <v>6.9642857142857135</v>
      </c>
      <c r="CA820" s="105">
        <f t="shared" ref="CA820:CN821" si="47">SUMIF($B$6:$B$846,$H820,CA$6:CA$846)</f>
        <v>1.7857142857142856</v>
      </c>
      <c r="CB820" s="105">
        <f t="shared" si="47"/>
        <v>-3.2785714285714267</v>
      </c>
      <c r="CC820" s="105">
        <f t="shared" si="47"/>
        <v>10.442857142857141</v>
      </c>
      <c r="CD820" s="105">
        <f t="shared" si="47"/>
        <v>-0.9</v>
      </c>
      <c r="CE820" s="105">
        <f t="shared" si="47"/>
        <v>0</v>
      </c>
      <c r="CF820" s="105">
        <f t="shared" si="47"/>
        <v>0.9</v>
      </c>
      <c r="CG820" s="105">
        <f t="shared" si="47"/>
        <v>0</v>
      </c>
      <c r="CH820" s="105">
        <f t="shared" si="47"/>
        <v>-5.9714285714285706</v>
      </c>
      <c r="CI820" s="105">
        <f t="shared" si="47"/>
        <v>-14.928571428571427</v>
      </c>
      <c r="CJ820" s="105">
        <f t="shared" si="47"/>
        <v>0</v>
      </c>
      <c r="CK820" s="105">
        <f t="shared" si="47"/>
        <v>-7.25</v>
      </c>
      <c r="CL820" s="105">
        <f t="shared" si="47"/>
        <v>0.13571428571428612</v>
      </c>
      <c r="CM820" s="105">
        <f t="shared" si="47"/>
        <v>-14.585714285714282</v>
      </c>
      <c r="CN820" s="105">
        <f t="shared" si="47"/>
        <v>-14.448571428571428</v>
      </c>
      <c r="CO820" s="105">
        <f ca="1">SUMIF($B$6:$B$846,$H820,CO$6:CO$821)</f>
        <v>-90.136428571428581</v>
      </c>
      <c r="CP820" s="105">
        <f t="shared" ref="CP820:CY821" si="48">SUMIF($B$6:$B$846,$H820,CP$6:CP$846)</f>
        <v>39.016428571428563</v>
      </c>
      <c r="CQ820" s="105">
        <f t="shared" si="48"/>
        <v>6.1285714285714281</v>
      </c>
      <c r="CR820" s="105">
        <f t="shared" si="48"/>
        <v>0</v>
      </c>
      <c r="CS820" s="105">
        <f t="shared" si="48"/>
        <v>0</v>
      </c>
      <c r="CT820" s="105">
        <f t="shared" si="48"/>
        <v>0</v>
      </c>
      <c r="CU820" s="105">
        <f t="shared" si="48"/>
        <v>-3.9482142857142857</v>
      </c>
      <c r="CV820" s="105">
        <f t="shared" si="48"/>
        <v>60.167499999999997</v>
      </c>
      <c r="CW820" s="105">
        <f t="shared" si="48"/>
        <v>53.345714285714287</v>
      </c>
      <c r="CX820" s="105">
        <f t="shared" si="48"/>
        <v>0</v>
      </c>
      <c r="CY820" s="105">
        <f t="shared" si="48"/>
        <v>-4.0999999999999996</v>
      </c>
      <c r="CZ820" s="105">
        <f t="shared" ref="CZ820:DI821" si="49">SUMIF($B$6:$B$846,$H820,CZ$6:CZ$846)</f>
        <v>5</v>
      </c>
      <c r="DA820" s="105">
        <f t="shared" si="49"/>
        <v>-5.5</v>
      </c>
      <c r="DB820" s="105">
        <f t="shared" si="49"/>
        <v>-33</v>
      </c>
      <c r="DC820" s="105">
        <f t="shared" si="49"/>
        <v>25.928571428571431</v>
      </c>
      <c r="DD820" s="105">
        <f t="shared" si="49"/>
        <v>-30.55714285714286</v>
      </c>
      <c r="DE820" s="105">
        <f t="shared" si="49"/>
        <v>11.228571428571428</v>
      </c>
      <c r="DF820" s="105">
        <f t="shared" si="49"/>
        <v>31</v>
      </c>
      <c r="DG820" s="105">
        <f t="shared" si="49"/>
        <v>-56.225000000000001</v>
      </c>
      <c r="DH820" s="105">
        <f t="shared" si="49"/>
        <v>62.7</v>
      </c>
      <c r="DI820" s="105">
        <f t="shared" si="49"/>
        <v>0</v>
      </c>
      <c r="DJ820" s="105">
        <f t="shared" ref="DJ820:DS821" si="50">SUMIF($B$6:$B$846,$H820,DJ$6:DJ$846)</f>
        <v>0</v>
      </c>
      <c r="DK820" s="105">
        <f t="shared" si="50"/>
        <v>0</v>
      </c>
      <c r="DL820" s="105">
        <f t="shared" si="50"/>
        <v>0</v>
      </c>
      <c r="DM820" s="105">
        <f t="shared" si="50"/>
        <v>0</v>
      </c>
      <c r="DN820" s="105">
        <f t="shared" si="50"/>
        <v>0</v>
      </c>
      <c r="DO820" s="105">
        <f t="shared" si="50"/>
        <v>0</v>
      </c>
      <c r="DP820" s="105">
        <f t="shared" si="50"/>
        <v>0</v>
      </c>
      <c r="DQ820" s="105">
        <f t="shared" si="50"/>
        <v>0</v>
      </c>
      <c r="DR820" s="105">
        <f t="shared" si="50"/>
        <v>-0.43857142857142861</v>
      </c>
      <c r="DS820" s="105">
        <f t="shared" si="50"/>
        <v>-2.6314285714285717</v>
      </c>
      <c r="DT820" s="105">
        <f t="shared" ref="DT820:EC821" si="51">SUMIF($B$6:$B$846,$H820,DT$6:DT$846)</f>
        <v>0</v>
      </c>
      <c r="DU820" s="105">
        <f t="shared" si="51"/>
        <v>0</v>
      </c>
      <c r="DV820" s="105">
        <f t="shared" si="51"/>
        <v>0</v>
      </c>
      <c r="DW820" s="105">
        <f t="shared" si="51"/>
        <v>0.43857142857142861</v>
      </c>
      <c r="DX820" s="105">
        <f t="shared" si="51"/>
        <v>2.6314285714285717</v>
      </c>
      <c r="DY820" s="105">
        <f t="shared" si="51"/>
        <v>0</v>
      </c>
      <c r="DZ820" s="105">
        <f t="shared" si="51"/>
        <v>0</v>
      </c>
      <c r="EA820" s="105">
        <f t="shared" si="51"/>
        <v>0</v>
      </c>
      <c r="EB820" s="105">
        <f t="shared" si="51"/>
        <v>0</v>
      </c>
      <c r="EC820" s="105">
        <f t="shared" si="51"/>
        <v>0</v>
      </c>
      <c r="ED820" s="105">
        <f t="shared" ref="ED820:EI821" si="52">SUMIF($B$6:$B$846,$H820,ED$6:ED$846)</f>
        <v>0</v>
      </c>
      <c r="EE820" s="105">
        <f t="shared" si="52"/>
        <v>0</v>
      </c>
      <c r="EF820" s="105">
        <f t="shared" si="52"/>
        <v>0</v>
      </c>
      <c r="EG820" s="105">
        <f t="shared" si="52"/>
        <v>0</v>
      </c>
      <c r="EH820" s="105">
        <f t="shared" si="52"/>
        <v>0</v>
      </c>
      <c r="EI820" s="105">
        <f t="shared" si="52"/>
        <v>0</v>
      </c>
    </row>
    <row r="821" spans="1:139" ht="15.75" x14ac:dyDescent="0.3">
      <c r="A821" s="87"/>
      <c r="B821" s="406" t="s">
        <v>1369</v>
      </c>
      <c r="C821" s="406"/>
      <c r="D821" s="406"/>
      <c r="E821" s="409" t="s">
        <v>1361</v>
      </c>
      <c r="F821" s="410" t="s">
        <v>1361</v>
      </c>
      <c r="G821" s="411" t="s">
        <v>1361</v>
      </c>
      <c r="H821" s="188">
        <v>2</v>
      </c>
      <c r="I821" s="84" t="s">
        <v>1379</v>
      </c>
      <c r="J821" s="84">
        <f>SUMIF($B$2:$B$817,H821,$J$2:$J$817)</f>
        <v>-4.4838709677419342</v>
      </c>
      <c r="K821" s="84">
        <f>SUMIF($B$2:$B$817,H821,$K$2:$K$817)</f>
        <v>-280.58189655172407</v>
      </c>
      <c r="L821" s="84">
        <f>SUMIF($B$2:$B$817,H821,$L$2:$L$817)</f>
        <v>-110.81612903225806</v>
      </c>
      <c r="M821" s="84">
        <f>SUMIF($B$2:$B$817,H821,$M$2:$M$817)</f>
        <v>-276.65499999999997</v>
      </c>
      <c r="N821" s="84">
        <f>SUMIF($B$2:$B$817,$H821,N$2:N$817)</f>
        <v>-126.35806451612903</v>
      </c>
      <c r="O821" s="84"/>
      <c r="P821" s="84">
        <f t="shared" si="40"/>
        <v>-47.430483870967741</v>
      </c>
      <c r="Q821" s="84">
        <f t="shared" si="40"/>
        <v>-99.612500000000011</v>
      </c>
      <c r="R821" s="84">
        <f t="shared" si="40"/>
        <v>-210.36193548387095</v>
      </c>
      <c r="S821" s="84">
        <f t="shared" si="40"/>
        <v>-371.07308333333339</v>
      </c>
      <c r="T821" s="84">
        <f t="shared" si="40"/>
        <v>-244.7332258064516</v>
      </c>
      <c r="U821" s="84">
        <v>-44.76</v>
      </c>
      <c r="V821" s="84">
        <v>-59.686</v>
      </c>
      <c r="W821" s="84"/>
      <c r="X821" s="84"/>
      <c r="Y821" s="87">
        <f t="shared" si="41"/>
        <v>0</v>
      </c>
      <c r="Z821" s="87">
        <f t="shared" si="41"/>
        <v>0</v>
      </c>
      <c r="AA821" s="87">
        <f t="shared" si="41"/>
        <v>0</v>
      </c>
      <c r="AB821" s="87">
        <f t="shared" si="41"/>
        <v>0</v>
      </c>
      <c r="AC821" s="105">
        <f t="shared" si="42"/>
        <v>0</v>
      </c>
      <c r="AD821" s="105">
        <f t="shared" si="42"/>
        <v>0</v>
      </c>
      <c r="AE821" s="105">
        <f t="shared" si="42"/>
        <v>0</v>
      </c>
      <c r="AF821" s="105">
        <f t="shared" si="42"/>
        <v>0</v>
      </c>
      <c r="AG821" s="105">
        <f t="shared" si="42"/>
        <v>0</v>
      </c>
      <c r="AH821" s="105">
        <f t="shared" si="42"/>
        <v>-6.1714285714285708</v>
      </c>
      <c r="AI821" s="105">
        <f t="shared" si="42"/>
        <v>6.1714285714285708</v>
      </c>
      <c r="AJ821" s="105">
        <f t="shared" si="42"/>
        <v>-9.8571428571428559</v>
      </c>
      <c r="AK821" s="105">
        <f t="shared" si="42"/>
        <v>2.8571428571428568</v>
      </c>
      <c r="AL821" s="105">
        <f t="shared" si="42"/>
        <v>-56.303571428571423</v>
      </c>
      <c r="AM821" s="105">
        <f t="shared" si="43"/>
        <v>-194.875</v>
      </c>
      <c r="AN821" s="105">
        <f t="shared" si="43"/>
        <v>176798.7</v>
      </c>
      <c r="AO821" s="105">
        <f t="shared" si="43"/>
        <v>-7.8</v>
      </c>
      <c r="AP821" s="105" t="e">
        <f t="shared" si="43"/>
        <v>#REF!</v>
      </c>
      <c r="AQ821" s="105" t="e">
        <f t="shared" si="43"/>
        <v>#REF!</v>
      </c>
      <c r="AR821" s="105" t="e">
        <f t="shared" si="43"/>
        <v>#REF!</v>
      </c>
      <c r="AS821" s="105" t="e">
        <f t="shared" si="43"/>
        <v>#REF!</v>
      </c>
      <c r="AT821" s="105" t="e">
        <f t="shared" si="43"/>
        <v>#REF!</v>
      </c>
      <c r="AU821" s="105" t="e">
        <f t="shared" si="43"/>
        <v>#REF!</v>
      </c>
      <c r="AV821" s="105" t="e">
        <f t="shared" si="43"/>
        <v>#REF!</v>
      </c>
      <c r="AW821" s="105" t="e">
        <f t="shared" si="44"/>
        <v>#REF!</v>
      </c>
      <c r="AX821" s="105">
        <f t="shared" si="44"/>
        <v>57.492857142857147</v>
      </c>
      <c r="AY821" s="105">
        <f t="shared" si="44"/>
        <v>-21.453571714285715</v>
      </c>
      <c r="AZ821" s="105">
        <f t="shared" si="44"/>
        <v>23.785714285714285</v>
      </c>
      <c r="BA821" s="105">
        <f t="shared" si="44"/>
        <v>28.146428571428569</v>
      </c>
      <c r="BB821" s="105">
        <f t="shared" si="44"/>
        <v>103.27142857142857</v>
      </c>
      <c r="BC821" s="105">
        <f t="shared" si="44"/>
        <v>69.910714285714292</v>
      </c>
      <c r="BD821" s="105">
        <f t="shared" si="44"/>
        <v>-1.2749999999999999</v>
      </c>
      <c r="BE821" s="105">
        <f t="shared" si="44"/>
        <v>-31.274999999999999</v>
      </c>
      <c r="BF821" s="105">
        <f t="shared" si="44"/>
        <v>0.61428571428571566</v>
      </c>
      <c r="BG821" s="105">
        <f t="shared" si="45"/>
        <v>13.214285714285715</v>
      </c>
      <c r="BH821" s="105">
        <f t="shared" si="45"/>
        <v>-3.6642857142857133</v>
      </c>
      <c r="BI821" s="105">
        <f t="shared" si="45"/>
        <v>-3.5714285714285721</v>
      </c>
      <c r="BJ821" s="105">
        <f t="shared" si="45"/>
        <v>-93.642857142857139</v>
      </c>
      <c r="BK821" s="105">
        <f t="shared" si="45"/>
        <v>-60.028571428571439</v>
      </c>
      <c r="BL821" s="105">
        <f t="shared" si="45"/>
        <v>-43.685714285714283</v>
      </c>
      <c r="BM821" s="105">
        <f t="shared" si="45"/>
        <v>3.3499999999999996</v>
      </c>
      <c r="BN821" s="105">
        <f t="shared" si="45"/>
        <v>146.03877551020409</v>
      </c>
      <c r="BO821" s="105">
        <f t="shared" si="45"/>
        <v>77.76428571428572</v>
      </c>
      <c r="BP821" s="105">
        <f t="shared" si="45"/>
        <v>18.471428571428572</v>
      </c>
      <c r="BQ821" s="105">
        <f t="shared" si="46"/>
        <v>-35.792857142857144</v>
      </c>
      <c r="BR821" s="105">
        <f t="shared" si="46"/>
        <v>-100.98690476190477</v>
      </c>
      <c r="BS821" s="105">
        <f t="shared" si="46"/>
        <v>-80.070238095238096</v>
      </c>
      <c r="BT821" s="105">
        <f t="shared" si="46"/>
        <v>-124.02071428571428</v>
      </c>
      <c r="BU821" s="105">
        <f t="shared" si="46"/>
        <v>8.3933333333333628</v>
      </c>
      <c r="BV821" s="105">
        <f t="shared" si="46"/>
        <v>36.766666666666666</v>
      </c>
      <c r="BW821" s="105">
        <f t="shared" si="46"/>
        <v>11.7</v>
      </c>
      <c r="BX821" s="105">
        <f t="shared" si="46"/>
        <v>4.125</v>
      </c>
      <c r="BY821" s="105">
        <f t="shared" si="46"/>
        <v>62.289285714285711</v>
      </c>
      <c r="BZ821" s="105">
        <f t="shared" si="46"/>
        <v>0.375</v>
      </c>
      <c r="CA821" s="105">
        <f t="shared" si="47"/>
        <v>-35.524999999999977</v>
      </c>
      <c r="CB821" s="105">
        <f t="shared" si="47"/>
        <v>64.728571428571428</v>
      </c>
      <c r="CC821" s="105">
        <f t="shared" si="47"/>
        <v>161.74642857142859</v>
      </c>
      <c r="CD821" s="105">
        <f t="shared" si="47"/>
        <v>8.0678571428571448</v>
      </c>
      <c r="CE821" s="105">
        <f t="shared" si="47"/>
        <v>1.2321428571428577</v>
      </c>
      <c r="CF821" s="105">
        <f t="shared" si="47"/>
        <v>-3.2400000000000011</v>
      </c>
      <c r="CG821" s="105">
        <f t="shared" si="47"/>
        <v>18.690000000000001</v>
      </c>
      <c r="CH821" s="105">
        <f t="shared" si="47"/>
        <v>-13.271428571428572</v>
      </c>
      <c r="CI821" s="105">
        <f t="shared" si="47"/>
        <v>-7.5</v>
      </c>
      <c r="CJ821" s="105">
        <f t="shared" si="47"/>
        <v>-9.896428571428574</v>
      </c>
      <c r="CK821" s="105">
        <f t="shared" si="47"/>
        <v>-27.033571428571424</v>
      </c>
      <c r="CL821" s="105">
        <f t="shared" si="47"/>
        <v>-23.826428571428572</v>
      </c>
      <c r="CM821" s="105">
        <f t="shared" si="47"/>
        <v>-16.050714285714285</v>
      </c>
      <c r="CN821" s="105">
        <f t="shared" si="47"/>
        <v>-50.385714285714286</v>
      </c>
      <c r="CO821" s="105">
        <f>SUMIF($B$6:$B$846,$H821,CO$6:CO$846)</f>
        <v>91.614285714285728</v>
      </c>
      <c r="CP821" s="105">
        <f t="shared" si="48"/>
        <v>0</v>
      </c>
      <c r="CQ821" s="105">
        <f t="shared" si="48"/>
        <v>-28.378571428571426</v>
      </c>
      <c r="CR821" s="105">
        <f t="shared" si="48"/>
        <v>-33.030714285714282</v>
      </c>
      <c r="CS821" s="105">
        <f t="shared" si="48"/>
        <v>-124.20571428571428</v>
      </c>
      <c r="CT821" s="105">
        <f t="shared" si="48"/>
        <v>-132.33000000000001</v>
      </c>
      <c r="CU821" s="105">
        <f t="shared" si="48"/>
        <v>-18.100000000000012</v>
      </c>
      <c r="CV821" s="105">
        <f t="shared" si="48"/>
        <v>7.4318303571428679</v>
      </c>
      <c r="CW821" s="105">
        <f t="shared" si="48"/>
        <v>-30.901830357142849</v>
      </c>
      <c r="CX821" s="105">
        <f t="shared" si="48"/>
        <v>46.518571428571406</v>
      </c>
      <c r="CY821" s="105">
        <f t="shared" si="48"/>
        <v>19.749285714285719</v>
      </c>
      <c r="CZ821" s="105">
        <f t="shared" si="49"/>
        <v>20.376428571428576</v>
      </c>
      <c r="DA821" s="105">
        <f t="shared" si="49"/>
        <v>115.68428571428574</v>
      </c>
      <c r="DB821" s="105">
        <f t="shared" si="49"/>
        <v>-41.370714285714286</v>
      </c>
      <c r="DC821" s="105">
        <f t="shared" si="49"/>
        <v>42.767857142857139</v>
      </c>
      <c r="DD821" s="105">
        <f t="shared" si="49"/>
        <v>95.403571428571425</v>
      </c>
      <c r="DE821" s="105">
        <f t="shared" si="49"/>
        <v>56.239285714285707</v>
      </c>
      <c r="DF821" s="105">
        <f t="shared" si="49"/>
        <v>51.027142857142856</v>
      </c>
      <c r="DG821" s="105">
        <f t="shared" si="49"/>
        <v>-9.3107142857142851</v>
      </c>
      <c r="DH821" s="105">
        <f t="shared" si="49"/>
        <v>-1.2014285714285728</v>
      </c>
      <c r="DI821" s="105">
        <f t="shared" si="49"/>
        <v>-13.946428571428573</v>
      </c>
      <c r="DJ821" s="105">
        <f t="shared" si="50"/>
        <v>-11.397142857142859</v>
      </c>
      <c r="DK821" s="105">
        <f t="shared" si="50"/>
        <v>-5.3571428571428577</v>
      </c>
      <c r="DL821" s="105">
        <f t="shared" si="50"/>
        <v>5.3571428571428577</v>
      </c>
      <c r="DM821" s="105">
        <f t="shared" si="50"/>
        <v>1.0714285714285714</v>
      </c>
      <c r="DN821" s="105">
        <f t="shared" si="50"/>
        <v>0</v>
      </c>
      <c r="DO821" s="105">
        <f t="shared" si="50"/>
        <v>0</v>
      </c>
      <c r="DP821" s="105">
        <f t="shared" si="50"/>
        <v>0</v>
      </c>
      <c r="DQ821" s="105">
        <f t="shared" si="50"/>
        <v>-93.357142857142861</v>
      </c>
      <c r="DR821" s="105">
        <f t="shared" si="50"/>
        <v>-35.628571428571433</v>
      </c>
      <c r="DS821" s="105">
        <f t="shared" si="50"/>
        <v>-28.349999999999998</v>
      </c>
      <c r="DT821" s="105">
        <f t="shared" si="51"/>
        <v>-22.028571428571432</v>
      </c>
      <c r="DU821" s="105">
        <f t="shared" si="51"/>
        <v>29.464285714285715</v>
      </c>
      <c r="DV821" s="105">
        <f t="shared" si="51"/>
        <v>0</v>
      </c>
      <c r="DW821" s="105">
        <f t="shared" si="51"/>
        <v>26.092857142857142</v>
      </c>
      <c r="DX821" s="105">
        <f t="shared" si="51"/>
        <v>80.107142857142861</v>
      </c>
      <c r="DY821" s="105">
        <f t="shared" si="51"/>
        <v>23.785714285714285</v>
      </c>
      <c r="DZ821" s="105">
        <f t="shared" si="51"/>
        <v>28.349999999999998</v>
      </c>
      <c r="EA821" s="105">
        <f t="shared" si="51"/>
        <v>33.814285714285717</v>
      </c>
      <c r="EB821" s="105">
        <f t="shared" si="51"/>
        <v>0</v>
      </c>
      <c r="EC821" s="105">
        <f t="shared" si="51"/>
        <v>0</v>
      </c>
      <c r="ED821" s="105">
        <f t="shared" si="52"/>
        <v>0</v>
      </c>
      <c r="EE821" s="105">
        <f t="shared" si="52"/>
        <v>0</v>
      </c>
      <c r="EF821" s="105">
        <f t="shared" si="52"/>
        <v>0</v>
      </c>
      <c r="EG821" s="105">
        <f t="shared" si="52"/>
        <v>0</v>
      </c>
      <c r="EH821" s="105">
        <f t="shared" si="52"/>
        <v>0</v>
      </c>
      <c r="EI821" s="105">
        <f t="shared" si="52"/>
        <v>0</v>
      </c>
    </row>
    <row r="822" spans="1:139" ht="15.75" x14ac:dyDescent="0.3">
      <c r="A822" s="87"/>
      <c r="B822" s="406" t="s">
        <v>1369</v>
      </c>
      <c r="C822" s="406"/>
      <c r="D822" s="406"/>
      <c r="E822" s="409" t="s">
        <v>1361</v>
      </c>
      <c r="F822" s="410" t="s">
        <v>1361</v>
      </c>
      <c r="G822" s="411" t="s">
        <v>1361</v>
      </c>
      <c r="H822" s="188">
        <v>3</v>
      </c>
      <c r="I822" s="84" t="s">
        <v>1380</v>
      </c>
      <c r="J822" s="84">
        <f>SUMIF($B$2:$B$817,H822,$J$2:$J$817)</f>
        <v>-409.60999999999996</v>
      </c>
      <c r="K822" s="84">
        <f>SUMIF($B$2:$B$817,H822,$K$2:$K$817)</f>
        <v>-453.78805418719219</v>
      </c>
      <c r="L822" s="84">
        <f>SUMIF($B$2:$B$817,H822,$L$2:$L$817)</f>
        <v>-496.32799999999997</v>
      </c>
      <c r="M822" s="84">
        <f>SUMIF($B$2:$B$817,H822,$M$2:$M$817)</f>
        <v>-262.86706666666669</v>
      </c>
      <c r="N822" s="84">
        <f>SUMIF($B$2:$B$817,$H822,N$2:N$817)</f>
        <v>-189.15241935483868</v>
      </c>
      <c r="O822" s="84"/>
      <c r="P822" s="84">
        <f t="shared" si="40"/>
        <v>-487.36074193548382</v>
      </c>
      <c r="Q822" s="84">
        <f t="shared" si="40"/>
        <v>-537.59399999999994</v>
      </c>
      <c r="R822" s="84">
        <f t="shared" si="40"/>
        <v>-386.37598106591861</v>
      </c>
      <c r="S822" s="84">
        <f t="shared" si="40"/>
        <v>-335.22733333333338</v>
      </c>
      <c r="T822" s="84">
        <f t="shared" si="40"/>
        <v>-215.98351612903227</v>
      </c>
      <c r="U822" s="84">
        <v>-94.06</v>
      </c>
      <c r="V822" s="84">
        <v>-125.69499999999999</v>
      </c>
      <c r="W822" s="84"/>
      <c r="X822" s="84"/>
      <c r="Y822" s="87">
        <f t="shared" si="41"/>
        <v>0</v>
      </c>
      <c r="Z822" s="87">
        <f t="shared" si="41"/>
        <v>13</v>
      </c>
      <c r="AA822" s="87">
        <f t="shared" si="41"/>
        <v>0</v>
      </c>
      <c r="AB822" s="87">
        <f t="shared" si="41"/>
        <v>-4.8571428571428568</v>
      </c>
      <c r="AC822" s="105">
        <f t="shared" ref="AC822:AL824" si="53">SUMIF($B$6:$B$846,$H822,AC$6:AC$846)</f>
        <v>0</v>
      </c>
      <c r="AD822" s="105">
        <f t="shared" si="53"/>
        <v>-25.748571428571427</v>
      </c>
      <c r="AE822" s="105">
        <f t="shared" si="53"/>
        <v>0</v>
      </c>
      <c r="AF822" s="105">
        <f t="shared" si="53"/>
        <v>0</v>
      </c>
      <c r="AG822" s="105">
        <f t="shared" si="53"/>
        <v>0</v>
      </c>
      <c r="AH822" s="105">
        <f t="shared" si="53"/>
        <v>0</v>
      </c>
      <c r="AI822" s="105" t="e">
        <f t="shared" si="53"/>
        <v>#REF!</v>
      </c>
      <c r="AJ822" s="105" t="e">
        <f t="shared" si="53"/>
        <v>#REF!</v>
      </c>
      <c r="AK822" s="105" t="e">
        <f t="shared" si="53"/>
        <v>#REF!</v>
      </c>
      <c r="AL822" s="105" t="e">
        <f t="shared" si="53"/>
        <v>#REF!</v>
      </c>
      <c r="AM822" s="105">
        <f t="shared" ref="AM822:AV824" si="54">SUMIF($B$6:$B$846,$H822,AM$6:AM$846)</f>
        <v>170.18571428571428</v>
      </c>
      <c r="AN822" s="105">
        <f t="shared" si="54"/>
        <v>194589.3666666667</v>
      </c>
      <c r="AO822" s="105" t="e">
        <f t="shared" si="54"/>
        <v>#REF!</v>
      </c>
      <c r="AP822" s="105" t="e">
        <f t="shared" si="54"/>
        <v>#REF!</v>
      </c>
      <c r="AQ822" s="105" t="e">
        <f t="shared" si="54"/>
        <v>#REF!</v>
      </c>
      <c r="AR822" s="105" t="e">
        <f t="shared" si="54"/>
        <v>#REF!</v>
      </c>
      <c r="AS822" s="105">
        <f t="shared" si="54"/>
        <v>-323232.43778911571</v>
      </c>
      <c r="AT822" s="105">
        <f t="shared" si="54"/>
        <v>323445.84474149655</v>
      </c>
      <c r="AU822" s="105">
        <f t="shared" si="54"/>
        <v>93.000461904761934</v>
      </c>
      <c r="AV822" s="105">
        <f t="shared" si="54"/>
        <v>7.2541666666666593</v>
      </c>
      <c r="AW822" s="105" t="e">
        <f>SUMIF($B$6:$B$846,$H822,AW$2:AW$846)</f>
        <v>#REF!</v>
      </c>
      <c r="AX822" s="105">
        <f>SUMIF($B$6:$B$846,$H822,AX$2:AX$846)</f>
        <v>56.156428571428577</v>
      </c>
      <c r="AY822" s="105">
        <f t="shared" ref="AY822:BJ824" si="55">SUMIF($B$6:$B$846,$H822,AY$6:AY$846)</f>
        <v>20.987023809523812</v>
      </c>
      <c r="AZ822" s="105">
        <f t="shared" si="55"/>
        <v>33.196428571428577</v>
      </c>
      <c r="BA822" s="105">
        <f t="shared" si="55"/>
        <v>81.917261904761915</v>
      </c>
      <c r="BB822" s="105" t="e">
        <f t="shared" si="55"/>
        <v>#REF!</v>
      </c>
      <c r="BC822" s="105" t="e">
        <f t="shared" si="55"/>
        <v>#REF!</v>
      </c>
      <c r="BD822" s="105">
        <f t="shared" si="55"/>
        <v>-77.618452380952391</v>
      </c>
      <c r="BE822" s="105">
        <f t="shared" si="55"/>
        <v>-31.323261904761907</v>
      </c>
      <c r="BF822" s="105">
        <f t="shared" si="55"/>
        <v>74.150404761904767</v>
      </c>
      <c r="BG822" s="105">
        <f t="shared" si="55"/>
        <v>62.194166666666725</v>
      </c>
      <c r="BH822" s="105">
        <f t="shared" si="55"/>
        <v>10.142857142857146</v>
      </c>
      <c r="BI822" s="105">
        <f t="shared" si="55"/>
        <v>-173.9242857142857</v>
      </c>
      <c r="BJ822" s="105">
        <f t="shared" si="55"/>
        <v>-59.371428571428567</v>
      </c>
      <c r="BK822" s="105">
        <f t="shared" ref="BK822:CP822" si="56">SUMIF($B$2:$B$846,$H822,BK$2:BK$846)</f>
        <v>56.114285714285721</v>
      </c>
      <c r="BL822" s="105">
        <f t="shared" si="56"/>
        <v>11.59166666666666</v>
      </c>
      <c r="BM822" s="105">
        <f t="shared" si="56"/>
        <v>28.254285714285718</v>
      </c>
      <c r="BN822" s="105">
        <f t="shared" si="56"/>
        <v>11.180833333333318</v>
      </c>
      <c r="BO822" s="105">
        <f t="shared" si="56"/>
        <v>-18.298214285714284</v>
      </c>
      <c r="BP822" s="105">
        <f t="shared" si="56"/>
        <v>-9.5000000000000036</v>
      </c>
      <c r="BQ822" s="105">
        <f t="shared" si="56"/>
        <v>-31.142857142857146</v>
      </c>
      <c r="BR822" s="105">
        <f t="shared" si="56"/>
        <v>-89.050952380952381</v>
      </c>
      <c r="BS822" s="105">
        <f t="shared" si="56"/>
        <v>-4.3136904761904784</v>
      </c>
      <c r="BT822" s="105">
        <f t="shared" si="56"/>
        <v>-49.138571428571424</v>
      </c>
      <c r="BU822" s="105">
        <f t="shared" si="56"/>
        <v>41.870357142857138</v>
      </c>
      <c r="BV822" s="105">
        <f t="shared" si="56"/>
        <v>-85.221071428571435</v>
      </c>
      <c r="BW822" s="105">
        <f t="shared" si="56"/>
        <v>7.0698214285714194</v>
      </c>
      <c r="BX822" s="105">
        <f t="shared" si="56"/>
        <v>-11.464821428571426</v>
      </c>
      <c r="BY822" s="105">
        <f t="shared" si="56"/>
        <v>46.328571428571429</v>
      </c>
      <c r="BZ822" s="105">
        <f t="shared" si="56"/>
        <v>9.605714285714285</v>
      </c>
      <c r="CA822" s="105">
        <f t="shared" si="56"/>
        <v>-31.146173469387737</v>
      </c>
      <c r="CB822" s="105">
        <f t="shared" si="56"/>
        <v>17.721173469387764</v>
      </c>
      <c r="CC822" s="105">
        <f t="shared" si="56"/>
        <v>125.99464285714288</v>
      </c>
      <c r="CD822" s="105">
        <f t="shared" si="56"/>
        <v>81.7</v>
      </c>
      <c r="CE822" s="105">
        <f t="shared" si="56"/>
        <v>52.078571428571422</v>
      </c>
      <c r="CF822" s="105">
        <f t="shared" si="56"/>
        <v>-39.536357142857149</v>
      </c>
      <c r="CG822" s="105">
        <f t="shared" si="56"/>
        <v>75.706892857142861</v>
      </c>
      <c r="CH822" s="105">
        <f t="shared" si="56"/>
        <v>-33.394107142857145</v>
      </c>
      <c r="CI822" s="105">
        <f t="shared" si="56"/>
        <v>-141.24857142857141</v>
      </c>
      <c r="CJ822" s="105">
        <f t="shared" si="56"/>
        <v>-220.18866666666665</v>
      </c>
      <c r="CK822" s="105">
        <f t="shared" si="56"/>
        <v>-295.11871428571425</v>
      </c>
      <c r="CL822" s="105">
        <f t="shared" si="56"/>
        <v>-4.1642857142856897</v>
      </c>
      <c r="CM822" s="105">
        <f t="shared" si="56"/>
        <v>-3.1878571428571547</v>
      </c>
      <c r="CN822" s="105">
        <f t="shared" si="56"/>
        <v>20.871428571428581</v>
      </c>
      <c r="CO822" s="105">
        <f t="shared" si="56"/>
        <v>51.94357142857141</v>
      </c>
      <c r="CP822" s="105">
        <f t="shared" si="56"/>
        <v>-43.416285714285678</v>
      </c>
      <c r="CQ822" s="105">
        <f t="shared" ref="CQ822:DV822" si="57">SUMIF($B$2:$B$846,$H822,CQ$2:CQ$846)</f>
        <v>157.75285714285715</v>
      </c>
      <c r="CR822" s="105">
        <f t="shared" si="57"/>
        <v>138.9084285714286</v>
      </c>
      <c r="CS822" s="105">
        <f t="shared" si="57"/>
        <v>103.3215</v>
      </c>
      <c r="CT822" s="105">
        <f t="shared" si="57"/>
        <v>0.35278571428571182</v>
      </c>
      <c r="CU822" s="105">
        <f t="shared" si="57"/>
        <v>-72.721785714285716</v>
      </c>
      <c r="CV822" s="105">
        <f t="shared" si="57"/>
        <v>-41.749999999999993</v>
      </c>
      <c r="CW822" s="105">
        <f t="shared" si="57"/>
        <v>71.771428571428586</v>
      </c>
      <c r="CX822" s="105">
        <f t="shared" si="57"/>
        <v>116.10714285714286</v>
      </c>
      <c r="CY822" s="105">
        <f t="shared" si="57"/>
        <v>23.435714285714287</v>
      </c>
      <c r="CZ822" s="105">
        <f t="shared" si="57"/>
        <v>0.89142857142857368</v>
      </c>
      <c r="DA822" s="105">
        <f t="shared" si="57"/>
        <v>0.58428571428571452</v>
      </c>
      <c r="DB822" s="105">
        <f t="shared" si="57"/>
        <v>-4.9000000000000048</v>
      </c>
      <c r="DC822" s="105">
        <f t="shared" si="57"/>
        <v>-26.842857142857131</v>
      </c>
      <c r="DD822" s="105">
        <f t="shared" si="57"/>
        <v>91.335714285714275</v>
      </c>
      <c r="DE822" s="105">
        <f t="shared" si="57"/>
        <v>-55.569285714285705</v>
      </c>
      <c r="DF822" s="105">
        <f t="shared" si="57"/>
        <v>-34.199880952380965</v>
      </c>
      <c r="DG822" s="105">
        <f t="shared" si="57"/>
        <v>56.457857142857151</v>
      </c>
      <c r="DH822" s="105">
        <f t="shared" si="57"/>
        <v>-79.755357142857136</v>
      </c>
      <c r="DI822" s="105">
        <f t="shared" si="57"/>
        <v>75.107142857142847</v>
      </c>
      <c r="DJ822" s="105">
        <f t="shared" si="57"/>
        <v>18.571428571428569</v>
      </c>
      <c r="DK822" s="105">
        <f t="shared" si="57"/>
        <v>-2.8</v>
      </c>
      <c r="DL822" s="105">
        <f t="shared" si="57"/>
        <v>0</v>
      </c>
      <c r="DM822" s="105">
        <f t="shared" si="57"/>
        <v>0</v>
      </c>
      <c r="DN822" s="105">
        <f t="shared" si="57"/>
        <v>0</v>
      </c>
      <c r="DO822" s="105">
        <f t="shared" si="57"/>
        <v>0</v>
      </c>
      <c r="DP822" s="105">
        <f t="shared" si="57"/>
        <v>1.3999999999999997</v>
      </c>
      <c r="DQ822" s="105">
        <f t="shared" si="57"/>
        <v>-3.4928571428571447</v>
      </c>
      <c r="DR822" s="105">
        <f t="shared" si="57"/>
        <v>-81.942857142857136</v>
      </c>
      <c r="DS822" s="105">
        <f t="shared" si="57"/>
        <v>-45.271428571428572</v>
      </c>
      <c r="DT822" s="105">
        <f t="shared" si="57"/>
        <v>-19.5</v>
      </c>
      <c r="DU822" s="105">
        <f t="shared" si="57"/>
        <v>-29.37142857142857</v>
      </c>
      <c r="DV822" s="105">
        <f t="shared" si="57"/>
        <v>-141.17714285714285</v>
      </c>
      <c r="DW822" s="105">
        <f t="shared" ref="DW822:EI822" si="58">SUMIF($B$2:$B$846,$H822,DW$2:DW$846)</f>
        <v>10.178571428571427</v>
      </c>
      <c r="DX822" s="105">
        <f t="shared" si="58"/>
        <v>0</v>
      </c>
      <c r="DY822" s="105">
        <f t="shared" si="58"/>
        <v>78.144999999999996</v>
      </c>
      <c r="DZ822" s="105">
        <f t="shared" si="58"/>
        <v>65.921428571428578</v>
      </c>
      <c r="EA822" s="105">
        <f t="shared" si="58"/>
        <v>119.71071428571429</v>
      </c>
      <c r="EB822" s="105">
        <f t="shared" si="58"/>
        <v>72.392857142857139</v>
      </c>
      <c r="EC822" s="105">
        <f t="shared" si="58"/>
        <v>0</v>
      </c>
      <c r="ED822" s="105">
        <f t="shared" si="58"/>
        <v>0</v>
      </c>
      <c r="EE822" s="105">
        <f t="shared" si="58"/>
        <v>0</v>
      </c>
      <c r="EF822" s="105">
        <f t="shared" si="58"/>
        <v>0</v>
      </c>
      <c r="EG822" s="105">
        <f t="shared" si="58"/>
        <v>0</v>
      </c>
      <c r="EH822" s="105">
        <f t="shared" si="58"/>
        <v>0</v>
      </c>
      <c r="EI822" s="105">
        <f t="shared" si="58"/>
        <v>0</v>
      </c>
    </row>
    <row r="823" spans="1:139" ht="15.75" x14ac:dyDescent="0.3">
      <c r="A823" s="87"/>
      <c r="B823" s="406" t="s">
        <v>1369</v>
      </c>
      <c r="C823" s="406"/>
      <c r="D823" s="406"/>
      <c r="E823" s="409" t="s">
        <v>1361</v>
      </c>
      <c r="F823" s="410" t="s">
        <v>1361</v>
      </c>
      <c r="G823" s="411" t="s">
        <v>1361</v>
      </c>
      <c r="H823" s="188">
        <v>4</v>
      </c>
      <c r="I823" s="84" t="s">
        <v>1381</v>
      </c>
      <c r="J823" s="84">
        <f>SUMIF($B$2:$B$817,H823,$J$2:$J$817)</f>
        <v>-3.3870967741935489</v>
      </c>
      <c r="K823" s="84">
        <f>SUMIF($B$2:$B$817,H823,$K$2:$K$817)</f>
        <v>-47.527586206896544</v>
      </c>
      <c r="L823" s="84">
        <f>SUMIF($B$2:$B$817,H823,$L$2:$L$817)</f>
        <v>-58.494193548387095</v>
      </c>
      <c r="M823" s="84">
        <f>SUMIF($B$2:$B$817,H823,$M$2:$M$817)</f>
        <v>-28.05</v>
      </c>
      <c r="N823" s="84">
        <f>SUMIF($B$2:$B$817,$H823,N$2:N$817)</f>
        <v>-5.8854838709677422</v>
      </c>
      <c r="O823" s="84"/>
      <c r="P823" s="84">
        <f t="shared" si="40"/>
        <v>-0.94354838709677413</v>
      </c>
      <c r="Q823" s="84">
        <f t="shared" si="40"/>
        <v>-5.4900000000000011</v>
      </c>
      <c r="R823" s="84">
        <f t="shared" si="40"/>
        <v>-12.230483870967744</v>
      </c>
      <c r="S823" s="84">
        <f t="shared" si="40"/>
        <v>-40.075666666666663</v>
      </c>
      <c r="T823" s="84">
        <f t="shared" si="40"/>
        <v>-32.981854838709673</v>
      </c>
      <c r="U823" s="84">
        <f t="shared" si="40"/>
        <v>-4.2320000000000002</v>
      </c>
      <c r="V823" s="84">
        <v>-4.2370000000000001</v>
      </c>
      <c r="W823" s="84"/>
      <c r="X823" s="84"/>
      <c r="Y823" s="87">
        <f t="shared" si="41"/>
        <v>0</v>
      </c>
      <c r="Z823" s="87">
        <f t="shared" si="41"/>
        <v>0</v>
      </c>
      <c r="AA823" s="87">
        <f t="shared" si="41"/>
        <v>0</v>
      </c>
      <c r="AB823" s="87">
        <f t="shared" si="41"/>
        <v>0</v>
      </c>
      <c r="AC823" s="105">
        <f t="shared" si="53"/>
        <v>0</v>
      </c>
      <c r="AD823" s="105">
        <f t="shared" si="53"/>
        <v>0</v>
      </c>
      <c r="AE823" s="105">
        <f t="shared" si="53"/>
        <v>0</v>
      </c>
      <c r="AF823" s="105">
        <f t="shared" si="53"/>
        <v>0</v>
      </c>
      <c r="AG823" s="105">
        <f t="shared" si="53"/>
        <v>0</v>
      </c>
      <c r="AH823" s="105">
        <f t="shared" si="53"/>
        <v>0</v>
      </c>
      <c r="AI823" s="105">
        <f t="shared" si="53"/>
        <v>0</v>
      </c>
      <c r="AJ823" s="105">
        <f t="shared" si="53"/>
        <v>-29.000000000000007</v>
      </c>
      <c r="AK823" s="105">
        <f t="shared" si="53"/>
        <v>22.000000000000007</v>
      </c>
      <c r="AL823" s="105">
        <f t="shared" si="53"/>
        <v>0.96000000000000085</v>
      </c>
      <c r="AM823" s="105">
        <f t="shared" si="54"/>
        <v>10.925714285714285</v>
      </c>
      <c r="AN823" s="105">
        <f t="shared" si="54"/>
        <v>-36.734285714285718</v>
      </c>
      <c r="AO823" s="105">
        <f t="shared" si="54"/>
        <v>-18</v>
      </c>
      <c r="AP823" s="105">
        <f t="shared" si="54"/>
        <v>7</v>
      </c>
      <c r="AQ823" s="105">
        <f t="shared" si="54"/>
        <v>-6.6857142857142851</v>
      </c>
      <c r="AR823" s="105">
        <f t="shared" si="54"/>
        <v>4.6666666666666679</v>
      </c>
      <c r="AS823" s="105">
        <f t="shared" si="54"/>
        <v>6.4333333333333327</v>
      </c>
      <c r="AT823" s="105" t="e">
        <f t="shared" si="54"/>
        <v>#REF!</v>
      </c>
      <c r="AU823" s="105" t="e">
        <f t="shared" si="54"/>
        <v>#REF!</v>
      </c>
      <c r="AV823" s="105">
        <f t="shared" si="54"/>
        <v>-4.8679999999999986</v>
      </c>
      <c r="AW823" s="105">
        <f>SUMIF($B$6:$B$846,$H823,AW$6:AW$846)</f>
        <v>0</v>
      </c>
      <c r="AX823" s="105">
        <f>SUMIF($B$6:$B$846,$H823,AX$6:AX$846)</f>
        <v>0</v>
      </c>
      <c r="AY823" s="105" t="e">
        <f t="shared" si="55"/>
        <v>#REF!</v>
      </c>
      <c r="AZ823" s="105" t="e">
        <f t="shared" si="55"/>
        <v>#REF!</v>
      </c>
      <c r="BA823" s="105">
        <f t="shared" si="55"/>
        <v>7.25</v>
      </c>
      <c r="BB823" s="105">
        <f t="shared" si="55"/>
        <v>7.25</v>
      </c>
      <c r="BC823" s="105">
        <f t="shared" si="55"/>
        <v>-2.1125000000000003</v>
      </c>
      <c r="BD823" s="105">
        <f t="shared" si="55"/>
        <v>2.1125000000000003</v>
      </c>
      <c r="BE823" s="105">
        <f t="shared" si="55"/>
        <v>0</v>
      </c>
      <c r="BF823" s="105">
        <f t="shared" si="55"/>
        <v>0</v>
      </c>
      <c r="BG823" s="105">
        <f t="shared" si="55"/>
        <v>0</v>
      </c>
      <c r="BH823" s="105">
        <f t="shared" si="55"/>
        <v>0</v>
      </c>
      <c r="BI823" s="105">
        <f t="shared" si="55"/>
        <v>0</v>
      </c>
      <c r="BJ823" s="105">
        <f t="shared" si="55"/>
        <v>-9.6571428571428584</v>
      </c>
      <c r="BK823" s="105">
        <f t="shared" ref="BK823:BT824" si="59">SUMIF($B$6:$B$846,$H823,BK$6:BK$846)</f>
        <v>0</v>
      </c>
      <c r="BL823" s="105">
        <f t="shared" si="59"/>
        <v>9.6571428571428584</v>
      </c>
      <c r="BM823" s="105">
        <f t="shared" si="59"/>
        <v>-3</v>
      </c>
      <c r="BN823" s="105">
        <f t="shared" si="59"/>
        <v>0</v>
      </c>
      <c r="BO823" s="105">
        <f t="shared" si="59"/>
        <v>0</v>
      </c>
      <c r="BP823" s="105">
        <f t="shared" si="59"/>
        <v>0</v>
      </c>
      <c r="BQ823" s="105">
        <f t="shared" si="59"/>
        <v>0</v>
      </c>
      <c r="BR823" s="105">
        <f t="shared" si="59"/>
        <v>-20.3</v>
      </c>
      <c r="BS823" s="105">
        <f t="shared" si="59"/>
        <v>0</v>
      </c>
      <c r="BT823" s="105">
        <f t="shared" si="59"/>
        <v>-3.15</v>
      </c>
      <c r="BU823" s="105">
        <f t="shared" ref="BU823:CF824" si="60">SUMIF($B$6:$B$846,$H823,BU$6:BU$846)</f>
        <v>5.2928571428571427</v>
      </c>
      <c r="BV823" s="105">
        <f t="shared" si="60"/>
        <v>3.7571428571428571</v>
      </c>
      <c r="BW823" s="105">
        <f t="shared" si="60"/>
        <v>17.400000000000002</v>
      </c>
      <c r="BX823" s="105">
        <f t="shared" si="60"/>
        <v>-11.692857142857143</v>
      </c>
      <c r="BY823" s="105">
        <f t="shared" si="60"/>
        <v>4.3178571428571439</v>
      </c>
      <c r="BZ823" s="105">
        <f t="shared" si="60"/>
        <v>7.375</v>
      </c>
      <c r="CA823" s="105">
        <f t="shared" si="60"/>
        <v>0</v>
      </c>
      <c r="CB823" s="105">
        <f t="shared" si="60"/>
        <v>0</v>
      </c>
      <c r="CC823" s="105">
        <f t="shared" si="60"/>
        <v>-1.7142857142857142</v>
      </c>
      <c r="CD823" s="105">
        <f t="shared" si="60"/>
        <v>-1.2857142857142856</v>
      </c>
      <c r="CE823" s="105">
        <f t="shared" si="60"/>
        <v>-17.16</v>
      </c>
      <c r="CF823" s="105">
        <f t="shared" si="60"/>
        <v>0</v>
      </c>
      <c r="CG823" s="105">
        <f t="shared" ref="CG823:CZ823" si="61">SUMIF($B$3:$B$846,$H823,CG$3:CG$846)</f>
        <v>2.1171428571428574</v>
      </c>
      <c r="CH823" s="105">
        <f t="shared" si="61"/>
        <v>-3.4071428571428548</v>
      </c>
      <c r="CI823" s="105">
        <f t="shared" si="61"/>
        <v>2.7857142857142856</v>
      </c>
      <c r="CJ823" s="105">
        <f t="shared" si="61"/>
        <v>11.978571428571428</v>
      </c>
      <c r="CK823" s="105">
        <f t="shared" si="61"/>
        <v>6.6857142857142851</v>
      </c>
      <c r="CL823" s="105">
        <f t="shared" si="61"/>
        <v>0</v>
      </c>
      <c r="CM823" s="105">
        <f t="shared" si="61"/>
        <v>-0.21428571428571427</v>
      </c>
      <c r="CN823" s="105">
        <f t="shared" si="61"/>
        <v>-2.1557142857142861</v>
      </c>
      <c r="CO823" s="105">
        <f t="shared" si="61"/>
        <v>-8.7107142857142872</v>
      </c>
      <c r="CP823" s="105">
        <f t="shared" si="61"/>
        <v>2.7857142857142856</v>
      </c>
      <c r="CQ823" s="105">
        <f t="shared" si="61"/>
        <v>-0.3214285714285714</v>
      </c>
      <c r="CR823" s="105">
        <f t="shared" si="61"/>
        <v>-11.214285714285715</v>
      </c>
      <c r="CS823" s="105">
        <f t="shared" si="61"/>
        <v>4.5714285714285712</v>
      </c>
      <c r="CT823" s="105">
        <f t="shared" si="61"/>
        <v>6.9642857142857144</v>
      </c>
      <c r="CU823" s="105">
        <f t="shared" si="61"/>
        <v>-10.741428571428571</v>
      </c>
      <c r="CV823" s="105">
        <f t="shared" si="61"/>
        <v>-8.3578571428571422</v>
      </c>
      <c r="CW823" s="105">
        <f t="shared" si="61"/>
        <v>-18.56785714285714</v>
      </c>
      <c r="CX823" s="105">
        <f t="shared" si="61"/>
        <v>-1.5750000000000002</v>
      </c>
      <c r="CY823" s="105">
        <f t="shared" si="61"/>
        <v>-2.0921428571428562</v>
      </c>
      <c r="CZ823" s="105">
        <f t="shared" si="61"/>
        <v>0.95392857142857279</v>
      </c>
      <c r="DA823" s="105">
        <f t="shared" ref="DA823:DJ824" si="62">SUMIF($B$6:$B$846,$H823,DA$6:DA$846)</f>
        <v>4.5385714285714283</v>
      </c>
      <c r="DB823" s="105">
        <f t="shared" si="62"/>
        <v>4.4778571428571432</v>
      </c>
      <c r="DC823" s="105">
        <f t="shared" si="62"/>
        <v>28.116428571428568</v>
      </c>
      <c r="DD823" s="105">
        <f t="shared" si="62"/>
        <v>11.663214285714286</v>
      </c>
      <c r="DE823" s="105">
        <f t="shared" si="62"/>
        <v>0</v>
      </c>
      <c r="DF823" s="105">
        <f t="shared" si="62"/>
        <v>-3.3514285714285714</v>
      </c>
      <c r="DG823" s="105">
        <f t="shared" si="62"/>
        <v>-5.0271428571428576</v>
      </c>
      <c r="DH823" s="105">
        <f t="shared" si="62"/>
        <v>-59.828571428571429</v>
      </c>
      <c r="DI823" s="105">
        <f t="shared" si="62"/>
        <v>63.192857142857143</v>
      </c>
      <c r="DJ823" s="105">
        <f t="shared" si="62"/>
        <v>5.0142857142857142</v>
      </c>
      <c r="DK823" s="105">
        <f t="shared" ref="DK823:DT824" si="63">SUMIF($B$6:$B$846,$H823,DK$6:DK$846)</f>
        <v>0</v>
      </c>
      <c r="DL823" s="105">
        <f t="shared" si="63"/>
        <v>0</v>
      </c>
      <c r="DM823" s="105">
        <f t="shared" si="63"/>
        <v>0</v>
      </c>
      <c r="DN823" s="105">
        <f t="shared" si="63"/>
        <v>0</v>
      </c>
      <c r="DO823" s="105">
        <f t="shared" si="63"/>
        <v>0</v>
      </c>
      <c r="DP823" s="105">
        <f t="shared" si="63"/>
        <v>0</v>
      </c>
      <c r="DQ823" s="105">
        <f t="shared" si="63"/>
        <v>0</v>
      </c>
      <c r="DR823" s="105">
        <f t="shared" si="63"/>
        <v>0</v>
      </c>
      <c r="DS823" s="105">
        <f t="shared" si="63"/>
        <v>0</v>
      </c>
      <c r="DT823" s="105">
        <f t="shared" si="63"/>
        <v>0</v>
      </c>
      <c r="DU823" s="105">
        <f t="shared" ref="DU823:EI824" si="64">SUMIF($B$6:$B$846,$H823,DU$6:DU$846)</f>
        <v>0</v>
      </c>
      <c r="DV823" s="105">
        <f t="shared" si="64"/>
        <v>0</v>
      </c>
      <c r="DW823" s="105">
        <f t="shared" si="64"/>
        <v>0</v>
      </c>
      <c r="DX823" s="105">
        <f t="shared" si="64"/>
        <v>-2.8899999999999997</v>
      </c>
      <c r="DY823" s="105">
        <f t="shared" si="64"/>
        <v>0</v>
      </c>
      <c r="DZ823" s="105">
        <f t="shared" si="64"/>
        <v>2.8899999999999997</v>
      </c>
      <c r="EA823" s="105">
        <f t="shared" si="64"/>
        <v>0</v>
      </c>
      <c r="EB823" s="105">
        <f t="shared" si="64"/>
        <v>0</v>
      </c>
      <c r="EC823" s="105">
        <f t="shared" si="64"/>
        <v>0</v>
      </c>
      <c r="ED823" s="105">
        <f t="shared" si="64"/>
        <v>0</v>
      </c>
      <c r="EE823" s="105">
        <f t="shared" si="64"/>
        <v>0</v>
      </c>
      <c r="EF823" s="105">
        <f t="shared" si="64"/>
        <v>0</v>
      </c>
      <c r="EG823" s="105">
        <f t="shared" si="64"/>
        <v>0</v>
      </c>
      <c r="EH823" s="105">
        <f t="shared" si="64"/>
        <v>0</v>
      </c>
      <c r="EI823" s="105">
        <f t="shared" si="64"/>
        <v>0</v>
      </c>
    </row>
    <row r="824" spans="1:139" ht="15.75" x14ac:dyDescent="0.3">
      <c r="A824" s="87"/>
      <c r="B824" s="406" t="s">
        <v>1369</v>
      </c>
      <c r="C824" s="406"/>
      <c r="D824" s="406"/>
      <c r="E824" s="409" t="s">
        <v>1361</v>
      </c>
      <c r="F824" s="410" t="s">
        <v>1361</v>
      </c>
      <c r="G824" s="411" t="s">
        <v>1361</v>
      </c>
      <c r="H824" s="188">
        <v>5</v>
      </c>
      <c r="I824" s="84" t="s">
        <v>1382</v>
      </c>
      <c r="J824" s="84">
        <f>SUMIF($B$2:$B$817,H824,$J$2:$J$817)</f>
        <v>-76.529032258064518</v>
      </c>
      <c r="K824" s="84">
        <f>SUMIF($B$2:$B$817,H824,$K$2:$K$817)</f>
        <v>-123.27586206896552</v>
      </c>
      <c r="L824" s="84">
        <f>SUMIF($B$2:$B$817,H824,$L$2:$L$817)</f>
        <v>-98.316129032258061</v>
      </c>
      <c r="M824" s="84">
        <f>SUMIF($B$2:$B$817,H824,$M$2:$M$817)</f>
        <v>-103.94833333333334</v>
      </c>
      <c r="N824" s="84">
        <f>SUMIF($B$2:$B$817,$H824,N$2:N$817)</f>
        <v>-100.9483870967742</v>
      </c>
      <c r="O824" s="84"/>
      <c r="P824" s="84">
        <f t="shared" si="40"/>
        <v>-107.51145161290322</v>
      </c>
      <c r="Q824" s="84">
        <f t="shared" si="40"/>
        <v>-160.53303571428572</v>
      </c>
      <c r="R824" s="84">
        <f t="shared" si="40"/>
        <v>-206.75564516129035</v>
      </c>
      <c r="S824" s="84">
        <f t="shared" si="40"/>
        <v>-256.96166666666664</v>
      </c>
      <c r="T824" s="84">
        <f t="shared" si="40"/>
        <v>-181.41016129032255</v>
      </c>
      <c r="U824" s="84">
        <f t="shared" si="40"/>
        <v>-102.61366666666666</v>
      </c>
      <c r="V824" s="84">
        <v>-66.137</v>
      </c>
      <c r="W824" s="84"/>
      <c r="X824" s="84"/>
      <c r="Y824" s="87">
        <f t="shared" si="41"/>
        <v>0</v>
      </c>
      <c r="Z824" s="87">
        <f t="shared" si="41"/>
        <v>0</v>
      </c>
      <c r="AA824" s="87">
        <f t="shared" si="41"/>
        <v>0</v>
      </c>
      <c r="AB824" s="87">
        <f t="shared" si="41"/>
        <v>-37.700000000000003</v>
      </c>
      <c r="AC824" s="105">
        <f t="shared" si="53"/>
        <v>-9.4249999999999972</v>
      </c>
      <c r="AD824" s="105">
        <f t="shared" si="53"/>
        <v>32.987499999999997</v>
      </c>
      <c r="AE824" s="105">
        <f t="shared" si="53"/>
        <v>14.137500000000003</v>
      </c>
      <c r="AF824" s="105">
        <f t="shared" si="53"/>
        <v>-13.435714285714283</v>
      </c>
      <c r="AG824" s="105">
        <f t="shared" si="53"/>
        <v>-17.914285714285711</v>
      </c>
      <c r="AH824" s="105">
        <f t="shared" si="53"/>
        <v>0</v>
      </c>
      <c r="AI824" s="105">
        <f t="shared" si="53"/>
        <v>0</v>
      </c>
      <c r="AJ824" s="105">
        <f t="shared" si="53"/>
        <v>-48.021428571428572</v>
      </c>
      <c r="AK824" s="105">
        <f t="shared" si="53"/>
        <v>-25.628571428571433</v>
      </c>
      <c r="AL824" s="105">
        <f t="shared" si="53"/>
        <v>-24.285714285714285</v>
      </c>
      <c r="AM824" s="105">
        <f t="shared" si="54"/>
        <v>24.285714285714285</v>
      </c>
      <c r="AN824" s="105">
        <f t="shared" si="54"/>
        <v>-25</v>
      </c>
      <c r="AO824" s="105">
        <f t="shared" si="54"/>
        <v>-38</v>
      </c>
      <c r="AP824" s="105">
        <f t="shared" si="54"/>
        <v>-1.8464285714285751</v>
      </c>
      <c r="AQ824" s="105">
        <f t="shared" si="54"/>
        <v>25.921428571428564</v>
      </c>
      <c r="AR824" s="105">
        <f t="shared" si="54"/>
        <v>23.375</v>
      </c>
      <c r="AS824" s="105">
        <f t="shared" si="54"/>
        <v>27.241666666666667</v>
      </c>
      <c r="AT824" s="105">
        <f t="shared" si="54"/>
        <v>7.5226190476190489</v>
      </c>
      <c r="AU824" s="105">
        <f t="shared" si="54"/>
        <v>3.0166666666666693</v>
      </c>
      <c r="AV824" s="105">
        <f t="shared" si="54"/>
        <v>10.566190476190478</v>
      </c>
      <c r="AW824" s="105" t="e">
        <f>SUMIF($B$6:$B$846,$H824,AW$6:AW$846)</f>
        <v>#REF!</v>
      </c>
      <c r="AX824" s="105" t="e">
        <f>SUMIF($B$6:$B$846,$H824,AX$6:AX$846)</f>
        <v>#REF!</v>
      </c>
      <c r="AY824" s="105">
        <f t="shared" si="55"/>
        <v>-14.114285714285717</v>
      </c>
      <c r="AZ824" s="105">
        <f t="shared" si="55"/>
        <v>2.085714285714289</v>
      </c>
      <c r="BA824" s="105">
        <f t="shared" si="55"/>
        <v>38.75714285714286</v>
      </c>
      <c r="BB824" s="105">
        <f t="shared" si="55"/>
        <v>16.757142857142856</v>
      </c>
      <c r="BC824" s="105">
        <f t="shared" si="55"/>
        <v>43.671428571428578</v>
      </c>
      <c r="BD824" s="105">
        <f t="shared" si="55"/>
        <v>-23.828571428571436</v>
      </c>
      <c r="BE824" s="105">
        <f t="shared" si="55"/>
        <v>-64.902857142857144</v>
      </c>
      <c r="BF824" s="105">
        <f t="shared" si="55"/>
        <v>44.342857142857156</v>
      </c>
      <c r="BG824" s="105">
        <f t="shared" si="55"/>
        <v>21</v>
      </c>
      <c r="BH824" s="105">
        <f t="shared" si="55"/>
        <v>68.860000000000014</v>
      </c>
      <c r="BI824" s="105">
        <f t="shared" si="55"/>
        <v>68.814285714285703</v>
      </c>
      <c r="BJ824" s="105">
        <f t="shared" si="55"/>
        <v>4.2857142857142856</v>
      </c>
      <c r="BK824" s="105">
        <f t="shared" si="59"/>
        <v>0</v>
      </c>
      <c r="BL824" s="105">
        <f t="shared" si="59"/>
        <v>0</v>
      </c>
      <c r="BM824" s="105">
        <f t="shared" si="59"/>
        <v>-40.700000000000003</v>
      </c>
      <c r="BN824" s="105">
        <f t="shared" si="59"/>
        <v>-6.4249999999999972</v>
      </c>
      <c r="BO824" s="105">
        <f t="shared" si="59"/>
        <v>0</v>
      </c>
      <c r="BP824" s="105">
        <f t="shared" si="59"/>
        <v>29.344642857142855</v>
      </c>
      <c r="BQ824" s="105">
        <f t="shared" si="59"/>
        <v>-24.862499999999997</v>
      </c>
      <c r="BR824" s="105">
        <f t="shared" si="59"/>
        <v>-67.542857142857144</v>
      </c>
      <c r="BS824" s="105">
        <f t="shared" si="59"/>
        <v>4.4357142857142904</v>
      </c>
      <c r="BT824" s="105">
        <f t="shared" si="59"/>
        <v>-23.670535714285712</v>
      </c>
      <c r="BU824" s="105">
        <f t="shared" si="60"/>
        <v>-60.183035714285722</v>
      </c>
      <c r="BV824" s="105">
        <f t="shared" si="60"/>
        <v>-7.2714285714285705</v>
      </c>
      <c r="BW824" s="105">
        <f t="shared" si="60"/>
        <v>66.118750000000006</v>
      </c>
      <c r="BX824" s="105">
        <f t="shared" si="60"/>
        <v>3.8376785714285724</v>
      </c>
      <c r="BY824" s="105">
        <f t="shared" si="60"/>
        <v>3.9514285714285737</v>
      </c>
      <c r="BZ824" s="105">
        <f t="shared" si="60"/>
        <v>-31.771428571428569</v>
      </c>
      <c r="CA824" s="105">
        <f t="shared" si="60"/>
        <v>39.428571428571431</v>
      </c>
      <c r="CB824" s="105">
        <f t="shared" si="60"/>
        <v>34.90428571428572</v>
      </c>
      <c r="CC824" s="105">
        <f t="shared" si="60"/>
        <v>32.048571428571421</v>
      </c>
      <c r="CD824" s="105">
        <f t="shared" si="60"/>
        <v>-39.621428571428567</v>
      </c>
      <c r="CE824" s="105">
        <f t="shared" si="60"/>
        <v>-7.2964285714285708</v>
      </c>
      <c r="CF824" s="105">
        <f t="shared" si="60"/>
        <v>31.046428571428567</v>
      </c>
      <c r="CG824" s="105">
        <f t="shared" ref="CG824:CZ824" si="65">SUMIF($B$6:$B$846,$H824,CG$6:CG$846)</f>
        <v>40.321428571428569</v>
      </c>
      <c r="CH824" s="105">
        <f t="shared" si="65"/>
        <v>2.9499999999999997</v>
      </c>
      <c r="CI824" s="105">
        <f t="shared" si="65"/>
        <v>0.96428571428571441</v>
      </c>
      <c r="CJ824" s="105">
        <f t="shared" si="65"/>
        <v>-112.56857142857143</v>
      </c>
      <c r="CK824" s="105">
        <f t="shared" si="65"/>
        <v>-39.867142857142859</v>
      </c>
      <c r="CL824" s="105">
        <f t="shared" si="65"/>
        <v>-2.5499999999999972</v>
      </c>
      <c r="CM824" s="105">
        <f t="shared" si="65"/>
        <v>-61.982142857142861</v>
      </c>
      <c r="CN824" s="105">
        <f t="shared" si="65"/>
        <v>25.760714285714293</v>
      </c>
      <c r="CO824" s="105">
        <f t="shared" si="65"/>
        <v>40.067857142857129</v>
      </c>
      <c r="CP824" s="105">
        <f t="shared" si="65"/>
        <v>-2.7857142857142856</v>
      </c>
      <c r="CQ824" s="105">
        <f t="shared" si="65"/>
        <v>12.317857142857143</v>
      </c>
      <c r="CR824" s="105">
        <f t="shared" si="65"/>
        <v>38.56071428571429</v>
      </c>
      <c r="CS824" s="105">
        <f t="shared" si="65"/>
        <v>-124.69999999999999</v>
      </c>
      <c r="CT824" s="105">
        <f t="shared" si="65"/>
        <v>-71.01428571428572</v>
      </c>
      <c r="CU824" s="105">
        <f t="shared" si="65"/>
        <v>14.921428571428573</v>
      </c>
      <c r="CV824" s="105">
        <f t="shared" si="65"/>
        <v>-0.91428571428571104</v>
      </c>
      <c r="CW824" s="105">
        <f t="shared" si="65"/>
        <v>55.592857142857149</v>
      </c>
      <c r="CX824" s="105">
        <f t="shared" si="65"/>
        <v>-1.0357142857142856</v>
      </c>
      <c r="CY824" s="105">
        <f t="shared" si="65"/>
        <v>106.35357142857143</v>
      </c>
      <c r="CZ824" s="105">
        <f t="shared" si="65"/>
        <v>-105.77714285714285</v>
      </c>
      <c r="DA824" s="105">
        <f t="shared" si="62"/>
        <v>52.61571428571429</v>
      </c>
      <c r="DB824" s="105">
        <f t="shared" si="62"/>
        <v>26.182142857142853</v>
      </c>
      <c r="DC824" s="105">
        <f t="shared" si="62"/>
        <v>-11.042857142857143</v>
      </c>
      <c r="DD824" s="105">
        <f t="shared" si="62"/>
        <v>38.946428571428569</v>
      </c>
      <c r="DE824" s="105">
        <f t="shared" si="62"/>
        <v>45.007142857142853</v>
      </c>
      <c r="DF824" s="105">
        <f t="shared" si="62"/>
        <v>11.168571428571429</v>
      </c>
      <c r="DG824" s="105">
        <f t="shared" si="62"/>
        <v>-11.214285714285712</v>
      </c>
      <c r="DH824" s="105">
        <f t="shared" si="62"/>
        <v>9.4285714285714288</v>
      </c>
      <c r="DI824" s="105">
        <f t="shared" si="62"/>
        <v>-5.6357142857142852</v>
      </c>
      <c r="DJ824" s="105">
        <f t="shared" si="62"/>
        <v>4.0428571428571427</v>
      </c>
      <c r="DK824" s="105">
        <f t="shared" si="63"/>
        <v>0</v>
      </c>
      <c r="DL824" s="105">
        <f t="shared" si="63"/>
        <v>0</v>
      </c>
      <c r="DM824" s="105">
        <f t="shared" si="63"/>
        <v>8.3142857142857149</v>
      </c>
      <c r="DN824" s="105">
        <f t="shared" si="63"/>
        <v>9.8857142857142843</v>
      </c>
      <c r="DO824" s="105">
        <f t="shared" si="63"/>
        <v>0</v>
      </c>
      <c r="DP824" s="105">
        <f t="shared" si="63"/>
        <v>0.85714285714285732</v>
      </c>
      <c r="DQ824" s="105">
        <f t="shared" si="63"/>
        <v>-41.207142857142856</v>
      </c>
      <c r="DR824" s="105">
        <f t="shared" si="63"/>
        <v>0</v>
      </c>
      <c r="DS824" s="105">
        <f t="shared" si="63"/>
        <v>-1.25</v>
      </c>
      <c r="DT824" s="105">
        <f t="shared" si="63"/>
        <v>-57.94285714285715</v>
      </c>
      <c r="DU824" s="105">
        <f t="shared" si="64"/>
        <v>-55.671428571428578</v>
      </c>
      <c r="DV824" s="105">
        <f t="shared" si="64"/>
        <v>-26.785714285714285</v>
      </c>
      <c r="DW824" s="105">
        <f t="shared" si="64"/>
        <v>1.25</v>
      </c>
      <c r="DX824" s="105">
        <f t="shared" si="64"/>
        <v>38.628571428571433</v>
      </c>
      <c r="DY824" s="105">
        <f t="shared" si="64"/>
        <v>28.971428571428572</v>
      </c>
      <c r="DZ824" s="105">
        <f t="shared" si="64"/>
        <v>44.297142857142852</v>
      </c>
      <c r="EA824" s="105">
        <f t="shared" si="64"/>
        <v>22.035714285714285</v>
      </c>
      <c r="EB824" s="105">
        <f t="shared" si="64"/>
        <v>17.857142857142858</v>
      </c>
      <c r="EC824" s="105">
        <f t="shared" si="64"/>
        <v>-0.2857142857142857</v>
      </c>
      <c r="ED824" s="105">
        <f t="shared" si="64"/>
        <v>-1.7142857142857142</v>
      </c>
      <c r="EE824" s="105">
        <f t="shared" si="64"/>
        <v>0</v>
      </c>
      <c r="EF824" s="105">
        <f t="shared" si="64"/>
        <v>1.0799999999999998</v>
      </c>
      <c r="EG824" s="105">
        <f t="shared" si="64"/>
        <v>4601706.4800000004</v>
      </c>
      <c r="EH824" s="105">
        <f t="shared" si="64"/>
        <v>4602400</v>
      </c>
      <c r="EI824" s="105">
        <f t="shared" si="64"/>
        <v>4603100</v>
      </c>
    </row>
    <row r="825" spans="1:139" ht="15.75" x14ac:dyDescent="0.3">
      <c r="A825" s="87"/>
      <c r="B825" s="406" t="s">
        <v>1369</v>
      </c>
      <c r="C825" s="406"/>
      <c r="D825" s="413"/>
      <c r="E825" s="409" t="s">
        <v>1361</v>
      </c>
      <c r="F825" s="410" t="s">
        <v>1361</v>
      </c>
      <c r="G825" s="411" t="s">
        <v>1361</v>
      </c>
      <c r="H825" s="188"/>
      <c r="I825" s="414" t="s">
        <v>1383</v>
      </c>
      <c r="J825" s="414"/>
      <c r="K825" s="414"/>
      <c r="L825" s="414"/>
      <c r="M825" s="414"/>
      <c r="N825" s="414"/>
      <c r="O825" s="414"/>
      <c r="P825" s="414"/>
      <c r="Q825" s="414"/>
      <c r="R825" s="414"/>
      <c r="S825" s="414"/>
      <c r="T825" s="84"/>
      <c r="U825" s="84"/>
      <c r="V825" s="84"/>
      <c r="W825" s="84"/>
      <c r="X825" s="84"/>
      <c r="Y825" s="87"/>
      <c r="Z825" s="87"/>
      <c r="AA825" s="87"/>
      <c r="AB825" s="87"/>
      <c r="AC825" s="105"/>
      <c r="AD825" s="105"/>
      <c r="AE825" s="105"/>
      <c r="AF825" s="105"/>
      <c r="AG825" s="105"/>
      <c r="AH825" s="105">
        <f t="shared" ref="AH825:AT825" si="66">SUM(AH820:AH824)</f>
        <v>-11.092857142857142</v>
      </c>
      <c r="AI825" s="105" t="e">
        <f t="shared" si="66"/>
        <v>#REF!</v>
      </c>
      <c r="AJ825" s="105" t="e">
        <f t="shared" si="66"/>
        <v>#REF!</v>
      </c>
      <c r="AK825" s="105" t="e">
        <f t="shared" si="66"/>
        <v>#REF!</v>
      </c>
      <c r="AL825" s="105" t="e">
        <f t="shared" si="66"/>
        <v>#REF!</v>
      </c>
      <c r="AM825" s="105">
        <f t="shared" si="66"/>
        <v>-1.1349999999999909</v>
      </c>
      <c r="AN825" s="105">
        <f t="shared" si="66"/>
        <v>371322.44666666671</v>
      </c>
      <c r="AO825" s="105" t="e">
        <f t="shared" si="66"/>
        <v>#REF!</v>
      </c>
      <c r="AP825" s="105" t="e">
        <f t="shared" si="66"/>
        <v>#REF!</v>
      </c>
      <c r="AQ825" s="105" t="e">
        <f t="shared" si="66"/>
        <v>#REF!</v>
      </c>
      <c r="AR825" s="105" t="e">
        <f t="shared" si="66"/>
        <v>#REF!</v>
      </c>
      <c r="AS825" s="105" t="e">
        <f t="shared" si="66"/>
        <v>#REF!</v>
      </c>
      <c r="AT825" s="105" t="e">
        <f t="shared" si="66"/>
        <v>#REF!</v>
      </c>
      <c r="AU825" s="105"/>
      <c r="AV825" s="105"/>
      <c r="AW825" s="105"/>
      <c r="AX825" s="105"/>
      <c r="AY825" s="105"/>
      <c r="AZ825" s="105"/>
      <c r="BA825" s="87"/>
      <c r="BB825" s="87"/>
      <c r="BC825" s="87"/>
      <c r="BD825" s="87"/>
      <c r="BE825" s="87"/>
      <c r="BF825" s="87"/>
      <c r="BG825" s="87"/>
      <c r="BH825" s="87"/>
      <c r="BI825" s="87"/>
      <c r="BJ825" s="87"/>
      <c r="BK825" s="87"/>
      <c r="BL825" s="87"/>
      <c r="BM825" s="87"/>
      <c r="BN825" s="87"/>
      <c r="BO825" s="87"/>
      <c r="BP825" s="87"/>
      <c r="BQ825" s="87"/>
      <c r="BR825" s="87"/>
      <c r="BS825" s="87"/>
      <c r="BT825" s="87"/>
      <c r="BU825" s="87"/>
      <c r="BV825" s="87"/>
      <c r="BW825" s="87"/>
      <c r="BX825" s="87"/>
      <c r="BY825" s="87"/>
      <c r="BZ825" s="87"/>
      <c r="CA825" s="87"/>
      <c r="CB825" s="87"/>
      <c r="CC825" s="87"/>
      <c r="CD825" s="87"/>
      <c r="CE825" s="87"/>
      <c r="CF825" s="87"/>
      <c r="CG825" s="87"/>
      <c r="CH825" s="87"/>
      <c r="CI825" s="87"/>
      <c r="CJ825" s="295">
        <f t="shared" ref="CJ825:DO825" si="67">SUBTOTAL(9,CJ820:CJ824)</f>
        <v>-330.6750952380952</v>
      </c>
      <c r="CK825" s="295">
        <f t="shared" si="67"/>
        <v>-362.58371428571422</v>
      </c>
      <c r="CL825" s="295">
        <f t="shared" si="67"/>
        <v>-30.404999999999973</v>
      </c>
      <c r="CM825" s="295">
        <f t="shared" si="67"/>
        <v>-96.020714285714291</v>
      </c>
      <c r="CN825" s="295">
        <f t="shared" si="67"/>
        <v>-20.357857142857128</v>
      </c>
      <c r="CO825" s="295">
        <f t="shared" ca="1" si="67"/>
        <v>84.778571428571396</v>
      </c>
      <c r="CP825" s="295">
        <f t="shared" si="67"/>
        <v>-4.3998571428571154</v>
      </c>
      <c r="CQ825" s="295">
        <f t="shared" si="67"/>
        <v>147.49928571428572</v>
      </c>
      <c r="CR825" s="295">
        <f t="shared" si="67"/>
        <v>133.22414285714288</v>
      </c>
      <c r="CS825" s="295">
        <f t="shared" si="67"/>
        <v>-141.01278571428571</v>
      </c>
      <c r="CT825" s="295">
        <f t="shared" si="67"/>
        <v>-196.02721428571431</v>
      </c>
      <c r="CU825" s="295">
        <f t="shared" si="67"/>
        <v>-90.59</v>
      </c>
      <c r="CV825" s="295">
        <f t="shared" si="67"/>
        <v>16.577187500000015</v>
      </c>
      <c r="CW825" s="295">
        <f t="shared" si="67"/>
        <v>131.24031250000004</v>
      </c>
      <c r="CX825" s="295">
        <f t="shared" si="67"/>
        <v>160.01499999999999</v>
      </c>
      <c r="CY825" s="295">
        <f t="shared" si="67"/>
        <v>143.34642857142859</v>
      </c>
      <c r="CZ825" s="295">
        <f t="shared" si="67"/>
        <v>-78.555357142857133</v>
      </c>
      <c r="DA825" s="295">
        <f t="shared" si="67"/>
        <v>167.92285714285717</v>
      </c>
      <c r="DB825" s="295">
        <f t="shared" si="67"/>
        <v>-48.610714285714295</v>
      </c>
      <c r="DC825" s="295">
        <f t="shared" si="67"/>
        <v>58.927142857142869</v>
      </c>
      <c r="DD825" s="295">
        <f t="shared" si="67"/>
        <v>206.79178571428565</v>
      </c>
      <c r="DE825" s="295">
        <f t="shared" si="67"/>
        <v>56.905714285714275</v>
      </c>
      <c r="DF825" s="295">
        <f t="shared" si="67"/>
        <v>55.644404761904738</v>
      </c>
      <c r="DG825" s="295">
        <f t="shared" si="67"/>
        <v>-25.319285714285712</v>
      </c>
      <c r="DH825" s="295">
        <f t="shared" si="67"/>
        <v>-68.656785714285704</v>
      </c>
      <c r="DI825" s="295">
        <f t="shared" si="67"/>
        <v>118.71785714285714</v>
      </c>
      <c r="DJ825" s="295">
        <f t="shared" si="67"/>
        <v>16.231428571428566</v>
      </c>
      <c r="DK825" s="295">
        <f t="shared" si="67"/>
        <v>-8.1571428571428584</v>
      </c>
      <c r="DL825" s="295">
        <f t="shared" si="67"/>
        <v>5.3571428571428577</v>
      </c>
      <c r="DM825" s="295">
        <f t="shared" si="67"/>
        <v>9.3857142857142861</v>
      </c>
      <c r="DN825" s="295">
        <f t="shared" si="67"/>
        <v>9.8857142857142843</v>
      </c>
      <c r="DO825" s="295">
        <f t="shared" si="67"/>
        <v>0</v>
      </c>
      <c r="DP825" s="295">
        <f t="shared" ref="DP825:EI825" si="68">SUBTOTAL(9,DP820:DP824)</f>
        <v>2.2571428571428571</v>
      </c>
      <c r="DQ825" s="295">
        <f t="shared" si="68"/>
        <v>-138.05714285714288</v>
      </c>
      <c r="DR825" s="295">
        <f t="shared" si="68"/>
        <v>-118.00999999999999</v>
      </c>
      <c r="DS825" s="295">
        <f t="shared" si="68"/>
        <v>-77.502857142857138</v>
      </c>
      <c r="DT825" s="295">
        <f t="shared" si="68"/>
        <v>-99.471428571428589</v>
      </c>
      <c r="DU825" s="295">
        <f t="shared" si="68"/>
        <v>-55.578571428571436</v>
      </c>
      <c r="DV825" s="295">
        <f t="shared" si="68"/>
        <v>-167.96285714285713</v>
      </c>
      <c r="DW825" s="295">
        <f t="shared" si="68"/>
        <v>37.959999999999994</v>
      </c>
      <c r="DX825" s="295">
        <f t="shared" si="68"/>
        <v>118.47714285714287</v>
      </c>
      <c r="DY825" s="295">
        <f t="shared" si="68"/>
        <v>130.90214285714285</v>
      </c>
      <c r="DZ825" s="295">
        <f t="shared" si="68"/>
        <v>141.45857142857142</v>
      </c>
      <c r="EA825" s="295">
        <f t="shared" si="68"/>
        <v>175.56071428571428</v>
      </c>
      <c r="EB825" s="295">
        <f t="shared" si="68"/>
        <v>90.25</v>
      </c>
      <c r="EC825" s="295">
        <f t="shared" si="68"/>
        <v>-0.2857142857142857</v>
      </c>
      <c r="ED825" s="295">
        <f t="shared" si="68"/>
        <v>-1.7142857142857142</v>
      </c>
      <c r="EE825" s="295">
        <f t="shared" si="68"/>
        <v>0</v>
      </c>
      <c r="EF825" s="295">
        <f t="shared" si="68"/>
        <v>1.0799999999999998</v>
      </c>
      <c r="EG825" s="295">
        <f t="shared" si="68"/>
        <v>4601706.4800000004</v>
      </c>
      <c r="EH825" s="295">
        <f t="shared" si="68"/>
        <v>4602400</v>
      </c>
      <c r="EI825" s="295">
        <f t="shared" si="68"/>
        <v>4603100</v>
      </c>
    </row>
    <row r="826" spans="1:139" ht="42.75" x14ac:dyDescent="0.3">
      <c r="A826" s="87"/>
      <c r="B826" s="406" t="s">
        <v>1369</v>
      </c>
      <c r="C826" s="406"/>
      <c r="D826" s="406"/>
      <c r="E826" s="409" t="s">
        <v>1361</v>
      </c>
      <c r="F826" s="410" t="s">
        <v>1361</v>
      </c>
      <c r="G826" s="411" t="s">
        <v>1361</v>
      </c>
      <c r="H826" s="188"/>
      <c r="I826" s="84" t="s">
        <v>1384</v>
      </c>
      <c r="J826" s="84"/>
      <c r="K826" s="84"/>
      <c r="L826" s="84"/>
      <c r="M826" s="84"/>
      <c r="N826" s="84"/>
      <c r="O826" s="84"/>
      <c r="P826" s="84"/>
      <c r="Q826" s="84"/>
      <c r="R826" s="84"/>
      <c r="S826" s="84"/>
      <c r="T826" s="84"/>
      <c r="U826" s="84"/>
      <c r="V826" s="84"/>
      <c r="W826" s="84"/>
      <c r="X826" s="84"/>
      <c r="Y826" s="87" t="s">
        <v>1385</v>
      </c>
      <c r="Z826" s="87"/>
      <c r="AA826" s="87"/>
      <c r="AB826" s="87"/>
      <c r="AC826" s="87"/>
      <c r="AD826" s="87"/>
      <c r="AE826" s="87"/>
      <c r="AF826" s="87"/>
      <c r="AG826" s="87"/>
      <c r="AH826" s="87"/>
      <c r="AI826" s="87"/>
      <c r="AJ826" s="87"/>
      <c r="AK826" s="87"/>
      <c r="AL826" s="87"/>
      <c r="AM826" s="87"/>
      <c r="AN826" s="87"/>
      <c r="AO826" s="87"/>
      <c r="AP826" s="87"/>
      <c r="AQ826" s="87"/>
      <c r="AR826" s="87"/>
      <c r="AS826" s="87"/>
      <c r="AT826" s="87"/>
      <c r="AU826" s="87"/>
      <c r="AV826" s="87"/>
      <c r="AW826" s="87"/>
      <c r="AX826" s="87"/>
      <c r="AY826" s="87"/>
      <c r="AZ826" s="87"/>
      <c r="BA826" s="87"/>
      <c r="BB826" s="87"/>
      <c r="BC826" s="87"/>
      <c r="BD826" s="87"/>
      <c r="BE826" s="87"/>
      <c r="BF826" s="87"/>
      <c r="BG826" s="87"/>
      <c r="BH826" s="87"/>
      <c r="BI826" s="87"/>
      <c r="BJ826" s="87"/>
      <c r="BK826" s="87"/>
      <c r="BL826" s="87"/>
      <c r="BM826" s="87"/>
      <c r="BN826" s="87"/>
      <c r="BO826" s="87"/>
      <c r="BP826" s="87"/>
      <c r="BQ826" s="87"/>
      <c r="BR826" s="87"/>
      <c r="BS826" s="87"/>
      <c r="BT826" s="87"/>
      <c r="BU826" s="87"/>
      <c r="BV826" s="87"/>
      <c r="BW826" s="87"/>
      <c r="BX826" s="87"/>
      <c r="BY826" s="87"/>
      <c r="BZ826" s="87"/>
      <c r="CA826" s="87"/>
      <c r="CB826" s="87"/>
      <c r="CC826" s="87"/>
      <c r="CD826" s="87"/>
      <c r="CE826" s="87"/>
      <c r="CF826" s="87"/>
      <c r="CG826" s="87"/>
      <c r="CH826" s="87"/>
      <c r="CI826" s="87"/>
      <c r="CJ826" s="87"/>
      <c r="CK826" s="87"/>
      <c r="CL826" s="87"/>
      <c r="CM826" s="87"/>
      <c r="CN826" s="415"/>
      <c r="CO826" s="416"/>
      <c r="CP826" s="416"/>
      <c r="CQ826" s="416"/>
      <c r="CR826" s="416"/>
      <c r="CS826" s="416"/>
      <c r="CT826" s="416"/>
      <c r="CU826" s="416"/>
      <c r="CV826" s="416"/>
      <c r="CW826" s="416"/>
      <c r="CX826" s="416"/>
      <c r="CY826" s="87"/>
      <c r="CZ826" s="87"/>
      <c r="DA826" s="87"/>
      <c r="DB826" s="87"/>
      <c r="DC826" s="87"/>
      <c r="DD826" s="87"/>
      <c r="DE826" s="87"/>
      <c r="DF826" s="87"/>
      <c r="DG826" s="87"/>
      <c r="DH826" s="87"/>
      <c r="DI826" s="87"/>
      <c r="DJ826" s="87"/>
      <c r="DK826" s="87"/>
      <c r="DL826" s="87"/>
      <c r="DM826" s="87"/>
      <c r="DN826" s="87"/>
      <c r="DO826" s="87"/>
      <c r="DP826" s="87"/>
      <c r="DQ826" s="87"/>
      <c r="DR826" s="87"/>
      <c r="DS826" s="87"/>
      <c r="DT826" s="87"/>
      <c r="DU826" s="87"/>
      <c r="DV826" s="87"/>
      <c r="DW826" s="87"/>
      <c r="DX826" s="87"/>
      <c r="DY826" s="87"/>
      <c r="DZ826" s="87"/>
      <c r="EA826" s="87"/>
      <c r="EB826" s="87"/>
      <c r="EC826" s="87"/>
      <c r="ED826" s="87"/>
      <c r="EE826" s="87"/>
      <c r="EF826" s="87"/>
      <c r="EG826" s="87"/>
      <c r="EH826" s="87"/>
      <c r="EI826" s="87"/>
    </row>
    <row r="827" spans="1:139" ht="15.75" x14ac:dyDescent="0.3">
      <c r="A827" s="87"/>
      <c r="B827" s="406" t="s">
        <v>1369</v>
      </c>
      <c r="C827" s="406"/>
      <c r="D827" s="406"/>
      <c r="E827" s="409" t="s">
        <v>1361</v>
      </c>
      <c r="F827" s="410" t="s">
        <v>1361</v>
      </c>
      <c r="G827" s="411" t="s">
        <v>1361</v>
      </c>
      <c r="H827" s="188">
        <v>1</v>
      </c>
      <c r="I827" s="417">
        <v>455</v>
      </c>
      <c r="J827" s="417"/>
      <c r="K827" s="417"/>
      <c r="L827" s="417"/>
      <c r="M827" s="417"/>
      <c r="N827" s="417"/>
      <c r="O827" s="417"/>
      <c r="P827" s="417"/>
      <c r="Q827" s="417"/>
      <c r="R827" s="417"/>
      <c r="S827" s="417"/>
      <c r="T827" s="84"/>
      <c r="U827" s="84"/>
      <c r="V827" s="84"/>
      <c r="W827" s="84"/>
      <c r="X827" s="84"/>
      <c r="Y827" s="415">
        <f>$I827+Y820</f>
        <v>455</v>
      </c>
      <c r="Z827" s="415">
        <f>$Y827+Z820</f>
        <v>455</v>
      </c>
      <c r="AA827" s="415">
        <f t="shared" ref="AA827:AC828" si="69">$I827+AA820</f>
        <v>455</v>
      </c>
      <c r="AB827" s="415">
        <f t="shared" si="69"/>
        <v>455</v>
      </c>
      <c r="AC827" s="415">
        <f t="shared" si="69"/>
        <v>455</v>
      </c>
      <c r="AD827" s="415">
        <f>I827+AD820</f>
        <v>455</v>
      </c>
      <c r="AE827" s="415">
        <f>AD827+AE820</f>
        <v>455</v>
      </c>
      <c r="AF827" s="415">
        <f>AE827+AF820</f>
        <v>455</v>
      </c>
      <c r="AG827" s="418">
        <v>465</v>
      </c>
      <c r="AH827" s="415">
        <f>AG827+AH820</f>
        <v>460.07857142857142</v>
      </c>
      <c r="AI827" s="418">
        <f>AH827+AI820</f>
        <v>373.40714285714284</v>
      </c>
      <c r="AJ827" s="415">
        <v>380</v>
      </c>
      <c r="AK827" s="415">
        <f>AJ827+AK820-0</f>
        <v>437.14285714285717</v>
      </c>
      <c r="AL827" s="415">
        <v>430</v>
      </c>
      <c r="AM827" s="415">
        <v>410</v>
      </c>
      <c r="AN827" s="415">
        <v>395</v>
      </c>
      <c r="AO827" s="415">
        <v>400</v>
      </c>
      <c r="AP827" s="415">
        <f>AO827+AP820+5</f>
        <v>409.92142857142858</v>
      </c>
      <c r="AQ827" s="415">
        <f>AP827+AQ820+5+15</f>
        <v>400.45714285714286</v>
      </c>
      <c r="AR827" s="415">
        <f>AQ827+AR820-7</f>
        <v>395.4301785714286</v>
      </c>
      <c r="AS827" s="415">
        <f>AR827+AS820+21</f>
        <v>404.82303571428577</v>
      </c>
      <c r="AT827" s="415">
        <f>AS827+AT820+1</f>
        <v>410.82303571428577</v>
      </c>
      <c r="AU827" s="415">
        <f>AT827+AU820+2</f>
        <v>419.4301785714286</v>
      </c>
      <c r="AV827" s="415">
        <f>AU827+AV820-5</f>
        <v>414.4301785714286</v>
      </c>
      <c r="AW827" s="415">
        <f>AV827+AW820-5</f>
        <v>409.4301785714286</v>
      </c>
      <c r="AX827" s="415">
        <f>AW827+AX820-12</f>
        <v>387.58732142857144</v>
      </c>
      <c r="AY827" s="415">
        <f>(AX827+AY820)-0</f>
        <v>382.66589285714286</v>
      </c>
      <c r="AZ827" s="415">
        <f>AY827+AZ820</f>
        <v>392.50875000000002</v>
      </c>
      <c r="BA827" s="415" t="e">
        <f>AZ827+BA820</f>
        <v>#REF!</v>
      </c>
      <c r="BB827" s="415" t="e">
        <f>BA827+BB820</f>
        <v>#REF!</v>
      </c>
      <c r="BC827" s="415" t="e">
        <f>BB827+BC820-8</f>
        <v>#REF!</v>
      </c>
      <c r="BD827" s="415" t="e">
        <f>BC827+BD820</f>
        <v>#REF!</v>
      </c>
      <c r="BE827" s="415" t="e">
        <f>BD827+BE820</f>
        <v>#REF!</v>
      </c>
      <c r="BF827" s="415" t="e">
        <f>BE827+BF820</f>
        <v>#REF!</v>
      </c>
      <c r="BG827" s="415" t="e">
        <f>BF827+BG820</f>
        <v>#REF!</v>
      </c>
      <c r="BH827" s="415" t="e">
        <f>BG827+BH820</f>
        <v>#REF!</v>
      </c>
      <c r="BI827" s="415">
        <v>415</v>
      </c>
      <c r="BJ827" s="415">
        <f t="shared" ref="BJ827:BP827" si="70">BI827+BJ820</f>
        <v>380.23571428571427</v>
      </c>
      <c r="BK827" s="415">
        <f t="shared" si="70"/>
        <v>380</v>
      </c>
      <c r="BL827" s="415">
        <f t="shared" si="70"/>
        <v>390</v>
      </c>
      <c r="BM827" s="415">
        <f t="shared" si="70"/>
        <v>400</v>
      </c>
      <c r="BN827" s="415">
        <f t="shared" si="70"/>
        <v>415</v>
      </c>
      <c r="BO827" s="415">
        <f t="shared" si="70"/>
        <v>415</v>
      </c>
      <c r="BP827" s="415">
        <f t="shared" si="70"/>
        <v>415</v>
      </c>
      <c r="BQ827" s="415">
        <f>BP827+BQ820+10</f>
        <v>425</v>
      </c>
      <c r="BR827" s="415">
        <f>BQ827+BR820-10</f>
        <v>415</v>
      </c>
      <c r="BS827" s="415">
        <f>BR827+BS820+10</f>
        <v>404.1142857142857</v>
      </c>
      <c r="BT827" s="415">
        <f>BS827+BT820</f>
        <v>425</v>
      </c>
      <c r="BU827" s="415">
        <f>BT827+BU820+0</f>
        <v>415.15714285714284</v>
      </c>
      <c r="BV827" s="415">
        <f>BU827+BV820+0</f>
        <v>425</v>
      </c>
      <c r="BW827" s="415">
        <f>BV827+BW820</f>
        <v>407.5</v>
      </c>
      <c r="BX827" s="415">
        <f>BW827+BX820</f>
        <v>389.75</v>
      </c>
      <c r="BY827" s="415">
        <f>BX827+BY820+7</f>
        <v>404.78571428571428</v>
      </c>
      <c r="BZ827" s="415">
        <f>BY827+BZ820+19</f>
        <v>430.75</v>
      </c>
      <c r="CA827" s="415">
        <f>BZ827+CA820+CA834</f>
        <v>413.53571428571428</v>
      </c>
      <c r="CB827" s="415">
        <f>CA827+CB820-1</f>
        <v>409.25714285714287</v>
      </c>
      <c r="CC827" s="415">
        <f>CB827+CC820+20</f>
        <v>439.7</v>
      </c>
      <c r="CD827" s="415">
        <f>CC827+CD820+CD834</f>
        <v>438.8</v>
      </c>
      <c r="CE827" s="415">
        <f>CD827+CE820+-13</f>
        <v>425.8</v>
      </c>
      <c r="CF827" s="415">
        <f>CE827+CF820-5</f>
        <v>421.7</v>
      </c>
      <c r="CG827" s="415">
        <f>CF827+CG820+15</f>
        <v>436.7</v>
      </c>
      <c r="CH827" s="415">
        <f>CG827+CH820+0</f>
        <v>430.7285714285714</v>
      </c>
      <c r="CI827" s="415">
        <f>CH827+CI820+12</f>
        <v>427.79999999999995</v>
      </c>
      <c r="CJ827" s="419">
        <f>CI827+CJ820+0</f>
        <v>427.79999999999995</v>
      </c>
      <c r="CK827" s="419">
        <f>CJ827+CK820-0</f>
        <v>420.54999999999995</v>
      </c>
      <c r="CL827" s="419">
        <f>CK827+CL820</f>
        <v>420.68571428571425</v>
      </c>
      <c r="CM827" s="419">
        <f>CL827+CM820</f>
        <v>406.09999999999997</v>
      </c>
      <c r="CN827" s="419">
        <f t="shared" ref="CN827:EI827" si="71">CM827+CN820+CN834</f>
        <v>379.65142857142854</v>
      </c>
      <c r="CO827" s="419">
        <f t="shared" ca="1" si="71"/>
        <v>286.51499999999999</v>
      </c>
      <c r="CP827" s="419">
        <f t="shared" ca="1" si="71"/>
        <v>323.53142857142853</v>
      </c>
      <c r="CQ827" s="419">
        <f t="shared" ca="1" si="71"/>
        <v>346.65999999999997</v>
      </c>
      <c r="CR827" s="419">
        <f t="shared" ca="1" si="71"/>
        <v>329.65999999999997</v>
      </c>
      <c r="CS827" s="419">
        <f t="shared" ca="1" si="71"/>
        <v>349.65999999999997</v>
      </c>
      <c r="CT827" s="419">
        <f t="shared" ca="1" si="71"/>
        <v>351.65999999999997</v>
      </c>
      <c r="CU827" s="419">
        <f t="shared" ca="1" si="71"/>
        <v>347.71178571428567</v>
      </c>
      <c r="CV827" s="419">
        <f t="shared" ca="1" si="71"/>
        <v>407.87928571428569</v>
      </c>
      <c r="CW827" s="419">
        <f t="shared" ca="1" si="71"/>
        <v>446.22499999999997</v>
      </c>
      <c r="CX827" s="419">
        <f t="shared" ca="1" si="71"/>
        <v>438.22499999999997</v>
      </c>
      <c r="CY827" s="419">
        <f t="shared" ca="1" si="71"/>
        <v>441.12499999999994</v>
      </c>
      <c r="CZ827" s="419">
        <f t="shared" ca="1" si="71"/>
        <v>426.12499999999994</v>
      </c>
      <c r="DA827" s="419">
        <f t="shared" ca="1" si="71"/>
        <v>410.62499999999994</v>
      </c>
      <c r="DB827" s="419">
        <f t="shared" ca="1" si="71"/>
        <v>377.62499999999994</v>
      </c>
      <c r="DC827" s="419">
        <f t="shared" ca="1" si="71"/>
        <v>428.55357142857139</v>
      </c>
      <c r="DD827" s="419">
        <f t="shared" ca="1" si="71"/>
        <v>387.99642857142851</v>
      </c>
      <c r="DE827" s="419">
        <f t="shared" ca="1" si="71"/>
        <v>399.22499999999991</v>
      </c>
      <c r="DF827" s="419">
        <f t="shared" ca="1" si="71"/>
        <v>430.22499999999991</v>
      </c>
      <c r="DG827" s="419">
        <f t="shared" ca="1" si="71"/>
        <v>363.99999999999989</v>
      </c>
      <c r="DH827" s="419">
        <f t="shared" ca="1" si="71"/>
        <v>416.69999999999987</v>
      </c>
      <c r="DI827" s="419">
        <f t="shared" ca="1" si="71"/>
        <v>406.69999999999987</v>
      </c>
      <c r="DJ827" s="419">
        <f t="shared" ca="1" si="71"/>
        <v>406.69999999999987</v>
      </c>
      <c r="DK827" s="419">
        <f t="shared" ca="1" si="71"/>
        <v>396.69999999999987</v>
      </c>
      <c r="DL827" s="419">
        <f t="shared" ca="1" si="71"/>
        <v>396.69999999999987</v>
      </c>
      <c r="DM827" s="419">
        <f t="shared" ca="1" si="71"/>
        <v>396.69999999999987</v>
      </c>
      <c r="DN827" s="419">
        <f t="shared" ca="1" si="71"/>
        <v>396.69999999999987</v>
      </c>
      <c r="DO827" s="419">
        <f t="shared" ca="1" si="71"/>
        <v>396.69999999999987</v>
      </c>
      <c r="DP827" s="419">
        <f t="shared" ca="1" si="71"/>
        <v>401.69999999999987</v>
      </c>
      <c r="DQ827" s="419">
        <f t="shared" ca="1" si="71"/>
        <v>416.69999999999987</v>
      </c>
      <c r="DR827" s="419">
        <f t="shared" ca="1" si="71"/>
        <v>426.26142857142844</v>
      </c>
      <c r="DS827" s="419">
        <f t="shared" ca="1" si="71"/>
        <v>428.62999999999988</v>
      </c>
      <c r="DT827" s="419">
        <f t="shared" ca="1" si="71"/>
        <v>428.62999999999988</v>
      </c>
      <c r="DU827" s="419">
        <f t="shared" ca="1" si="71"/>
        <v>428.62999999999988</v>
      </c>
      <c r="DV827" s="419">
        <f t="shared" ca="1" si="71"/>
        <v>428.62999999999988</v>
      </c>
      <c r="DW827" s="419">
        <f t="shared" ca="1" si="71"/>
        <v>429.06857142857132</v>
      </c>
      <c r="DX827" s="419">
        <f t="shared" ca="1" si="71"/>
        <v>431.69999999999987</v>
      </c>
      <c r="DY827" s="419">
        <f t="shared" ca="1" si="71"/>
        <v>431.69999999999987</v>
      </c>
      <c r="DZ827" s="419">
        <f t="shared" ca="1" si="71"/>
        <v>431.69999999999987</v>
      </c>
      <c r="EA827" s="419">
        <f t="shared" ca="1" si="71"/>
        <v>431.69999999999987</v>
      </c>
      <c r="EB827" s="419">
        <f t="shared" ca="1" si="71"/>
        <v>431.69999999999987</v>
      </c>
      <c r="EC827" s="419">
        <f t="shared" ca="1" si="71"/>
        <v>431.69999999999987</v>
      </c>
      <c r="ED827" s="419">
        <f t="shared" ca="1" si="71"/>
        <v>431.69999999999987</v>
      </c>
      <c r="EE827" s="419">
        <f t="shared" ca="1" si="71"/>
        <v>431.69999999999987</v>
      </c>
      <c r="EF827" s="419">
        <f t="shared" ca="1" si="71"/>
        <v>431.69999999999987</v>
      </c>
      <c r="EG827" s="419">
        <f t="shared" ca="1" si="71"/>
        <v>431.69999999999987</v>
      </c>
      <c r="EH827" s="419">
        <f t="shared" ca="1" si="71"/>
        <v>431.69999999999987</v>
      </c>
      <c r="EI827" s="419">
        <f t="shared" ca="1" si="71"/>
        <v>431.69999999999987</v>
      </c>
    </row>
    <row r="828" spans="1:139" ht="15.75" x14ac:dyDescent="0.3">
      <c r="A828" s="87"/>
      <c r="B828" s="406" t="s">
        <v>1369</v>
      </c>
      <c r="C828" s="406"/>
      <c r="D828" s="406"/>
      <c r="E828" s="409" t="s">
        <v>1361</v>
      </c>
      <c r="F828" s="410" t="s">
        <v>1361</v>
      </c>
      <c r="G828" s="411" t="s">
        <v>1361</v>
      </c>
      <c r="H828" s="188">
        <v>2</v>
      </c>
      <c r="I828" s="417">
        <v>2295</v>
      </c>
      <c r="J828" s="417"/>
      <c r="K828" s="417"/>
      <c r="L828" s="417"/>
      <c r="M828" s="417"/>
      <c r="N828" s="417"/>
      <c r="O828" s="417"/>
      <c r="P828" s="417"/>
      <c r="Q828" s="417"/>
      <c r="R828" s="417"/>
      <c r="S828" s="417"/>
      <c r="T828" s="84"/>
      <c r="U828" s="84"/>
      <c r="V828" s="84"/>
      <c r="W828" s="84"/>
      <c r="X828" s="84"/>
      <c r="Y828" s="415">
        <f>$I828+Y821</f>
        <v>2295</v>
      </c>
      <c r="Z828" s="415">
        <f>$Y828+Z821</f>
        <v>2295</v>
      </c>
      <c r="AA828" s="415">
        <f t="shared" si="69"/>
        <v>2295</v>
      </c>
      <c r="AB828" s="415">
        <f t="shared" si="69"/>
        <v>2295</v>
      </c>
      <c r="AC828" s="415">
        <f t="shared" si="69"/>
        <v>2295</v>
      </c>
      <c r="AD828" s="415">
        <f>I828+AD821</f>
        <v>2295</v>
      </c>
      <c r="AE828" s="415">
        <f>AD828+AE821</f>
        <v>2295</v>
      </c>
      <c r="AF828" s="415">
        <f>AE828+AF821</f>
        <v>2295</v>
      </c>
      <c r="AG828" s="418">
        <f>2276+20</f>
        <v>2296</v>
      </c>
      <c r="AH828" s="415">
        <f>AG828+AH821</f>
        <v>2289.8285714285716</v>
      </c>
      <c r="AI828" s="415">
        <v>2247</v>
      </c>
      <c r="AJ828" s="418">
        <v>2150</v>
      </c>
      <c r="AK828" s="415">
        <v>2191</v>
      </c>
      <c r="AL828" s="420">
        <f>AK828+AL821-15</f>
        <v>2119.6964285714284</v>
      </c>
      <c r="AM828" s="420">
        <f>AL828+AM821-20</f>
        <v>1904.8214285714284</v>
      </c>
      <c r="AN828" s="420">
        <v>1880</v>
      </c>
      <c r="AO828" s="420">
        <v>1890</v>
      </c>
      <c r="AP828" s="415" t="e">
        <f>AO828+AP821+21+60</f>
        <v>#REF!</v>
      </c>
      <c r="AQ828" s="415" t="e">
        <f>AP828+AQ821-49</f>
        <v>#REF!</v>
      </c>
      <c r="AR828" s="415" t="e">
        <f>AQ828+AR821+168-110</f>
        <v>#REF!</v>
      </c>
      <c r="AS828" s="415" t="e">
        <f>AR828+AS821+16</f>
        <v>#REF!</v>
      </c>
      <c r="AT828" s="415" t="e">
        <f>AS828+AT821-40</f>
        <v>#REF!</v>
      </c>
      <c r="AU828" s="415" t="e">
        <f>AT828+AU821-41</f>
        <v>#REF!</v>
      </c>
      <c r="AV828" s="415" t="e">
        <f>AU828+AV821+10</f>
        <v>#REF!</v>
      </c>
      <c r="AW828" s="415" t="e">
        <f>AV828+AW821-24</f>
        <v>#REF!</v>
      </c>
      <c r="AX828" s="415" t="e">
        <f>AW828+AX821-4</f>
        <v>#REF!</v>
      </c>
      <c r="AY828" s="415" t="e">
        <f>AX828+AY821</f>
        <v>#REF!</v>
      </c>
      <c r="AZ828" s="415" t="e">
        <f>AY828+AZ821</f>
        <v>#REF!</v>
      </c>
      <c r="BA828" s="415" t="e">
        <f>(AZ828+BA821)*0.96</f>
        <v>#REF!</v>
      </c>
      <c r="BB828" s="415" t="e">
        <f>(BA828+BB821)</f>
        <v>#REF!</v>
      </c>
      <c r="BC828" s="415" t="e">
        <f>BB828+BC821</f>
        <v>#REF!</v>
      </c>
      <c r="BD828" s="415" t="e">
        <f>BC828+BD821</f>
        <v>#REF!</v>
      </c>
      <c r="BE828" s="415" t="e">
        <f>BD828+BE821+30</f>
        <v>#REF!</v>
      </c>
      <c r="BF828" s="415" t="e">
        <f>BE828+BF821-20</f>
        <v>#REF!</v>
      </c>
      <c r="BG828" s="415" t="e">
        <f>BF828+BG821</f>
        <v>#REF!</v>
      </c>
      <c r="BH828" s="415" t="e">
        <f>BG828+BH821-0</f>
        <v>#REF!</v>
      </c>
      <c r="BI828" s="415" t="e">
        <f>BH828+BI821</f>
        <v>#REF!</v>
      </c>
      <c r="BJ828" s="415" t="e">
        <f>BI828+BJ821+0</f>
        <v>#REF!</v>
      </c>
      <c r="BK828" s="415" t="e">
        <f>BJ828+BK821</f>
        <v>#REF!</v>
      </c>
      <c r="BL828" s="415" t="e">
        <f>BK828+BL821</f>
        <v>#REF!</v>
      </c>
      <c r="BM828" s="415" t="e">
        <f>BL828+BM821</f>
        <v>#REF!</v>
      </c>
      <c r="BN828" s="415" t="e">
        <f>BM828+BN821</f>
        <v>#REF!</v>
      </c>
      <c r="BO828" s="415" t="e">
        <f>BN828+BO821-0</f>
        <v>#REF!</v>
      </c>
      <c r="BP828" s="415" t="e">
        <f>BO828+BP821</f>
        <v>#REF!</v>
      </c>
      <c r="BQ828" s="415" t="e">
        <f>BP828+BQ821+6</f>
        <v>#REF!</v>
      </c>
      <c r="BR828" s="415" t="e">
        <f>(BQ828+BR821)*1.04</f>
        <v>#REF!</v>
      </c>
      <c r="BS828" s="415" t="e">
        <f>BR828+BS821</f>
        <v>#REF!</v>
      </c>
      <c r="BT828" s="415" t="e">
        <f>BS828+BT821+24</f>
        <v>#REF!</v>
      </c>
      <c r="BU828" s="415" t="e">
        <f>BT828+BU821+30</f>
        <v>#REF!</v>
      </c>
      <c r="BV828" s="415" t="e">
        <f>BU828+BV821</f>
        <v>#REF!</v>
      </c>
      <c r="BW828" s="415" t="e">
        <f>BV828+BW821</f>
        <v>#REF!</v>
      </c>
      <c r="BX828" s="415" t="e">
        <f>BW828+BX821-15</f>
        <v>#REF!</v>
      </c>
      <c r="BY828" s="415" t="e">
        <f>BX828+BY821+25</f>
        <v>#REF!</v>
      </c>
      <c r="BZ828" s="415" t="e">
        <f>BY828+BZ821+5</f>
        <v>#REF!</v>
      </c>
      <c r="CA828" s="418">
        <v>2110</v>
      </c>
      <c r="CB828" s="415">
        <f>CA828+CB821-16</f>
        <v>2158.7285714285713</v>
      </c>
      <c r="CC828" s="415">
        <f>CB828+CC821-20</f>
        <v>2300.4749999999999</v>
      </c>
      <c r="CD828" s="415">
        <f>CC828+CD821-20+CD835</f>
        <v>2268.542857142857</v>
      </c>
      <c r="CE828" s="415">
        <f t="shared" ref="CE828:CM828" si="72">CD828+CE821+CE835</f>
        <v>2239.7749999999996</v>
      </c>
      <c r="CF828" s="415">
        <f t="shared" si="72"/>
        <v>2246.5349999999999</v>
      </c>
      <c r="CG828" s="415">
        <f t="shared" si="72"/>
        <v>2280.2249999999999</v>
      </c>
      <c r="CH828" s="415">
        <f t="shared" si="72"/>
        <v>2256.9535714285712</v>
      </c>
      <c r="CI828" s="415">
        <f t="shared" si="72"/>
        <v>2249.4535714285712</v>
      </c>
      <c r="CJ828" s="419">
        <f t="shared" si="72"/>
        <v>2274.5571428571425</v>
      </c>
      <c r="CK828" s="419">
        <f t="shared" si="72"/>
        <v>2212.5235714285709</v>
      </c>
      <c r="CL828" s="419">
        <f t="shared" si="72"/>
        <v>2188.6971428571424</v>
      </c>
      <c r="CM828" s="419">
        <f t="shared" si="72"/>
        <v>2182.6464285714283</v>
      </c>
      <c r="CN828" s="419">
        <f t="shared" ref="CN828:EI828" si="73">CM828+CN821+CN835</f>
        <v>2132.2607142857141</v>
      </c>
      <c r="CO828" s="419">
        <f t="shared" si="73"/>
        <v>2223.875</v>
      </c>
      <c r="CP828" s="419">
        <f t="shared" si="73"/>
        <v>2200.875</v>
      </c>
      <c r="CQ828" s="419">
        <f t="shared" si="73"/>
        <v>2172.4964285714286</v>
      </c>
      <c r="CR828" s="419">
        <f t="shared" si="73"/>
        <v>2139.4657142857145</v>
      </c>
      <c r="CS828" s="419">
        <f t="shared" si="73"/>
        <v>2077.2600000000002</v>
      </c>
      <c r="CT828" s="419">
        <f t="shared" si="73"/>
        <v>1917.9300000000003</v>
      </c>
      <c r="CU828" s="419">
        <f t="shared" si="73"/>
        <v>1884.8300000000004</v>
      </c>
      <c r="CV828" s="419">
        <f t="shared" si="73"/>
        <v>1896.2618303571433</v>
      </c>
      <c r="CW828" s="419">
        <f t="shared" si="73"/>
        <v>1894.3600000000004</v>
      </c>
      <c r="CX828" s="419">
        <f t="shared" si="73"/>
        <v>1910.8785714285718</v>
      </c>
      <c r="CY828" s="419">
        <f t="shared" si="73"/>
        <v>1936.6278571428575</v>
      </c>
      <c r="CZ828" s="419">
        <f t="shared" si="73"/>
        <v>1957.004285714286</v>
      </c>
      <c r="DA828" s="419">
        <f t="shared" si="73"/>
        <v>2072.6885714285718</v>
      </c>
      <c r="DB828" s="419">
        <f t="shared" si="73"/>
        <v>1991.3178571428575</v>
      </c>
      <c r="DC828" s="419">
        <f t="shared" si="73"/>
        <v>2034.0857142857146</v>
      </c>
      <c r="DD828" s="419">
        <f t="shared" si="73"/>
        <v>2092.4892857142859</v>
      </c>
      <c r="DE828" s="419">
        <f t="shared" si="73"/>
        <v>2148.7285714285717</v>
      </c>
      <c r="DF828" s="419">
        <f t="shared" si="73"/>
        <v>2154.7557142857145</v>
      </c>
      <c r="DG828" s="419">
        <f t="shared" si="73"/>
        <v>2105.4450000000002</v>
      </c>
      <c r="DH828" s="419">
        <f t="shared" si="73"/>
        <v>2104.2435714285716</v>
      </c>
      <c r="DI828" s="419">
        <f t="shared" si="73"/>
        <v>2110.2971428571432</v>
      </c>
      <c r="DJ828" s="419">
        <f t="shared" si="73"/>
        <v>2098.9</v>
      </c>
      <c r="DK828" s="419">
        <f t="shared" si="73"/>
        <v>2093.5428571428574</v>
      </c>
      <c r="DL828" s="419">
        <f t="shared" si="73"/>
        <v>2098.9</v>
      </c>
      <c r="DM828" s="419">
        <f t="shared" si="73"/>
        <v>2079.9714285714285</v>
      </c>
      <c r="DN828" s="419">
        <f t="shared" si="73"/>
        <v>2079.9714285714285</v>
      </c>
      <c r="DO828" s="419">
        <f t="shared" si="73"/>
        <v>2079.9714285714285</v>
      </c>
      <c r="DP828" s="419">
        <f t="shared" si="73"/>
        <v>2079.9714285714285</v>
      </c>
      <c r="DQ828" s="419">
        <f t="shared" si="73"/>
        <v>2046.6142857142856</v>
      </c>
      <c r="DR828" s="419">
        <f t="shared" si="73"/>
        <v>2030.9857142857143</v>
      </c>
      <c r="DS828" s="419">
        <f t="shared" si="73"/>
        <v>2032.6357142857144</v>
      </c>
      <c r="DT828" s="419">
        <f t="shared" si="73"/>
        <v>2040.6071428571429</v>
      </c>
      <c r="DU828" s="419">
        <f t="shared" si="73"/>
        <v>2070.0714285714284</v>
      </c>
      <c r="DV828" s="419">
        <f t="shared" si="73"/>
        <v>2070.0714285714284</v>
      </c>
      <c r="DW828" s="419">
        <f t="shared" si="73"/>
        <v>2096.1642857142856</v>
      </c>
      <c r="DX828" s="419">
        <f t="shared" si="73"/>
        <v>2176.2714285714283</v>
      </c>
      <c r="DY828" s="419">
        <f t="shared" si="73"/>
        <v>2200.0571428571425</v>
      </c>
      <c r="DZ828" s="419">
        <f t="shared" si="73"/>
        <v>2228.4071428571424</v>
      </c>
      <c r="EA828" s="419">
        <f t="shared" si="73"/>
        <v>2262.2214285714281</v>
      </c>
      <c r="EB828" s="419">
        <f t="shared" si="73"/>
        <v>2262.2214285714281</v>
      </c>
      <c r="EC828" s="419">
        <f t="shared" si="73"/>
        <v>2262.2214285714281</v>
      </c>
      <c r="ED828" s="419">
        <f t="shared" si="73"/>
        <v>2262.2214285714281</v>
      </c>
      <c r="EE828" s="419">
        <f t="shared" si="73"/>
        <v>2262.2214285714281</v>
      </c>
      <c r="EF828" s="419">
        <f t="shared" si="73"/>
        <v>2262.2214285714281</v>
      </c>
      <c r="EG828" s="419">
        <f t="shared" si="73"/>
        <v>2262.2214285714281</v>
      </c>
      <c r="EH828" s="419">
        <f t="shared" si="73"/>
        <v>2262.2214285714281</v>
      </c>
      <c r="EI828" s="419">
        <f t="shared" si="73"/>
        <v>2262.2214285714281</v>
      </c>
    </row>
    <row r="829" spans="1:139" ht="15.75" x14ac:dyDescent="0.3">
      <c r="A829" s="87"/>
      <c r="B829" s="406" t="s">
        <v>1369</v>
      </c>
      <c r="C829" s="406"/>
      <c r="D829" s="406"/>
      <c r="E829" s="409" t="s">
        <v>1361</v>
      </c>
      <c r="F829" s="410" t="s">
        <v>1361</v>
      </c>
      <c r="G829" s="411" t="s">
        <v>1361</v>
      </c>
      <c r="H829" s="188">
        <v>3</v>
      </c>
      <c r="I829" s="417">
        <v>4445</v>
      </c>
      <c r="J829" s="417"/>
      <c r="K829" s="417"/>
      <c r="L829" s="417"/>
      <c r="M829" s="417"/>
      <c r="N829" s="417"/>
      <c r="O829" s="417"/>
      <c r="P829" s="417"/>
      <c r="Q829" s="417"/>
      <c r="R829" s="417"/>
      <c r="S829" s="417"/>
      <c r="T829" s="84"/>
      <c r="U829" s="84"/>
      <c r="V829" s="84"/>
      <c r="W829" s="84"/>
      <c r="X829" s="84"/>
      <c r="Y829" s="415">
        <f>$I829+Y822</f>
        <v>4445</v>
      </c>
      <c r="Z829" s="415">
        <f>$Y829+Z822</f>
        <v>4458</v>
      </c>
      <c r="AA829" s="415">
        <f>$Z829+AA822</f>
        <v>4458</v>
      </c>
      <c r="AB829" s="415">
        <f t="shared" ref="AB829:AC831" si="74">$I829+AB822</f>
        <v>4440.1428571428569</v>
      </c>
      <c r="AC829" s="415">
        <f t="shared" si="74"/>
        <v>4445</v>
      </c>
      <c r="AD829" s="415">
        <f>I829+AD822</f>
        <v>4419.2514285714287</v>
      </c>
      <c r="AE829" s="420">
        <f>I829+AE822</f>
        <v>4445</v>
      </c>
      <c r="AF829" s="420">
        <v>4435</v>
      </c>
      <c r="AG829" s="420">
        <v>4500</v>
      </c>
      <c r="AH829" s="420">
        <f>AG829+AH822</f>
        <v>4500</v>
      </c>
      <c r="AI829" s="415">
        <v>4381</v>
      </c>
      <c r="AJ829" s="415" t="e">
        <f>AI829+AJ822-88</f>
        <v>#REF!</v>
      </c>
      <c r="AK829" s="415">
        <v>3842</v>
      </c>
      <c r="AL829" s="415" t="e">
        <f>AK829+AL822-46</f>
        <v>#REF!</v>
      </c>
      <c r="AM829" s="415">
        <v>3678</v>
      </c>
      <c r="AN829" s="415">
        <v>3750</v>
      </c>
      <c r="AO829" s="415" t="e">
        <f>AN829+AO822+30</f>
        <v>#REF!</v>
      </c>
      <c r="AP829" s="415" t="e">
        <f>AO829+AP822+47</f>
        <v>#REF!</v>
      </c>
      <c r="AQ829" s="415" t="e">
        <f>AP829+AQ822-0</f>
        <v>#REF!</v>
      </c>
      <c r="AR829" s="415" t="e">
        <f>AQ829+AR822+25</f>
        <v>#REF!</v>
      </c>
      <c r="AS829" s="415" t="e">
        <f>AR829+AS822-66</f>
        <v>#REF!</v>
      </c>
      <c r="AT829" s="415">
        <v>4156</v>
      </c>
      <c r="AU829" s="415">
        <f>AT829+AU822</f>
        <v>4249.0004619047622</v>
      </c>
      <c r="AV829" s="415">
        <f>AU829+AV822-30</f>
        <v>4226.2546285714288</v>
      </c>
      <c r="AW829" s="415" t="e">
        <f>AV829+AW822+0</f>
        <v>#REF!</v>
      </c>
      <c r="AX829" s="415" t="e">
        <f>AW829+AX822-0</f>
        <v>#REF!</v>
      </c>
      <c r="AY829" s="415" t="e">
        <f>(AX829+AY822)+20</f>
        <v>#REF!</v>
      </c>
      <c r="AZ829" s="415" t="e">
        <f>(AY829+AZ822)-0</f>
        <v>#REF!</v>
      </c>
      <c r="BA829" s="415" t="e">
        <f>AZ829+BA822-36-16-54</f>
        <v>#REF!</v>
      </c>
      <c r="BB829" s="415" t="e">
        <f>BA829+BB822-30</f>
        <v>#REF!</v>
      </c>
      <c r="BC829" s="415" t="e">
        <f>BB829+BC822</f>
        <v>#REF!</v>
      </c>
      <c r="BD829" s="415">
        <v>4387</v>
      </c>
      <c r="BE829" s="415">
        <f>BD829+BE822+0</f>
        <v>4355.6767380952379</v>
      </c>
      <c r="BF829" s="415">
        <f>BE829+BF822-0</f>
        <v>4429.8271428571425</v>
      </c>
      <c r="BG829" s="415">
        <f>BF829+BG822-85</f>
        <v>4407.0213095238096</v>
      </c>
      <c r="BH829" s="415">
        <f>BG829+BH822+0</f>
        <v>4417.1641666666665</v>
      </c>
      <c r="BI829" s="415">
        <v>4250</v>
      </c>
      <c r="BJ829" s="415">
        <f>BI829+BJ822-0</f>
        <v>4190.6285714285714</v>
      </c>
      <c r="BK829" s="415">
        <f>BJ829+BK822-10-2-40-14</f>
        <v>4180.7428571428572</v>
      </c>
      <c r="BL829" s="415">
        <f>BK829+BL822-0</f>
        <v>4192.3345238095235</v>
      </c>
      <c r="BM829" s="415">
        <f>BL829+BM822-5</f>
        <v>4215.5888095238088</v>
      </c>
      <c r="BN829" s="415">
        <f>BM829+BN822</f>
        <v>4226.7696428571417</v>
      </c>
      <c r="BO829" s="415">
        <f>BN829+BO822-10</f>
        <v>4198.4714285714272</v>
      </c>
      <c r="BP829" s="415">
        <f>BO829+BP822-7</f>
        <v>4181.9714285714272</v>
      </c>
      <c r="BQ829" s="415">
        <f>BP829+BQ822+30</f>
        <v>4180.8285714285703</v>
      </c>
      <c r="BR829" s="415">
        <f>BQ829+BR822+0</f>
        <v>4091.7776190476179</v>
      </c>
      <c r="BS829" s="415">
        <v>4197</v>
      </c>
      <c r="BT829" s="415">
        <f>BS829+BT822+10+30</f>
        <v>4187.8614285714284</v>
      </c>
      <c r="BU829" s="415">
        <f>BT829+BU822+70</f>
        <v>4299.7317857142853</v>
      </c>
      <c r="BV829" s="415">
        <f>BU829+BV822-70</f>
        <v>4144.5107142857141</v>
      </c>
      <c r="BW829" s="415">
        <f>BV829+BW822+120</f>
        <v>4271.5805357142854</v>
      </c>
      <c r="BX829" s="415">
        <f>BW829+BX822-26</f>
        <v>4234.1157142857137</v>
      </c>
      <c r="BY829" s="415">
        <f>BX829+BY822+50</f>
        <v>4330.4442857142849</v>
      </c>
      <c r="BZ829" s="415">
        <f>BY829+BZ822</f>
        <v>4340.0499999999993</v>
      </c>
      <c r="CA829" s="415">
        <f>BZ829+CA822-50</f>
        <v>4258.9038265306117</v>
      </c>
      <c r="CB829" s="415">
        <f>CA829+CB822+CB836</f>
        <v>4316.6249999999991</v>
      </c>
      <c r="CC829" s="415">
        <f>CB829+CC822</f>
        <v>4442.619642857142</v>
      </c>
      <c r="CD829" s="415">
        <f>CC829+CD822+CD836</f>
        <v>4524.3196428571418</v>
      </c>
      <c r="CE829" s="415">
        <f>CD829+CE822+CE836</f>
        <v>4496.398214285713</v>
      </c>
      <c r="CF829" s="415">
        <f>CE829+CF822+CF836</f>
        <v>4456.861857142856</v>
      </c>
      <c r="CG829" s="415">
        <f>CF829+CG822+CG836-7</f>
        <v>4525.5687499999985</v>
      </c>
      <c r="CH829" s="415">
        <f t="shared" ref="CH829:CM829" si="75">CG829+CH822+CH836</f>
        <v>4492.1746428571414</v>
      </c>
      <c r="CI829" s="415">
        <f t="shared" si="75"/>
        <v>4390.9260714285701</v>
      </c>
      <c r="CJ829" s="419">
        <f t="shared" si="75"/>
        <v>4240.7374047619032</v>
      </c>
      <c r="CK829" s="419">
        <f t="shared" si="75"/>
        <v>3995.6186904761889</v>
      </c>
      <c r="CL829" s="419">
        <f t="shared" si="75"/>
        <v>3991.4544047619033</v>
      </c>
      <c r="CM829" s="419">
        <f t="shared" si="75"/>
        <v>3938.2665476190464</v>
      </c>
      <c r="CN829" s="419">
        <f t="shared" ref="CN829:EI829" si="76">CM829+CN822+CN836</f>
        <v>3859.137976190475</v>
      </c>
      <c r="CO829" s="419">
        <f t="shared" si="76"/>
        <v>3911.0815476190464</v>
      </c>
      <c r="CP829" s="419">
        <f t="shared" si="76"/>
        <v>3807.6652619047609</v>
      </c>
      <c r="CQ829" s="419">
        <f t="shared" si="76"/>
        <v>3915.4181190476179</v>
      </c>
      <c r="CR829" s="419">
        <f t="shared" si="76"/>
        <v>4074.3265476190463</v>
      </c>
      <c r="CS829" s="419">
        <f t="shared" si="76"/>
        <v>4129.6480476190463</v>
      </c>
      <c r="CT829" s="419">
        <f t="shared" si="76"/>
        <v>4130.0008333333317</v>
      </c>
      <c r="CU829" s="419">
        <f t="shared" si="76"/>
        <v>4057.2790476190457</v>
      </c>
      <c r="CV829" s="419">
        <f t="shared" si="76"/>
        <v>3975.5290476190457</v>
      </c>
      <c r="CW829" s="419">
        <f t="shared" si="76"/>
        <v>4047.3004761904745</v>
      </c>
      <c r="CX829" s="419">
        <f t="shared" si="76"/>
        <v>4176.4076190476171</v>
      </c>
      <c r="CY829" s="419">
        <f t="shared" si="76"/>
        <v>4244.8433333333314</v>
      </c>
      <c r="CZ829" s="419">
        <f t="shared" si="76"/>
        <v>4245.7347619047596</v>
      </c>
      <c r="DA829" s="419">
        <f t="shared" si="76"/>
        <v>4246.3190476190457</v>
      </c>
      <c r="DB829" s="419">
        <f t="shared" si="76"/>
        <v>4241.4190476190461</v>
      </c>
      <c r="DC829" s="419">
        <f t="shared" si="76"/>
        <v>4194.5761904761894</v>
      </c>
      <c r="DD829" s="419">
        <f t="shared" si="76"/>
        <v>4255.9119047619033</v>
      </c>
      <c r="DE829" s="419">
        <f t="shared" si="76"/>
        <v>4200.3426190476175</v>
      </c>
      <c r="DF829" s="419">
        <f t="shared" si="76"/>
        <v>4166.1427380952364</v>
      </c>
      <c r="DG829" s="419">
        <f t="shared" si="76"/>
        <v>4222.6005952380938</v>
      </c>
      <c r="DH829" s="419">
        <f t="shared" si="76"/>
        <v>4142.8452380952367</v>
      </c>
      <c r="DI829" s="419">
        <f t="shared" si="76"/>
        <v>4217.9523809523798</v>
      </c>
      <c r="DJ829" s="419">
        <f t="shared" si="76"/>
        <v>4206.5238095238083</v>
      </c>
      <c r="DK829" s="419">
        <f t="shared" si="76"/>
        <v>4203.7238095238081</v>
      </c>
      <c r="DL829" s="419">
        <f t="shared" si="76"/>
        <v>4199.7238095238081</v>
      </c>
      <c r="DM829" s="419">
        <f t="shared" si="76"/>
        <v>4205.7238095238081</v>
      </c>
      <c r="DN829" s="419">
        <f t="shared" si="76"/>
        <v>4203.7238095238081</v>
      </c>
      <c r="DO829" s="419">
        <f t="shared" si="76"/>
        <v>4208.7238095238081</v>
      </c>
      <c r="DP829" s="419">
        <f t="shared" si="76"/>
        <v>4204.1238095238077</v>
      </c>
      <c r="DQ829" s="419">
        <f t="shared" si="76"/>
        <v>4220.6309523809505</v>
      </c>
      <c r="DR829" s="419">
        <f t="shared" si="76"/>
        <v>4203.6880952380934</v>
      </c>
      <c r="DS829" s="419">
        <f t="shared" si="76"/>
        <v>4183.4166666666652</v>
      </c>
      <c r="DT829" s="419">
        <f t="shared" si="76"/>
        <v>4178.9166666666652</v>
      </c>
      <c r="DU829" s="419">
        <f t="shared" si="76"/>
        <v>4149.5452380952365</v>
      </c>
      <c r="DV829" s="419">
        <f t="shared" si="76"/>
        <v>4008.3680952380937</v>
      </c>
      <c r="DW829" s="419">
        <f t="shared" si="76"/>
        <v>4018.5466666666653</v>
      </c>
      <c r="DX829" s="419">
        <f t="shared" si="76"/>
        <v>4018.5466666666653</v>
      </c>
      <c r="DY829" s="419">
        <f t="shared" si="76"/>
        <v>4096.6916666666657</v>
      </c>
      <c r="DZ829" s="419">
        <f t="shared" si="76"/>
        <v>4162.6130952380945</v>
      </c>
      <c r="EA829" s="419">
        <f t="shared" si="76"/>
        <v>4282.3238095238084</v>
      </c>
      <c r="EB829" s="419">
        <f t="shared" si="76"/>
        <v>4354.7166666666653</v>
      </c>
      <c r="EC829" s="419">
        <f t="shared" si="76"/>
        <v>4354.7166666666653</v>
      </c>
      <c r="ED829" s="419">
        <f t="shared" si="76"/>
        <v>4354.7166666666653</v>
      </c>
      <c r="EE829" s="419">
        <f t="shared" si="76"/>
        <v>4354.7166666666653</v>
      </c>
      <c r="EF829" s="419">
        <f t="shared" si="76"/>
        <v>4354.7166666666653</v>
      </c>
      <c r="EG829" s="419">
        <f t="shared" si="76"/>
        <v>4354.7166666666653</v>
      </c>
      <c r="EH829" s="419">
        <f t="shared" si="76"/>
        <v>4354.7166666666653</v>
      </c>
      <c r="EI829" s="419">
        <f t="shared" si="76"/>
        <v>4354.7166666666653</v>
      </c>
    </row>
    <row r="830" spans="1:139" ht="15.75" x14ac:dyDescent="0.3">
      <c r="A830" s="87"/>
      <c r="B830" s="406" t="s">
        <v>1369</v>
      </c>
      <c r="C830" s="406"/>
      <c r="D830" s="406"/>
      <c r="E830" s="409" t="s">
        <v>1361</v>
      </c>
      <c r="F830" s="410" t="s">
        <v>1361</v>
      </c>
      <c r="G830" s="411" t="s">
        <v>1361</v>
      </c>
      <c r="H830" s="188">
        <v>4</v>
      </c>
      <c r="I830" s="417">
        <v>267</v>
      </c>
      <c r="J830" s="417"/>
      <c r="K830" s="417"/>
      <c r="L830" s="417"/>
      <c r="M830" s="417"/>
      <c r="N830" s="417"/>
      <c r="O830" s="417"/>
      <c r="P830" s="417"/>
      <c r="Q830" s="417"/>
      <c r="R830" s="417"/>
      <c r="S830" s="417"/>
      <c r="T830" s="84"/>
      <c r="U830" s="84"/>
      <c r="V830" s="84"/>
      <c r="W830" s="84"/>
      <c r="X830" s="84"/>
      <c r="Y830" s="415">
        <f>$I830+Y823</f>
        <v>267</v>
      </c>
      <c r="Z830" s="415">
        <f>$Y830+Z823</f>
        <v>267</v>
      </c>
      <c r="AA830" s="415">
        <f>$Z830+AA823</f>
        <v>267</v>
      </c>
      <c r="AB830" s="415">
        <f t="shared" si="74"/>
        <v>267</v>
      </c>
      <c r="AC830" s="415">
        <f t="shared" si="74"/>
        <v>267</v>
      </c>
      <c r="AD830" s="415">
        <f>I830+AD823</f>
        <v>267</v>
      </c>
      <c r="AE830" s="415">
        <f>AD830+AE823</f>
        <v>267</v>
      </c>
      <c r="AF830" s="415">
        <f>I830</f>
        <v>267</v>
      </c>
      <c r="AG830" s="421">
        <f>280-15</f>
        <v>265</v>
      </c>
      <c r="AH830" s="415">
        <f>AG830+AH823</f>
        <v>265</v>
      </c>
      <c r="AI830" s="415">
        <f>AH830+AI823+5</f>
        <v>270</v>
      </c>
      <c r="AJ830" s="415">
        <f>AI830+AJ823</f>
        <v>241</v>
      </c>
      <c r="AK830" s="415">
        <f>AJ830+AK823+15</f>
        <v>278</v>
      </c>
      <c r="AL830" s="415">
        <f>AK830+AL823+2</f>
        <v>280.95999999999998</v>
      </c>
      <c r="AM830" s="415">
        <v>288</v>
      </c>
      <c r="AN830" s="415">
        <v>260</v>
      </c>
      <c r="AO830" s="415">
        <f>AN830+AO823+8</f>
        <v>250</v>
      </c>
      <c r="AP830" s="415">
        <v>272</v>
      </c>
      <c r="AQ830" s="415">
        <f>AP830+AQ823-4</f>
        <v>261.31428571428569</v>
      </c>
      <c r="AR830" s="415">
        <v>270</v>
      </c>
      <c r="AS830" s="415">
        <f>AR830+AS823+6</f>
        <v>282.43333333333334</v>
      </c>
      <c r="AT830" s="415" t="e">
        <f>AS830+AT823-20</f>
        <v>#REF!</v>
      </c>
      <c r="AU830" s="415" t="e">
        <f>AT830+AU823-29</f>
        <v>#REF!</v>
      </c>
      <c r="AV830" s="415" t="e">
        <f>AU830+AV823+18</f>
        <v>#REF!</v>
      </c>
      <c r="AW830" s="415" t="e">
        <f>AV830+AW823-4</f>
        <v>#REF!</v>
      </c>
      <c r="AX830" s="415" t="e">
        <f>AW830+AX823-6</f>
        <v>#REF!</v>
      </c>
      <c r="AY830" s="415" t="e">
        <f>AX830+AY823+9</f>
        <v>#REF!</v>
      </c>
      <c r="AZ830" s="415" t="e">
        <f>AY830+AZ823</f>
        <v>#REF!</v>
      </c>
      <c r="BA830" s="415" t="e">
        <f>AZ830+BA823-26</f>
        <v>#REF!</v>
      </c>
      <c r="BB830" s="415" t="e">
        <f>BA830+BB823-15</f>
        <v>#REF!</v>
      </c>
      <c r="BC830" s="415" t="e">
        <f>BB830+BC823+0</f>
        <v>#REF!</v>
      </c>
      <c r="BD830" s="415" t="e">
        <f>BC830+BD823-7</f>
        <v>#REF!</v>
      </c>
      <c r="BE830" s="415" t="e">
        <f>BD830+BE823+4</f>
        <v>#REF!</v>
      </c>
      <c r="BF830" s="415" t="e">
        <f>BE830+BF823+6</f>
        <v>#REF!</v>
      </c>
      <c r="BG830" s="415" t="e">
        <f>BF830+BG823+10</f>
        <v>#REF!</v>
      </c>
      <c r="BH830" s="415" t="e">
        <f>BG830+BH823</f>
        <v>#REF!</v>
      </c>
      <c r="BI830" s="415">
        <v>295</v>
      </c>
      <c r="BJ830" s="415">
        <f>BI830+BJ823-10</f>
        <v>275.34285714285716</v>
      </c>
      <c r="BK830" s="415">
        <f>BJ830+BK823</f>
        <v>275.34285714285716</v>
      </c>
      <c r="BL830" s="415">
        <f>BK830+BL823+4</f>
        <v>289</v>
      </c>
      <c r="BM830" s="415">
        <f>BL830+BM823</f>
        <v>286</v>
      </c>
      <c r="BN830" s="415">
        <f>BM830+BN823</f>
        <v>286</v>
      </c>
      <c r="BO830" s="415">
        <f>BN830+BO823</f>
        <v>286</v>
      </c>
      <c r="BP830" s="415">
        <f>BO830+BP823+3</f>
        <v>289</v>
      </c>
      <c r="BQ830" s="415">
        <f>BP830+BQ823</f>
        <v>289</v>
      </c>
      <c r="BR830" s="415">
        <f>BQ830+BR823-9</f>
        <v>259.7</v>
      </c>
      <c r="BS830" s="415">
        <f>(BR830+BS823+10)*1.05</f>
        <v>283.185</v>
      </c>
      <c r="BT830" s="415">
        <f>BS830+BT823+5+10</f>
        <v>295.03500000000003</v>
      </c>
      <c r="BU830" s="415">
        <f>BT830+BU823-15</f>
        <v>285.32785714285717</v>
      </c>
      <c r="BV830" s="415">
        <f>BU830+BV823</f>
        <v>289.08500000000004</v>
      </c>
      <c r="BW830" s="415">
        <f>BV830+BW823-3</f>
        <v>303.48500000000001</v>
      </c>
      <c r="BX830" s="415">
        <f>BW830+BX823</f>
        <v>291.79214285714289</v>
      </c>
      <c r="BY830" s="415">
        <f>BX830+BY823-6</f>
        <v>290.11</v>
      </c>
      <c r="BZ830" s="415">
        <f>BY830+BZ823-10</f>
        <v>287.48500000000001</v>
      </c>
      <c r="CA830" s="415">
        <f>BZ830+CA823+6</f>
        <v>293.48500000000001</v>
      </c>
      <c r="CB830" s="415">
        <f>CA830+CB823</f>
        <v>293.48500000000001</v>
      </c>
      <c r="CC830" s="415">
        <f>CB830+CC823</f>
        <v>291.77071428571429</v>
      </c>
      <c r="CD830" s="415">
        <v>305</v>
      </c>
      <c r="CE830" s="415">
        <f>CD830+CE823</f>
        <v>287.83999999999997</v>
      </c>
      <c r="CF830" s="415">
        <f>CE830+CF823</f>
        <v>287.83999999999997</v>
      </c>
      <c r="CG830" s="415">
        <f>CF830+CG823-20</f>
        <v>269.95714285714286</v>
      </c>
      <c r="CH830" s="415">
        <f>CG830+CH823</f>
        <v>266.55</v>
      </c>
      <c r="CI830" s="415">
        <f>CH830+CI823</f>
        <v>269.33571428571429</v>
      </c>
      <c r="CJ830" s="419">
        <f>CI830+CJ823</f>
        <v>281.31428571428569</v>
      </c>
      <c r="CK830" s="419">
        <f>CJ830+CK823</f>
        <v>288</v>
      </c>
      <c r="CL830" s="419">
        <f>CK830+CL823+CL837</f>
        <v>286</v>
      </c>
      <c r="CM830" s="419">
        <f>CL830+CM823+CM837</f>
        <v>285.78571428571428</v>
      </c>
      <c r="CN830" s="419">
        <f t="shared" ref="CN830:EI830" si="77">CM830+CN823+CN837</f>
        <v>285.63</v>
      </c>
      <c r="CO830" s="419">
        <f t="shared" si="77"/>
        <v>276.91928571428571</v>
      </c>
      <c r="CP830" s="419">
        <f t="shared" si="77"/>
        <v>279.70499999999998</v>
      </c>
      <c r="CQ830" s="419">
        <f t="shared" si="77"/>
        <v>254.38357142857143</v>
      </c>
      <c r="CR830" s="419">
        <f t="shared" si="77"/>
        <v>232.16928571428571</v>
      </c>
      <c r="CS830" s="419">
        <f t="shared" si="77"/>
        <v>242.74071428571429</v>
      </c>
      <c r="CT830" s="419">
        <f t="shared" si="77"/>
        <v>265.70500000000004</v>
      </c>
      <c r="CU830" s="419">
        <f t="shared" si="77"/>
        <v>269.96357142857147</v>
      </c>
      <c r="CV830" s="419">
        <f t="shared" si="77"/>
        <v>266.60571428571433</v>
      </c>
      <c r="CW830" s="419">
        <f t="shared" si="77"/>
        <v>237.03785714285718</v>
      </c>
      <c r="CX830" s="419">
        <f t="shared" si="77"/>
        <v>250.46285714285719</v>
      </c>
      <c r="CY830" s="419">
        <f t="shared" si="77"/>
        <v>263.37071428571437</v>
      </c>
      <c r="CZ830" s="419">
        <f t="shared" si="77"/>
        <v>264.32464285714292</v>
      </c>
      <c r="DA830" s="419">
        <f t="shared" si="77"/>
        <v>268.86321428571432</v>
      </c>
      <c r="DB830" s="419">
        <f t="shared" si="77"/>
        <v>273.34107142857147</v>
      </c>
      <c r="DC830" s="419">
        <f t="shared" si="77"/>
        <v>301.45750000000004</v>
      </c>
      <c r="DD830" s="419">
        <f t="shared" si="77"/>
        <v>313.12071428571431</v>
      </c>
      <c r="DE830" s="419">
        <f t="shared" si="77"/>
        <v>313.12071428571431</v>
      </c>
      <c r="DF830" s="419">
        <f t="shared" si="77"/>
        <v>313.76928571428573</v>
      </c>
      <c r="DG830" s="419">
        <f t="shared" si="77"/>
        <v>308.74214285714288</v>
      </c>
      <c r="DH830" s="419">
        <f t="shared" si="77"/>
        <v>254.91357142857146</v>
      </c>
      <c r="DI830" s="419">
        <f t="shared" si="77"/>
        <v>311.10642857142858</v>
      </c>
      <c r="DJ830" s="419">
        <f t="shared" si="77"/>
        <v>316.12071428571431</v>
      </c>
      <c r="DK830" s="419">
        <f t="shared" si="77"/>
        <v>316.12071428571431</v>
      </c>
      <c r="DL830" s="419">
        <f t="shared" si="77"/>
        <v>316.12071428571431</v>
      </c>
      <c r="DM830" s="419">
        <f t="shared" si="77"/>
        <v>316.12071428571431</v>
      </c>
      <c r="DN830" s="419">
        <f t="shared" si="77"/>
        <v>316.12071428571431</v>
      </c>
      <c r="DO830" s="419">
        <f t="shared" si="77"/>
        <v>316.12071428571431</v>
      </c>
      <c r="DP830" s="419">
        <f t="shared" si="77"/>
        <v>316.12071428571431</v>
      </c>
      <c r="DQ830" s="419">
        <f t="shared" si="77"/>
        <v>312.12071428571431</v>
      </c>
      <c r="DR830" s="419">
        <f t="shared" si="77"/>
        <v>312.12071428571431</v>
      </c>
      <c r="DS830" s="419">
        <f t="shared" si="77"/>
        <v>312.12071428571431</v>
      </c>
      <c r="DT830" s="419">
        <f t="shared" si="77"/>
        <v>312.12071428571431</v>
      </c>
      <c r="DU830" s="419">
        <f t="shared" si="77"/>
        <v>312.12071428571431</v>
      </c>
      <c r="DV830" s="419">
        <f t="shared" si="77"/>
        <v>312.12071428571431</v>
      </c>
      <c r="DW830" s="419">
        <f t="shared" si="77"/>
        <v>312.12071428571431</v>
      </c>
      <c r="DX830" s="419">
        <f t="shared" si="77"/>
        <v>309.23071428571433</v>
      </c>
      <c r="DY830" s="419">
        <f t="shared" si="77"/>
        <v>309.23071428571433</v>
      </c>
      <c r="DZ830" s="419">
        <f t="shared" si="77"/>
        <v>312.12071428571431</v>
      </c>
      <c r="EA830" s="419">
        <f t="shared" si="77"/>
        <v>312.12071428571431</v>
      </c>
      <c r="EB830" s="419">
        <f t="shared" si="77"/>
        <v>312.12071428571431</v>
      </c>
      <c r="EC830" s="419">
        <f t="shared" si="77"/>
        <v>312.12071428571431</v>
      </c>
      <c r="ED830" s="419">
        <f t="shared" si="77"/>
        <v>312.12071428571431</v>
      </c>
      <c r="EE830" s="419">
        <f t="shared" si="77"/>
        <v>312.12071428571431</v>
      </c>
      <c r="EF830" s="419">
        <f t="shared" si="77"/>
        <v>312.12071428571431</v>
      </c>
      <c r="EG830" s="419">
        <f t="shared" si="77"/>
        <v>312.12071428571431</v>
      </c>
      <c r="EH830" s="419">
        <f t="shared" si="77"/>
        <v>312.12071428571431</v>
      </c>
      <c r="EI830" s="419">
        <f t="shared" si="77"/>
        <v>312.12071428571431</v>
      </c>
    </row>
    <row r="831" spans="1:139" ht="15.75" x14ac:dyDescent="0.3">
      <c r="A831" s="87"/>
      <c r="B831" s="406" t="s">
        <v>1369</v>
      </c>
      <c r="C831" s="406"/>
      <c r="D831" s="406"/>
      <c r="E831" s="409" t="s">
        <v>1361</v>
      </c>
      <c r="F831" s="410" t="s">
        <v>1361</v>
      </c>
      <c r="G831" s="411" t="s">
        <v>1361</v>
      </c>
      <c r="H831" s="188">
        <v>5</v>
      </c>
      <c r="I831" s="417">
        <v>1229</v>
      </c>
      <c r="J831" s="417"/>
      <c r="K831" s="417"/>
      <c r="L831" s="417"/>
      <c r="M831" s="417"/>
      <c r="N831" s="417"/>
      <c r="O831" s="417"/>
      <c r="P831" s="417"/>
      <c r="Q831" s="417"/>
      <c r="R831" s="417"/>
      <c r="S831" s="417"/>
      <c r="T831" s="84"/>
      <c r="U831" s="84"/>
      <c r="V831" s="84"/>
      <c r="W831" s="84"/>
      <c r="X831" s="84"/>
      <c r="Y831" s="415">
        <f>$I831+Y824</f>
        <v>1229</v>
      </c>
      <c r="Z831" s="415">
        <f>$Y831+Z824</f>
        <v>1229</v>
      </c>
      <c r="AA831" s="415">
        <f>$Z831+AA824</f>
        <v>1229</v>
      </c>
      <c r="AB831" s="415">
        <f t="shared" si="74"/>
        <v>1191.3</v>
      </c>
      <c r="AC831" s="415">
        <f t="shared" si="74"/>
        <v>1219.575</v>
      </c>
      <c r="AD831" s="415">
        <f>I831+AD824</f>
        <v>1261.9875</v>
      </c>
      <c r="AE831" s="415">
        <f>AD831+AE824</f>
        <v>1276.125</v>
      </c>
      <c r="AF831" s="415">
        <f>I831</f>
        <v>1229</v>
      </c>
      <c r="AG831" s="418">
        <f>1200+20</f>
        <v>1220</v>
      </c>
      <c r="AH831" s="415">
        <f>AG831+AH824</f>
        <v>1220</v>
      </c>
      <c r="AI831" s="418">
        <v>1200</v>
      </c>
      <c r="AJ831" s="415">
        <v>1230</v>
      </c>
      <c r="AK831" s="415">
        <f>AJ831+AK824-15</f>
        <v>1189.3714285714286</v>
      </c>
      <c r="AL831" s="415">
        <f>AK831+AL824+27</f>
        <v>1192.0857142857144</v>
      </c>
      <c r="AM831" s="415">
        <v>1160</v>
      </c>
      <c r="AN831" s="415">
        <v>1107</v>
      </c>
      <c r="AO831" s="415">
        <v>1060</v>
      </c>
      <c r="AP831" s="415">
        <f>AO831+AP824</f>
        <v>1058.1535714285715</v>
      </c>
      <c r="AQ831" s="415">
        <f>AP831+AQ824+8+18</f>
        <v>1110.075</v>
      </c>
      <c r="AR831" s="415">
        <f>AQ831+AR824-51</f>
        <v>1082.45</v>
      </c>
      <c r="AS831" s="415">
        <f>AR831+AS824-27</f>
        <v>1082.6916666666666</v>
      </c>
      <c r="AT831" s="415">
        <f>AS831+AT824</f>
        <v>1090.2142857142856</v>
      </c>
      <c r="AU831" s="415">
        <f>AT831+AU824-9</f>
        <v>1084.2309523809522</v>
      </c>
      <c r="AV831" s="415">
        <f>AU831+AV824+2</f>
        <v>1096.7971428571427</v>
      </c>
      <c r="AW831" s="415" t="e">
        <f>AV831+AW824+18</f>
        <v>#REF!</v>
      </c>
      <c r="AX831" s="415" t="e">
        <f>AW831+AX824+19</f>
        <v>#REF!</v>
      </c>
      <c r="AY831" s="415" t="e">
        <f>AX831+AY824-2</f>
        <v>#REF!</v>
      </c>
      <c r="AZ831" s="415" t="e">
        <f>AY831+AZ824-0</f>
        <v>#REF!</v>
      </c>
      <c r="BA831" s="415">
        <v>1116</v>
      </c>
      <c r="BB831" s="415">
        <f>BA831+BB824-10-37</f>
        <v>1085.7571428571428</v>
      </c>
      <c r="BC831" s="415">
        <f>BB831+BC824-9</f>
        <v>1120.4285714285713</v>
      </c>
      <c r="BD831" s="415">
        <f>BC831+BD824+20</f>
        <v>1116.5999999999999</v>
      </c>
      <c r="BE831" s="415">
        <f>BD831+BE824+40</f>
        <v>1091.6971428571428</v>
      </c>
      <c r="BF831" s="415">
        <f>BE831+BF824+26</f>
        <v>1162.04</v>
      </c>
      <c r="BG831" s="415">
        <f>BF831+BG824-5</f>
        <v>1178.04</v>
      </c>
      <c r="BH831" s="415">
        <f>BG831+BH824-35</f>
        <v>1211.9000000000001</v>
      </c>
      <c r="BI831" s="415">
        <f>BH831+BI824-0-20-35</f>
        <v>1225.7142857142858</v>
      </c>
      <c r="BJ831" s="415">
        <f>BI831+BJ824-5</f>
        <v>1225</v>
      </c>
      <c r="BK831" s="415">
        <f>BJ831+BK824-12-10</f>
        <v>1203</v>
      </c>
      <c r="BL831" s="415">
        <v>1195</v>
      </c>
      <c r="BM831" s="415">
        <f>BL831+BM824</f>
        <v>1154.3</v>
      </c>
      <c r="BN831" s="415">
        <f>BM831+BN824</f>
        <v>1147.875</v>
      </c>
      <c r="BO831" s="415">
        <f>BN831+BO824</f>
        <v>1147.875</v>
      </c>
      <c r="BP831" s="415">
        <f>BO831+BP824</f>
        <v>1177.2196428571428</v>
      </c>
      <c r="BQ831" s="415">
        <f>BP831+BQ824+15</f>
        <v>1167.3571428571429</v>
      </c>
      <c r="BR831" s="415">
        <f>BQ831+BR824+10</f>
        <v>1109.8142857142857</v>
      </c>
      <c r="BS831" s="415">
        <f>BR831+BS824+20</f>
        <v>1134.25</v>
      </c>
      <c r="BT831" s="415">
        <f>BS831+BT824</f>
        <v>1110.5794642857143</v>
      </c>
      <c r="BU831" s="415">
        <f>BT831+BU824+50</f>
        <v>1100.3964285714285</v>
      </c>
      <c r="BV831" s="415">
        <f>BU831+BV824-20-3</f>
        <v>1070.125</v>
      </c>
      <c r="BW831" s="415">
        <f>BV831+BW824-30</f>
        <v>1106.2437500000001</v>
      </c>
      <c r="BX831" s="415">
        <f>BW831+BX824+5</f>
        <v>1115.0814285714287</v>
      </c>
      <c r="BY831" s="415">
        <f>BX831+BY824+55</f>
        <v>1174.0328571428572</v>
      </c>
      <c r="BZ831" s="415">
        <f t="shared" ref="BZ831:CK831" si="78">BY831+BZ824+BZ838</f>
        <v>1172.2614285714287</v>
      </c>
      <c r="CA831" s="415">
        <f t="shared" si="78"/>
        <v>1161.69</v>
      </c>
      <c r="CB831" s="415">
        <f t="shared" si="78"/>
        <v>1216.5942857142859</v>
      </c>
      <c r="CC831" s="415">
        <f t="shared" si="78"/>
        <v>1203.6428571428573</v>
      </c>
      <c r="CD831" s="415">
        <f t="shared" si="78"/>
        <v>1162.0214285714287</v>
      </c>
      <c r="CE831" s="415">
        <f t="shared" si="78"/>
        <v>1164.7250000000001</v>
      </c>
      <c r="CF831" s="415">
        <f t="shared" si="78"/>
        <v>1195.7714285714287</v>
      </c>
      <c r="CG831" s="415">
        <f t="shared" si="78"/>
        <v>1186.0928571428574</v>
      </c>
      <c r="CH831" s="415">
        <f t="shared" si="78"/>
        <v>1179.0428571428574</v>
      </c>
      <c r="CI831" s="415">
        <f t="shared" si="78"/>
        <v>1180.0071428571432</v>
      </c>
      <c r="CJ831" s="419">
        <f t="shared" si="78"/>
        <v>1077.4385714285718</v>
      </c>
      <c r="CK831" s="419">
        <f t="shared" si="78"/>
        <v>1037.5714285714289</v>
      </c>
      <c r="CL831" s="419">
        <f>CK831+CL824+CL838</f>
        <v>1035.0214285714289</v>
      </c>
      <c r="CM831" s="419">
        <f>CL831+CM824+CM838</f>
        <v>943.03928571428605</v>
      </c>
      <c r="CN831" s="419">
        <f t="shared" ref="CN831:EI831" si="79">CM831+CN824+CN838</f>
        <v>968.8000000000003</v>
      </c>
      <c r="CO831" s="419">
        <f t="shared" si="79"/>
        <v>1008.8678571428575</v>
      </c>
      <c r="CP831" s="419">
        <f t="shared" si="79"/>
        <v>971.08214285714314</v>
      </c>
      <c r="CQ831" s="419">
        <f t="shared" si="79"/>
        <v>983.40000000000032</v>
      </c>
      <c r="CR831" s="419">
        <f t="shared" si="79"/>
        <v>1061.9607142857146</v>
      </c>
      <c r="CS831" s="419">
        <f t="shared" si="79"/>
        <v>946.26071428571458</v>
      </c>
      <c r="CT831" s="419">
        <f t="shared" si="79"/>
        <v>875.24642857142885</v>
      </c>
      <c r="CU831" s="419">
        <f t="shared" si="79"/>
        <v>890.16785714285743</v>
      </c>
      <c r="CV831" s="419">
        <f t="shared" si="79"/>
        <v>889.25357142857172</v>
      </c>
      <c r="CW831" s="419">
        <f t="shared" si="79"/>
        <v>950.84642857142887</v>
      </c>
      <c r="CX831" s="419">
        <f t="shared" si="79"/>
        <v>989.81071428571454</v>
      </c>
      <c r="CY831" s="419">
        <f t="shared" si="79"/>
        <v>1096.1642857142861</v>
      </c>
      <c r="CZ831" s="419">
        <f t="shared" si="79"/>
        <v>1020.3871428571432</v>
      </c>
      <c r="DA831" s="419">
        <f t="shared" si="79"/>
        <v>1073.0028571428575</v>
      </c>
      <c r="DB831" s="419">
        <f t="shared" si="79"/>
        <v>1099.1850000000004</v>
      </c>
      <c r="DC831" s="419">
        <f t="shared" si="79"/>
        <v>1038.1421428571432</v>
      </c>
      <c r="DD831" s="419">
        <f t="shared" si="79"/>
        <v>1077.0885714285719</v>
      </c>
      <c r="DE831" s="419">
        <f t="shared" si="79"/>
        <v>1122.0957142857146</v>
      </c>
      <c r="DF831" s="419">
        <f t="shared" si="79"/>
        <v>1133.264285714286</v>
      </c>
      <c r="DG831" s="419">
        <f t="shared" si="79"/>
        <v>1122.0500000000002</v>
      </c>
      <c r="DH831" s="419">
        <f t="shared" si="79"/>
        <v>1116.4785714285715</v>
      </c>
      <c r="DI831" s="419">
        <f t="shared" si="79"/>
        <v>1110.8428571428572</v>
      </c>
      <c r="DJ831" s="419">
        <f t="shared" si="79"/>
        <v>1114.8857142857144</v>
      </c>
      <c r="DK831" s="419">
        <f t="shared" si="79"/>
        <v>1114.8857142857144</v>
      </c>
      <c r="DL831" s="419">
        <f t="shared" si="79"/>
        <v>1114.8857142857144</v>
      </c>
      <c r="DM831" s="419">
        <f t="shared" si="79"/>
        <v>1128.2</v>
      </c>
      <c r="DN831" s="419">
        <f t="shared" si="79"/>
        <v>1143.0857142857144</v>
      </c>
      <c r="DO831" s="419">
        <f t="shared" si="79"/>
        <v>1143.0857142857144</v>
      </c>
      <c r="DP831" s="419">
        <f t="shared" si="79"/>
        <v>1143.9428571428573</v>
      </c>
      <c r="DQ831" s="419">
        <f t="shared" si="79"/>
        <v>1105.7357142857145</v>
      </c>
      <c r="DR831" s="419">
        <f t="shared" si="79"/>
        <v>1105.7357142857145</v>
      </c>
      <c r="DS831" s="419">
        <f t="shared" si="79"/>
        <v>1104.4857142857145</v>
      </c>
      <c r="DT831" s="419">
        <f t="shared" si="79"/>
        <v>1046.5428571428574</v>
      </c>
      <c r="DU831" s="419">
        <f t="shared" si="79"/>
        <v>990.87142857142885</v>
      </c>
      <c r="DV831" s="419">
        <f t="shared" si="79"/>
        <v>964.08571428571452</v>
      </c>
      <c r="DW831" s="419">
        <f t="shared" si="79"/>
        <v>965.33571428571452</v>
      </c>
      <c r="DX831" s="419">
        <f t="shared" si="79"/>
        <v>1003.964285714286</v>
      </c>
      <c r="DY831" s="419">
        <f t="shared" si="79"/>
        <v>1032.9357142857145</v>
      </c>
      <c r="DZ831" s="419">
        <f t="shared" si="79"/>
        <v>1077.2328571428575</v>
      </c>
      <c r="EA831" s="419">
        <f t="shared" si="79"/>
        <v>1099.2685714285717</v>
      </c>
      <c r="EB831" s="419">
        <f t="shared" si="79"/>
        <v>1117.1257142857146</v>
      </c>
      <c r="EC831" s="419">
        <f t="shared" si="79"/>
        <v>1116.8400000000004</v>
      </c>
      <c r="ED831" s="419">
        <f t="shared" si="79"/>
        <v>1115.1257142857146</v>
      </c>
      <c r="EE831" s="419">
        <f t="shared" si="79"/>
        <v>1115.1257142857146</v>
      </c>
      <c r="EF831" s="419">
        <f t="shared" si="79"/>
        <v>1116.2057142857145</v>
      </c>
      <c r="EG831" s="419">
        <f t="shared" si="79"/>
        <v>4602822.6857142858</v>
      </c>
      <c r="EH831" s="419">
        <f t="shared" si="79"/>
        <v>9205222.6857142858</v>
      </c>
      <c r="EI831" s="419">
        <f t="shared" si="79"/>
        <v>13808322.685714286</v>
      </c>
    </row>
    <row r="832" spans="1:139" ht="15.75" x14ac:dyDescent="0.3">
      <c r="A832" s="87"/>
      <c r="B832" s="406" t="s">
        <v>1369</v>
      </c>
      <c r="C832" s="406"/>
      <c r="D832" s="406"/>
      <c r="E832" s="409" t="s">
        <v>1361</v>
      </c>
      <c r="F832" s="410" t="s">
        <v>1361</v>
      </c>
      <c r="G832" s="411" t="s">
        <v>1361</v>
      </c>
      <c r="H832" s="188"/>
      <c r="I832" s="417"/>
      <c r="J832" s="417"/>
      <c r="K832" s="417"/>
      <c r="L832" s="417"/>
      <c r="M832" s="417"/>
      <c r="N832" s="417"/>
      <c r="O832" s="417"/>
      <c r="P832" s="417"/>
      <c r="Q832" s="417"/>
      <c r="R832" s="417"/>
      <c r="S832" s="417"/>
      <c r="T832" s="84"/>
      <c r="U832" s="84"/>
      <c r="V832" s="84"/>
      <c r="W832" s="84"/>
      <c r="X832" s="84"/>
      <c r="Y832" s="415"/>
      <c r="Z832" s="415"/>
      <c r="AA832" s="415"/>
      <c r="AB832" s="415"/>
      <c r="AC832" s="415"/>
      <c r="AD832" s="415"/>
      <c r="AE832" s="415"/>
      <c r="AF832" s="415"/>
      <c r="AG832" s="418"/>
      <c r="AH832" s="415"/>
      <c r="AI832" s="418"/>
      <c r="AJ832" s="415"/>
      <c r="AK832" s="415"/>
      <c r="AL832" s="415"/>
      <c r="AM832" s="415"/>
      <c r="AN832" s="415"/>
      <c r="AO832" s="415"/>
      <c r="AP832" s="415"/>
      <c r="AQ832" s="415"/>
      <c r="AR832" s="415"/>
      <c r="AS832" s="415"/>
      <c r="AT832" s="415"/>
      <c r="AU832" s="415"/>
      <c r="AV832" s="415"/>
      <c r="AW832" s="415"/>
      <c r="AX832" s="415"/>
      <c r="AY832" s="415"/>
      <c r="AZ832" s="415"/>
      <c r="BA832" s="415"/>
      <c r="BB832" s="415"/>
      <c r="BC832" s="415"/>
      <c r="BD832" s="415"/>
      <c r="BE832" s="415"/>
      <c r="BF832" s="415"/>
      <c r="BG832" s="415"/>
      <c r="BH832" s="415"/>
      <c r="BI832" s="415"/>
      <c r="BJ832" s="415"/>
      <c r="BK832" s="415"/>
      <c r="BL832" s="415"/>
      <c r="BM832" s="415"/>
      <c r="BN832" s="415"/>
      <c r="BO832" s="415"/>
      <c r="BP832" s="415"/>
      <c r="BQ832" s="415"/>
      <c r="BR832" s="415"/>
      <c r="BS832" s="415"/>
      <c r="BT832" s="415"/>
      <c r="BU832" s="415"/>
      <c r="BV832" s="415"/>
      <c r="BW832" s="415"/>
      <c r="BX832" s="415"/>
      <c r="BY832" s="415"/>
      <c r="BZ832" s="415"/>
      <c r="CA832" s="415"/>
      <c r="CB832" s="415"/>
      <c r="CC832" s="415"/>
      <c r="CD832" s="415"/>
      <c r="CE832" s="415"/>
      <c r="CF832" s="415"/>
      <c r="CG832" s="415"/>
      <c r="CH832" s="415"/>
      <c r="CI832" s="415"/>
      <c r="CJ832" s="415"/>
      <c r="CK832" s="415"/>
      <c r="CL832" s="419"/>
      <c r="CM832" s="419"/>
      <c r="CN832" s="419"/>
      <c r="CO832" s="419"/>
      <c r="CP832" s="419"/>
      <c r="CQ832" s="419"/>
      <c r="CR832" s="419"/>
      <c r="CS832" s="419"/>
      <c r="CT832" s="419"/>
      <c r="CU832" s="415"/>
      <c r="CV832" s="415"/>
      <c r="CW832" s="415"/>
      <c r="CX832" s="415">
        <f t="shared" ref="CX832:DH832" ca="1" si="80">SUM(CX827:CX831)</f>
        <v>7765.7847619047607</v>
      </c>
      <c r="CY832" s="415">
        <f t="shared" ca="1" si="80"/>
        <v>7982.1311904761897</v>
      </c>
      <c r="CZ832" s="415">
        <f t="shared" ca="1" si="80"/>
        <v>7913.5758333333306</v>
      </c>
      <c r="DA832" s="415">
        <f t="shared" ca="1" si="80"/>
        <v>8071.498690476189</v>
      </c>
      <c r="DB832" s="415">
        <f t="shared" ca="1" si="80"/>
        <v>7982.8879761904745</v>
      </c>
      <c r="DC832" s="415">
        <f t="shared" ca="1" si="80"/>
        <v>7996.8151190476183</v>
      </c>
      <c r="DD832" s="415">
        <f t="shared" ca="1" si="80"/>
        <v>8126.6069047619039</v>
      </c>
      <c r="DE832" s="415">
        <f t="shared" ca="1" si="80"/>
        <v>8183.5126190476185</v>
      </c>
      <c r="DF832" s="415">
        <f t="shared" ca="1" si="80"/>
        <v>8198.1570238095228</v>
      </c>
      <c r="DG832" s="415">
        <f t="shared" ca="1" si="80"/>
        <v>8122.8377380952379</v>
      </c>
      <c r="DH832" s="415">
        <f t="shared" ca="1" si="80"/>
        <v>8035.1809523809516</v>
      </c>
      <c r="DI832" s="415"/>
      <c r="DJ832" s="415"/>
      <c r="DK832" s="415"/>
      <c r="DL832" s="415"/>
      <c r="DM832" s="415"/>
      <c r="DN832" s="415"/>
      <c r="DO832" s="415"/>
      <c r="DP832" s="415"/>
      <c r="DQ832" s="415"/>
      <c r="DR832" s="415"/>
      <c r="DS832" s="415"/>
      <c r="DT832" s="415"/>
      <c r="DU832" s="415"/>
      <c r="DV832" s="415"/>
      <c r="DW832" s="415"/>
      <c r="DX832" s="415"/>
      <c r="DY832" s="415"/>
      <c r="DZ832" s="415"/>
      <c r="EA832" s="415"/>
      <c r="EB832" s="415"/>
      <c r="EC832" s="415"/>
      <c r="ED832" s="415"/>
      <c r="EE832" s="415"/>
      <c r="EF832" s="415"/>
      <c r="EG832" s="415"/>
      <c r="EH832" s="415"/>
      <c r="EI832" s="415"/>
    </row>
    <row r="833" spans="1:139" ht="15.75" x14ac:dyDescent="0.3">
      <c r="A833" s="87"/>
      <c r="B833" s="406" t="s">
        <v>1369</v>
      </c>
      <c r="C833" s="406"/>
      <c r="D833" s="406"/>
      <c r="E833" s="409" t="s">
        <v>1361</v>
      </c>
      <c r="F833" s="410" t="s">
        <v>1361</v>
      </c>
      <c r="G833" s="411" t="s">
        <v>1361</v>
      </c>
      <c r="H833" s="188"/>
      <c r="I833" s="84" t="s">
        <v>1386</v>
      </c>
      <c r="J833" s="84"/>
      <c r="K833" s="84"/>
      <c r="L833" s="84"/>
      <c r="M833" s="84"/>
      <c r="N833" s="84"/>
      <c r="O833" s="84"/>
      <c r="P833" s="84"/>
      <c r="Q833" s="84"/>
      <c r="R833" s="84"/>
      <c r="S833" s="84"/>
      <c r="T833" s="84"/>
      <c r="U833" s="84"/>
      <c r="V833" s="84"/>
      <c r="W833" s="84"/>
      <c r="X833" s="84"/>
      <c r="Y833" s="87"/>
      <c r="Z833" s="87"/>
      <c r="AA833" s="87"/>
      <c r="AB833" s="87"/>
      <c r="AC833" s="87"/>
      <c r="AD833" s="87"/>
      <c r="AE833" s="87"/>
      <c r="AF833" s="87"/>
      <c r="AG833" s="87"/>
      <c r="AH833" s="87"/>
      <c r="AI833" s="87"/>
      <c r="AJ833" s="87"/>
      <c r="AK833" s="87"/>
      <c r="AL833" s="87"/>
      <c r="AM833" s="87"/>
      <c r="AN833" s="87"/>
      <c r="AO833" s="87"/>
      <c r="AP833" s="87"/>
      <c r="AQ833" s="87"/>
      <c r="AR833" s="87"/>
      <c r="AS833" s="87"/>
      <c r="AT833" s="87"/>
      <c r="AU833" s="87"/>
      <c r="AV833" s="87"/>
      <c r="AW833" s="87"/>
      <c r="AX833" s="87"/>
      <c r="AY833" s="87"/>
      <c r="AZ833" s="87"/>
      <c r="BA833" s="87"/>
      <c r="BB833" s="87"/>
      <c r="BC833" s="87"/>
      <c r="BD833" s="87"/>
      <c r="BE833" s="87"/>
      <c r="BF833" s="87"/>
      <c r="BG833" s="87"/>
      <c r="BH833" s="87"/>
      <c r="BI833" s="87"/>
      <c r="BJ833" s="87"/>
      <c r="BK833" s="87"/>
      <c r="BL833" s="87"/>
      <c r="BM833" s="87"/>
      <c r="BN833" s="87">
        <f>35*45</f>
        <v>1575</v>
      </c>
      <c r="BO833" s="87"/>
      <c r="BP833" s="87"/>
      <c r="BQ833" s="87"/>
      <c r="BR833" s="87"/>
      <c r="BS833" s="87"/>
      <c r="BT833" s="87"/>
      <c r="BU833" s="87"/>
      <c r="BV833" s="87"/>
      <c r="BW833" s="87"/>
      <c r="BX833" s="87"/>
      <c r="BY833" s="87"/>
      <c r="BZ833" s="87"/>
      <c r="CA833" s="87"/>
      <c r="CB833" s="87"/>
      <c r="CC833" s="87"/>
      <c r="CD833" s="87"/>
      <c r="CE833" s="87"/>
      <c r="CF833" s="87"/>
      <c r="CG833" s="87"/>
      <c r="CH833" s="87"/>
      <c r="CI833" s="87"/>
      <c r="CJ833" s="87"/>
      <c r="CK833" s="87"/>
      <c r="CL833" s="87"/>
      <c r="CM833" s="87"/>
      <c r="CN833" s="87"/>
      <c r="CO833" s="87"/>
      <c r="CP833" s="87"/>
      <c r="CQ833" s="87"/>
      <c r="CR833" s="87"/>
      <c r="CS833" s="87"/>
      <c r="CT833" s="87"/>
      <c r="CU833" s="87"/>
      <c r="CV833" s="87"/>
      <c r="CW833" s="87"/>
      <c r="CX833" s="87"/>
      <c r="CY833" s="87"/>
      <c r="CZ833" s="87"/>
      <c r="DA833" s="87"/>
      <c r="DB833" s="87"/>
      <c r="DC833" s="87"/>
      <c r="DD833" s="87"/>
      <c r="DE833" s="87"/>
      <c r="DF833" s="87"/>
      <c r="DG833" s="87"/>
      <c r="DH833" s="87"/>
      <c r="DI833" s="87"/>
      <c r="DJ833" s="87"/>
      <c r="DK833" s="87"/>
      <c r="DL833" s="87"/>
      <c r="DM833" s="87"/>
      <c r="DN833" s="87"/>
      <c r="DO833" s="87"/>
      <c r="DP833" s="87"/>
      <c r="DQ833" s="87"/>
      <c r="DR833" s="87"/>
      <c r="DS833" s="87"/>
      <c r="DT833" s="87"/>
      <c r="DU833" s="87"/>
      <c r="DV833" s="87"/>
      <c r="DW833" s="87"/>
      <c r="DX833" s="87"/>
      <c r="DY833" s="87"/>
      <c r="DZ833" s="87"/>
      <c r="EA833" s="87"/>
      <c r="EB833" s="87"/>
      <c r="EC833" s="87"/>
      <c r="ED833" s="87"/>
      <c r="EE833" s="87"/>
      <c r="EF833" s="87"/>
      <c r="EG833" s="87"/>
      <c r="EH833" s="87"/>
      <c r="EI833" s="87"/>
    </row>
    <row r="834" spans="1:139" ht="15.75" x14ac:dyDescent="0.3">
      <c r="A834" s="87"/>
      <c r="B834" s="406" t="s">
        <v>1369</v>
      </c>
      <c r="C834" s="406"/>
      <c r="D834" s="406"/>
      <c r="E834" s="409" t="s">
        <v>1361</v>
      </c>
      <c r="F834" s="410" t="s">
        <v>1361</v>
      </c>
      <c r="G834" s="411" t="s">
        <v>1361</v>
      </c>
      <c r="H834" s="188">
        <v>1</v>
      </c>
      <c r="I834" s="84">
        <v>1</v>
      </c>
      <c r="J834" s="84"/>
      <c r="K834" s="84"/>
      <c r="L834" s="84"/>
      <c r="M834" s="84"/>
      <c r="N834" s="84"/>
      <c r="O834" s="84"/>
      <c r="P834" s="84"/>
      <c r="Q834" s="84"/>
      <c r="R834" s="84"/>
      <c r="S834" s="84"/>
      <c r="T834" s="84"/>
      <c r="U834" s="84"/>
      <c r="V834" s="84"/>
      <c r="W834" s="84"/>
      <c r="X834" s="84"/>
      <c r="Y834" s="87"/>
      <c r="Z834" s="87"/>
      <c r="AA834" s="87"/>
      <c r="AB834" s="87"/>
      <c r="AC834" s="87"/>
      <c r="AD834" s="87"/>
      <c r="AE834" s="87"/>
      <c r="AF834" s="87"/>
      <c r="AG834" s="87"/>
      <c r="AH834" s="87"/>
      <c r="AI834" s="87"/>
      <c r="AJ834" s="87"/>
      <c r="AK834" s="87"/>
      <c r="AL834" s="87"/>
      <c r="AM834" s="87"/>
      <c r="AN834" s="87"/>
      <c r="AO834" s="87"/>
      <c r="AP834" s="87"/>
      <c r="AQ834" s="87"/>
      <c r="AR834" s="87"/>
      <c r="AS834" s="87"/>
      <c r="AT834" s="87"/>
      <c r="AU834" s="87"/>
      <c r="AV834" s="87"/>
      <c r="AW834" s="87"/>
      <c r="AX834" s="87"/>
      <c r="AY834" s="87"/>
      <c r="AZ834" s="87"/>
      <c r="BA834" s="87"/>
      <c r="BB834" s="87"/>
      <c r="BC834" s="87"/>
      <c r="BD834" s="87"/>
      <c r="BE834" s="87"/>
      <c r="BF834" s="87"/>
      <c r="BG834" s="87"/>
      <c r="BH834" s="87"/>
      <c r="BI834" s="87"/>
      <c r="BJ834" s="87"/>
      <c r="BK834" s="87"/>
      <c r="BL834" s="87"/>
      <c r="BM834" s="87"/>
      <c r="BN834" s="87"/>
      <c r="BO834" s="87"/>
      <c r="BP834" s="87"/>
      <c r="BQ834" s="87"/>
      <c r="BR834" s="87"/>
      <c r="BS834" s="87"/>
      <c r="BT834" s="87"/>
      <c r="BU834" s="87"/>
      <c r="BV834" s="87"/>
      <c r="BW834" s="87"/>
      <c r="BX834" s="87"/>
      <c r="BY834" s="87"/>
      <c r="BZ834" s="87"/>
      <c r="CA834" s="87">
        <v>-19</v>
      </c>
      <c r="CB834" s="87"/>
      <c r="CC834" s="87"/>
      <c r="CD834" s="87">
        <v>0</v>
      </c>
      <c r="CE834" s="87"/>
      <c r="CF834" s="87"/>
      <c r="CG834" s="87"/>
      <c r="CH834" s="87"/>
      <c r="CI834" s="87"/>
      <c r="CJ834" s="87"/>
      <c r="CK834" s="87"/>
      <c r="CL834" s="87"/>
      <c r="CM834" s="87"/>
      <c r="CN834" s="87">
        <v>-12</v>
      </c>
      <c r="CO834" s="87">
        <v>-3</v>
      </c>
      <c r="CP834" s="87">
        <v>-2</v>
      </c>
      <c r="CQ834" s="87">
        <v>17</v>
      </c>
      <c r="CR834" s="87">
        <v>-17</v>
      </c>
      <c r="CS834" s="87">
        <v>20</v>
      </c>
      <c r="CT834" s="87">
        <v>2</v>
      </c>
      <c r="CU834" s="87"/>
      <c r="CV834" s="87"/>
      <c r="CW834" s="87">
        <v>-15</v>
      </c>
      <c r="CX834" s="87">
        <v>-8</v>
      </c>
      <c r="CY834" s="87">
        <v>7</v>
      </c>
      <c r="CZ834" s="87">
        <v>-20</v>
      </c>
      <c r="DA834" s="87">
        <v>-10</v>
      </c>
      <c r="DB834" s="87">
        <v>0</v>
      </c>
      <c r="DC834" s="87">
        <v>25</v>
      </c>
      <c r="DD834" s="87">
        <v>-10</v>
      </c>
      <c r="DE834" s="87"/>
      <c r="DF834" s="87"/>
      <c r="DG834" s="87">
        <v>-10</v>
      </c>
      <c r="DH834" s="87">
        <v>-10</v>
      </c>
      <c r="DI834" s="87">
        <v>-10</v>
      </c>
      <c r="DJ834" s="87"/>
      <c r="DK834" s="87">
        <v>-10</v>
      </c>
      <c r="DL834" s="87"/>
      <c r="DM834" s="87"/>
      <c r="DN834" s="87"/>
      <c r="DO834" s="87"/>
      <c r="DP834" s="87">
        <v>5</v>
      </c>
      <c r="DQ834" s="87">
        <v>15</v>
      </c>
      <c r="DR834" s="87">
        <v>10</v>
      </c>
      <c r="DS834" s="87">
        <v>5</v>
      </c>
      <c r="DT834" s="87"/>
      <c r="DU834" s="87"/>
      <c r="DV834" s="87"/>
      <c r="DW834" s="87"/>
      <c r="DX834" s="87"/>
      <c r="DY834" s="87"/>
      <c r="DZ834" s="87"/>
      <c r="EA834" s="87"/>
      <c r="EB834" s="87"/>
      <c r="EC834" s="87"/>
      <c r="ED834" s="87"/>
      <c r="EE834" s="87"/>
      <c r="EF834" s="87"/>
      <c r="EG834" s="87"/>
      <c r="EH834" s="87"/>
      <c r="EI834" s="87"/>
    </row>
    <row r="835" spans="1:139" ht="15.75" x14ac:dyDescent="0.3">
      <c r="A835" s="87"/>
      <c r="B835" s="406" t="s">
        <v>1369</v>
      </c>
      <c r="C835" s="406"/>
      <c r="D835" s="406"/>
      <c r="E835" s="409" t="s">
        <v>1361</v>
      </c>
      <c r="F835" s="410" t="s">
        <v>1361</v>
      </c>
      <c r="G835" s="411" t="s">
        <v>1361</v>
      </c>
      <c r="H835" s="188">
        <v>2</v>
      </c>
      <c r="I835" s="422">
        <v>2</v>
      </c>
      <c r="J835" s="84"/>
      <c r="K835" s="84"/>
      <c r="L835" s="84"/>
      <c r="M835" s="84"/>
      <c r="N835" s="84"/>
      <c r="O835" s="84"/>
      <c r="P835" s="84"/>
      <c r="Q835" s="84"/>
      <c r="R835" s="84"/>
      <c r="S835" s="84"/>
      <c r="T835" s="84"/>
      <c r="U835" s="84"/>
      <c r="V835" s="84"/>
      <c r="W835" s="84"/>
      <c r="X835" s="84"/>
      <c r="Y835" s="423"/>
      <c r="Z835" s="423"/>
      <c r="AA835" s="423"/>
      <c r="AB835" s="423"/>
      <c r="AC835" s="423"/>
      <c r="AD835" s="423"/>
      <c r="AE835" s="423"/>
      <c r="AF835" s="423"/>
      <c r="AG835" s="423"/>
      <c r="AH835" s="423"/>
      <c r="AI835" s="423"/>
      <c r="AJ835" s="423"/>
      <c r="AK835" s="423"/>
      <c r="AL835" s="423"/>
      <c r="AM835" s="423"/>
      <c r="AN835" s="423"/>
      <c r="AO835" s="423"/>
      <c r="AP835" s="423"/>
      <c r="AQ835" s="423"/>
      <c r="AR835" s="423"/>
      <c r="AS835" s="423"/>
      <c r="AT835" s="423"/>
      <c r="AU835" s="423"/>
      <c r="AV835" s="423"/>
      <c r="AW835" s="423"/>
      <c r="AX835" s="423"/>
      <c r="AY835" s="423"/>
      <c r="AZ835" s="423"/>
      <c r="BA835" s="423"/>
      <c r="BB835" s="423"/>
      <c r="BC835" s="423"/>
      <c r="BD835" s="423"/>
      <c r="BE835" s="423"/>
      <c r="BF835" s="423"/>
      <c r="BG835" s="423"/>
      <c r="BH835" s="423"/>
      <c r="BI835" s="423"/>
      <c r="BJ835" s="423"/>
      <c r="BK835" s="423"/>
      <c r="BL835" s="423"/>
      <c r="BM835" s="423"/>
      <c r="BN835" s="423"/>
      <c r="BO835" s="423"/>
      <c r="BP835" s="423"/>
      <c r="BQ835" s="423"/>
      <c r="BR835" s="424"/>
      <c r="BS835" s="423"/>
      <c r="BT835" s="423"/>
      <c r="BU835" s="423"/>
      <c r="BV835" s="423"/>
      <c r="BW835" s="423"/>
      <c r="BX835" s="423"/>
      <c r="BY835" s="423"/>
      <c r="BZ835" s="423"/>
      <c r="CA835" s="423"/>
      <c r="CB835" s="423"/>
      <c r="CC835" s="423">
        <v>-40</v>
      </c>
      <c r="CD835" s="423">
        <v>-20</v>
      </c>
      <c r="CE835" s="423">
        <v>-30</v>
      </c>
      <c r="CF835" s="423">
        <v>10</v>
      </c>
      <c r="CG835" s="423">
        <v>15</v>
      </c>
      <c r="CH835" s="423">
        <v>-10</v>
      </c>
      <c r="CI835" s="423"/>
      <c r="CJ835" s="423">
        <v>35</v>
      </c>
      <c r="CK835" s="423">
        <v>-35</v>
      </c>
      <c r="CL835" s="423"/>
      <c r="CM835" s="423">
        <v>10</v>
      </c>
      <c r="CN835" s="423">
        <v>0</v>
      </c>
      <c r="CO835" s="423">
        <v>0</v>
      </c>
      <c r="CP835" s="423">
        <v>-23</v>
      </c>
      <c r="CQ835" s="423">
        <v>0</v>
      </c>
      <c r="CR835" s="423"/>
      <c r="CS835" s="423">
        <v>62</v>
      </c>
      <c r="CT835" s="423">
        <v>-27</v>
      </c>
      <c r="CU835" s="423">
        <v>-15</v>
      </c>
      <c r="CV835" s="423">
        <v>4</v>
      </c>
      <c r="CW835" s="87">
        <v>29</v>
      </c>
      <c r="CX835" s="87">
        <v>-30</v>
      </c>
      <c r="CY835" s="87">
        <v>6</v>
      </c>
      <c r="CZ835" s="87"/>
      <c r="DA835" s="87"/>
      <c r="DB835" s="87">
        <v>-40</v>
      </c>
      <c r="DC835" s="87"/>
      <c r="DD835" s="87">
        <v>-37</v>
      </c>
      <c r="DE835" s="87"/>
      <c r="DF835" s="87">
        <v>-45</v>
      </c>
      <c r="DG835" s="87">
        <v>-40</v>
      </c>
      <c r="DH835" s="87"/>
      <c r="DI835" s="87">
        <v>20</v>
      </c>
      <c r="DJ835" s="87"/>
      <c r="DK835" s="87"/>
      <c r="DL835" s="87"/>
      <c r="DM835" s="87">
        <v>-20</v>
      </c>
      <c r="DN835" s="87"/>
      <c r="DO835" s="87"/>
      <c r="DP835" s="87"/>
      <c r="DQ835" s="87">
        <v>60</v>
      </c>
      <c r="DR835" s="87">
        <v>20</v>
      </c>
      <c r="DS835" s="87">
        <v>30</v>
      </c>
      <c r="DT835" s="87">
        <v>30</v>
      </c>
      <c r="DU835" s="87"/>
      <c r="DV835" s="87"/>
      <c r="DW835" s="87"/>
      <c r="DX835" s="87"/>
      <c r="DY835" s="87"/>
      <c r="DZ835" s="87"/>
      <c r="EA835" s="87"/>
      <c r="EB835" s="87"/>
      <c r="EC835" s="87"/>
      <c r="ED835" s="87"/>
      <c r="EE835" s="87"/>
      <c r="EF835" s="87"/>
      <c r="EG835" s="87"/>
      <c r="EH835" s="87"/>
      <c r="EI835" s="87"/>
    </row>
    <row r="836" spans="1:139" ht="15.75" x14ac:dyDescent="0.3">
      <c r="A836" s="87"/>
      <c r="B836" s="406" t="s">
        <v>1369</v>
      </c>
      <c r="C836" s="406"/>
      <c r="D836" s="406"/>
      <c r="E836" s="409" t="s">
        <v>1361</v>
      </c>
      <c r="F836" s="410" t="s">
        <v>1361</v>
      </c>
      <c r="G836" s="411" t="s">
        <v>1361</v>
      </c>
      <c r="H836" s="188">
        <v>3</v>
      </c>
      <c r="I836" s="422">
        <v>3</v>
      </c>
      <c r="J836" s="84"/>
      <c r="K836" s="84"/>
      <c r="L836" s="84"/>
      <c r="M836" s="84"/>
      <c r="N836" s="84"/>
      <c r="O836" s="84"/>
      <c r="P836" s="84"/>
      <c r="Q836" s="84"/>
      <c r="R836" s="84"/>
      <c r="S836" s="84"/>
      <c r="T836" s="84"/>
      <c r="U836" s="84"/>
      <c r="V836" s="84"/>
      <c r="W836" s="84"/>
      <c r="X836" s="84"/>
      <c r="Y836" s="87"/>
      <c r="Z836" s="87"/>
      <c r="AA836" s="87"/>
      <c r="AB836" s="87"/>
      <c r="AC836" s="87"/>
      <c r="AD836" s="87"/>
      <c r="AE836" s="87"/>
      <c r="AF836" s="87"/>
      <c r="AG836" s="87"/>
      <c r="AH836" s="87"/>
      <c r="AI836" s="87"/>
      <c r="AJ836" s="87"/>
      <c r="AK836" s="87"/>
      <c r="AL836" s="87"/>
      <c r="AM836" s="87"/>
      <c r="AN836" s="87"/>
      <c r="AO836" s="87"/>
      <c r="AP836" s="87"/>
      <c r="AQ836" s="87"/>
      <c r="AR836" s="87"/>
      <c r="AS836" s="87"/>
      <c r="AT836" s="87"/>
      <c r="AU836" s="87"/>
      <c r="AV836" s="87"/>
      <c r="AW836" s="87"/>
      <c r="AX836" s="87"/>
      <c r="AY836" s="87"/>
      <c r="AZ836" s="87"/>
      <c r="BA836" s="87"/>
      <c r="BB836" s="87"/>
      <c r="BC836" s="87"/>
      <c r="BD836" s="87"/>
      <c r="BE836" s="87"/>
      <c r="BF836" s="87"/>
      <c r="BG836" s="87"/>
      <c r="BH836" s="87"/>
      <c r="BI836" s="87"/>
      <c r="BJ836" s="87"/>
      <c r="BK836" s="87"/>
      <c r="BL836" s="87"/>
      <c r="BM836" s="87"/>
      <c r="BN836" s="87"/>
      <c r="BO836" s="87"/>
      <c r="BP836" s="87"/>
      <c r="BQ836" s="87"/>
      <c r="BR836" s="87"/>
      <c r="BS836" s="87"/>
      <c r="BT836" s="87"/>
      <c r="BU836" s="87"/>
      <c r="BV836" s="87"/>
      <c r="BW836" s="87"/>
      <c r="BX836" s="87"/>
      <c r="BY836" s="87"/>
      <c r="BZ836" s="87"/>
      <c r="CA836" s="87"/>
      <c r="CB836" s="87">
        <v>40</v>
      </c>
      <c r="CC836" s="87"/>
      <c r="CD836" s="87"/>
      <c r="CE836" s="87">
        <v>-80</v>
      </c>
      <c r="CF836" s="87">
        <v>0</v>
      </c>
      <c r="CG836" s="87">
        <v>0</v>
      </c>
      <c r="CH836" s="87"/>
      <c r="CI836" s="87">
        <v>40</v>
      </c>
      <c r="CJ836" s="87">
        <v>70</v>
      </c>
      <c r="CK836" s="87">
        <v>50</v>
      </c>
      <c r="CL836" s="87">
        <f>-35+35</f>
        <v>0</v>
      </c>
      <c r="CM836" s="87">
        <v>-50</v>
      </c>
      <c r="CN836" s="87">
        <v>-100</v>
      </c>
      <c r="CO836" s="87">
        <v>0</v>
      </c>
      <c r="CP836" s="87">
        <v>-60</v>
      </c>
      <c r="CQ836" s="87">
        <v>-50</v>
      </c>
      <c r="CR836" s="87">
        <v>20</v>
      </c>
      <c r="CS836" s="87">
        <v>-48</v>
      </c>
      <c r="CT836" s="87"/>
      <c r="CU836" s="87"/>
      <c r="CV836" s="87">
        <v>-40</v>
      </c>
      <c r="CW836" s="87"/>
      <c r="CX836" s="87">
        <v>13</v>
      </c>
      <c r="CY836" s="87">
        <v>45</v>
      </c>
      <c r="CZ836" s="87"/>
      <c r="DA836" s="87"/>
      <c r="DB836" s="87"/>
      <c r="DC836" s="87">
        <v>-20</v>
      </c>
      <c r="DD836" s="87">
        <v>-30</v>
      </c>
      <c r="DE836" s="87"/>
      <c r="DF836" s="87"/>
      <c r="DG836" s="87"/>
      <c r="DH836" s="87"/>
      <c r="DI836" s="87"/>
      <c r="DJ836" s="87">
        <v>-30</v>
      </c>
      <c r="DK836" s="87"/>
      <c r="DL836" s="87">
        <v>-4</v>
      </c>
      <c r="DM836" s="87">
        <v>6</v>
      </c>
      <c r="DN836" s="87">
        <v>-2</v>
      </c>
      <c r="DO836" s="87">
        <v>5</v>
      </c>
      <c r="DP836" s="87">
        <v>-6</v>
      </c>
      <c r="DQ836" s="87">
        <v>20</v>
      </c>
      <c r="DR836" s="87">
        <v>65</v>
      </c>
      <c r="DS836" s="87">
        <v>25</v>
      </c>
      <c r="DT836" s="87">
        <v>15</v>
      </c>
      <c r="DU836" s="87"/>
      <c r="DV836" s="87"/>
      <c r="DW836" s="87"/>
      <c r="DX836" s="87"/>
      <c r="DY836" s="87"/>
      <c r="DZ836" s="87"/>
      <c r="EA836" s="87"/>
      <c r="EB836" s="87"/>
      <c r="EC836" s="87"/>
      <c r="ED836" s="87"/>
      <c r="EE836" s="87"/>
      <c r="EF836" s="87"/>
      <c r="EG836" s="87"/>
      <c r="EH836" s="87"/>
      <c r="EI836" s="87"/>
    </row>
    <row r="837" spans="1:139" ht="15.75" x14ac:dyDescent="0.3">
      <c r="A837" s="87"/>
      <c r="B837" s="406" t="s">
        <v>1369</v>
      </c>
      <c r="C837" s="406"/>
      <c r="D837" s="406"/>
      <c r="E837" s="409" t="s">
        <v>1361</v>
      </c>
      <c r="F837" s="410" t="s">
        <v>1361</v>
      </c>
      <c r="G837" s="411" t="s">
        <v>1361</v>
      </c>
      <c r="H837" s="188">
        <v>4</v>
      </c>
      <c r="I837" s="422">
        <v>4</v>
      </c>
      <c r="J837" s="84"/>
      <c r="K837" s="84"/>
      <c r="L837" s="84"/>
      <c r="M837" s="84"/>
      <c r="N837" s="84"/>
      <c r="O837" s="84"/>
      <c r="P837" s="84"/>
      <c r="Q837" s="84"/>
      <c r="R837" s="84"/>
      <c r="S837" s="84"/>
      <c r="T837" s="84"/>
      <c r="U837" s="84"/>
      <c r="V837" s="84"/>
      <c r="W837" s="84"/>
      <c r="X837" s="84"/>
      <c r="Y837" s="87"/>
      <c r="Z837" s="87"/>
      <c r="AA837" s="87"/>
      <c r="AB837" s="87"/>
      <c r="AC837" s="87"/>
      <c r="AD837" s="87"/>
      <c r="AE837" s="87"/>
      <c r="AF837" s="87"/>
      <c r="AG837" s="87"/>
      <c r="AH837" s="87"/>
      <c r="AI837" s="87"/>
      <c r="AJ837" s="87"/>
      <c r="AK837" s="87"/>
      <c r="AL837" s="87"/>
      <c r="AM837" s="87"/>
      <c r="AN837" s="87"/>
      <c r="AO837" s="87"/>
      <c r="AP837" s="87"/>
      <c r="AQ837" s="87"/>
      <c r="AR837" s="87"/>
      <c r="AS837" s="87"/>
      <c r="AT837" s="87"/>
      <c r="AU837" s="87"/>
      <c r="AV837" s="87"/>
      <c r="AW837" s="87"/>
      <c r="AX837" s="87"/>
      <c r="AY837" s="87"/>
      <c r="AZ837" s="87"/>
      <c r="BA837" s="87"/>
      <c r="BB837" s="87"/>
      <c r="BC837" s="87"/>
      <c r="BD837" s="87"/>
      <c r="BE837" s="87"/>
      <c r="BF837" s="87"/>
      <c r="BG837" s="87"/>
      <c r="BH837" s="87"/>
      <c r="BI837" s="87"/>
      <c r="BJ837" s="87"/>
      <c r="BK837" s="87"/>
      <c r="BL837" s="87"/>
      <c r="BM837" s="87"/>
      <c r="BN837" s="87"/>
      <c r="BO837" s="87"/>
      <c r="BP837" s="87"/>
      <c r="BQ837" s="87"/>
      <c r="BR837" s="87"/>
      <c r="BS837" s="87"/>
      <c r="BT837" s="87"/>
      <c r="BU837" s="87"/>
      <c r="BV837" s="87"/>
      <c r="BW837" s="87"/>
      <c r="BX837" s="87"/>
      <c r="BY837" s="87"/>
      <c r="BZ837" s="87"/>
      <c r="CA837" s="87"/>
      <c r="CB837" s="87"/>
      <c r="CC837" s="87"/>
      <c r="CD837" s="87"/>
      <c r="CE837" s="87"/>
      <c r="CF837" s="87"/>
      <c r="CG837" s="87"/>
      <c r="CH837" s="87"/>
      <c r="CI837" s="87"/>
      <c r="CJ837" s="87"/>
      <c r="CK837" s="87"/>
      <c r="CL837" s="87">
        <v>-2</v>
      </c>
      <c r="CM837" s="87"/>
      <c r="CN837" s="87">
        <v>2</v>
      </c>
      <c r="CO837" s="87">
        <v>0</v>
      </c>
      <c r="CP837" s="87"/>
      <c r="CQ837" s="87">
        <v>-25</v>
      </c>
      <c r="CR837" s="87">
        <v>-11</v>
      </c>
      <c r="CS837" s="87">
        <v>6</v>
      </c>
      <c r="CT837" s="87">
        <v>16</v>
      </c>
      <c r="CU837" s="87">
        <v>15</v>
      </c>
      <c r="CV837" s="87">
        <v>5</v>
      </c>
      <c r="CW837" s="87">
        <v>-11</v>
      </c>
      <c r="CX837" s="87">
        <v>15</v>
      </c>
      <c r="CY837" s="87">
        <v>15</v>
      </c>
      <c r="CZ837" s="87"/>
      <c r="DA837" s="87"/>
      <c r="DB837" s="87"/>
      <c r="DC837" s="87"/>
      <c r="DD837" s="87"/>
      <c r="DE837" s="87"/>
      <c r="DF837" s="87">
        <v>4</v>
      </c>
      <c r="DG837" s="87"/>
      <c r="DH837" s="87">
        <v>6</v>
      </c>
      <c r="DI837" s="87">
        <v>-7</v>
      </c>
      <c r="DJ837" s="87"/>
      <c r="DK837" s="87"/>
      <c r="DL837" s="87"/>
      <c r="DM837" s="87"/>
      <c r="DN837" s="87"/>
      <c r="DO837" s="87"/>
      <c r="DP837" s="87"/>
      <c r="DQ837" s="87">
        <v>-4</v>
      </c>
      <c r="DR837" s="87"/>
      <c r="DS837" s="87"/>
      <c r="DT837" s="87"/>
      <c r="DU837" s="87"/>
      <c r="DV837" s="87"/>
      <c r="DW837" s="87"/>
      <c r="DX837" s="87"/>
      <c r="DY837" s="87"/>
      <c r="DZ837" s="87"/>
      <c r="EA837" s="87"/>
      <c r="EB837" s="87"/>
      <c r="EC837" s="87"/>
      <c r="ED837" s="87"/>
      <c r="EE837" s="87"/>
      <c r="EF837" s="87"/>
      <c r="EG837" s="87"/>
      <c r="EH837" s="87"/>
      <c r="EI837" s="87"/>
    </row>
    <row r="838" spans="1:139" ht="15.75" x14ac:dyDescent="0.3">
      <c r="A838" s="87"/>
      <c r="B838" s="406" t="s">
        <v>1369</v>
      </c>
      <c r="C838" s="406"/>
      <c r="D838" s="406"/>
      <c r="E838" s="409" t="s">
        <v>1361</v>
      </c>
      <c r="F838" s="410" t="s">
        <v>1361</v>
      </c>
      <c r="G838" s="411" t="s">
        <v>1361</v>
      </c>
      <c r="H838" s="188">
        <v>5</v>
      </c>
      <c r="I838" s="422">
        <v>5</v>
      </c>
      <c r="J838" s="84"/>
      <c r="K838" s="84"/>
      <c r="L838" s="84"/>
      <c r="M838" s="84"/>
      <c r="N838" s="84"/>
      <c r="O838" s="84"/>
      <c r="P838" s="84"/>
      <c r="Q838" s="84"/>
      <c r="R838" s="84"/>
      <c r="S838" s="84"/>
      <c r="T838" s="84"/>
      <c r="U838" s="84"/>
      <c r="V838" s="84"/>
      <c r="W838" s="84"/>
      <c r="X838" s="84"/>
      <c r="Y838" s="87"/>
      <c r="Z838" s="87"/>
      <c r="AA838" s="87"/>
      <c r="AB838" s="87"/>
      <c r="AC838" s="87"/>
      <c r="AD838" s="87"/>
      <c r="AE838" s="87"/>
      <c r="AF838" s="87"/>
      <c r="AG838" s="87"/>
      <c r="AH838" s="87"/>
      <c r="AI838" s="87"/>
      <c r="AJ838" s="87"/>
      <c r="AK838" s="87"/>
      <c r="AL838" s="87"/>
      <c r="AM838" s="87"/>
      <c r="AN838" s="87"/>
      <c r="AO838" s="87"/>
      <c r="AP838" s="87"/>
      <c r="AQ838" s="87"/>
      <c r="AR838" s="87"/>
      <c r="AS838" s="87"/>
      <c r="AT838" s="87"/>
      <c r="AU838" s="87"/>
      <c r="AV838" s="87"/>
      <c r="AW838" s="87"/>
      <c r="AX838" s="87"/>
      <c r="AY838" s="87"/>
      <c r="AZ838" s="87"/>
      <c r="BA838" s="87"/>
      <c r="BB838" s="87"/>
      <c r="BC838" s="87"/>
      <c r="BD838" s="87"/>
      <c r="BE838" s="87"/>
      <c r="BF838" s="87"/>
      <c r="BG838" s="87"/>
      <c r="BH838" s="87"/>
      <c r="BI838" s="87"/>
      <c r="BJ838" s="87"/>
      <c r="BK838" s="87"/>
      <c r="BL838" s="87"/>
      <c r="BM838" s="87"/>
      <c r="BN838" s="87"/>
      <c r="BO838" s="87"/>
      <c r="BP838" s="87"/>
      <c r="BQ838" s="87"/>
      <c r="BR838" s="87"/>
      <c r="BS838" s="87"/>
      <c r="BT838" s="87"/>
      <c r="BU838" s="87"/>
      <c r="BV838" s="87"/>
      <c r="BW838" s="87"/>
      <c r="BX838" s="87"/>
      <c r="BY838" s="87"/>
      <c r="BZ838" s="87">
        <v>30</v>
      </c>
      <c r="CA838" s="87">
        <v>-50</v>
      </c>
      <c r="CB838" s="87">
        <v>20</v>
      </c>
      <c r="CC838" s="87">
        <v>-45</v>
      </c>
      <c r="CD838" s="87">
        <v>-2</v>
      </c>
      <c r="CE838" s="87">
        <v>10</v>
      </c>
      <c r="CF838" s="87">
        <v>0</v>
      </c>
      <c r="CG838" s="87">
        <v>-50</v>
      </c>
      <c r="CH838" s="87">
        <v>-10</v>
      </c>
      <c r="CI838" s="87"/>
      <c r="CJ838" s="425">
        <v>10</v>
      </c>
      <c r="CK838" s="87">
        <v>0</v>
      </c>
      <c r="CL838" s="87">
        <v>0</v>
      </c>
      <c r="CM838" s="87">
        <v>-30</v>
      </c>
      <c r="CN838" s="87">
        <v>0</v>
      </c>
      <c r="CO838" s="87"/>
      <c r="CP838" s="87">
        <f>-35</f>
        <v>-35</v>
      </c>
      <c r="CQ838" s="87">
        <v>0</v>
      </c>
      <c r="CR838" s="87">
        <v>40</v>
      </c>
      <c r="CS838" s="87">
        <v>9</v>
      </c>
      <c r="CT838" s="87">
        <v>0</v>
      </c>
      <c r="CU838" s="87"/>
      <c r="CV838" s="87"/>
      <c r="CW838" s="87">
        <v>6</v>
      </c>
      <c r="CX838" s="87">
        <v>40</v>
      </c>
      <c r="CY838" s="87"/>
      <c r="CZ838" s="87">
        <v>30</v>
      </c>
      <c r="DA838" s="87"/>
      <c r="DB838" s="87"/>
      <c r="DC838" s="87">
        <v>-50</v>
      </c>
      <c r="DD838" s="87"/>
      <c r="DE838" s="87"/>
      <c r="DF838" s="87"/>
      <c r="DG838" s="87"/>
      <c r="DH838" s="87">
        <v>-15</v>
      </c>
      <c r="DI838" s="87"/>
      <c r="DJ838" s="87"/>
      <c r="DK838" s="87"/>
      <c r="DL838" s="87"/>
      <c r="DM838" s="87">
        <v>5</v>
      </c>
      <c r="DN838" s="87">
        <v>5</v>
      </c>
      <c r="DO838" s="87"/>
      <c r="DP838" s="87"/>
      <c r="DQ838" s="87">
        <v>3</v>
      </c>
      <c r="DR838" s="87"/>
      <c r="DS838" s="87"/>
      <c r="DT838" s="87"/>
      <c r="DU838" s="87"/>
      <c r="DV838" s="87"/>
      <c r="DW838" s="87"/>
      <c r="DX838" s="87"/>
      <c r="DY838" s="87"/>
      <c r="DZ838" s="87"/>
      <c r="EA838" s="87"/>
      <c r="EB838" s="87"/>
      <c r="EC838" s="87"/>
      <c r="ED838" s="87"/>
      <c r="EE838" s="87"/>
      <c r="EF838" s="87"/>
      <c r="EG838" s="87"/>
      <c r="EH838" s="87"/>
      <c r="EI838" s="87"/>
    </row>
    <row r="839" spans="1:139" ht="15.75" x14ac:dyDescent="0.3">
      <c r="A839" s="87"/>
      <c r="B839" s="406" t="s">
        <v>1369</v>
      </c>
      <c r="C839" s="406"/>
      <c r="D839" s="406"/>
      <c r="E839" s="409" t="s">
        <v>1361</v>
      </c>
      <c r="F839" s="410" t="s">
        <v>1361</v>
      </c>
      <c r="G839" s="411" t="s">
        <v>1361</v>
      </c>
      <c r="H839" s="188" t="s">
        <v>1387</v>
      </c>
      <c r="I839" s="422" t="s">
        <v>1388</v>
      </c>
      <c r="J839" s="84"/>
      <c r="K839" s="84"/>
      <c r="L839" s="84"/>
      <c r="M839" s="84"/>
      <c r="N839" s="84"/>
      <c r="O839" s="84"/>
      <c r="P839" s="84"/>
      <c r="Q839" s="84"/>
      <c r="R839" s="84"/>
      <c r="S839" s="84"/>
      <c r="T839" s="84"/>
      <c r="U839" s="84"/>
      <c r="V839" s="84"/>
      <c r="W839" s="84"/>
      <c r="X839" s="84"/>
      <c r="Y839" s="87"/>
      <c r="Z839" s="87"/>
      <c r="AA839" s="87"/>
      <c r="AB839" s="87"/>
      <c r="AC839" s="87"/>
      <c r="AD839" s="87"/>
      <c r="AE839" s="87"/>
      <c r="AF839" s="87"/>
      <c r="AG839" s="87"/>
      <c r="AH839" s="87"/>
      <c r="AI839" s="87"/>
      <c r="AJ839" s="87"/>
      <c r="AK839" s="87"/>
      <c r="AL839" s="87"/>
      <c r="AM839" s="87"/>
      <c r="AN839" s="87"/>
      <c r="AO839" s="87"/>
      <c r="AP839" s="87"/>
      <c r="AQ839" s="87"/>
      <c r="AR839" s="87"/>
      <c r="AS839" s="87"/>
      <c r="AT839" s="87"/>
      <c r="AU839" s="87"/>
      <c r="AV839" s="87"/>
      <c r="AW839" s="87"/>
      <c r="AX839" s="87"/>
      <c r="AY839" s="87"/>
      <c r="AZ839" s="87"/>
      <c r="BA839" s="87"/>
      <c r="BB839" s="87"/>
      <c r="BC839" s="87"/>
      <c r="BD839" s="87"/>
      <c r="BE839" s="87"/>
      <c r="BF839" s="87"/>
      <c r="BG839" s="87"/>
      <c r="BH839" s="87"/>
      <c r="BI839" s="87"/>
      <c r="BJ839" s="87"/>
      <c r="BK839" s="87"/>
      <c r="BL839" s="87"/>
      <c r="BM839" s="87"/>
      <c r="BN839" s="87"/>
      <c r="BO839" s="87"/>
      <c r="BP839" s="87"/>
      <c r="BQ839" s="87"/>
      <c r="BR839" s="87"/>
      <c r="BS839" s="87"/>
      <c r="BT839" s="87"/>
      <c r="BU839" s="87"/>
      <c r="BV839" s="87"/>
      <c r="BW839" s="87"/>
      <c r="BX839" s="87"/>
      <c r="BY839" s="87"/>
      <c r="BZ839" s="87"/>
      <c r="CA839" s="87"/>
      <c r="CB839" s="87"/>
      <c r="CC839" s="87"/>
      <c r="CD839" s="87"/>
      <c r="CE839" s="87"/>
      <c r="CF839" s="87"/>
      <c r="CG839" s="87"/>
      <c r="CH839" s="87"/>
      <c r="CI839" s="87"/>
      <c r="CJ839" s="87">
        <f t="shared" ref="CJ839:CS839" si="81">SUM(CJ834:CJ838)</f>
        <v>115</v>
      </c>
      <c r="CK839" s="87">
        <f t="shared" si="81"/>
        <v>15</v>
      </c>
      <c r="CL839" s="87">
        <f t="shared" si="81"/>
        <v>-2</v>
      </c>
      <c r="CM839" s="87">
        <f t="shared" si="81"/>
        <v>-70</v>
      </c>
      <c r="CN839" s="87">
        <f t="shared" si="81"/>
        <v>-110</v>
      </c>
      <c r="CO839" s="87">
        <f t="shared" si="81"/>
        <v>-3</v>
      </c>
      <c r="CP839" s="87">
        <f t="shared" si="81"/>
        <v>-120</v>
      </c>
      <c r="CQ839" s="87">
        <f t="shared" si="81"/>
        <v>-58</v>
      </c>
      <c r="CR839" s="87">
        <f t="shared" si="81"/>
        <v>32</v>
      </c>
      <c r="CS839" s="87">
        <f t="shared" si="81"/>
        <v>49</v>
      </c>
      <c r="CT839" s="87">
        <v>-44</v>
      </c>
      <c r="CU839" s="87">
        <f>SUM(CU834:CU838)</f>
        <v>0</v>
      </c>
      <c r="CV839" s="87">
        <f>SUM(CV834:CV838)</f>
        <v>-31</v>
      </c>
      <c r="CW839" s="87">
        <f>SUM(CW834:CW838)</f>
        <v>9</v>
      </c>
      <c r="CX839" s="87">
        <v>0</v>
      </c>
      <c r="CY839" s="87">
        <f t="shared" ref="CY839:DH839" si="82">SUM(CY834:CY838)</f>
        <v>73</v>
      </c>
      <c r="CZ839" s="87">
        <f t="shared" si="82"/>
        <v>10</v>
      </c>
      <c r="DA839" s="87">
        <f t="shared" si="82"/>
        <v>-10</v>
      </c>
      <c r="DB839" s="87">
        <f t="shared" si="82"/>
        <v>-40</v>
      </c>
      <c r="DC839" s="87">
        <f t="shared" si="82"/>
        <v>-45</v>
      </c>
      <c r="DD839" s="87">
        <f t="shared" si="82"/>
        <v>-77</v>
      </c>
      <c r="DE839" s="87">
        <f t="shared" si="82"/>
        <v>0</v>
      </c>
      <c r="DF839" s="87">
        <f t="shared" si="82"/>
        <v>-41</v>
      </c>
      <c r="DG839" s="87">
        <f t="shared" si="82"/>
        <v>-50</v>
      </c>
      <c r="DH839" s="87">
        <f t="shared" si="82"/>
        <v>-19</v>
      </c>
      <c r="DI839" s="87"/>
      <c r="DJ839" s="87"/>
      <c r="DK839" s="87"/>
      <c r="DL839" s="87"/>
      <c r="DM839" s="87"/>
      <c r="DN839" s="87"/>
      <c r="DO839" s="87"/>
      <c r="DP839" s="87"/>
      <c r="DQ839" s="87"/>
      <c r="DR839" s="87"/>
      <c r="DS839" s="87"/>
      <c r="DT839" s="87"/>
      <c r="DU839" s="87"/>
      <c r="DV839" s="87"/>
      <c r="DW839" s="87"/>
      <c r="DX839" s="87"/>
      <c r="DY839" s="87"/>
      <c r="DZ839" s="87"/>
      <c r="EA839" s="87"/>
      <c r="EB839" s="87"/>
      <c r="EC839" s="87"/>
      <c r="ED839" s="87"/>
      <c r="EE839" s="87"/>
      <c r="EF839" s="87"/>
      <c r="EG839" s="87"/>
      <c r="EH839" s="87"/>
      <c r="EI839" s="87"/>
    </row>
    <row r="840" spans="1:139" ht="15.75" x14ac:dyDescent="0.3">
      <c r="A840" s="87"/>
      <c r="B840" s="406" t="s">
        <v>1369</v>
      </c>
      <c r="C840" s="406"/>
      <c r="D840" s="406"/>
      <c r="E840" s="409" t="s">
        <v>1361</v>
      </c>
      <c r="F840" s="410" t="s">
        <v>1361</v>
      </c>
      <c r="G840" s="411" t="s">
        <v>1361</v>
      </c>
      <c r="H840" s="188"/>
      <c r="I840" s="422"/>
      <c r="J840" s="84"/>
      <c r="K840" s="84"/>
      <c r="L840" s="84"/>
      <c r="M840" s="84"/>
      <c r="N840" s="84"/>
      <c r="O840" s="84"/>
      <c r="P840" s="84"/>
      <c r="Q840" s="84"/>
      <c r="R840" s="84"/>
      <c r="S840" s="84"/>
      <c r="T840" s="84"/>
      <c r="U840" s="84"/>
      <c r="V840" s="84"/>
      <c r="W840" s="84"/>
      <c r="X840" s="84"/>
      <c r="Y840" s="87"/>
      <c r="Z840" s="87"/>
      <c r="AA840" s="87"/>
      <c r="AB840" s="87"/>
      <c r="AC840" s="87"/>
      <c r="AD840" s="87"/>
      <c r="AE840" s="87"/>
      <c r="AF840" s="87"/>
      <c r="AG840" s="87"/>
      <c r="AH840" s="87"/>
      <c r="AI840" s="87"/>
      <c r="AJ840" s="87"/>
      <c r="AK840" s="87"/>
      <c r="AL840" s="87"/>
      <c r="AM840" s="87"/>
      <c r="AN840" s="87"/>
      <c r="AO840" s="87"/>
      <c r="AP840" s="87"/>
      <c r="AQ840" s="87"/>
      <c r="AR840" s="87"/>
      <c r="AS840" s="87"/>
      <c r="AT840" s="87"/>
      <c r="AU840" s="87"/>
      <c r="AV840" s="87"/>
      <c r="AW840" s="87"/>
      <c r="AX840" s="87"/>
      <c r="AY840" s="87"/>
      <c r="AZ840" s="87"/>
      <c r="BA840" s="87"/>
      <c r="BB840" s="87"/>
      <c r="BC840" s="87"/>
      <c r="BD840" s="87"/>
      <c r="BE840" s="87"/>
      <c r="BF840" s="87"/>
      <c r="BG840" s="87"/>
      <c r="BH840" s="87"/>
      <c r="BI840" s="87"/>
      <c r="BJ840" s="87"/>
      <c r="BK840" s="87"/>
      <c r="BL840" s="87"/>
      <c r="BM840" s="87"/>
      <c r="BN840" s="87"/>
      <c r="BO840" s="87"/>
      <c r="BP840" s="87"/>
      <c r="BQ840" s="87"/>
      <c r="BR840" s="87"/>
      <c r="BS840" s="87"/>
      <c r="BT840" s="87"/>
      <c r="BU840" s="87"/>
      <c r="BV840" s="87"/>
      <c r="BW840" s="87"/>
      <c r="BX840" s="87"/>
      <c r="BY840" s="87"/>
      <c r="BZ840" s="87"/>
      <c r="CA840" s="87"/>
      <c r="CB840" s="87"/>
      <c r="CC840" s="87"/>
      <c r="CD840" s="87"/>
      <c r="CE840" s="87"/>
      <c r="CF840" s="87"/>
      <c r="CG840" s="87"/>
      <c r="CH840" s="87"/>
      <c r="CI840" s="87"/>
      <c r="CJ840" s="87"/>
      <c r="CK840" s="87"/>
      <c r="CL840" s="87"/>
      <c r="CM840" s="87"/>
      <c r="CN840" s="87"/>
      <c r="CO840" s="87"/>
      <c r="CP840" s="87"/>
      <c r="CQ840" s="87"/>
      <c r="CR840" s="87"/>
      <c r="CS840" s="87"/>
      <c r="CT840" s="87"/>
      <c r="CU840" s="87"/>
      <c r="CV840" s="87"/>
      <c r="CW840" s="87"/>
      <c r="CX840" s="87"/>
      <c r="CY840" s="87"/>
      <c r="CZ840" s="87"/>
      <c r="DA840" s="87"/>
      <c r="DB840" s="87"/>
      <c r="DC840" s="87"/>
      <c r="DD840" s="87"/>
      <c r="DE840" s="87"/>
      <c r="DF840" s="87"/>
      <c r="DG840" s="87"/>
      <c r="DH840" s="87"/>
      <c r="DI840" s="87"/>
      <c r="DJ840" s="87"/>
      <c r="DK840" s="87"/>
      <c r="DL840" s="87"/>
      <c r="DM840" s="87"/>
      <c r="DN840" s="87"/>
      <c r="DO840" s="87"/>
      <c r="DP840" s="87"/>
      <c r="DQ840" s="87"/>
      <c r="DR840" s="87"/>
      <c r="DS840" s="87"/>
      <c r="DT840" s="87"/>
      <c r="DU840" s="87"/>
      <c r="DV840" s="87"/>
      <c r="DW840" s="87"/>
      <c r="DX840" s="87"/>
      <c r="DY840" s="87"/>
      <c r="DZ840" s="87"/>
      <c r="EA840" s="87"/>
      <c r="EB840" s="87"/>
      <c r="EC840" s="87"/>
      <c r="ED840" s="87"/>
      <c r="EE840" s="87"/>
      <c r="EF840" s="87"/>
      <c r="EG840" s="87"/>
      <c r="EH840" s="87"/>
      <c r="EI840" s="87"/>
    </row>
    <row r="841" spans="1:139" ht="15.75" x14ac:dyDescent="0.3">
      <c r="A841" s="87"/>
      <c r="B841" s="406" t="s">
        <v>1369</v>
      </c>
      <c r="C841" s="406"/>
      <c r="D841" s="406"/>
      <c r="E841" s="409" t="s">
        <v>1361</v>
      </c>
      <c r="F841" s="410" t="s">
        <v>1361</v>
      </c>
      <c r="G841" s="411" t="s">
        <v>1361</v>
      </c>
      <c r="H841" s="188"/>
      <c r="I841" s="426" t="s">
        <v>1389</v>
      </c>
      <c r="J841" s="84"/>
      <c r="K841" s="84"/>
      <c r="L841" s="84"/>
      <c r="M841" s="84"/>
      <c r="N841" s="84"/>
      <c r="O841" s="84"/>
      <c r="P841" s="84"/>
      <c r="Q841" s="84"/>
      <c r="R841" s="84"/>
      <c r="S841" s="84"/>
      <c r="T841" s="84"/>
      <c r="U841" s="84"/>
      <c r="V841" s="84"/>
      <c r="W841" s="84"/>
      <c r="X841" s="84"/>
      <c r="Y841" s="427"/>
      <c r="Z841" s="427"/>
      <c r="AA841" s="427"/>
      <c r="AB841" s="427"/>
      <c r="AC841" s="427">
        <f>SUM(AC827:AC831)</f>
        <v>8681.5750000000007</v>
      </c>
      <c r="AD841" s="427">
        <f>SUM(AD827:AD831)</f>
        <v>8698.2389285714289</v>
      </c>
      <c r="AE841" s="427">
        <f>SUM(AE827:AE831)</f>
        <v>8738.125</v>
      </c>
      <c r="AF841" s="427">
        <f>SUM(AF827:AF831)</f>
        <v>8681</v>
      </c>
      <c r="AG841" s="427">
        <f>SUM(AG827:AG831)</f>
        <v>8746</v>
      </c>
      <c r="AH841" s="428"/>
      <c r="AI841" s="428"/>
      <c r="AJ841" s="428"/>
      <c r="AK841" s="428"/>
      <c r="AL841" s="428"/>
      <c r="AM841" s="428"/>
      <c r="AN841" s="428"/>
      <c r="AO841" s="428"/>
      <c r="AP841" s="428"/>
      <c r="AQ841" s="428"/>
      <c r="AR841" s="428"/>
      <c r="AS841" s="428"/>
      <c r="AT841" s="428"/>
      <c r="AU841" s="428"/>
      <c r="AV841" s="428"/>
      <c r="AW841" s="428"/>
      <c r="AX841" s="428"/>
      <c r="AY841" s="428"/>
      <c r="AZ841" s="428"/>
      <c r="BA841" s="428"/>
      <c r="BB841" s="428"/>
      <c r="BC841" s="428"/>
      <c r="BD841" s="428"/>
      <c r="BE841" s="428"/>
      <c r="BF841" s="428"/>
      <c r="BG841" s="428"/>
      <c r="BH841" s="428"/>
      <c r="BI841" s="428"/>
      <c r="BJ841" s="428"/>
      <c r="BK841" s="428"/>
      <c r="BL841" s="428"/>
      <c r="BM841" s="428"/>
      <c r="BN841" s="428"/>
      <c r="BO841" s="428"/>
      <c r="BP841" s="428"/>
      <c r="BQ841" s="428"/>
      <c r="BR841" s="428"/>
      <c r="BS841" s="428"/>
      <c r="BT841" s="428"/>
      <c r="BU841" s="428"/>
      <c r="BV841" s="428"/>
      <c r="BW841" s="428"/>
      <c r="BX841" s="428"/>
      <c r="BY841" s="428"/>
      <c r="BZ841" s="428"/>
      <c r="CA841" s="428"/>
      <c r="CB841" s="428"/>
      <c r="CC841" s="428"/>
      <c r="CD841" s="428"/>
      <c r="CE841" s="428"/>
      <c r="CF841" s="428"/>
      <c r="CG841" s="428"/>
      <c r="CH841" s="428"/>
      <c r="CI841" s="428"/>
      <c r="CJ841" s="428"/>
      <c r="CK841" s="428"/>
      <c r="CL841" s="428"/>
      <c r="CM841" s="428"/>
      <c r="CN841" s="428"/>
      <c r="CO841" s="428"/>
      <c r="CP841" s="428"/>
      <c r="CQ841" s="428"/>
      <c r="CR841" s="428"/>
      <c r="CS841" s="428"/>
      <c r="CT841" s="428"/>
      <c r="CU841" s="428"/>
      <c r="CV841" s="428"/>
      <c r="CW841" s="428"/>
      <c r="CX841" s="428"/>
      <c r="CY841" s="428"/>
      <c r="CZ841" s="428"/>
      <c r="DA841" s="428"/>
      <c r="DB841" s="428"/>
      <c r="DC841" s="428"/>
      <c r="DD841" s="428"/>
      <c r="DE841" s="428"/>
      <c r="DF841" s="428"/>
      <c r="DG841" s="428"/>
      <c r="DH841" s="428"/>
      <c r="DI841" s="87"/>
      <c r="DJ841" s="87"/>
      <c r="DK841" s="87"/>
      <c r="DL841" s="87"/>
      <c r="DM841" s="87"/>
      <c r="DN841" s="87"/>
      <c r="DO841" s="87"/>
      <c r="DP841" s="87"/>
      <c r="DQ841" s="87"/>
      <c r="DR841" s="87"/>
      <c r="DS841" s="87"/>
      <c r="DT841" s="87"/>
      <c r="DU841" s="87"/>
      <c r="DV841" s="87"/>
      <c r="DW841" s="87"/>
      <c r="DX841" s="87"/>
      <c r="DY841" s="87"/>
      <c r="DZ841" s="87"/>
      <c r="EA841" s="87"/>
      <c r="EB841" s="87"/>
      <c r="EC841" s="87"/>
      <c r="ED841" s="87"/>
      <c r="EE841" s="87"/>
      <c r="EF841" s="87"/>
      <c r="EG841" s="87"/>
      <c r="EH841" s="87"/>
      <c r="EI841" s="87"/>
    </row>
    <row r="842" spans="1:139" ht="16.5" thickBot="1" x14ac:dyDescent="0.35">
      <c r="A842" s="87"/>
      <c r="B842" s="406" t="s">
        <v>1369</v>
      </c>
      <c r="C842" s="406"/>
      <c r="D842" s="406"/>
      <c r="E842" s="409" t="s">
        <v>1361</v>
      </c>
      <c r="F842" s="410" t="s">
        <v>1361</v>
      </c>
      <c r="G842" s="411" t="s">
        <v>1361</v>
      </c>
      <c r="H842" s="188"/>
      <c r="I842" s="87">
        <v>1</v>
      </c>
      <c r="J842" s="87"/>
      <c r="K842" s="87"/>
      <c r="L842" s="87"/>
      <c r="M842" s="87"/>
      <c r="N842" s="87"/>
      <c r="O842" s="87"/>
      <c r="P842" s="87"/>
      <c r="Q842" s="87"/>
      <c r="R842" s="87"/>
      <c r="S842" s="87"/>
      <c r="T842" s="84"/>
      <c r="U842" s="84"/>
      <c r="V842" s="84"/>
      <c r="W842" s="84"/>
      <c r="X842" s="84"/>
      <c r="Y842" s="87"/>
      <c r="Z842" s="87"/>
      <c r="AA842" s="87"/>
      <c r="AB842" s="87"/>
      <c r="AC842" s="87"/>
      <c r="AD842" s="415">
        <f>AD841-AC841</f>
        <v>16.663928571428187</v>
      </c>
      <c r="AE842" s="415">
        <f>AE841-AD841</f>
        <v>39.886071428571086</v>
      </c>
      <c r="AF842" s="415">
        <f>AF841-AE841</f>
        <v>-57.125</v>
      </c>
      <c r="AG842" s="415">
        <f>AG841-AF841</f>
        <v>65</v>
      </c>
      <c r="AH842" s="87"/>
      <c r="AI842" s="87"/>
      <c r="AJ842" s="87"/>
      <c r="AK842" s="87"/>
      <c r="AL842" s="87"/>
      <c r="AM842" s="87"/>
      <c r="AN842" s="87"/>
      <c r="AO842" s="87"/>
      <c r="AP842" s="87"/>
      <c r="AQ842" s="87"/>
      <c r="AR842" s="87"/>
      <c r="AS842" s="87"/>
      <c r="AT842" s="87"/>
      <c r="AU842" s="87" t="s">
        <v>1390</v>
      </c>
      <c r="AV842" s="87"/>
      <c r="AW842" s="87"/>
      <c r="AX842" s="87"/>
      <c r="AY842" s="87"/>
      <c r="AZ842" s="87"/>
      <c r="BA842" s="87"/>
      <c r="BB842" s="87"/>
      <c r="BC842" s="87"/>
      <c r="BD842" s="87"/>
      <c r="BE842" s="87"/>
      <c r="BF842" s="87"/>
      <c r="BG842" s="87"/>
      <c r="BH842" s="87"/>
      <c r="BI842" s="87"/>
      <c r="BJ842" s="87"/>
      <c r="BK842" s="87"/>
      <c r="BL842" s="87"/>
      <c r="BM842" s="87"/>
      <c r="BN842" s="87"/>
      <c r="BO842" s="87"/>
      <c r="BP842" s="87"/>
      <c r="BQ842" s="87"/>
      <c r="BR842" s="87"/>
      <c r="BS842" s="87"/>
      <c r="BT842" s="87"/>
      <c r="BU842" s="87"/>
      <c r="BV842" s="87"/>
      <c r="BW842" s="87"/>
      <c r="BX842" s="87"/>
      <c r="BY842" s="87"/>
      <c r="BZ842" s="87"/>
      <c r="CA842" s="87"/>
      <c r="CB842" s="87"/>
      <c r="CC842" s="87"/>
      <c r="CD842" s="87"/>
      <c r="CE842" s="87"/>
      <c r="CF842" s="87"/>
      <c r="CG842" s="87"/>
      <c r="CH842" s="87"/>
      <c r="CI842" s="87"/>
      <c r="CJ842" s="415"/>
      <c r="CK842" s="415">
        <f t="shared" ref="CK842:DH842" si="83">CK827-CJ827</f>
        <v>-7.25</v>
      </c>
      <c r="CL842" s="415">
        <f t="shared" si="83"/>
        <v>0.13571428571430033</v>
      </c>
      <c r="CM842" s="415">
        <f t="shared" si="83"/>
        <v>-14.585714285714289</v>
      </c>
      <c r="CN842" s="415">
        <f t="shared" si="83"/>
        <v>-26.448571428571427</v>
      </c>
      <c r="CO842" s="415">
        <f t="shared" ca="1" si="83"/>
        <v>-93.136428571428553</v>
      </c>
      <c r="CP842" s="415">
        <f t="shared" ca="1" si="83"/>
        <v>37.016428571428548</v>
      </c>
      <c r="CQ842" s="415">
        <f t="shared" ca="1" si="83"/>
        <v>23.128571428571433</v>
      </c>
      <c r="CR842" s="415">
        <f t="shared" ca="1" si="83"/>
        <v>-17</v>
      </c>
      <c r="CS842" s="415">
        <f t="shared" ca="1" si="83"/>
        <v>20</v>
      </c>
      <c r="CT842" s="415">
        <f t="shared" ca="1" si="83"/>
        <v>2</v>
      </c>
      <c r="CU842" s="415">
        <f t="shared" ca="1" si="83"/>
        <v>-3.9482142857143003</v>
      </c>
      <c r="CV842" s="415">
        <f t="shared" ca="1" si="83"/>
        <v>60.167500000000018</v>
      </c>
      <c r="CW842" s="415">
        <f t="shared" ca="1" si="83"/>
        <v>38.34571428571428</v>
      </c>
      <c r="CX842" s="415">
        <f t="shared" ca="1" si="83"/>
        <v>-8</v>
      </c>
      <c r="CY842" s="415">
        <f t="shared" ca="1" si="83"/>
        <v>2.8999999999999773</v>
      </c>
      <c r="CZ842" s="415">
        <f t="shared" ca="1" si="83"/>
        <v>-15</v>
      </c>
      <c r="DA842" s="415">
        <f t="shared" ca="1" si="83"/>
        <v>-15.5</v>
      </c>
      <c r="DB842" s="415">
        <f t="shared" ca="1" si="83"/>
        <v>-33</v>
      </c>
      <c r="DC842" s="415">
        <f t="shared" ca="1" si="83"/>
        <v>50.928571428571445</v>
      </c>
      <c r="DD842" s="415">
        <f t="shared" ca="1" si="83"/>
        <v>-40.557142857142878</v>
      </c>
      <c r="DE842" s="415">
        <f t="shared" ca="1" si="83"/>
        <v>11.228571428571399</v>
      </c>
      <c r="DF842" s="415">
        <f t="shared" ca="1" si="83"/>
        <v>31</v>
      </c>
      <c r="DG842" s="415">
        <f t="shared" ca="1" si="83"/>
        <v>-66.225000000000023</v>
      </c>
      <c r="DH842" s="415">
        <f t="shared" ca="1" si="83"/>
        <v>52.699999999999989</v>
      </c>
      <c r="DI842" s="87"/>
      <c r="DJ842" s="87"/>
      <c r="DK842" s="87"/>
      <c r="DL842" s="87"/>
      <c r="DM842" s="87"/>
      <c r="DN842" s="87"/>
      <c r="DO842" s="87"/>
      <c r="DP842" s="87"/>
      <c r="DQ842" s="87"/>
      <c r="DR842" s="87"/>
      <c r="DS842" s="87"/>
      <c r="DT842" s="87"/>
      <c r="DU842" s="87"/>
      <c r="DV842" s="87"/>
      <c r="DW842" s="87"/>
      <c r="DX842" s="87"/>
      <c r="DY842" s="87"/>
      <c r="DZ842" s="87"/>
      <c r="EA842" s="87"/>
      <c r="EB842" s="87"/>
      <c r="EC842" s="87"/>
      <c r="ED842" s="87"/>
      <c r="EE842" s="87"/>
      <c r="EF842" s="87"/>
      <c r="EG842" s="87"/>
      <c r="EH842" s="87"/>
      <c r="EI842" s="87"/>
    </row>
    <row r="843" spans="1:139" ht="15.75" x14ac:dyDescent="0.3">
      <c r="A843" s="87"/>
      <c r="B843" s="406" t="s">
        <v>1369</v>
      </c>
      <c r="C843" s="406"/>
      <c r="D843" s="406"/>
      <c r="E843" s="409" t="s">
        <v>1361</v>
      </c>
      <c r="F843" s="410" t="s">
        <v>1361</v>
      </c>
      <c r="G843" s="411" t="s">
        <v>1361</v>
      </c>
      <c r="H843" s="188"/>
      <c r="I843" s="429">
        <v>2</v>
      </c>
      <c r="J843" s="87"/>
      <c r="K843" s="87"/>
      <c r="L843" s="87"/>
      <c r="M843" s="87"/>
      <c r="N843" s="87"/>
      <c r="O843" s="87"/>
      <c r="P843" s="87"/>
      <c r="Q843" s="87"/>
      <c r="R843" s="87"/>
      <c r="S843" s="87"/>
      <c r="T843" s="84"/>
      <c r="U843" s="84"/>
      <c r="V843" s="84"/>
      <c r="W843" s="84"/>
      <c r="X843" s="84"/>
      <c r="Y843" s="87"/>
      <c r="Z843" s="87"/>
      <c r="AA843" s="87"/>
      <c r="AB843" s="87"/>
      <c r="AC843" s="87"/>
      <c r="AD843" s="87"/>
      <c r="AE843" s="87"/>
      <c r="AF843" s="87"/>
      <c r="AG843" s="87"/>
      <c r="AH843" s="87"/>
      <c r="AI843" s="87"/>
      <c r="AJ843" s="87"/>
      <c r="AK843" s="87"/>
      <c r="AL843" s="87"/>
      <c r="AM843" s="87"/>
      <c r="AN843" s="87"/>
      <c r="AO843" s="87"/>
      <c r="AP843" s="87"/>
      <c r="AQ843" s="87"/>
      <c r="AR843" s="87"/>
      <c r="AS843" s="87"/>
      <c r="AT843" s="87"/>
      <c r="AU843" s="87"/>
      <c r="AV843" s="87"/>
      <c r="AW843" s="87"/>
      <c r="AX843" s="87"/>
      <c r="AY843" s="87"/>
      <c r="AZ843" s="87"/>
      <c r="BA843" s="87"/>
      <c r="BB843" s="87"/>
      <c r="BC843" s="87"/>
      <c r="BD843" s="87"/>
      <c r="BE843" s="87"/>
      <c r="BF843" s="87"/>
      <c r="BG843" s="87"/>
      <c r="BH843" s="87"/>
      <c r="BI843" s="87"/>
      <c r="BJ843" s="87"/>
      <c r="BK843" s="87"/>
      <c r="BL843" s="87"/>
      <c r="BM843" s="87"/>
      <c r="BN843" s="87"/>
      <c r="BO843" s="87"/>
      <c r="BP843" s="87"/>
      <c r="BQ843" s="87"/>
      <c r="BR843" s="87"/>
      <c r="BS843" s="87"/>
      <c r="BT843" s="87"/>
      <c r="BU843" s="87"/>
      <c r="BV843" s="87"/>
      <c r="BW843" s="87"/>
      <c r="BX843" s="87"/>
      <c r="BY843" s="87"/>
      <c r="BZ843" s="87"/>
      <c r="CA843" s="87"/>
      <c r="CB843" s="87"/>
      <c r="CC843" s="87"/>
      <c r="CD843" s="87"/>
      <c r="CE843" s="87"/>
      <c r="CF843" s="87"/>
      <c r="CG843" s="87"/>
      <c r="CH843" s="423"/>
      <c r="CI843" s="423"/>
      <c r="CJ843" s="424"/>
      <c r="CK843" s="424">
        <f t="shared" ref="CK843:DH843" si="84">CK828-CJ828</f>
        <v>-62.033571428571577</v>
      </c>
      <c r="CL843" s="424">
        <f t="shared" si="84"/>
        <v>-23.826428571428551</v>
      </c>
      <c r="CM843" s="424">
        <f t="shared" si="84"/>
        <v>-6.0507142857140934</v>
      </c>
      <c r="CN843" s="424">
        <f t="shared" si="84"/>
        <v>-50.38571428571413</v>
      </c>
      <c r="CO843" s="424">
        <f t="shared" si="84"/>
        <v>91.61428571428587</v>
      </c>
      <c r="CP843" s="424">
        <f t="shared" si="84"/>
        <v>-23</v>
      </c>
      <c r="CQ843" s="424">
        <f t="shared" si="84"/>
        <v>-28.378571428571377</v>
      </c>
      <c r="CR843" s="424">
        <f t="shared" si="84"/>
        <v>-33.030714285714112</v>
      </c>
      <c r="CS843" s="424">
        <f t="shared" si="84"/>
        <v>-62.205714285714294</v>
      </c>
      <c r="CT843" s="424">
        <f t="shared" si="84"/>
        <v>-159.32999999999993</v>
      </c>
      <c r="CU843" s="424">
        <f t="shared" si="84"/>
        <v>-33.099999999999909</v>
      </c>
      <c r="CV843" s="424">
        <f t="shared" si="84"/>
        <v>11.431830357142871</v>
      </c>
      <c r="CW843" s="424">
        <f t="shared" si="84"/>
        <v>-1.9018303571428987</v>
      </c>
      <c r="CX843" s="424">
        <f t="shared" si="84"/>
        <v>16.518571428571477</v>
      </c>
      <c r="CY843" s="424">
        <f t="shared" si="84"/>
        <v>25.749285714285634</v>
      </c>
      <c r="CZ843" s="424">
        <f t="shared" si="84"/>
        <v>20.376428571428505</v>
      </c>
      <c r="DA843" s="424">
        <f t="shared" si="84"/>
        <v>115.68428571428581</v>
      </c>
      <c r="DB843" s="424">
        <f t="shared" si="84"/>
        <v>-81.370714285714257</v>
      </c>
      <c r="DC843" s="424">
        <f t="shared" si="84"/>
        <v>42.76785714285711</v>
      </c>
      <c r="DD843" s="424">
        <f t="shared" si="84"/>
        <v>58.40357142857124</v>
      </c>
      <c r="DE843" s="424">
        <f t="shared" si="84"/>
        <v>56.23928571428587</v>
      </c>
      <c r="DF843" s="424">
        <f t="shared" si="84"/>
        <v>6.027142857142735</v>
      </c>
      <c r="DG843" s="424">
        <f t="shared" si="84"/>
        <v>-49.310714285714312</v>
      </c>
      <c r="DH843" s="424">
        <f t="shared" si="84"/>
        <v>-1.2014285714285506</v>
      </c>
      <c r="DI843" s="87"/>
      <c r="DJ843" s="87"/>
      <c r="DK843" s="87"/>
      <c r="DL843" s="87"/>
      <c r="DM843" s="87"/>
      <c r="DN843" s="87"/>
      <c r="DO843" s="87"/>
      <c r="DP843" s="87"/>
      <c r="DQ843" s="87"/>
      <c r="DR843" s="87"/>
      <c r="DS843" s="87"/>
      <c r="DT843" s="87"/>
      <c r="DU843" s="87"/>
      <c r="DV843" s="87"/>
      <c r="DW843" s="87"/>
      <c r="DX843" s="87"/>
      <c r="DY843" s="87"/>
      <c r="DZ843" s="87"/>
      <c r="EA843" s="87"/>
      <c r="EB843" s="87"/>
      <c r="EC843" s="87"/>
      <c r="ED843" s="87"/>
      <c r="EE843" s="87"/>
      <c r="EF843" s="87"/>
      <c r="EG843" s="87"/>
      <c r="EH843" s="87"/>
      <c r="EI843" s="87"/>
    </row>
    <row r="844" spans="1:139" ht="15.75" x14ac:dyDescent="0.3">
      <c r="A844" s="87"/>
      <c r="B844" s="406" t="s">
        <v>1369</v>
      </c>
      <c r="C844" s="406"/>
      <c r="D844" s="406"/>
      <c r="E844" s="409" t="s">
        <v>1361</v>
      </c>
      <c r="F844" s="410" t="s">
        <v>1361</v>
      </c>
      <c r="G844" s="411" t="s">
        <v>1361</v>
      </c>
      <c r="H844" s="188"/>
      <c r="I844" s="430">
        <v>3</v>
      </c>
      <c r="J844" s="87"/>
      <c r="K844" s="87"/>
      <c r="L844" s="87"/>
      <c r="M844" s="87"/>
      <c r="N844" s="87"/>
      <c r="O844" s="87"/>
      <c r="P844" s="87"/>
      <c r="Q844" s="87"/>
      <c r="R844" s="87"/>
      <c r="S844" s="87"/>
      <c r="T844" s="84"/>
      <c r="U844" s="84"/>
      <c r="V844" s="84"/>
      <c r="W844" s="84"/>
      <c r="X844" s="84"/>
      <c r="Y844" s="87"/>
      <c r="Z844" s="87"/>
      <c r="AA844" s="87"/>
      <c r="AB844" s="87"/>
      <c r="AC844" s="415">
        <f>AC829+100</f>
        <v>4545</v>
      </c>
      <c r="AD844" s="415">
        <f>AD829+135</f>
        <v>4554.2514285714287</v>
      </c>
      <c r="AE844" s="415">
        <f>AE829+135</f>
        <v>4580</v>
      </c>
      <c r="AF844" s="415">
        <f>AF829+135</f>
        <v>4570</v>
      </c>
      <c r="AG844" s="87"/>
      <c r="AH844" s="87"/>
      <c r="AI844" s="87"/>
      <c r="AJ844" s="87"/>
      <c r="AK844" s="87"/>
      <c r="AL844" s="87"/>
      <c r="AM844" s="87"/>
      <c r="AN844" s="87"/>
      <c r="AO844" s="87"/>
      <c r="AP844" s="87"/>
      <c r="AQ844" s="87"/>
      <c r="AR844" s="87"/>
      <c r="AS844" s="87"/>
      <c r="AT844" s="87"/>
      <c r="AU844" s="87"/>
      <c r="AV844" s="87"/>
      <c r="AW844" s="87"/>
      <c r="AX844" s="87"/>
      <c r="AY844" s="87"/>
      <c r="AZ844" s="87"/>
      <c r="BA844" s="87"/>
      <c r="BB844" s="87"/>
      <c r="BC844" s="87"/>
      <c r="BD844" s="87"/>
      <c r="BE844" s="87"/>
      <c r="BF844" s="87"/>
      <c r="BG844" s="87"/>
      <c r="BH844" s="87"/>
      <c r="BI844" s="87"/>
      <c r="BJ844" s="87"/>
      <c r="BK844" s="87"/>
      <c r="BL844" s="87"/>
      <c r="BM844" s="87"/>
      <c r="BN844" s="87"/>
      <c r="BO844" s="87"/>
      <c r="BP844" s="87"/>
      <c r="BQ844" s="87"/>
      <c r="BR844" s="87"/>
      <c r="BS844" s="87"/>
      <c r="BT844" s="87"/>
      <c r="BU844" s="87"/>
      <c r="BV844" s="87"/>
      <c r="BW844" s="87"/>
      <c r="BX844" s="87"/>
      <c r="BY844" s="87"/>
      <c r="BZ844" s="87"/>
      <c r="CA844" s="87"/>
      <c r="CB844" s="87"/>
      <c r="CC844" s="87"/>
      <c r="CD844" s="87"/>
      <c r="CE844" s="87"/>
      <c r="CF844" s="87"/>
      <c r="CG844" s="87"/>
      <c r="CH844" s="87"/>
      <c r="CI844" s="87"/>
      <c r="CJ844" s="415"/>
      <c r="CK844" s="415">
        <f t="shared" ref="CK844:DH844" si="85">CK829-CJ829</f>
        <v>-245.1187142857143</v>
      </c>
      <c r="CL844" s="415">
        <f t="shared" si="85"/>
        <v>-4.1642857142855974</v>
      </c>
      <c r="CM844" s="415">
        <f t="shared" si="85"/>
        <v>-53.187857142856956</v>
      </c>
      <c r="CN844" s="415">
        <f t="shared" si="85"/>
        <v>-79.128571428571377</v>
      </c>
      <c r="CO844" s="415">
        <f t="shared" si="85"/>
        <v>51.943571428571431</v>
      </c>
      <c r="CP844" s="415">
        <f t="shared" si="85"/>
        <v>-103.41628571428555</v>
      </c>
      <c r="CQ844" s="415">
        <f t="shared" si="85"/>
        <v>107.75285714285701</v>
      </c>
      <c r="CR844" s="415">
        <f t="shared" si="85"/>
        <v>158.90842857142843</v>
      </c>
      <c r="CS844" s="415">
        <f t="shared" si="85"/>
        <v>55.321500000000015</v>
      </c>
      <c r="CT844" s="415">
        <f t="shared" si="85"/>
        <v>0.35278571428534633</v>
      </c>
      <c r="CU844" s="415">
        <f t="shared" si="85"/>
        <v>-72.721785714285943</v>
      </c>
      <c r="CV844" s="415">
        <f t="shared" si="85"/>
        <v>-81.75</v>
      </c>
      <c r="CW844" s="415">
        <f t="shared" si="85"/>
        <v>71.771428571428714</v>
      </c>
      <c r="CX844" s="415">
        <f t="shared" si="85"/>
        <v>129.10714285714266</v>
      </c>
      <c r="CY844" s="415">
        <f t="shared" si="85"/>
        <v>68.435714285714312</v>
      </c>
      <c r="CZ844" s="415">
        <f t="shared" si="85"/>
        <v>0.89142857142815046</v>
      </c>
      <c r="DA844" s="415">
        <f t="shared" si="85"/>
        <v>0.58428571428612486</v>
      </c>
      <c r="DB844" s="415">
        <f t="shared" si="85"/>
        <v>-4.8999999999996362</v>
      </c>
      <c r="DC844" s="415">
        <f t="shared" si="85"/>
        <v>-46.842857142856701</v>
      </c>
      <c r="DD844" s="415">
        <f t="shared" si="85"/>
        <v>61.335714285713948</v>
      </c>
      <c r="DE844" s="415">
        <f t="shared" si="85"/>
        <v>-55.569285714285797</v>
      </c>
      <c r="DF844" s="415">
        <f t="shared" si="85"/>
        <v>-34.199880952381136</v>
      </c>
      <c r="DG844" s="415">
        <f t="shared" si="85"/>
        <v>56.457857142857392</v>
      </c>
      <c r="DH844" s="415">
        <f t="shared" si="85"/>
        <v>-79.755357142857065</v>
      </c>
      <c r="DI844" s="87"/>
      <c r="DJ844" s="87"/>
      <c r="DK844" s="87"/>
      <c r="DL844" s="87"/>
      <c r="DM844" s="87"/>
      <c r="DN844" s="87"/>
      <c r="DO844" s="87"/>
      <c r="DP844" s="87"/>
      <c r="DQ844" s="87"/>
      <c r="DR844" s="87"/>
      <c r="DS844" s="87"/>
      <c r="DT844" s="87"/>
      <c r="DU844" s="87"/>
      <c r="DV844" s="87"/>
      <c r="DW844" s="87"/>
      <c r="DX844" s="87"/>
      <c r="DY844" s="87"/>
      <c r="DZ844" s="87"/>
      <c r="EA844" s="87"/>
      <c r="EB844" s="87"/>
      <c r="EC844" s="87"/>
      <c r="ED844" s="87"/>
      <c r="EE844" s="87"/>
      <c r="EF844" s="87"/>
      <c r="EG844" s="87"/>
      <c r="EH844" s="87"/>
      <c r="EI844" s="87"/>
    </row>
    <row r="845" spans="1:139" ht="15.75" x14ac:dyDescent="0.3">
      <c r="A845" s="87"/>
      <c r="B845" s="406" t="s">
        <v>1369</v>
      </c>
      <c r="C845" s="406"/>
      <c r="D845" s="406"/>
      <c r="E845" s="409" t="s">
        <v>1361</v>
      </c>
      <c r="F845" s="410" t="s">
        <v>1361</v>
      </c>
      <c r="G845" s="411" t="s">
        <v>1361</v>
      </c>
      <c r="H845" s="188"/>
      <c r="I845" s="430">
        <v>4</v>
      </c>
      <c r="J845" s="87"/>
      <c r="K845" s="87"/>
      <c r="L845" s="87"/>
      <c r="M845" s="87"/>
      <c r="N845" s="87"/>
      <c r="O845" s="87"/>
      <c r="P845" s="87"/>
      <c r="Q845" s="87"/>
      <c r="R845" s="87"/>
      <c r="S845" s="87"/>
      <c r="T845" s="84"/>
      <c r="U845" s="84"/>
      <c r="V845" s="84"/>
      <c r="W845" s="84"/>
      <c r="X845" s="84"/>
      <c r="Y845" s="87"/>
      <c r="Z845" s="87"/>
      <c r="AA845" s="87"/>
      <c r="AB845" s="87"/>
      <c r="AC845" s="87"/>
      <c r="AD845" s="87"/>
      <c r="AE845" s="87"/>
      <c r="AF845" s="87"/>
      <c r="AG845" s="87"/>
      <c r="AH845" s="87"/>
      <c r="AI845" s="87"/>
      <c r="AJ845" s="87"/>
      <c r="AK845" s="87"/>
      <c r="AL845" s="87"/>
      <c r="AM845" s="87"/>
      <c r="AN845" s="87"/>
      <c r="AO845" s="87"/>
      <c r="AP845" s="87"/>
      <c r="AQ845" s="87"/>
      <c r="AR845" s="87"/>
      <c r="AS845" s="87"/>
      <c r="AT845" s="87"/>
      <c r="AU845" s="87"/>
      <c r="AV845" s="87"/>
      <c r="AW845" s="87"/>
      <c r="AX845" s="87"/>
      <c r="AY845" s="87"/>
      <c r="AZ845" s="87"/>
      <c r="BA845" s="87"/>
      <c r="BB845" s="87"/>
      <c r="BC845" s="87"/>
      <c r="BD845" s="87"/>
      <c r="BE845" s="87"/>
      <c r="BF845" s="87"/>
      <c r="BG845" s="87"/>
      <c r="BH845" s="87"/>
      <c r="BI845" s="87"/>
      <c r="BJ845" s="87"/>
      <c r="BK845" s="87"/>
      <c r="BL845" s="87"/>
      <c r="BM845" s="87"/>
      <c r="BN845" s="87"/>
      <c r="BO845" s="87"/>
      <c r="BP845" s="87"/>
      <c r="BQ845" s="87"/>
      <c r="BR845" s="87"/>
      <c r="BS845" s="87"/>
      <c r="BT845" s="87"/>
      <c r="BU845" s="87"/>
      <c r="BV845" s="87"/>
      <c r="BW845" s="87"/>
      <c r="BX845" s="87"/>
      <c r="BY845" s="87"/>
      <c r="BZ845" s="87"/>
      <c r="CA845" s="87"/>
      <c r="CB845" s="87"/>
      <c r="CC845" s="87"/>
      <c r="CD845" s="87"/>
      <c r="CE845" s="87"/>
      <c r="CF845" s="87"/>
      <c r="CG845" s="87"/>
      <c r="CH845" s="87"/>
      <c r="CI845" s="87"/>
      <c r="CJ845" s="415"/>
      <c r="CK845" s="415">
        <f t="shared" ref="CK845:DH845" si="86">CK830-CJ830</f>
        <v>6.6857142857143117</v>
      </c>
      <c r="CL845" s="415">
        <f t="shared" si="86"/>
        <v>-2</v>
      </c>
      <c r="CM845" s="415">
        <f t="shared" si="86"/>
        <v>-0.21428571428572241</v>
      </c>
      <c r="CN845" s="415">
        <f t="shared" si="86"/>
        <v>-0.15571428571428214</v>
      </c>
      <c r="CO845" s="415">
        <f t="shared" si="86"/>
        <v>-8.710714285714289</v>
      </c>
      <c r="CP845" s="415">
        <f t="shared" si="86"/>
        <v>2.7857142857142776</v>
      </c>
      <c r="CQ845" s="415">
        <f t="shared" si="86"/>
        <v>-25.321428571428555</v>
      </c>
      <c r="CR845" s="415">
        <f t="shared" si="86"/>
        <v>-22.214285714285722</v>
      </c>
      <c r="CS845" s="415">
        <f t="shared" si="86"/>
        <v>10.571428571428584</v>
      </c>
      <c r="CT845" s="415">
        <f t="shared" si="86"/>
        <v>22.964285714285751</v>
      </c>
      <c r="CU845" s="415">
        <f t="shared" si="86"/>
        <v>4.2585714285714289</v>
      </c>
      <c r="CV845" s="415">
        <f t="shared" si="86"/>
        <v>-3.3578571428571422</v>
      </c>
      <c r="CW845" s="415">
        <f t="shared" si="86"/>
        <v>-29.56785714285715</v>
      </c>
      <c r="CX845" s="415">
        <f t="shared" si="86"/>
        <v>13.425000000000011</v>
      </c>
      <c r="CY845" s="415">
        <f t="shared" si="86"/>
        <v>12.907857142857182</v>
      </c>
      <c r="CZ845" s="415">
        <f t="shared" si="86"/>
        <v>0.95392857142854837</v>
      </c>
      <c r="DA845" s="415">
        <f t="shared" si="86"/>
        <v>4.5385714285714016</v>
      </c>
      <c r="DB845" s="415">
        <f t="shared" si="86"/>
        <v>4.4778571428571468</v>
      </c>
      <c r="DC845" s="415">
        <f t="shared" si="86"/>
        <v>28.116428571428571</v>
      </c>
      <c r="DD845" s="415">
        <f t="shared" si="86"/>
        <v>11.663214285714275</v>
      </c>
      <c r="DE845" s="415">
        <f t="shared" si="86"/>
        <v>0</v>
      </c>
      <c r="DF845" s="415">
        <f t="shared" si="86"/>
        <v>0.64857142857141525</v>
      </c>
      <c r="DG845" s="415">
        <f t="shared" si="86"/>
        <v>-5.0271428571428487</v>
      </c>
      <c r="DH845" s="415">
        <f t="shared" si="86"/>
        <v>-53.828571428571422</v>
      </c>
      <c r="DI845" s="87"/>
      <c r="DJ845" s="87"/>
      <c r="DK845" s="87"/>
      <c r="DL845" s="87"/>
      <c r="DM845" s="87"/>
      <c r="DN845" s="87"/>
      <c r="DO845" s="87"/>
      <c r="DP845" s="87"/>
      <c r="DQ845" s="87"/>
      <c r="DR845" s="87"/>
      <c r="DS845" s="87"/>
      <c r="DT845" s="87"/>
      <c r="DU845" s="87"/>
      <c r="DV845" s="87"/>
      <c r="DW845" s="87"/>
      <c r="DX845" s="87"/>
      <c r="DY845" s="87"/>
      <c r="DZ845" s="87"/>
      <c r="EA845" s="87"/>
      <c r="EB845" s="87"/>
      <c r="EC845" s="87"/>
      <c r="ED845" s="87"/>
      <c r="EE845" s="87"/>
      <c r="EF845" s="87"/>
      <c r="EG845" s="87"/>
      <c r="EH845" s="87"/>
      <c r="EI845" s="87"/>
    </row>
    <row r="846" spans="1:139" ht="15.75" x14ac:dyDescent="0.3">
      <c r="A846" s="87"/>
      <c r="B846" s="406" t="s">
        <v>1369</v>
      </c>
      <c r="C846" s="406"/>
      <c r="D846" s="406"/>
      <c r="E846" s="409" t="s">
        <v>1361</v>
      </c>
      <c r="F846" s="410" t="s">
        <v>1361</v>
      </c>
      <c r="G846" s="411" t="s">
        <v>1361</v>
      </c>
      <c r="H846" s="188"/>
      <c r="I846" s="430">
        <v>5</v>
      </c>
      <c r="J846" s="87"/>
      <c r="K846" s="87"/>
      <c r="L846" s="87"/>
      <c r="M846" s="87"/>
      <c r="N846" s="87"/>
      <c r="O846" s="87"/>
      <c r="P846" s="87"/>
      <c r="Q846" s="87"/>
      <c r="R846" s="87"/>
      <c r="S846" s="87"/>
      <c r="T846" s="84"/>
      <c r="U846" s="84"/>
      <c r="V846" s="84"/>
      <c r="W846" s="84"/>
      <c r="X846" s="84"/>
      <c r="Y846" s="87"/>
      <c r="Z846" s="87"/>
      <c r="AA846" s="87"/>
      <c r="AB846" s="87"/>
      <c r="AC846" s="87"/>
      <c r="AD846" s="87"/>
      <c r="AE846" s="87"/>
      <c r="AF846" s="87"/>
      <c r="AG846" s="87"/>
      <c r="AH846" s="87"/>
      <c r="AI846" s="87"/>
      <c r="AJ846" s="87"/>
      <c r="AK846" s="87"/>
      <c r="AL846" s="87"/>
      <c r="AM846" s="87"/>
      <c r="AN846" s="87"/>
      <c r="AO846" s="87"/>
      <c r="AP846" s="87"/>
      <c r="AQ846" s="87"/>
      <c r="AR846" s="87"/>
      <c r="AS846" s="87"/>
      <c r="AT846" s="87"/>
      <c r="AU846" s="87"/>
      <c r="AV846" s="87"/>
      <c r="AW846" s="87"/>
      <c r="AX846" s="87"/>
      <c r="AY846" s="87"/>
      <c r="AZ846" s="87"/>
      <c r="BA846" s="87"/>
      <c r="BB846" s="87"/>
      <c r="BC846" s="87"/>
      <c r="BD846" s="87"/>
      <c r="BE846" s="87"/>
      <c r="BF846" s="87"/>
      <c r="BG846" s="87"/>
      <c r="BH846" s="87"/>
      <c r="BI846" s="87"/>
      <c r="BJ846" s="87"/>
      <c r="BK846" s="87"/>
      <c r="BL846" s="87"/>
      <c r="BM846" s="87"/>
      <c r="BN846" s="87"/>
      <c r="BO846" s="87"/>
      <c r="BP846" s="87"/>
      <c r="BQ846" s="87"/>
      <c r="BR846" s="87"/>
      <c r="BS846" s="87"/>
      <c r="BT846" s="87"/>
      <c r="BU846" s="87"/>
      <c r="BV846" s="87"/>
      <c r="BW846" s="87"/>
      <c r="BX846" s="87"/>
      <c r="BY846" s="87"/>
      <c r="BZ846" s="87"/>
      <c r="CA846" s="87"/>
      <c r="CB846" s="87"/>
      <c r="CC846" s="87"/>
      <c r="CD846" s="87"/>
      <c r="CE846" s="87"/>
      <c r="CF846" s="87"/>
      <c r="CG846" s="87"/>
      <c r="CH846" s="87"/>
      <c r="CI846" s="87"/>
      <c r="CJ846" s="415"/>
      <c r="CK846" s="415">
        <f t="shared" ref="CK846:DH846" si="87">CK831-CJ831</f>
        <v>-39.867142857142881</v>
      </c>
      <c r="CL846" s="415">
        <f t="shared" si="87"/>
        <v>-2.5499999999999545</v>
      </c>
      <c r="CM846" s="415">
        <f t="shared" si="87"/>
        <v>-91.98214285714289</v>
      </c>
      <c r="CN846" s="415">
        <f t="shared" si="87"/>
        <v>25.760714285714243</v>
      </c>
      <c r="CO846" s="415">
        <f t="shared" si="87"/>
        <v>40.067857142857179</v>
      </c>
      <c r="CP846" s="415">
        <f t="shared" si="87"/>
        <v>-37.785714285714334</v>
      </c>
      <c r="CQ846" s="415">
        <f t="shared" si="87"/>
        <v>12.317857142857179</v>
      </c>
      <c r="CR846" s="415">
        <f t="shared" si="87"/>
        <v>78.560714285714312</v>
      </c>
      <c r="CS846" s="415">
        <f t="shared" si="87"/>
        <v>-115.70000000000005</v>
      </c>
      <c r="CT846" s="415">
        <f t="shared" si="87"/>
        <v>-71.014285714285734</v>
      </c>
      <c r="CU846" s="415">
        <f t="shared" si="87"/>
        <v>14.921428571428578</v>
      </c>
      <c r="CV846" s="415">
        <f t="shared" si="87"/>
        <v>-0.91428571428571104</v>
      </c>
      <c r="CW846" s="415">
        <f t="shared" si="87"/>
        <v>61.592857142857156</v>
      </c>
      <c r="CX846" s="415">
        <f t="shared" si="87"/>
        <v>38.964285714285666</v>
      </c>
      <c r="CY846" s="415">
        <f t="shared" si="87"/>
        <v>106.35357142857151</v>
      </c>
      <c r="CZ846" s="415">
        <f t="shared" si="87"/>
        <v>-75.777142857142849</v>
      </c>
      <c r="DA846" s="415">
        <f t="shared" si="87"/>
        <v>52.615714285714262</v>
      </c>
      <c r="DB846" s="415">
        <f t="shared" si="87"/>
        <v>26.182142857142935</v>
      </c>
      <c r="DC846" s="415">
        <f t="shared" si="87"/>
        <v>-61.042857142857201</v>
      </c>
      <c r="DD846" s="415">
        <f t="shared" si="87"/>
        <v>38.946428571428669</v>
      </c>
      <c r="DE846" s="415">
        <f t="shared" si="87"/>
        <v>45.007142857142753</v>
      </c>
      <c r="DF846" s="415">
        <f t="shared" si="87"/>
        <v>11.16857142857134</v>
      </c>
      <c r="DG846" s="415">
        <f t="shared" si="87"/>
        <v>-11.214285714285779</v>
      </c>
      <c r="DH846" s="415">
        <f t="shared" si="87"/>
        <v>-5.5714285714286689</v>
      </c>
      <c r="DI846" s="87"/>
      <c r="DJ846" s="87"/>
      <c r="DK846" s="87"/>
      <c r="DL846" s="87"/>
      <c r="DM846" s="87"/>
      <c r="DN846" s="87"/>
      <c r="DO846" s="87"/>
      <c r="DP846" s="87"/>
      <c r="DQ846" s="87"/>
      <c r="DR846" s="87"/>
      <c r="DS846" s="87"/>
      <c r="DT846" s="87"/>
      <c r="DU846" s="87"/>
      <c r="DV846" s="87"/>
      <c r="DW846" s="87"/>
      <c r="DX846" s="87"/>
      <c r="DY846" s="87"/>
      <c r="DZ846" s="87"/>
      <c r="EA846" s="87"/>
      <c r="EB846" s="87"/>
      <c r="EC846" s="87"/>
      <c r="ED846" s="87"/>
      <c r="EE846" s="87"/>
      <c r="EF846" s="87"/>
      <c r="EG846" s="87"/>
      <c r="EH846" s="87"/>
      <c r="EI846" s="87"/>
    </row>
    <row r="847" spans="1:139" ht="15.75" x14ac:dyDescent="0.3">
      <c r="A847" s="87"/>
      <c r="B847" s="406" t="s">
        <v>1369</v>
      </c>
      <c r="C847" s="406"/>
      <c r="D847" s="406"/>
      <c r="E847" s="409" t="s">
        <v>1361</v>
      </c>
      <c r="F847" s="410" t="s">
        <v>1361</v>
      </c>
      <c r="G847" s="411" t="s">
        <v>1361</v>
      </c>
      <c r="H847" s="188"/>
      <c r="I847" s="431" t="s">
        <v>1387</v>
      </c>
      <c r="J847" s="432"/>
      <c r="K847" s="432"/>
      <c r="L847" s="432"/>
      <c r="M847" s="432"/>
      <c r="N847" s="432"/>
      <c r="O847" s="432"/>
      <c r="P847" s="432"/>
      <c r="Q847" s="432"/>
      <c r="R847" s="432"/>
      <c r="S847" s="432"/>
      <c r="T847" s="84"/>
      <c r="U847" s="84"/>
      <c r="V847" s="84"/>
      <c r="W847" s="84"/>
      <c r="X847" s="84"/>
      <c r="Y847" s="87"/>
      <c r="Z847" s="87"/>
      <c r="AA847" s="87"/>
      <c r="AB847" s="87"/>
      <c r="AC847" s="87"/>
      <c r="AD847" s="87"/>
      <c r="AE847" s="87"/>
      <c r="AF847" s="87"/>
      <c r="AG847" s="87"/>
      <c r="AH847" s="87"/>
      <c r="AI847" s="87"/>
      <c r="AJ847" s="87"/>
      <c r="AK847" s="87"/>
      <c r="AL847" s="87"/>
      <c r="AM847" s="87"/>
      <c r="AN847" s="87"/>
      <c r="AO847" s="87"/>
      <c r="AP847" s="87"/>
      <c r="AQ847" s="87"/>
      <c r="AR847" s="87"/>
      <c r="AS847" s="87"/>
      <c r="AT847" s="87"/>
      <c r="AU847" s="87"/>
      <c r="AV847" s="87"/>
      <c r="AW847" s="87"/>
      <c r="AX847" s="87"/>
      <c r="AY847" s="87"/>
      <c r="AZ847" s="87"/>
      <c r="BA847" s="87"/>
      <c r="BB847" s="87"/>
      <c r="BC847" s="87"/>
      <c r="BD847" s="87"/>
      <c r="BE847" s="87"/>
      <c r="BF847" s="87"/>
      <c r="BG847" s="87"/>
      <c r="BH847" s="87"/>
      <c r="BI847" s="87"/>
      <c r="BJ847" s="87"/>
      <c r="BK847" s="87"/>
      <c r="BL847" s="87"/>
      <c r="BM847" s="87"/>
      <c r="BN847" s="87"/>
      <c r="BO847" s="87"/>
      <c r="BP847" s="87"/>
      <c r="BQ847" s="87"/>
      <c r="BR847" s="87"/>
      <c r="BS847" s="87"/>
      <c r="BT847" s="87"/>
      <c r="BU847" s="87"/>
      <c r="BV847" s="87"/>
      <c r="BW847" s="87"/>
      <c r="BX847" s="87"/>
      <c r="BY847" s="87"/>
      <c r="BZ847" s="87"/>
      <c r="CA847" s="87"/>
      <c r="CB847" s="87"/>
      <c r="CC847" s="87"/>
      <c r="CD847" s="87"/>
      <c r="CE847" s="87"/>
      <c r="CF847" s="87"/>
      <c r="CG847" s="87"/>
      <c r="CH847" s="87"/>
      <c r="CI847" s="87"/>
      <c r="CJ847" s="415"/>
      <c r="CK847" s="415">
        <f t="shared" ref="CK847:DH847" si="88">SUM(CK842:CK846)</f>
        <v>-347.58371428571445</v>
      </c>
      <c r="CL847" s="415">
        <f t="shared" si="88"/>
        <v>-32.404999999999802</v>
      </c>
      <c r="CM847" s="415">
        <f t="shared" si="88"/>
        <v>-166.02071428571395</v>
      </c>
      <c r="CN847" s="415">
        <f t="shared" si="88"/>
        <v>-130.35785714285697</v>
      </c>
      <c r="CO847" s="415">
        <f t="shared" ca="1" si="88"/>
        <v>81.778571428571638</v>
      </c>
      <c r="CP847" s="415">
        <f t="shared" ca="1" si="88"/>
        <v>-124.39985714285706</v>
      </c>
      <c r="CQ847" s="415">
        <f t="shared" ca="1" si="88"/>
        <v>89.499285714285691</v>
      </c>
      <c r="CR847" s="415">
        <f t="shared" ca="1" si="88"/>
        <v>165.22414285714291</v>
      </c>
      <c r="CS847" s="415">
        <f t="shared" ca="1" si="88"/>
        <v>-92.012785714285741</v>
      </c>
      <c r="CT847" s="415">
        <f t="shared" ca="1" si="88"/>
        <v>-205.02721428571456</v>
      </c>
      <c r="CU847" s="415">
        <f t="shared" ca="1" si="88"/>
        <v>-90.590000000000146</v>
      </c>
      <c r="CV847" s="415">
        <f t="shared" ca="1" si="88"/>
        <v>-14.422812499999964</v>
      </c>
      <c r="CW847" s="415">
        <f t="shared" ca="1" si="88"/>
        <v>140.2403125000001</v>
      </c>
      <c r="CX847" s="415">
        <f t="shared" ca="1" si="88"/>
        <v>190.01499999999982</v>
      </c>
      <c r="CY847" s="415">
        <f t="shared" ca="1" si="88"/>
        <v>216.34642857142862</v>
      </c>
      <c r="CZ847" s="415">
        <f t="shared" ca="1" si="88"/>
        <v>-68.555357142857645</v>
      </c>
      <c r="DA847" s="415">
        <f t="shared" ca="1" si="88"/>
        <v>157.92285714285759</v>
      </c>
      <c r="DB847" s="415">
        <f t="shared" ca="1" si="88"/>
        <v>-88.610714285713811</v>
      </c>
      <c r="DC847" s="415">
        <f t="shared" ca="1" si="88"/>
        <v>13.927142857143224</v>
      </c>
      <c r="DD847" s="415">
        <f t="shared" ca="1" si="88"/>
        <v>129.79178571428525</v>
      </c>
      <c r="DE847" s="415">
        <f t="shared" ca="1" si="88"/>
        <v>56.905714285714225</v>
      </c>
      <c r="DF847" s="415">
        <f t="shared" ca="1" si="88"/>
        <v>14.644404761904354</v>
      </c>
      <c r="DG847" s="415">
        <f t="shared" ca="1" si="88"/>
        <v>-75.31928571428557</v>
      </c>
      <c r="DH847" s="415">
        <f t="shared" ca="1" si="88"/>
        <v>-87.656785714285718</v>
      </c>
      <c r="DI847" s="87"/>
      <c r="DJ847" s="87"/>
      <c r="DK847" s="87"/>
      <c r="DL847" s="87"/>
      <c r="DM847" s="87"/>
      <c r="DN847" s="87"/>
      <c r="DO847" s="87"/>
      <c r="DP847" s="87"/>
      <c r="DQ847" s="87"/>
      <c r="DR847" s="87"/>
      <c r="DS847" s="87"/>
      <c r="DT847" s="87"/>
      <c r="DU847" s="87"/>
      <c r="DV847" s="87"/>
      <c r="DW847" s="87"/>
      <c r="DX847" s="87"/>
      <c r="DY847" s="87"/>
      <c r="DZ847" s="87"/>
      <c r="EA847" s="87"/>
      <c r="EB847" s="87"/>
      <c r="EC847" s="87"/>
      <c r="ED847" s="87"/>
      <c r="EE847" s="87"/>
      <c r="EF847" s="87"/>
      <c r="EG847" s="87"/>
      <c r="EH847" s="87"/>
      <c r="EI847" s="87"/>
    </row>
    <row r="848" spans="1:139" ht="15.75" x14ac:dyDescent="0.3">
      <c r="A848" s="87"/>
      <c r="B848" s="406" t="s">
        <v>1369</v>
      </c>
      <c r="C848" s="406"/>
      <c r="D848" s="406"/>
      <c r="E848" s="409" t="s">
        <v>1361</v>
      </c>
      <c r="F848" s="410" t="s">
        <v>1361</v>
      </c>
      <c r="G848" s="411" t="s">
        <v>1361</v>
      </c>
      <c r="H848" s="188"/>
      <c r="I848" s="422"/>
      <c r="J848" s="84"/>
      <c r="K848" s="84"/>
      <c r="L848" s="84"/>
      <c r="M848" s="84"/>
      <c r="N848" s="84"/>
      <c r="O848" s="84"/>
      <c r="P848" s="84"/>
      <c r="Q848" s="84"/>
      <c r="R848" s="84"/>
      <c r="S848" s="84"/>
      <c r="Y848" s="87"/>
      <c r="Z848" s="87"/>
      <c r="AA848" s="87"/>
      <c r="AB848" s="87"/>
      <c r="AC848" s="87"/>
      <c r="AD848" s="87"/>
      <c r="AE848" s="87"/>
      <c r="AF848" s="87"/>
      <c r="AG848" s="87"/>
      <c r="AH848" s="87"/>
      <c r="AI848" s="87"/>
      <c r="AJ848" s="87"/>
      <c r="AK848" s="87"/>
      <c r="AL848" s="87"/>
      <c r="AM848" s="87"/>
      <c r="AN848" s="87"/>
      <c r="AO848" s="87"/>
      <c r="AP848" s="87"/>
      <c r="AQ848" s="87">
        <v>2010</v>
      </c>
      <c r="AR848" s="87">
        <v>1982</v>
      </c>
      <c r="AS848" s="87">
        <v>1965</v>
      </c>
      <c r="AT848" s="87">
        <v>1967</v>
      </c>
      <c r="AU848" s="87"/>
      <c r="AV848" s="87"/>
      <c r="AW848" s="87"/>
      <c r="AX848" s="87"/>
      <c r="AY848" s="87"/>
      <c r="AZ848" s="87"/>
      <c r="BA848" s="87"/>
      <c r="BB848" s="87"/>
      <c r="BC848" s="87"/>
      <c r="BD848" s="87"/>
      <c r="BE848" s="87"/>
      <c r="BF848" s="87"/>
      <c r="BG848" s="87"/>
      <c r="BH848" s="87"/>
      <c r="BI848" s="87"/>
      <c r="BJ848" s="87"/>
      <c r="BK848" s="87"/>
      <c r="BL848" s="87"/>
      <c r="BM848" s="87"/>
      <c r="BN848" s="87"/>
      <c r="BO848" s="87"/>
      <c r="BP848" s="87"/>
      <c r="BQ848" s="87"/>
      <c r="BR848" s="87"/>
      <c r="BS848" s="87"/>
      <c r="BT848" s="87"/>
      <c r="BU848" s="87"/>
      <c r="BV848" s="87"/>
      <c r="BW848" s="87"/>
      <c r="BX848" s="87"/>
      <c r="BY848" s="87"/>
      <c r="BZ848" s="87"/>
      <c r="CA848" s="87"/>
      <c r="CB848" s="87"/>
      <c r="CC848" s="87"/>
      <c r="CD848" s="87"/>
      <c r="CE848" s="87"/>
      <c r="CF848" s="87"/>
      <c r="CG848" s="87"/>
      <c r="CH848" s="87"/>
      <c r="CI848" s="87"/>
      <c r="CJ848" s="87"/>
      <c r="CK848" s="87"/>
      <c r="CL848" s="87"/>
      <c r="CM848" s="87"/>
      <c r="CN848" s="87"/>
      <c r="CO848" s="87"/>
      <c r="CP848" s="87"/>
      <c r="CQ848" s="87"/>
      <c r="CR848" s="87"/>
      <c r="CS848" s="87"/>
      <c r="CT848" s="87"/>
      <c r="CU848" s="87"/>
      <c r="CV848" s="87"/>
      <c r="CW848" s="87"/>
      <c r="CX848" s="87"/>
      <c r="CY848" s="87"/>
      <c r="CZ848" s="87"/>
      <c r="DA848" s="87"/>
      <c r="DB848" s="87"/>
      <c r="DC848" s="87"/>
      <c r="DD848" s="87"/>
      <c r="DE848" s="87"/>
      <c r="DF848" s="87"/>
      <c r="DG848" s="87"/>
      <c r="DH848" s="87"/>
      <c r="DI848" s="87"/>
      <c r="DJ848" s="87"/>
      <c r="DK848" s="87"/>
      <c r="DL848" s="87"/>
      <c r="DM848" s="87"/>
      <c r="DN848" s="87"/>
      <c r="DO848" s="87"/>
      <c r="DP848" s="87"/>
      <c r="DQ848" s="87"/>
      <c r="DR848" s="87"/>
      <c r="DS848" s="87"/>
      <c r="DT848" s="87"/>
      <c r="DU848" s="87"/>
      <c r="DV848" s="87"/>
      <c r="DW848" s="87"/>
      <c r="DX848" s="87"/>
      <c r="DY848" s="87"/>
      <c r="DZ848" s="87"/>
      <c r="EA848" s="87"/>
      <c r="EB848" s="87"/>
      <c r="EC848" s="87"/>
      <c r="ED848" s="87"/>
      <c r="EE848" s="87"/>
      <c r="EF848" s="87"/>
      <c r="EG848" s="87"/>
      <c r="EH848" s="87"/>
      <c r="EI848" s="87"/>
    </row>
    <row r="849" spans="1:139" ht="16.5" thickBot="1" x14ac:dyDescent="0.35">
      <c r="A849" s="87"/>
      <c r="B849" s="406" t="s">
        <v>1369</v>
      </c>
      <c r="C849" s="406"/>
      <c r="D849" s="406"/>
      <c r="E849" s="409" t="s">
        <v>1361</v>
      </c>
      <c r="F849" s="410" t="s">
        <v>1361</v>
      </c>
      <c r="G849" s="411" t="s">
        <v>1361</v>
      </c>
      <c r="H849" s="188"/>
      <c r="I849" s="434"/>
      <c r="J849" s="84"/>
      <c r="K849" s="84"/>
      <c r="L849" s="84"/>
      <c r="M849" s="84"/>
      <c r="N849" s="84"/>
      <c r="O849" s="84"/>
      <c r="P849" s="84"/>
      <c r="Q849" s="84"/>
      <c r="R849" s="84"/>
      <c r="S849" s="84"/>
      <c r="Y849" s="87"/>
      <c r="Z849" s="87"/>
      <c r="AA849" s="87"/>
      <c r="AB849" s="87"/>
      <c r="AC849" s="87"/>
      <c r="AD849" s="87"/>
      <c r="AE849" s="87"/>
      <c r="AF849" s="87"/>
      <c r="AG849" s="87"/>
      <c r="AH849" s="87"/>
      <c r="AI849" s="87"/>
      <c r="AJ849" s="87"/>
      <c r="AK849" s="87"/>
      <c r="AL849" s="87"/>
      <c r="AM849" s="87"/>
      <c r="AN849" s="87"/>
      <c r="AO849" s="87"/>
      <c r="AP849" s="87"/>
      <c r="AQ849" s="87"/>
      <c r="AR849" s="87"/>
      <c r="AS849" s="87"/>
      <c r="AT849" s="87"/>
      <c r="AU849" s="87"/>
      <c r="AV849" s="87"/>
      <c r="AW849" s="87"/>
      <c r="AX849" s="87"/>
      <c r="AY849" s="87"/>
      <c r="AZ849" s="87"/>
      <c r="BA849" s="87"/>
      <c r="BB849" s="87"/>
      <c r="BC849" s="87"/>
      <c r="BD849" s="87"/>
      <c r="BE849" s="87"/>
      <c r="BF849" s="87"/>
      <c r="BG849" s="87"/>
      <c r="BH849" s="87"/>
      <c r="BI849" s="87"/>
      <c r="BJ849" s="87"/>
      <c r="BK849" s="87"/>
      <c r="BL849" s="87"/>
      <c r="BM849" s="87"/>
      <c r="BN849" s="87"/>
      <c r="BO849" s="87"/>
      <c r="BP849" s="87"/>
      <c r="BQ849" s="87"/>
      <c r="BR849" s="87"/>
      <c r="BS849" s="87"/>
      <c r="BT849" s="87"/>
      <c r="BU849" s="87"/>
      <c r="BV849" s="87"/>
      <c r="BW849" s="87"/>
      <c r="BX849" s="87"/>
      <c r="BY849" s="87"/>
      <c r="BZ849" s="87"/>
      <c r="CA849" s="87"/>
      <c r="CB849" s="87"/>
      <c r="CC849" s="87"/>
      <c r="CD849" s="87"/>
      <c r="CE849" s="87"/>
      <c r="CF849" s="87"/>
      <c r="CG849" s="87"/>
      <c r="CH849" s="428"/>
      <c r="CI849" s="428"/>
      <c r="CJ849" s="428"/>
      <c r="CK849" s="428"/>
      <c r="CL849" s="428"/>
      <c r="CM849" s="428"/>
      <c r="CN849" s="428"/>
      <c r="CO849" s="428"/>
      <c r="CP849" s="428"/>
      <c r="CQ849" s="428"/>
      <c r="CR849" s="428"/>
      <c r="CS849" s="428"/>
      <c r="CT849" s="428"/>
      <c r="CU849" s="428"/>
      <c r="CV849" s="428"/>
      <c r="CW849" s="428"/>
      <c r="CX849" s="428"/>
      <c r="CY849" s="428"/>
      <c r="CZ849" s="428"/>
      <c r="DA849" s="428"/>
      <c r="DB849" s="428"/>
      <c r="DC849" s="428"/>
      <c r="DD849" s="428"/>
      <c r="DE849" s="428"/>
      <c r="DF849" s="428"/>
      <c r="DG849" s="428"/>
      <c r="DH849" s="428"/>
      <c r="DI849" s="87"/>
      <c r="DJ849" s="87"/>
      <c r="DK849" s="87"/>
      <c r="DL849" s="87"/>
      <c r="DM849" s="87"/>
      <c r="DN849" s="87"/>
      <c r="DO849" s="87"/>
      <c r="DP849" s="87"/>
      <c r="DQ849" s="87"/>
      <c r="DR849" s="87"/>
      <c r="DS849" s="87"/>
      <c r="DT849" s="87"/>
      <c r="DU849" s="87"/>
      <c r="DV849" s="87"/>
      <c r="DW849" s="87"/>
      <c r="DX849" s="87"/>
      <c r="DY849" s="87"/>
      <c r="DZ849" s="87"/>
      <c r="EA849" s="87"/>
      <c r="EB849" s="87"/>
      <c r="EC849" s="87"/>
      <c r="ED849" s="87"/>
      <c r="EE849" s="87"/>
      <c r="EF849" s="87"/>
      <c r="EG849" s="87"/>
      <c r="EH849" s="87"/>
      <c r="EI849" s="87"/>
    </row>
    <row r="850" spans="1:139" ht="15.75" x14ac:dyDescent="0.3">
      <c r="A850" s="87"/>
      <c r="B850" s="406" t="s">
        <v>1369</v>
      </c>
      <c r="C850" s="406"/>
      <c r="D850" s="406"/>
      <c r="E850" s="409" t="s">
        <v>1361</v>
      </c>
      <c r="F850" s="410" t="s">
        <v>1361</v>
      </c>
      <c r="G850" s="411" t="s">
        <v>1361</v>
      </c>
      <c r="H850" s="188"/>
      <c r="I850" s="87"/>
      <c r="J850" s="87"/>
      <c r="K850" s="87"/>
      <c r="L850" s="87"/>
      <c r="M850" s="87"/>
      <c r="N850" s="87"/>
      <c r="O850" s="87"/>
      <c r="P850" s="87"/>
      <c r="Q850" s="87"/>
      <c r="R850" s="87"/>
      <c r="S850" s="87"/>
      <c r="Y850" s="87"/>
      <c r="Z850" s="87"/>
      <c r="AA850" s="87"/>
      <c r="AB850" s="87"/>
      <c r="AC850" s="87"/>
      <c r="AD850" s="87"/>
      <c r="AE850" s="87"/>
      <c r="AF850" s="87"/>
      <c r="AG850" s="87"/>
      <c r="AH850" s="87"/>
      <c r="AI850" s="87"/>
      <c r="AJ850" s="87"/>
      <c r="AK850" s="87"/>
      <c r="AL850" s="87"/>
      <c r="AM850" s="87"/>
      <c r="AN850" s="87"/>
      <c r="AO850" s="87"/>
      <c r="AP850" s="87"/>
      <c r="AQ850" s="87"/>
      <c r="AR850" s="87"/>
      <c r="AS850" s="87"/>
      <c r="AT850" s="87"/>
      <c r="AU850" s="87"/>
      <c r="AV850" s="87"/>
      <c r="AW850" s="87"/>
      <c r="AX850" s="87"/>
      <c r="AY850" s="87"/>
      <c r="AZ850" s="87"/>
      <c r="BA850" s="87"/>
      <c r="BB850" s="87"/>
      <c r="BC850" s="87"/>
      <c r="BD850" s="87"/>
      <c r="BE850" s="87"/>
      <c r="BF850" s="87"/>
      <c r="BG850" s="87"/>
      <c r="BH850" s="87"/>
      <c r="BI850" s="87"/>
      <c r="BJ850" s="87"/>
      <c r="BK850" s="87"/>
      <c r="BL850" s="87"/>
      <c r="BM850" s="87"/>
      <c r="BN850" s="87"/>
      <c r="BO850" s="87"/>
      <c r="BP850" s="87"/>
      <c r="BQ850" s="87"/>
      <c r="BR850" s="87"/>
      <c r="BS850" s="87"/>
      <c r="BT850" s="87"/>
      <c r="BU850" s="87"/>
      <c r="BV850" s="87"/>
      <c r="BW850" s="87"/>
      <c r="BX850" s="87"/>
      <c r="BY850" s="87"/>
      <c r="BZ850" s="87"/>
      <c r="CA850" s="87"/>
      <c r="CB850" s="87"/>
      <c r="CC850" s="87"/>
      <c r="CD850" s="87"/>
      <c r="CE850" s="87"/>
      <c r="CF850" s="87"/>
      <c r="CG850" s="87"/>
      <c r="CH850" s="87"/>
      <c r="CI850" s="87"/>
      <c r="CJ850" s="87"/>
      <c r="CK850" s="87"/>
      <c r="CL850" s="87"/>
      <c r="CM850" s="87"/>
      <c r="CN850" s="87"/>
      <c r="CO850" s="87"/>
      <c r="CP850" s="87"/>
      <c r="CQ850" s="87"/>
      <c r="CR850" s="87"/>
      <c r="CS850" s="87"/>
      <c r="CT850" s="87"/>
      <c r="CU850" s="87"/>
      <c r="CV850" s="87"/>
      <c r="CW850" s="87"/>
      <c r="CX850" s="87"/>
      <c r="CY850" s="87"/>
      <c r="CZ850" s="87"/>
      <c r="DA850" s="87"/>
      <c r="DB850" s="87"/>
      <c r="DC850" s="87"/>
      <c r="DD850" s="87"/>
      <c r="DE850" s="87"/>
      <c r="DF850" s="87"/>
      <c r="DG850" s="87"/>
      <c r="DH850" s="87"/>
      <c r="DI850" s="87"/>
      <c r="DJ850" s="87"/>
      <c r="DK850" s="87"/>
      <c r="DL850" s="87"/>
      <c r="DM850" s="87"/>
      <c r="DN850" s="87"/>
      <c r="DO850" s="87"/>
      <c r="DP850" s="87"/>
      <c r="DQ850" s="87"/>
      <c r="DR850" s="87"/>
      <c r="DS850" s="87"/>
      <c r="DT850" s="87"/>
      <c r="DU850" s="87"/>
      <c r="DV850" s="87"/>
      <c r="DW850" s="87"/>
      <c r="DX850" s="87"/>
      <c r="DY850" s="87"/>
      <c r="DZ850" s="87"/>
      <c r="EA850" s="87"/>
      <c r="EB850" s="87"/>
      <c r="EC850" s="87"/>
      <c r="ED850" s="87"/>
      <c r="EE850" s="87"/>
      <c r="EF850" s="87"/>
      <c r="EG850" s="87"/>
      <c r="EH850" s="87"/>
      <c r="EI850" s="87"/>
    </row>
    <row r="851" spans="1:139" ht="15.75" hidden="1" x14ac:dyDescent="0.3">
      <c r="A851" s="435"/>
      <c r="B851" s="436"/>
      <c r="C851" s="437"/>
      <c r="D851" s="438" t="e">
        <f>C851/VLOOKUP(B851,'[2]Gas Prod per PADD'!$A$1:$C$6,2,FALSE)</f>
        <v>#N/A</v>
      </c>
      <c r="E851" s="171"/>
      <c r="F851" s="172"/>
      <c r="G851" s="439"/>
      <c r="H851" s="440"/>
      <c r="I851" s="84"/>
      <c r="J851" s="84"/>
      <c r="K851" s="84"/>
      <c r="L851" s="84"/>
      <c r="M851" s="84"/>
      <c r="N851" s="84"/>
      <c r="O851" s="84"/>
      <c r="P851" s="84"/>
      <c r="Q851" s="84"/>
      <c r="R851" s="84"/>
      <c r="S851" s="84"/>
      <c r="T851" s="84"/>
      <c r="U851" s="84"/>
      <c r="V851" s="84"/>
      <c r="W851" s="84"/>
      <c r="X851" s="84" t="str">
        <f>IF(COUNTA(Y851:EI851)=0,"Missing","OK")</f>
        <v>Missing</v>
      </c>
      <c r="Y851" s="86"/>
      <c r="Z851" s="87"/>
      <c r="AA851" s="87"/>
      <c r="AB851" s="87"/>
      <c r="AC851" s="87"/>
      <c r="AD851" s="87"/>
      <c r="AE851" s="87"/>
      <c r="AF851" s="87"/>
      <c r="AG851" s="87"/>
      <c r="AH851" s="87"/>
      <c r="AI851" s="87"/>
      <c r="AJ851" s="87"/>
      <c r="AK851" s="87"/>
      <c r="AL851" s="87"/>
      <c r="AM851" s="87"/>
      <c r="AN851" s="87"/>
      <c r="AO851" s="87"/>
      <c r="AP851" s="87"/>
      <c r="AQ851" s="87"/>
      <c r="AR851" s="87"/>
      <c r="AS851" s="87"/>
      <c r="AT851" s="87"/>
      <c r="AU851" s="87"/>
      <c r="AV851" s="87"/>
      <c r="AW851" s="87"/>
      <c r="AX851" s="87"/>
      <c r="AY851" s="87"/>
      <c r="AZ851" s="87"/>
      <c r="BA851" s="87"/>
      <c r="BB851" s="87"/>
      <c r="BC851" s="87"/>
      <c r="BD851" s="87"/>
      <c r="BE851" s="87"/>
      <c r="BF851" s="87"/>
      <c r="BG851" s="87"/>
      <c r="BH851" s="87"/>
      <c r="BI851" s="87"/>
      <c r="BJ851" s="105"/>
      <c r="BK851" s="87"/>
      <c r="BL851" s="105"/>
      <c r="BM851" s="87"/>
      <c r="BN851" s="87"/>
      <c r="BO851" s="87"/>
      <c r="BP851" s="87"/>
      <c r="BQ851" s="87"/>
      <c r="BR851" s="87"/>
      <c r="BS851" s="87"/>
      <c r="BT851" s="87"/>
      <c r="BU851" s="87"/>
      <c r="BV851" s="87"/>
      <c r="BW851" s="87"/>
      <c r="BX851" s="87"/>
      <c r="BY851" s="87"/>
      <c r="BZ851" s="87"/>
      <c r="CA851" s="87"/>
      <c r="CB851" s="87"/>
      <c r="CC851" s="87"/>
      <c r="CD851" s="87"/>
      <c r="CE851" s="87"/>
      <c r="CF851" s="87"/>
      <c r="CG851" s="87"/>
      <c r="CH851" s="87"/>
      <c r="CI851" s="87"/>
      <c r="CJ851" s="87"/>
      <c r="CK851" s="87"/>
      <c r="CL851" s="87"/>
      <c r="CM851" s="87"/>
      <c r="CN851" s="87"/>
      <c r="CO851" s="87"/>
      <c r="CP851" s="87"/>
      <c r="CQ851" s="87"/>
      <c r="CR851" s="87"/>
      <c r="CS851" s="87"/>
      <c r="CT851" s="87"/>
      <c r="CU851" s="87"/>
      <c r="CV851" s="87"/>
      <c r="CW851" s="87"/>
      <c r="CX851" s="87"/>
      <c r="CY851" s="87"/>
      <c r="CZ851" s="87"/>
      <c r="DA851" s="87"/>
      <c r="DB851" s="87"/>
      <c r="DC851" s="87"/>
      <c r="DD851" s="87"/>
      <c r="DE851" s="87"/>
      <c r="DF851" s="87"/>
      <c r="DG851" s="87"/>
      <c r="DH851" s="87"/>
      <c r="DI851" s="87"/>
      <c r="DJ851" s="87"/>
      <c r="DK851" s="87"/>
      <c r="DL851" s="87"/>
      <c r="DM851" s="87"/>
      <c r="DN851" s="87"/>
      <c r="DO851" s="87"/>
      <c r="DP851" s="87"/>
      <c r="DQ851" s="87"/>
      <c r="DR851" s="87"/>
      <c r="DS851" s="87"/>
      <c r="DT851" s="87"/>
      <c r="DU851" s="87"/>
      <c r="DV851" s="87"/>
      <c r="DW851" s="87"/>
      <c r="DX851" s="87"/>
      <c r="DY851" s="87"/>
      <c r="DZ851" s="87"/>
      <c r="EA851" s="87"/>
      <c r="EB851" s="87"/>
      <c r="EC851" s="87"/>
      <c r="ED851" s="87"/>
      <c r="EE851" s="87"/>
      <c r="EF851" s="87"/>
      <c r="EG851" s="87"/>
      <c r="EH851" s="87"/>
      <c r="EI851" s="87"/>
    </row>
    <row r="852" spans="1:139" ht="15.75" hidden="1" x14ac:dyDescent="0.3">
      <c r="A852" s="87"/>
      <c r="B852" s="406"/>
      <c r="C852" s="406"/>
      <c r="D852" s="406"/>
      <c r="E852" s="409"/>
      <c r="F852" s="410"/>
      <c r="G852" s="411"/>
      <c r="H852" s="440"/>
      <c r="I852" s="84"/>
      <c r="J852" s="84"/>
      <c r="K852" s="84"/>
      <c r="L852" s="84"/>
      <c r="M852" s="84"/>
      <c r="N852" s="84"/>
      <c r="O852" s="84"/>
      <c r="P852" s="84"/>
      <c r="Q852" s="84"/>
      <c r="R852" s="84"/>
      <c r="S852" s="84"/>
      <c r="T852" s="84"/>
      <c r="U852" s="84"/>
      <c r="V852" s="84"/>
      <c r="W852" s="84"/>
      <c r="X852" s="84"/>
      <c r="Y852" s="87"/>
      <c r="Z852" s="87"/>
      <c r="AA852" s="87"/>
      <c r="AB852" s="87"/>
      <c r="AC852" s="87"/>
      <c r="AD852" s="87"/>
      <c r="AE852" s="87"/>
      <c r="AF852" s="87"/>
      <c r="AG852" s="87"/>
      <c r="AH852" s="74" t="e">
        <f>#REF!</f>
        <v>#REF!</v>
      </c>
      <c r="AI852" s="74" t="e">
        <f>#REF!</f>
        <v>#REF!</v>
      </c>
      <c r="AJ852" s="74" t="e">
        <f>#REF!</f>
        <v>#REF!</v>
      </c>
      <c r="AK852" s="74" t="e">
        <f>#REF!</f>
        <v>#REF!</v>
      </c>
      <c r="AL852" s="74" t="e">
        <f>#REF!</f>
        <v>#REF!</v>
      </c>
      <c r="AM852" s="74" t="e">
        <f>#REF!</f>
        <v>#REF!</v>
      </c>
      <c r="AN852" s="74" t="e">
        <f>#REF!</f>
        <v>#REF!</v>
      </c>
      <c r="AO852" s="74" t="e">
        <f>#REF!</f>
        <v>#REF!</v>
      </c>
      <c r="AP852" s="74" t="e">
        <f>#REF!</f>
        <v>#REF!</v>
      </c>
      <c r="AQ852" s="74" t="e">
        <f>#REF!</f>
        <v>#REF!</v>
      </c>
      <c r="AR852" s="74" t="e">
        <f>#REF!</f>
        <v>#REF!</v>
      </c>
      <c r="AS852" s="74" t="e">
        <f>#REF!</f>
        <v>#REF!</v>
      </c>
      <c r="AT852" s="74" t="e">
        <f>#REF!</f>
        <v>#REF!</v>
      </c>
      <c r="AU852" s="74" t="e">
        <f>#REF!</f>
        <v>#REF!</v>
      </c>
      <c r="AV852" s="74" t="e">
        <f>#REF!</f>
        <v>#REF!</v>
      </c>
      <c r="AW852" s="74" t="e">
        <f>#REF!</f>
        <v>#REF!</v>
      </c>
      <c r="AX852" s="74" t="e">
        <f>#REF!</f>
        <v>#REF!</v>
      </c>
      <c r="AY852" s="74" t="e">
        <f>#REF!</f>
        <v>#REF!</v>
      </c>
      <c r="AZ852" s="74" t="e">
        <f>#REF!</f>
        <v>#REF!</v>
      </c>
      <c r="BA852" s="74" t="e">
        <f>#REF!</f>
        <v>#REF!</v>
      </c>
      <c r="BB852" s="74" t="e">
        <f>#REF!</f>
        <v>#REF!</v>
      </c>
      <c r="BC852" s="74" t="e">
        <f>#REF!</f>
        <v>#REF!</v>
      </c>
      <c r="BD852" s="74" t="e">
        <f>#REF!</f>
        <v>#REF!</v>
      </c>
      <c r="BE852" s="74" t="e">
        <f>#REF!</f>
        <v>#REF!</v>
      </c>
      <c r="BF852" s="74" t="e">
        <f>#REF!</f>
        <v>#REF!</v>
      </c>
      <c r="BG852" s="74" t="e">
        <f>#REF!</f>
        <v>#REF!</v>
      </c>
      <c r="BH852" s="74" t="e">
        <f>#REF!</f>
        <v>#REF!</v>
      </c>
      <c r="BI852" s="74" t="e">
        <f>#REF!</f>
        <v>#REF!</v>
      </c>
      <c r="BJ852" s="87"/>
      <c r="BK852" s="87"/>
      <c r="BL852" s="87"/>
      <c r="BM852" s="87"/>
      <c r="BN852" s="87"/>
      <c r="BO852" s="87"/>
      <c r="BP852" s="87"/>
      <c r="BQ852" s="87"/>
      <c r="BR852" s="87"/>
      <c r="BS852" s="87"/>
      <c r="BT852" s="87"/>
      <c r="BU852" s="87"/>
      <c r="BV852" s="87"/>
      <c r="BW852" s="87"/>
      <c r="BX852" s="87"/>
      <c r="BY852" s="87"/>
      <c r="BZ852" s="87"/>
      <c r="CA852" s="87"/>
      <c r="CB852" s="87"/>
      <c r="CC852" s="87"/>
      <c r="CD852" s="87"/>
      <c r="CE852" s="87"/>
      <c r="CF852" s="87"/>
      <c r="CG852" s="87"/>
      <c r="CH852" s="87"/>
      <c r="CI852" s="87"/>
      <c r="CJ852" s="87"/>
      <c r="CK852" s="87"/>
      <c r="CL852" s="87"/>
      <c r="CM852" s="87"/>
      <c r="CN852" s="87"/>
      <c r="CO852" s="87"/>
      <c r="CP852" s="87"/>
      <c r="CQ852" s="87"/>
      <c r="CR852" s="87"/>
      <c r="CS852" s="87"/>
      <c r="CT852" s="87"/>
      <c r="CU852" s="87"/>
      <c r="CV852" s="87"/>
      <c r="CW852" s="87"/>
      <c r="CX852" s="87"/>
      <c r="CY852" s="87"/>
      <c r="CZ852" s="87"/>
      <c r="DA852" s="87"/>
      <c r="DB852" s="87"/>
      <c r="DC852" s="87"/>
      <c r="DD852" s="87"/>
      <c r="DE852" s="87"/>
      <c r="DF852" s="87"/>
      <c r="DG852" s="87"/>
      <c r="DH852" s="87"/>
      <c r="DI852" s="87"/>
      <c r="DJ852" s="87"/>
      <c r="DK852" s="87"/>
      <c r="DL852" s="87"/>
      <c r="DM852" s="87"/>
      <c r="DN852" s="87"/>
      <c r="DO852" s="87"/>
      <c r="DP852" s="87"/>
      <c r="DQ852" s="87"/>
      <c r="DR852" s="87"/>
      <c r="DS852" s="87"/>
      <c r="DT852" s="87"/>
      <c r="DU852" s="87"/>
      <c r="DV852" s="87"/>
      <c r="DW852" s="87"/>
      <c r="DX852" s="87"/>
      <c r="DY852" s="87"/>
      <c r="DZ852" s="87"/>
      <c r="EA852" s="87"/>
      <c r="EB852" s="87"/>
      <c r="EC852" s="87"/>
      <c r="ED852" s="87"/>
      <c r="EE852" s="87"/>
      <c r="EF852" s="87"/>
      <c r="EG852" s="87"/>
      <c r="EH852" s="87"/>
      <c r="EI852" s="87"/>
    </row>
    <row r="853" spans="1:139" ht="15.75" x14ac:dyDescent="0.3">
      <c r="F853" s="442"/>
      <c r="G853" s="443"/>
      <c r="I853"/>
      <c r="J853" s="84"/>
      <c r="K853"/>
      <c r="L853"/>
      <c r="M853"/>
      <c r="N853"/>
      <c r="O853"/>
      <c r="P853"/>
      <c r="Q853"/>
      <c r="R853"/>
      <c r="S853"/>
      <c r="DD853">
        <f>-3/7*C730</f>
        <v>-1.5</v>
      </c>
      <c r="DE853">
        <f>-DD853</f>
        <v>1.5</v>
      </c>
    </row>
    <row r="854" spans="1:139" x14ac:dyDescent="0.25">
      <c r="C854" s="20" t="s">
        <v>107</v>
      </c>
      <c r="D854" s="20" t="s">
        <v>1404</v>
      </c>
      <c r="E854" s="441" t="s">
        <v>1405</v>
      </c>
      <c r="F854" s="442"/>
      <c r="G854" s="443"/>
      <c r="I854"/>
      <c r="J854"/>
      <c r="K854"/>
      <c r="L854"/>
      <c r="M854"/>
      <c r="N854"/>
      <c r="O854"/>
      <c r="P854"/>
      <c r="Q854"/>
      <c r="R854"/>
      <c r="S854"/>
    </row>
    <row r="855" spans="1:139" x14ac:dyDescent="0.25">
      <c r="C855" s="20">
        <v>1</v>
      </c>
      <c r="D855" s="20">
        <v>480</v>
      </c>
      <c r="E855" s="441">
        <v>450</v>
      </c>
      <c r="G855" s="443"/>
      <c r="I855"/>
      <c r="J855"/>
      <c r="K855"/>
      <c r="L855"/>
      <c r="M855"/>
      <c r="N855"/>
      <c r="O855"/>
      <c r="P855"/>
      <c r="Q855"/>
      <c r="R855"/>
      <c r="S855"/>
    </row>
    <row r="856" spans="1:139" x14ac:dyDescent="0.25">
      <c r="C856" s="20">
        <v>2</v>
      </c>
      <c r="D856" s="20">
        <v>2400</v>
      </c>
      <c r="E856" s="441">
        <v>2180</v>
      </c>
      <c r="G856" s="443"/>
      <c r="I856"/>
      <c r="J856"/>
      <c r="K856"/>
      <c r="L856"/>
      <c r="M856"/>
      <c r="N856"/>
      <c r="O856"/>
      <c r="P856"/>
      <c r="Q856"/>
      <c r="R856"/>
      <c r="S856"/>
    </row>
    <row r="857" spans="1:139" x14ac:dyDescent="0.25">
      <c r="C857" s="20">
        <v>3</v>
      </c>
      <c r="D857" s="20">
        <v>4600</v>
      </c>
      <c r="E857" s="441">
        <v>4380</v>
      </c>
      <c r="G857" s="443"/>
      <c r="I857"/>
      <c r="J857"/>
      <c r="K857"/>
      <c r="L857"/>
      <c r="M857"/>
      <c r="N857"/>
      <c r="O857"/>
      <c r="P857"/>
      <c r="Q857"/>
      <c r="R857"/>
      <c r="S857"/>
    </row>
    <row r="858" spans="1:139" x14ac:dyDescent="0.25">
      <c r="C858" s="20">
        <v>4</v>
      </c>
      <c r="D858" s="20">
        <v>340</v>
      </c>
      <c r="E858" s="441">
        <v>315</v>
      </c>
      <c r="F858" s="446"/>
      <c r="G858" s="447"/>
      <c r="I858"/>
      <c r="J858"/>
      <c r="K858"/>
      <c r="L858"/>
      <c r="M858"/>
      <c r="N858"/>
      <c r="O858"/>
      <c r="P858"/>
      <c r="Q858"/>
      <c r="R858"/>
      <c r="S858"/>
    </row>
    <row r="859" spans="1:139" x14ac:dyDescent="0.25">
      <c r="C859" s="20">
        <v>5</v>
      </c>
      <c r="D859" s="20">
        <v>1350</v>
      </c>
      <c r="E859" s="441">
        <v>1300</v>
      </c>
      <c r="G859" s="443"/>
      <c r="I859"/>
      <c r="J859"/>
      <c r="K859"/>
      <c r="L859"/>
      <c r="M859"/>
      <c r="N859"/>
      <c r="O859"/>
      <c r="P859"/>
      <c r="Q859"/>
      <c r="R859"/>
      <c r="S859"/>
    </row>
    <row r="860" spans="1:139" x14ac:dyDescent="0.25">
      <c r="G860" s="443"/>
      <c r="AI860" s="448" t="s">
        <v>1391</v>
      </c>
    </row>
    <row r="861" spans="1:139" x14ac:dyDescent="0.25">
      <c r="G861" s="443"/>
    </row>
    <row r="862" spans="1:139" x14ac:dyDescent="0.25">
      <c r="G862" s="443"/>
    </row>
    <row r="863" spans="1:139" x14ac:dyDescent="0.25">
      <c r="G863" s="443"/>
    </row>
    <row r="864" spans="1:139" x14ac:dyDescent="0.25">
      <c r="B864"/>
      <c r="C864"/>
      <c r="D864"/>
      <c r="E864"/>
      <c r="F864"/>
      <c r="G864" s="443"/>
    </row>
    <row r="865" spans="2:55" x14ac:dyDescent="0.25">
      <c r="B865"/>
      <c r="C865"/>
      <c r="D865"/>
      <c r="E865"/>
      <c r="F865"/>
      <c r="G865" s="443"/>
    </row>
    <row r="866" spans="2:55" x14ac:dyDescent="0.25">
      <c r="B866"/>
      <c r="C866"/>
      <c r="D866"/>
      <c r="E866"/>
      <c r="F866"/>
      <c r="G866" s="443"/>
      <c r="AY866" s="449"/>
      <c r="AZ866" s="449"/>
      <c r="BA866" s="449"/>
      <c r="BB866" s="449"/>
      <c r="BC866" s="449"/>
    </row>
    <row r="867" spans="2:55" x14ac:dyDescent="0.25">
      <c r="B867"/>
      <c r="C867"/>
      <c r="D867"/>
      <c r="E867"/>
      <c r="F867"/>
      <c r="G867" s="443"/>
    </row>
    <row r="868" spans="2:55" x14ac:dyDescent="0.25">
      <c r="B868"/>
      <c r="C868"/>
      <c r="D868"/>
      <c r="E868"/>
      <c r="F868"/>
      <c r="G868" s="443"/>
    </row>
    <row r="869" spans="2:55" x14ac:dyDescent="0.25">
      <c r="B869"/>
      <c r="C869"/>
      <c r="D869"/>
      <c r="E869"/>
      <c r="F869"/>
      <c r="G869" s="443"/>
    </row>
    <row r="870" spans="2:55" x14ac:dyDescent="0.25">
      <c r="B870"/>
      <c r="C870"/>
      <c r="D870"/>
      <c r="E870"/>
      <c r="F870"/>
      <c r="G870" s="443"/>
    </row>
    <row r="871" spans="2:55" x14ac:dyDescent="0.25">
      <c r="B871"/>
      <c r="C871"/>
      <c r="D871"/>
      <c r="E871"/>
      <c r="F871"/>
      <c r="G871" s="443"/>
    </row>
    <row r="872" spans="2:55" x14ac:dyDescent="0.25">
      <c r="B872"/>
      <c r="C872"/>
      <c r="D872"/>
      <c r="E872"/>
      <c r="F872"/>
      <c r="G872" s="443"/>
    </row>
    <row r="873" spans="2:55" x14ac:dyDescent="0.25">
      <c r="B873"/>
      <c r="C873"/>
      <c r="D873"/>
      <c r="E873"/>
      <c r="F873"/>
      <c r="G873" s="443"/>
      <c r="I873"/>
      <c r="J873"/>
      <c r="K873"/>
      <c r="L873"/>
      <c r="M873"/>
      <c r="N873"/>
      <c r="O873"/>
      <c r="P873"/>
      <c r="Q873"/>
      <c r="R873"/>
      <c r="S873"/>
    </row>
    <row r="874" spans="2:55" x14ac:dyDescent="0.25">
      <c r="B874"/>
      <c r="C874"/>
      <c r="D874"/>
      <c r="E874"/>
      <c r="F874"/>
      <c r="G874" s="443"/>
      <c r="I874"/>
      <c r="J874"/>
      <c r="K874"/>
      <c r="L874"/>
      <c r="M874"/>
      <c r="N874"/>
      <c r="O874"/>
      <c r="P874"/>
      <c r="Q874"/>
      <c r="R874"/>
      <c r="S874"/>
    </row>
    <row r="875" spans="2:55" x14ac:dyDescent="0.25">
      <c r="B875"/>
      <c r="C875"/>
      <c r="D875"/>
      <c r="E875"/>
      <c r="F875"/>
      <c r="G875" s="443"/>
    </row>
    <row r="876" spans="2:55" x14ac:dyDescent="0.25">
      <c r="B876"/>
      <c r="C876"/>
      <c r="D876"/>
      <c r="E876"/>
      <c r="F876"/>
      <c r="G876" s="443"/>
    </row>
    <row r="877" spans="2:55" x14ac:dyDescent="0.25">
      <c r="B877"/>
      <c r="C877"/>
      <c r="D877"/>
      <c r="E877"/>
      <c r="F877"/>
      <c r="G877" s="443"/>
    </row>
    <row r="878" spans="2:55" x14ac:dyDescent="0.25">
      <c r="B878"/>
      <c r="C878"/>
      <c r="D878"/>
      <c r="E878"/>
      <c r="F878"/>
      <c r="G878" s="443"/>
    </row>
    <row r="880" spans="2:55" x14ac:dyDescent="0.25">
      <c r="B880"/>
      <c r="C880"/>
      <c r="D880"/>
      <c r="E880"/>
      <c r="F880" s="442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  <c r="V880"/>
      <c r="W880"/>
      <c r="X880"/>
    </row>
  </sheetData>
  <autoFilter ref="A1:EI852" xr:uid="{00000000-0009-0000-0000-00005C000000}">
    <filterColumn colId="4">
      <filters>
        <filter val="X"/>
        <dateGroupItem year="2024" month="2" dateTimeGrouping="month"/>
        <dateGroupItem year="2024" month="3" dateTimeGrouping="month"/>
      </filters>
    </filterColumn>
    <filterColumn colId="5">
      <filters>
        <filter val="X"/>
        <dateGroupItem year="2024" month="3" dateTimeGrouping="month"/>
        <dateGroupItem year="2024" month="4" dateTimeGrouping="month"/>
      </filters>
    </filterColumn>
  </autoFilter>
  <hyperlinks>
    <hyperlink ref="I595" r:id="rId1" xr:uid="{135650F7-9ECC-47BB-8494-902ABE35D536}"/>
  </hyperlinks>
  <pageMargins left="0.7" right="0.7" top="0.75" bottom="0.75" header="0.3" footer="0.3"/>
  <pageSetup orientation="portrait"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E32FA-61A0-48F0-B444-EA06B1349ED2}">
  <sheetPr codeName="Sheet13"/>
  <dimension ref="A1:AP158"/>
  <sheetViews>
    <sheetView topLeftCell="A100" zoomScale="85" workbookViewId="0">
      <selection activeCell="H120" sqref="H120"/>
    </sheetView>
  </sheetViews>
  <sheetFormatPr defaultRowHeight="15" x14ac:dyDescent="0.25"/>
  <cols>
    <col min="1" max="1" width="58.42578125" bestFit="1" customWidth="1"/>
    <col min="2" max="2" width="11.42578125" customWidth="1"/>
    <col min="3" max="3" width="8.85546875" customWidth="1"/>
    <col min="4" max="4" width="9" customWidth="1"/>
    <col min="5" max="5" width="7" customWidth="1"/>
    <col min="6" max="6" width="5.140625" bestFit="1" customWidth="1"/>
    <col min="7" max="7" width="6.5703125" customWidth="1"/>
    <col min="8" max="8" width="7.7109375" customWidth="1"/>
    <col min="9" max="9" width="4.42578125" bestFit="1" customWidth="1"/>
    <col min="10" max="10" width="4" bestFit="1" customWidth="1"/>
    <col min="11" max="11" width="4.5703125" bestFit="1" customWidth="1"/>
    <col min="12" max="12" width="9.85546875" bestFit="1" customWidth="1"/>
    <col min="13" max="13" width="11.28515625" bestFit="1" customWidth="1"/>
    <col min="14" max="20" width="8.85546875" bestFit="1" customWidth="1"/>
    <col min="21" max="23" width="9.85546875" bestFit="1" customWidth="1"/>
    <col min="24" max="28" width="8.85546875" bestFit="1" customWidth="1"/>
    <col min="29" max="31" width="9.85546875" bestFit="1" customWidth="1"/>
    <col min="32" max="32" width="11.28515625" bestFit="1" customWidth="1"/>
  </cols>
  <sheetData>
    <row r="1" spans="1:42" x14ac:dyDescent="0.25">
      <c r="A1" s="1" t="s">
        <v>78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x14ac:dyDescent="0.25">
      <c r="A2" s="1"/>
      <c r="B2" s="1" t="s">
        <v>1396</v>
      </c>
      <c r="C2" s="452" t="s">
        <v>1397</v>
      </c>
      <c r="D2" s="1" t="s">
        <v>100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452" t="s">
        <v>1398</v>
      </c>
      <c r="Q2" s="1" t="s">
        <v>101</v>
      </c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452" t="s">
        <v>1399</v>
      </c>
      <c r="AD2" s="1" t="s">
        <v>92</v>
      </c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452" t="s">
        <v>1400</v>
      </c>
    </row>
    <row r="3" spans="1:42" x14ac:dyDescent="0.25">
      <c r="A3" s="2" t="s">
        <v>2</v>
      </c>
      <c r="B3" s="2" t="s">
        <v>1396</v>
      </c>
      <c r="C3" s="453"/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45</v>
      </c>
      <c r="K3" s="2" t="s">
        <v>46</v>
      </c>
      <c r="L3" s="2" t="s">
        <v>9</v>
      </c>
      <c r="M3" s="2" t="s">
        <v>10</v>
      </c>
      <c r="N3" s="2" t="s">
        <v>11</v>
      </c>
      <c r="O3" s="2" t="s">
        <v>12</v>
      </c>
      <c r="P3" s="453"/>
      <c r="Q3" s="2" t="s">
        <v>3</v>
      </c>
      <c r="R3" s="2" t="s">
        <v>4</v>
      </c>
      <c r="S3" s="2" t="s">
        <v>5</v>
      </c>
      <c r="T3" s="2" t="s">
        <v>6</v>
      </c>
      <c r="U3" s="2" t="s">
        <v>7</v>
      </c>
      <c r="V3" s="2" t="s">
        <v>8</v>
      </c>
      <c r="W3" s="2" t="s">
        <v>45</v>
      </c>
      <c r="X3" s="2" t="s">
        <v>46</v>
      </c>
      <c r="Y3" s="2" t="s">
        <v>9</v>
      </c>
      <c r="Z3" s="2" t="s">
        <v>10</v>
      </c>
      <c r="AA3" s="2" t="s">
        <v>11</v>
      </c>
      <c r="AB3" s="2" t="s">
        <v>12</v>
      </c>
      <c r="AC3" s="453"/>
      <c r="AD3" s="2" t="s">
        <v>3</v>
      </c>
      <c r="AE3" s="2" t="s">
        <v>4</v>
      </c>
      <c r="AF3" s="2" t="s">
        <v>5</v>
      </c>
      <c r="AG3" s="2" t="s">
        <v>6</v>
      </c>
      <c r="AH3" s="2" t="s">
        <v>7</v>
      </c>
      <c r="AI3" s="2" t="s">
        <v>8</v>
      </c>
      <c r="AJ3" s="2" t="s">
        <v>45</v>
      </c>
      <c r="AK3" s="2" t="s">
        <v>46</v>
      </c>
      <c r="AL3" s="2" t="s">
        <v>9</v>
      </c>
      <c r="AM3" s="2" t="s">
        <v>10</v>
      </c>
      <c r="AN3" s="2" t="s">
        <v>11</v>
      </c>
      <c r="AO3" s="2" t="s">
        <v>12</v>
      </c>
      <c r="AP3" s="453"/>
    </row>
    <row r="4" spans="1:42" x14ac:dyDescent="0.25">
      <c r="A4" s="4">
        <v>1</v>
      </c>
      <c r="B4" s="51"/>
      <c r="C4" s="454"/>
      <c r="D4" s="51"/>
      <c r="E4" s="51">
        <v>0</v>
      </c>
      <c r="F4" s="51">
        <v>44.853333333000002</v>
      </c>
      <c r="G4" s="51">
        <v>29.046666667</v>
      </c>
      <c r="H4" s="51">
        <v>8.1612903225806459</v>
      </c>
      <c r="I4" s="51">
        <v>0</v>
      </c>
      <c r="J4" s="51"/>
      <c r="K4" s="51"/>
      <c r="L4" s="51">
        <v>34.450000000000003</v>
      </c>
      <c r="M4" s="51">
        <v>16.66935483870968</v>
      </c>
      <c r="N4" s="51">
        <v>2.3333333333333335</v>
      </c>
      <c r="O4" s="51"/>
      <c r="P4" s="454">
        <v>135.51397849462367</v>
      </c>
      <c r="Q4" s="51">
        <v>0.61935483870967745</v>
      </c>
      <c r="R4" s="51">
        <v>25.481249999999999</v>
      </c>
      <c r="S4" s="51">
        <v>32.842741935483872</v>
      </c>
      <c r="T4" s="51">
        <v>6.5983333333333345</v>
      </c>
      <c r="U4" s="51">
        <v>5.5750000000000002</v>
      </c>
      <c r="V4" s="51">
        <v>12.325833333333332</v>
      </c>
      <c r="W4" s="51"/>
      <c r="X4" s="51"/>
      <c r="Y4" s="51">
        <v>1.8420000000000001</v>
      </c>
      <c r="Z4" s="51">
        <v>1.584516129032258</v>
      </c>
      <c r="AA4" s="51"/>
      <c r="AB4" s="51"/>
      <c r="AC4" s="454">
        <v>86.869029569892476</v>
      </c>
      <c r="AD4" s="51"/>
      <c r="AE4" s="51"/>
      <c r="AF4" s="51"/>
      <c r="AG4" s="51">
        <v>32.299999999999997</v>
      </c>
      <c r="AH4" s="51"/>
      <c r="AI4" s="51"/>
      <c r="AJ4" s="51"/>
      <c r="AK4" s="51"/>
      <c r="AL4" s="51"/>
      <c r="AM4" s="51"/>
      <c r="AN4" s="51"/>
      <c r="AO4" s="51"/>
      <c r="AP4" s="454">
        <v>32.299999999999997</v>
      </c>
    </row>
    <row r="5" spans="1:42" x14ac:dyDescent="0.25">
      <c r="A5" s="4">
        <v>2</v>
      </c>
      <c r="B5" s="51"/>
      <c r="C5" s="454"/>
      <c r="D5" s="51"/>
      <c r="E5" s="51">
        <v>13.6</v>
      </c>
      <c r="F5" s="51">
        <v>134.09944086054838</v>
      </c>
      <c r="G5" s="51">
        <v>343.47233333220458</v>
      </c>
      <c r="H5" s="51">
        <v>148.09725806451615</v>
      </c>
      <c r="I5" s="51"/>
      <c r="J5" s="51">
        <v>3.916666666666667</v>
      </c>
      <c r="K5" s="51">
        <v>0</v>
      </c>
      <c r="L5" s="51">
        <v>212.34333333333331</v>
      </c>
      <c r="M5" s="51">
        <v>347.7645161290323</v>
      </c>
      <c r="N5" s="51">
        <v>43.561666666666667</v>
      </c>
      <c r="O5" s="51"/>
      <c r="P5" s="454">
        <v>1246.8552150529681</v>
      </c>
      <c r="Q5" s="51">
        <v>8.637096774193548</v>
      </c>
      <c r="R5" s="51">
        <v>36.455357142857146</v>
      </c>
      <c r="S5" s="51">
        <v>280.16212903225806</v>
      </c>
      <c r="T5" s="51">
        <v>383.54150000000004</v>
      </c>
      <c r="U5" s="51">
        <v>110.88064516129032</v>
      </c>
      <c r="V5" s="51">
        <v>45.25</v>
      </c>
      <c r="W5" s="51">
        <v>36.193548387096776</v>
      </c>
      <c r="X5" s="51">
        <v>42.25</v>
      </c>
      <c r="Y5" s="51">
        <v>177.59833333333336</v>
      </c>
      <c r="Z5" s="51">
        <v>105.96370967741936</v>
      </c>
      <c r="AA5" s="51">
        <v>4.293333333333333</v>
      </c>
      <c r="AB5" s="51"/>
      <c r="AC5" s="454">
        <v>1231.225652841782</v>
      </c>
      <c r="AD5" s="51"/>
      <c r="AE5" s="51">
        <v>146.72142857142859</v>
      </c>
      <c r="AF5" s="51">
        <v>155.92822580645159</v>
      </c>
      <c r="AG5" s="51">
        <v>148.97166666666666</v>
      </c>
      <c r="AH5" s="51">
        <v>23.029838709677421</v>
      </c>
      <c r="AI5" s="51"/>
      <c r="AJ5" s="51"/>
      <c r="AK5" s="51"/>
      <c r="AL5" s="51">
        <v>10.791666666666666</v>
      </c>
      <c r="AM5" s="51">
        <v>64.75</v>
      </c>
      <c r="AN5" s="51">
        <v>6.4750000000000005</v>
      </c>
      <c r="AO5" s="51"/>
      <c r="AP5" s="454">
        <v>556.66782642089095</v>
      </c>
    </row>
    <row r="6" spans="1:42" x14ac:dyDescent="0.25">
      <c r="A6" s="4">
        <v>3</v>
      </c>
      <c r="B6" s="51"/>
      <c r="C6" s="454"/>
      <c r="D6" s="51">
        <v>343.11774193548388</v>
      </c>
      <c r="E6" s="51">
        <v>604.06280232003814</v>
      </c>
      <c r="F6" s="51">
        <v>235.24526140155726</v>
      </c>
      <c r="G6" s="51">
        <v>78.808333333333337</v>
      </c>
      <c r="H6" s="51">
        <v>22.754999999999999</v>
      </c>
      <c r="I6" s="51">
        <v>59.156666666666666</v>
      </c>
      <c r="J6" s="51">
        <v>56.45967741935484</v>
      </c>
      <c r="K6" s="51">
        <v>107.75790322580644</v>
      </c>
      <c r="L6" s="51">
        <v>178.73000000066662</v>
      </c>
      <c r="M6" s="51">
        <v>290.52790322580643</v>
      </c>
      <c r="N6" s="51">
        <v>76.954499999999996</v>
      </c>
      <c r="O6" s="51"/>
      <c r="P6" s="454">
        <v>2053.5757895287138</v>
      </c>
      <c r="Q6" s="51">
        <v>288.69032258064516</v>
      </c>
      <c r="R6" s="51">
        <v>293.5410714285714</v>
      </c>
      <c r="S6" s="51">
        <v>222.98024193548389</v>
      </c>
      <c r="T6" s="51">
        <v>147.22666666633333</v>
      </c>
      <c r="U6" s="51">
        <v>34.555903225806446</v>
      </c>
      <c r="V6" s="51">
        <v>17.93333333333333</v>
      </c>
      <c r="W6" s="51">
        <v>1.8580645161290321</v>
      </c>
      <c r="X6" s="51"/>
      <c r="Y6" s="51">
        <v>195.60533333333333</v>
      </c>
      <c r="Z6" s="51">
        <v>321.95806451612896</v>
      </c>
      <c r="AA6" s="51">
        <v>40.338333333333338</v>
      </c>
      <c r="AB6" s="51"/>
      <c r="AC6" s="454">
        <v>1564.6873348690981</v>
      </c>
      <c r="AD6" s="51">
        <v>246.11532258064508</v>
      </c>
      <c r="AE6" s="51">
        <v>386.82678571428579</v>
      </c>
      <c r="AF6" s="51">
        <v>206.43467741935484</v>
      </c>
      <c r="AG6" s="51">
        <v>38.385833333333331</v>
      </c>
      <c r="AH6" s="51">
        <v>9.939516129032258</v>
      </c>
      <c r="AI6" s="51">
        <v>2.75</v>
      </c>
      <c r="AJ6" s="51">
        <v>0.91935483870967749</v>
      </c>
      <c r="AK6" s="51">
        <v>1.0999999999999999</v>
      </c>
      <c r="AL6" s="51"/>
      <c r="AM6" s="51"/>
      <c r="AN6" s="51"/>
      <c r="AO6" s="51"/>
      <c r="AP6" s="454">
        <v>892.47149001536104</v>
      </c>
    </row>
    <row r="7" spans="1:42" x14ac:dyDescent="0.25">
      <c r="A7" s="4">
        <v>4</v>
      </c>
      <c r="B7" s="51"/>
      <c r="C7" s="454"/>
      <c r="D7" s="51"/>
      <c r="E7" s="51">
        <v>38.145517241379309</v>
      </c>
      <c r="F7" s="51">
        <v>42.190967741935481</v>
      </c>
      <c r="G7" s="51">
        <v>16.006666667000001</v>
      </c>
      <c r="H7" s="51">
        <v>5.6666666669999994</v>
      </c>
      <c r="I7" s="51"/>
      <c r="J7" s="51"/>
      <c r="K7" s="51">
        <v>3</v>
      </c>
      <c r="L7" s="51">
        <v>12.721333333</v>
      </c>
      <c r="M7" s="51">
        <v>3.1620000000000004</v>
      </c>
      <c r="N7" s="51">
        <v>0</v>
      </c>
      <c r="O7" s="51"/>
      <c r="P7" s="454">
        <v>120.89315165031481</v>
      </c>
      <c r="Q7" s="51">
        <v>10.709999999999997</v>
      </c>
      <c r="R7" s="51">
        <v>17.815714285714286</v>
      </c>
      <c r="S7" s="51">
        <v>8.1951612903225808</v>
      </c>
      <c r="T7" s="51">
        <v>25.166666666666668</v>
      </c>
      <c r="U7" s="51">
        <v>9.5727419354838723</v>
      </c>
      <c r="V7" s="51"/>
      <c r="W7" s="51"/>
      <c r="X7" s="51"/>
      <c r="Y7" s="51">
        <v>5.0583333333333327</v>
      </c>
      <c r="Z7" s="51">
        <v>3.8506451612903225</v>
      </c>
      <c r="AA7" s="51"/>
      <c r="AB7" s="51">
        <v>2.9516129032258061</v>
      </c>
      <c r="AC7" s="454">
        <v>83.320875576036869</v>
      </c>
      <c r="AD7" s="51"/>
      <c r="AE7" s="51">
        <v>18.75</v>
      </c>
      <c r="AF7" s="51">
        <v>75.589838709677409</v>
      </c>
      <c r="AG7" s="51">
        <v>64.99102688172043</v>
      </c>
      <c r="AH7" s="51">
        <v>3.0141935483870967</v>
      </c>
      <c r="AI7" s="51"/>
      <c r="AJ7" s="51"/>
      <c r="AK7" s="51"/>
      <c r="AL7" s="51"/>
      <c r="AM7" s="51">
        <v>6.887096774193548</v>
      </c>
      <c r="AN7" s="51">
        <v>15.25</v>
      </c>
      <c r="AO7" s="51">
        <v>2.9516129032258065</v>
      </c>
      <c r="AP7" s="454">
        <v>187.43376881720425</v>
      </c>
    </row>
    <row r="8" spans="1:42" x14ac:dyDescent="0.25">
      <c r="A8" s="4">
        <v>5</v>
      </c>
      <c r="B8" s="51"/>
      <c r="C8" s="454"/>
      <c r="D8" s="51">
        <v>33.188709677419354</v>
      </c>
      <c r="E8" s="51">
        <v>51.103448275862078</v>
      </c>
      <c r="F8" s="51">
        <v>71.543333332999993</v>
      </c>
      <c r="G8" s="51">
        <v>105.24333333366667</v>
      </c>
      <c r="H8" s="51">
        <v>161.9583870967742</v>
      </c>
      <c r="I8" s="51">
        <v>48.173333333333332</v>
      </c>
      <c r="J8" s="51"/>
      <c r="K8" s="51">
        <v>21.429032258064517</v>
      </c>
      <c r="L8" s="51">
        <v>4.95</v>
      </c>
      <c r="M8" s="51">
        <v>4.080645161290323</v>
      </c>
      <c r="N8" s="51"/>
      <c r="O8" s="51">
        <v>6.4580645161290322</v>
      </c>
      <c r="P8" s="454">
        <v>508.12828698553943</v>
      </c>
      <c r="Q8" s="51">
        <v>38.525806451612908</v>
      </c>
      <c r="R8" s="51">
        <v>67.828571428571422</v>
      </c>
      <c r="S8" s="51">
        <v>180.20645161290324</v>
      </c>
      <c r="T8" s="51">
        <v>109.64833333333331</v>
      </c>
      <c r="U8" s="51">
        <v>72.732258064516117</v>
      </c>
      <c r="V8" s="51"/>
      <c r="W8" s="51">
        <v>14.483870967741934</v>
      </c>
      <c r="X8" s="51">
        <v>2.5741935483870968</v>
      </c>
      <c r="Y8" s="51">
        <v>82.603333333333339</v>
      </c>
      <c r="Z8" s="51">
        <v>167.38516129032257</v>
      </c>
      <c r="AA8" s="51">
        <v>149.91999999999999</v>
      </c>
      <c r="AB8" s="51">
        <v>93.574516129032247</v>
      </c>
      <c r="AC8" s="454">
        <v>979.48249615975419</v>
      </c>
      <c r="AD8" s="51">
        <v>25.909677419354839</v>
      </c>
      <c r="AE8" s="51">
        <v>8.3725000000000005</v>
      </c>
      <c r="AF8" s="51">
        <v>11.34</v>
      </c>
      <c r="AG8" s="51">
        <v>118.53933333333332</v>
      </c>
      <c r="AH8" s="51">
        <v>129.53408602150537</v>
      </c>
      <c r="AI8" s="51">
        <v>117.55666666666666</v>
      </c>
      <c r="AJ8" s="51">
        <v>103.05</v>
      </c>
      <c r="AK8" s="51">
        <v>103.05</v>
      </c>
      <c r="AL8" s="51">
        <v>103.05</v>
      </c>
      <c r="AM8" s="51">
        <v>103.05</v>
      </c>
      <c r="AN8" s="51">
        <v>103.05</v>
      </c>
      <c r="AO8" s="51">
        <v>103.05</v>
      </c>
      <c r="AP8" s="454">
        <v>1029.5522634408601</v>
      </c>
    </row>
    <row r="9" spans="1:42" x14ac:dyDescent="0.25">
      <c r="A9" s="4" t="s">
        <v>1401</v>
      </c>
      <c r="B9" s="51"/>
      <c r="C9" s="454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454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454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454"/>
    </row>
    <row r="10" spans="1:42" x14ac:dyDescent="0.25">
      <c r="A10" s="8" t="s">
        <v>13</v>
      </c>
      <c r="B10" s="53"/>
      <c r="C10" s="53"/>
      <c r="D10" s="53">
        <v>376.30645161290323</v>
      </c>
      <c r="E10" s="53">
        <v>706.91176783727951</v>
      </c>
      <c r="F10" s="53">
        <v>527.93233667004108</v>
      </c>
      <c r="G10" s="53">
        <v>572.57733333320459</v>
      </c>
      <c r="H10" s="53">
        <v>346.63860215087095</v>
      </c>
      <c r="I10" s="53">
        <v>107.33</v>
      </c>
      <c r="J10" s="53">
        <v>60.376344086021504</v>
      </c>
      <c r="K10" s="53">
        <v>132.18693548387097</v>
      </c>
      <c r="L10" s="53">
        <v>443.19466666699992</v>
      </c>
      <c r="M10" s="53">
        <v>662.20441935483882</v>
      </c>
      <c r="N10" s="53">
        <v>122.84950000000001</v>
      </c>
      <c r="O10" s="53">
        <v>6.4580645161290322</v>
      </c>
      <c r="P10" s="53">
        <v>4064.9664217121599</v>
      </c>
      <c r="Q10" s="53">
        <v>347.18258064516124</v>
      </c>
      <c r="R10" s="53">
        <v>441.12196428571428</v>
      </c>
      <c r="S10" s="53">
        <v>724.38672580645175</v>
      </c>
      <c r="T10" s="53">
        <v>672.1814999996667</v>
      </c>
      <c r="U10" s="53">
        <v>233.31654838709673</v>
      </c>
      <c r="V10" s="53">
        <v>75.509166666666658</v>
      </c>
      <c r="W10" s="53">
        <v>52.535483870967745</v>
      </c>
      <c r="X10" s="53">
        <v>44.8241935483871</v>
      </c>
      <c r="Y10" s="53">
        <v>462.70733333333339</v>
      </c>
      <c r="Z10" s="53">
        <v>600.74209677419344</v>
      </c>
      <c r="AA10" s="53">
        <v>194.55166666666668</v>
      </c>
      <c r="AB10" s="53">
        <v>96.526129032258055</v>
      </c>
      <c r="AC10" s="53">
        <v>3945.5853890165636</v>
      </c>
      <c r="AD10" s="53">
        <v>272.02499999999992</v>
      </c>
      <c r="AE10" s="53">
        <v>560.67071428571433</v>
      </c>
      <c r="AF10" s="53">
        <v>449.29274193548383</v>
      </c>
      <c r="AG10" s="53">
        <v>403.18786021505372</v>
      </c>
      <c r="AH10" s="53">
        <v>165.51763440860213</v>
      </c>
      <c r="AI10" s="53">
        <v>120.30666666666666</v>
      </c>
      <c r="AJ10" s="53">
        <v>103.96935483870968</v>
      </c>
      <c r="AK10" s="53">
        <v>104.14999999999999</v>
      </c>
      <c r="AL10" s="53">
        <v>113.84166666666667</v>
      </c>
      <c r="AM10" s="53">
        <v>174.68709677419355</v>
      </c>
      <c r="AN10" s="53">
        <v>124.77500000000001</v>
      </c>
      <c r="AO10" s="53">
        <v>106.0016129032258</v>
      </c>
      <c r="AP10" s="53">
        <v>2698.4253486943162</v>
      </c>
    </row>
    <row r="13" spans="1:42" x14ac:dyDescent="0.25">
      <c r="A13" t="s">
        <v>1402</v>
      </c>
    </row>
    <row r="14" spans="1:42" x14ac:dyDescent="0.25">
      <c r="A14" t="s">
        <v>78</v>
      </c>
      <c r="B14" t="s">
        <v>1</v>
      </c>
    </row>
    <row r="15" spans="1:42" x14ac:dyDescent="0.25">
      <c r="A15" t="s">
        <v>2</v>
      </c>
      <c r="B15" t="s">
        <v>1396</v>
      </c>
      <c r="C15" t="s">
        <v>100</v>
      </c>
      <c r="D15" t="s">
        <v>101</v>
      </c>
      <c r="E15" t="s">
        <v>92</v>
      </c>
      <c r="F15" t="s">
        <v>13</v>
      </c>
    </row>
    <row r="16" spans="1:42" x14ac:dyDescent="0.25">
      <c r="A16" t="s">
        <v>1396</v>
      </c>
    </row>
    <row r="17" spans="1:6" x14ac:dyDescent="0.25">
      <c r="A17" t="s">
        <v>3</v>
      </c>
      <c r="C17">
        <v>376.30645161290323</v>
      </c>
      <c r="D17">
        <v>347.18258064516129</v>
      </c>
      <c r="E17">
        <v>272.02499999999992</v>
      </c>
      <c r="F17">
        <v>995.51403225806439</v>
      </c>
    </row>
    <row r="18" spans="1:6" x14ac:dyDescent="0.25">
      <c r="A18" t="s">
        <v>4</v>
      </c>
      <c r="C18">
        <v>706.91176783727974</v>
      </c>
      <c r="D18">
        <v>441.12196428571428</v>
      </c>
      <c r="E18">
        <v>560.67071428571444</v>
      </c>
      <c r="F18">
        <v>1708.7044464087085</v>
      </c>
    </row>
    <row r="19" spans="1:6" x14ac:dyDescent="0.25">
      <c r="A19" t="s">
        <v>5</v>
      </c>
      <c r="C19">
        <v>527.9323366700412</v>
      </c>
      <c r="D19">
        <v>724.38672580645164</v>
      </c>
      <c r="E19">
        <v>449.29274193548372</v>
      </c>
      <c r="F19">
        <v>1701.6118044119767</v>
      </c>
    </row>
    <row r="20" spans="1:6" x14ac:dyDescent="0.25">
      <c r="A20" t="s">
        <v>6</v>
      </c>
      <c r="C20">
        <v>572.57733333320471</v>
      </c>
      <c r="D20">
        <v>672.18149999966636</v>
      </c>
      <c r="E20">
        <v>403.18786021505372</v>
      </c>
      <c r="F20">
        <v>1647.9466935479247</v>
      </c>
    </row>
    <row r="21" spans="1:6" x14ac:dyDescent="0.25">
      <c r="A21" t="s">
        <v>7</v>
      </c>
      <c r="C21">
        <v>346.63860215087095</v>
      </c>
      <c r="D21">
        <v>233.31654838709682</v>
      </c>
      <c r="E21">
        <v>165.51763440860222</v>
      </c>
      <c r="F21">
        <v>745.47278494656996</v>
      </c>
    </row>
    <row r="22" spans="1:6" x14ac:dyDescent="0.25">
      <c r="A22" t="s">
        <v>8</v>
      </c>
      <c r="C22">
        <v>107.33000000000001</v>
      </c>
      <c r="D22">
        <v>75.509166666666658</v>
      </c>
      <c r="E22">
        <v>120.30666666666666</v>
      </c>
      <c r="F22">
        <v>303.14583333333331</v>
      </c>
    </row>
    <row r="23" spans="1:6" x14ac:dyDescent="0.25">
      <c r="A23" t="s">
        <v>45</v>
      </c>
      <c r="C23">
        <v>60.376344086021504</v>
      </c>
      <c r="D23">
        <v>52.535483870967745</v>
      </c>
      <c r="E23">
        <v>103.96935483870968</v>
      </c>
      <c r="F23">
        <v>216.88118279569892</v>
      </c>
    </row>
    <row r="24" spans="1:6" x14ac:dyDescent="0.25">
      <c r="A24" t="s">
        <v>46</v>
      </c>
      <c r="C24">
        <v>132.18693548387097</v>
      </c>
      <c r="D24">
        <v>44.8241935483871</v>
      </c>
      <c r="E24">
        <v>104.15</v>
      </c>
      <c r="F24">
        <v>281.16112903225803</v>
      </c>
    </row>
    <row r="25" spans="1:6" x14ac:dyDescent="0.25">
      <c r="A25" t="s">
        <v>9</v>
      </c>
      <c r="C25">
        <v>443.19466666700004</v>
      </c>
      <c r="D25">
        <v>462.70733333333334</v>
      </c>
      <c r="E25">
        <v>113.84166666666667</v>
      </c>
      <c r="F25">
        <v>1019.7436666670001</v>
      </c>
    </row>
    <row r="26" spans="1:6" x14ac:dyDescent="0.25">
      <c r="A26" t="s">
        <v>10</v>
      </c>
      <c r="C26">
        <v>662.20441935483882</v>
      </c>
      <c r="D26">
        <v>600.74209677419344</v>
      </c>
      <c r="E26">
        <v>174.68709677419358</v>
      </c>
      <c r="F26">
        <v>1437.6336129032259</v>
      </c>
    </row>
    <row r="27" spans="1:6" x14ac:dyDescent="0.25">
      <c r="A27" t="s">
        <v>11</v>
      </c>
      <c r="C27">
        <v>122.84950000000002</v>
      </c>
      <c r="D27">
        <v>194.55166666666665</v>
      </c>
      <c r="E27">
        <v>124.77500000000001</v>
      </c>
      <c r="F27">
        <v>442.17616666666663</v>
      </c>
    </row>
    <row r="28" spans="1:6" x14ac:dyDescent="0.25">
      <c r="A28" t="s">
        <v>12</v>
      </c>
      <c r="C28">
        <v>6.4580645161290322</v>
      </c>
      <c r="D28">
        <v>96.526129032258055</v>
      </c>
      <c r="E28">
        <v>106.0016129032258</v>
      </c>
      <c r="F28">
        <v>208.98580645161289</v>
      </c>
    </row>
    <row r="29" spans="1:6" x14ac:dyDescent="0.25">
      <c r="A29" t="s">
        <v>13</v>
      </c>
      <c r="C29">
        <v>4064.9664217121599</v>
      </c>
      <c r="D29">
        <v>3945.5853890165636</v>
      </c>
      <c r="E29">
        <v>2698.4253486943162</v>
      </c>
      <c r="F29">
        <v>10708.977159423039</v>
      </c>
    </row>
    <row r="31" spans="1:6" x14ac:dyDescent="0.25">
      <c r="A31" s="456" t="s">
        <v>107</v>
      </c>
      <c r="B31" s="455">
        <v>1</v>
      </c>
    </row>
    <row r="33" spans="1:5" x14ac:dyDescent="0.25">
      <c r="A33" s="456" t="s">
        <v>78</v>
      </c>
      <c r="B33" s="456" t="s">
        <v>1</v>
      </c>
    </row>
    <row r="34" spans="1:5" x14ac:dyDescent="0.25">
      <c r="A34" s="456" t="s">
        <v>2</v>
      </c>
      <c r="B34" t="s">
        <v>100</v>
      </c>
      <c r="C34" t="s">
        <v>101</v>
      </c>
      <c r="D34" t="s">
        <v>92</v>
      </c>
      <c r="E34" t="s">
        <v>13</v>
      </c>
    </row>
    <row r="35" spans="1:5" x14ac:dyDescent="0.25">
      <c r="A35" s="455" t="s">
        <v>3</v>
      </c>
      <c r="B35" s="52"/>
      <c r="C35" s="52">
        <v>0.61935483870967745</v>
      </c>
      <c r="D35" s="52"/>
      <c r="E35" s="52">
        <v>0.61935483870967745</v>
      </c>
    </row>
    <row r="36" spans="1:5" x14ac:dyDescent="0.25">
      <c r="A36" s="455" t="s">
        <v>4</v>
      </c>
      <c r="B36" s="52">
        <v>0</v>
      </c>
      <c r="C36" s="52">
        <v>25.481249999999999</v>
      </c>
      <c r="D36" s="52"/>
      <c r="E36" s="52">
        <v>25.481249999999999</v>
      </c>
    </row>
    <row r="37" spans="1:5" x14ac:dyDescent="0.25">
      <c r="A37" s="455" t="s">
        <v>5</v>
      </c>
      <c r="B37" s="52">
        <v>44.853333333000002</v>
      </c>
      <c r="C37" s="52">
        <v>32.842741935483872</v>
      </c>
      <c r="D37" s="52"/>
      <c r="E37" s="52">
        <v>77.696075268483867</v>
      </c>
    </row>
    <row r="38" spans="1:5" x14ac:dyDescent="0.25">
      <c r="A38" s="455" t="s">
        <v>6</v>
      </c>
      <c r="B38" s="52">
        <v>29.046666667</v>
      </c>
      <c r="C38" s="52">
        <v>6.5983333333333336</v>
      </c>
      <c r="D38" s="52">
        <v>32.299999999999997</v>
      </c>
      <c r="E38" s="52">
        <v>67.945000000333323</v>
      </c>
    </row>
    <row r="39" spans="1:5" x14ac:dyDescent="0.25">
      <c r="A39" s="455" t="s">
        <v>7</v>
      </c>
      <c r="B39" s="52">
        <v>8.1612903225806459</v>
      </c>
      <c r="C39" s="52">
        <v>5.5750000000000002</v>
      </c>
      <c r="D39" s="52"/>
      <c r="E39" s="52">
        <v>13.736290322580647</v>
      </c>
    </row>
    <row r="40" spans="1:5" x14ac:dyDescent="0.25">
      <c r="A40" s="455" t="s">
        <v>8</v>
      </c>
      <c r="B40" s="52">
        <v>0</v>
      </c>
      <c r="C40" s="52">
        <v>12.325833333333332</v>
      </c>
      <c r="D40" s="52"/>
      <c r="E40" s="52">
        <v>12.325833333333332</v>
      </c>
    </row>
    <row r="41" spans="1:5" x14ac:dyDescent="0.25">
      <c r="A41" s="455" t="s">
        <v>9</v>
      </c>
      <c r="B41" s="52">
        <v>34.450000000000003</v>
      </c>
      <c r="C41" s="52">
        <v>1.8420000000000001</v>
      </c>
      <c r="D41" s="52"/>
      <c r="E41" s="52">
        <v>36.292000000000002</v>
      </c>
    </row>
    <row r="42" spans="1:5" x14ac:dyDescent="0.25">
      <c r="A42" s="455" t="s">
        <v>10</v>
      </c>
      <c r="B42" s="52">
        <v>16.66935483870968</v>
      </c>
      <c r="C42" s="52">
        <v>1.584516129032258</v>
      </c>
      <c r="D42" s="52"/>
      <c r="E42" s="52">
        <v>18.253870967741939</v>
      </c>
    </row>
    <row r="43" spans="1:5" x14ac:dyDescent="0.25">
      <c r="A43" s="455" t="s">
        <v>11</v>
      </c>
      <c r="B43" s="52">
        <v>2.3333333333333335</v>
      </c>
      <c r="C43" s="52"/>
      <c r="D43" s="52"/>
      <c r="E43" s="52">
        <v>2.3333333333333335</v>
      </c>
    </row>
    <row r="44" spans="1:5" x14ac:dyDescent="0.25">
      <c r="A44" s="455" t="s">
        <v>13</v>
      </c>
      <c r="B44" s="52">
        <v>135.51397849462367</v>
      </c>
      <c r="C44" s="52">
        <v>86.869029569892476</v>
      </c>
      <c r="D44" s="52">
        <v>32.299999999999997</v>
      </c>
      <c r="E44" s="52">
        <v>254.68300806451612</v>
      </c>
    </row>
    <row r="46" spans="1:5" x14ac:dyDescent="0.25">
      <c r="A46" s="456" t="s">
        <v>107</v>
      </c>
      <c r="B46" s="455">
        <v>2</v>
      </c>
    </row>
    <row r="48" spans="1:5" x14ac:dyDescent="0.25">
      <c r="A48" t="s">
        <v>78</v>
      </c>
      <c r="B48" t="s">
        <v>1</v>
      </c>
    </row>
    <row r="49" spans="1:5" x14ac:dyDescent="0.25">
      <c r="A49" t="s">
        <v>2</v>
      </c>
      <c r="B49" t="s">
        <v>100</v>
      </c>
      <c r="C49" t="s">
        <v>101</v>
      </c>
      <c r="D49" t="s">
        <v>92</v>
      </c>
      <c r="E49" t="s">
        <v>13</v>
      </c>
    </row>
    <row r="50" spans="1:5" x14ac:dyDescent="0.25">
      <c r="A50" t="s">
        <v>3</v>
      </c>
      <c r="C50">
        <v>8.637096774193548</v>
      </c>
      <c r="E50">
        <v>8.637096774193548</v>
      </c>
    </row>
    <row r="51" spans="1:5" x14ac:dyDescent="0.25">
      <c r="A51" t="s">
        <v>4</v>
      </c>
      <c r="B51">
        <v>13.6</v>
      </c>
      <c r="C51">
        <v>36.455357142857146</v>
      </c>
      <c r="D51">
        <v>146.72142857142856</v>
      </c>
      <c r="E51">
        <v>196.77678571428572</v>
      </c>
    </row>
    <row r="52" spans="1:5" x14ac:dyDescent="0.25">
      <c r="A52" t="s">
        <v>5</v>
      </c>
      <c r="B52">
        <v>134.09944086054838</v>
      </c>
      <c r="C52">
        <v>280.16212903225801</v>
      </c>
      <c r="D52">
        <v>155.92822580645159</v>
      </c>
      <c r="E52">
        <v>570.18979569925796</v>
      </c>
    </row>
    <row r="53" spans="1:5" x14ac:dyDescent="0.25">
      <c r="A53" t="s">
        <v>6</v>
      </c>
      <c r="B53">
        <v>343.47233333220458</v>
      </c>
      <c r="C53">
        <v>383.54150000000004</v>
      </c>
      <c r="D53">
        <v>148.97166666666666</v>
      </c>
      <c r="E53">
        <v>875.98549999887132</v>
      </c>
    </row>
    <row r="54" spans="1:5" x14ac:dyDescent="0.25">
      <c r="A54" t="s">
        <v>7</v>
      </c>
      <c r="B54">
        <v>148.09725806451615</v>
      </c>
      <c r="C54">
        <v>110.88064516129032</v>
      </c>
      <c r="D54">
        <v>23.029838709677421</v>
      </c>
      <c r="E54">
        <v>282.00774193548386</v>
      </c>
    </row>
    <row r="55" spans="1:5" x14ac:dyDescent="0.25">
      <c r="A55" t="s">
        <v>8</v>
      </c>
      <c r="C55">
        <v>45.25</v>
      </c>
      <c r="E55">
        <v>45.25</v>
      </c>
    </row>
    <row r="56" spans="1:5" x14ac:dyDescent="0.25">
      <c r="A56" t="s">
        <v>45</v>
      </c>
      <c r="B56">
        <v>3.916666666666667</v>
      </c>
      <c r="C56">
        <v>36.193548387096783</v>
      </c>
      <c r="E56">
        <v>40.110215053763447</v>
      </c>
    </row>
    <row r="57" spans="1:5" x14ac:dyDescent="0.25">
      <c r="A57" t="s">
        <v>46</v>
      </c>
      <c r="B57">
        <v>0</v>
      </c>
      <c r="C57">
        <v>42.25</v>
      </c>
      <c r="E57">
        <v>42.25</v>
      </c>
    </row>
    <row r="58" spans="1:5" x14ac:dyDescent="0.25">
      <c r="A58" t="s">
        <v>9</v>
      </c>
      <c r="B58">
        <v>212.34333333333331</v>
      </c>
      <c r="C58">
        <v>177.59833333333333</v>
      </c>
      <c r="D58">
        <v>10.791666666666666</v>
      </c>
      <c r="E58">
        <v>400.73333333333329</v>
      </c>
    </row>
    <row r="59" spans="1:5" x14ac:dyDescent="0.25">
      <c r="A59" t="s">
        <v>10</v>
      </c>
      <c r="B59">
        <v>347.76451612903224</v>
      </c>
      <c r="C59">
        <v>105.96370967741936</v>
      </c>
      <c r="D59">
        <v>64.75</v>
      </c>
      <c r="E59">
        <v>518.47822580645163</v>
      </c>
    </row>
    <row r="60" spans="1:5" x14ac:dyDescent="0.25">
      <c r="A60" t="s">
        <v>11</v>
      </c>
      <c r="B60">
        <v>43.56166666666666</v>
      </c>
      <c r="C60">
        <v>4.293333333333333</v>
      </c>
      <c r="D60">
        <v>6.4750000000000005</v>
      </c>
      <c r="E60">
        <v>54.329999999999991</v>
      </c>
    </row>
    <row r="61" spans="1:5" x14ac:dyDescent="0.25">
      <c r="A61" t="s">
        <v>13</v>
      </c>
      <c r="B61">
        <v>1246.8552150529681</v>
      </c>
      <c r="C61">
        <v>1231.2256528417818</v>
      </c>
      <c r="D61">
        <v>556.66782642089095</v>
      </c>
      <c r="E61">
        <v>3034.7486943156405</v>
      </c>
    </row>
    <row r="63" spans="1:5" x14ac:dyDescent="0.25">
      <c r="A63" s="456" t="s">
        <v>107</v>
      </c>
      <c r="B63" s="455">
        <v>3</v>
      </c>
    </row>
    <row r="65" spans="1:5" x14ac:dyDescent="0.25">
      <c r="A65" t="s">
        <v>78</v>
      </c>
      <c r="B65" t="s">
        <v>1</v>
      </c>
    </row>
    <row r="66" spans="1:5" x14ac:dyDescent="0.25">
      <c r="A66" t="s">
        <v>2</v>
      </c>
      <c r="B66" t="s">
        <v>100</v>
      </c>
      <c r="C66" t="s">
        <v>101</v>
      </c>
      <c r="D66" t="s">
        <v>92</v>
      </c>
      <c r="E66" t="s">
        <v>13</v>
      </c>
    </row>
    <row r="67" spans="1:5" x14ac:dyDescent="0.25">
      <c r="A67" t="s">
        <v>3</v>
      </c>
      <c r="B67">
        <v>343.11774193548388</v>
      </c>
      <c r="C67">
        <v>288.69032258064516</v>
      </c>
      <c r="D67">
        <v>246.11532258064517</v>
      </c>
      <c r="E67">
        <v>877.92338709677415</v>
      </c>
    </row>
    <row r="68" spans="1:5" x14ac:dyDescent="0.25">
      <c r="A68" t="s">
        <v>4</v>
      </c>
      <c r="B68">
        <v>604.06280232003814</v>
      </c>
      <c r="C68">
        <v>293.5410714285714</v>
      </c>
      <c r="D68">
        <v>386.82678571428568</v>
      </c>
      <c r="E68">
        <v>1284.4306594628952</v>
      </c>
    </row>
    <row r="69" spans="1:5" x14ac:dyDescent="0.25">
      <c r="A69" t="s">
        <v>5</v>
      </c>
      <c r="B69">
        <v>235.24526140155726</v>
      </c>
      <c r="C69">
        <v>222.98024193548386</v>
      </c>
      <c r="D69">
        <v>206.43467741935484</v>
      </c>
      <c r="E69">
        <v>664.6601807563959</v>
      </c>
    </row>
    <row r="70" spans="1:5" x14ac:dyDescent="0.25">
      <c r="A70" t="s">
        <v>6</v>
      </c>
      <c r="B70">
        <v>78.808333333333337</v>
      </c>
      <c r="C70">
        <v>147.2266666663333</v>
      </c>
      <c r="D70">
        <v>38.385833333333331</v>
      </c>
      <c r="E70">
        <v>264.42083333299996</v>
      </c>
    </row>
    <row r="71" spans="1:5" x14ac:dyDescent="0.25">
      <c r="A71" t="s">
        <v>7</v>
      </c>
      <c r="B71">
        <v>22.754999999999999</v>
      </c>
      <c r="C71">
        <v>34.555903225806446</v>
      </c>
      <c r="D71">
        <v>9.939516129032258</v>
      </c>
      <c r="E71">
        <v>67.250419354838698</v>
      </c>
    </row>
    <row r="72" spans="1:5" x14ac:dyDescent="0.25">
      <c r="A72" t="s">
        <v>8</v>
      </c>
      <c r="B72">
        <v>59.156666666666666</v>
      </c>
      <c r="C72">
        <v>17.93333333333333</v>
      </c>
      <c r="D72">
        <v>2.75</v>
      </c>
      <c r="E72">
        <v>79.84</v>
      </c>
    </row>
    <row r="73" spans="1:5" x14ac:dyDescent="0.25">
      <c r="A73" t="s">
        <v>45</v>
      </c>
      <c r="B73">
        <v>56.45967741935484</v>
      </c>
      <c r="C73">
        <v>1.8580645161290321</v>
      </c>
      <c r="D73">
        <v>0.91935483870967749</v>
      </c>
      <c r="E73">
        <v>59.237096774193553</v>
      </c>
    </row>
    <row r="74" spans="1:5" x14ac:dyDescent="0.25">
      <c r="A74" t="s">
        <v>46</v>
      </c>
      <c r="B74">
        <v>107.75790322580644</v>
      </c>
      <c r="D74">
        <v>1.0999999999999999</v>
      </c>
      <c r="E74">
        <v>108.85790322580644</v>
      </c>
    </row>
    <row r="75" spans="1:5" x14ac:dyDescent="0.25">
      <c r="A75" t="s">
        <v>9</v>
      </c>
      <c r="B75">
        <v>178.73000000066662</v>
      </c>
      <c r="C75">
        <v>195.60533333333331</v>
      </c>
      <c r="E75">
        <v>374.33533333399993</v>
      </c>
    </row>
    <row r="76" spans="1:5" x14ac:dyDescent="0.25">
      <c r="A76" t="s">
        <v>10</v>
      </c>
      <c r="B76">
        <v>290.52790322580643</v>
      </c>
      <c r="C76">
        <v>321.95806451612901</v>
      </c>
      <c r="E76">
        <v>612.48596774193538</v>
      </c>
    </row>
    <row r="77" spans="1:5" x14ac:dyDescent="0.25">
      <c r="A77" t="s">
        <v>11</v>
      </c>
      <c r="B77">
        <v>76.954499999999996</v>
      </c>
      <c r="C77">
        <v>40.338333333333338</v>
      </c>
      <c r="E77">
        <v>117.29283333333333</v>
      </c>
    </row>
    <row r="78" spans="1:5" x14ac:dyDescent="0.25">
      <c r="A78" t="s">
        <v>13</v>
      </c>
      <c r="B78">
        <v>2053.5757895287138</v>
      </c>
      <c r="C78">
        <v>1564.6873348690981</v>
      </c>
      <c r="D78">
        <v>892.47149001536104</v>
      </c>
      <c r="E78">
        <v>4510.7346144131725</v>
      </c>
    </row>
    <row r="81" spans="1:5" x14ac:dyDescent="0.25">
      <c r="A81" t="s">
        <v>107</v>
      </c>
      <c r="B81">
        <v>4</v>
      </c>
    </row>
    <row r="83" spans="1:5" x14ac:dyDescent="0.25">
      <c r="A83" t="s">
        <v>78</v>
      </c>
      <c r="B83" t="s">
        <v>1</v>
      </c>
    </row>
    <row r="84" spans="1:5" x14ac:dyDescent="0.25">
      <c r="A84" t="s">
        <v>2</v>
      </c>
      <c r="B84" t="s">
        <v>100</v>
      </c>
      <c r="C84" t="s">
        <v>101</v>
      </c>
      <c r="D84" t="s">
        <v>92</v>
      </c>
      <c r="E84" t="s">
        <v>13</v>
      </c>
    </row>
    <row r="85" spans="1:5" x14ac:dyDescent="0.25">
      <c r="A85" t="s">
        <v>3</v>
      </c>
      <c r="C85">
        <v>10.709999999999997</v>
      </c>
      <c r="E85">
        <v>10.709999999999997</v>
      </c>
    </row>
    <row r="86" spans="1:5" x14ac:dyDescent="0.25">
      <c r="A86" t="s">
        <v>4</v>
      </c>
      <c r="B86">
        <v>38.145517241379309</v>
      </c>
      <c r="C86">
        <v>17.815714285714286</v>
      </c>
      <c r="D86">
        <v>18.75</v>
      </c>
      <c r="E86">
        <v>74.711231527093588</v>
      </c>
    </row>
    <row r="87" spans="1:5" x14ac:dyDescent="0.25">
      <c r="A87" t="s">
        <v>5</v>
      </c>
      <c r="B87">
        <v>42.190967741935481</v>
      </c>
      <c r="C87">
        <v>8.195161290322579</v>
      </c>
      <c r="D87">
        <v>75.589838709677409</v>
      </c>
      <c r="E87">
        <v>125.97596774193548</v>
      </c>
    </row>
    <row r="88" spans="1:5" x14ac:dyDescent="0.25">
      <c r="A88" t="s">
        <v>6</v>
      </c>
      <c r="B88">
        <v>16.006666667000001</v>
      </c>
      <c r="C88">
        <v>25.166666666666668</v>
      </c>
      <c r="D88">
        <v>64.99102688172043</v>
      </c>
      <c r="E88">
        <v>106.16436021538709</v>
      </c>
    </row>
    <row r="89" spans="1:5" x14ac:dyDescent="0.25">
      <c r="A89" t="s">
        <v>7</v>
      </c>
      <c r="B89">
        <v>5.6666666669999994</v>
      </c>
      <c r="C89">
        <v>9.5727419354838705</v>
      </c>
      <c r="D89">
        <v>3.0141935483870963</v>
      </c>
      <c r="E89">
        <v>18.253602150870968</v>
      </c>
    </row>
    <row r="90" spans="1:5" x14ac:dyDescent="0.25">
      <c r="A90" t="s">
        <v>46</v>
      </c>
      <c r="B90">
        <v>3</v>
      </c>
      <c r="E90">
        <v>3</v>
      </c>
    </row>
    <row r="91" spans="1:5" x14ac:dyDescent="0.25">
      <c r="A91" t="s">
        <v>9</v>
      </c>
      <c r="B91">
        <v>12.721333333</v>
      </c>
      <c r="C91">
        <v>5.0583333333333336</v>
      </c>
      <c r="E91">
        <v>17.779666666333334</v>
      </c>
    </row>
    <row r="92" spans="1:5" x14ac:dyDescent="0.25">
      <c r="A92" t="s">
        <v>10</v>
      </c>
      <c r="B92">
        <v>3.1619999999999999</v>
      </c>
      <c r="C92">
        <v>3.8506451612903225</v>
      </c>
      <c r="D92">
        <v>6.887096774193548</v>
      </c>
      <c r="E92">
        <v>13.89974193548387</v>
      </c>
    </row>
    <row r="93" spans="1:5" x14ac:dyDescent="0.25">
      <c r="A93" t="s">
        <v>11</v>
      </c>
      <c r="B93">
        <v>0</v>
      </c>
      <c r="D93">
        <v>15.25</v>
      </c>
      <c r="E93">
        <v>15.25</v>
      </c>
    </row>
    <row r="94" spans="1:5" x14ac:dyDescent="0.25">
      <c r="A94" t="s">
        <v>12</v>
      </c>
      <c r="C94">
        <v>2.9516129032258061</v>
      </c>
      <c r="D94">
        <v>2.9516129032258065</v>
      </c>
      <c r="E94">
        <v>5.9032258064516121</v>
      </c>
    </row>
    <row r="95" spans="1:5" x14ac:dyDescent="0.25">
      <c r="A95" t="s">
        <v>13</v>
      </c>
      <c r="B95">
        <v>120.89315165031481</v>
      </c>
      <c r="C95">
        <v>83.320875576036869</v>
      </c>
      <c r="D95">
        <v>187.43376881720425</v>
      </c>
      <c r="E95">
        <v>391.6477960435559</v>
      </c>
    </row>
    <row r="98" spans="1:13" x14ac:dyDescent="0.25">
      <c r="A98" s="456" t="s">
        <v>107</v>
      </c>
      <c r="B98" s="455">
        <v>3</v>
      </c>
    </row>
    <row r="100" spans="1:13" x14ac:dyDescent="0.25">
      <c r="A100" s="456" t="s">
        <v>78</v>
      </c>
      <c r="B100" s="456" t="s">
        <v>1</v>
      </c>
    </row>
    <row r="101" spans="1:13" x14ac:dyDescent="0.25">
      <c r="B101" t="s">
        <v>92</v>
      </c>
      <c r="L101" t="s">
        <v>1400</v>
      </c>
      <c r="M101" t="s">
        <v>13</v>
      </c>
    </row>
    <row r="102" spans="1:13" ht="15.75" thickBot="1" x14ac:dyDescent="0.3">
      <c r="A102" s="456" t="s">
        <v>2</v>
      </c>
      <c r="B102" t="s">
        <v>3</v>
      </c>
      <c r="C102" t="s">
        <v>4</v>
      </c>
      <c r="D102" t="s">
        <v>5</v>
      </c>
      <c r="E102" t="s">
        <v>6</v>
      </c>
      <c r="F102" t="s">
        <v>7</v>
      </c>
      <c r="G102" t="s">
        <v>8</v>
      </c>
      <c r="H102" t="s">
        <v>45</v>
      </c>
      <c r="I102" t="s">
        <v>46</v>
      </c>
      <c r="J102" t="s">
        <v>10</v>
      </c>
      <c r="K102" t="s">
        <v>11</v>
      </c>
    </row>
    <row r="103" spans="1:13" ht="15.75" thickBot="1" x14ac:dyDescent="0.3">
      <c r="A103" s="455" t="s">
        <v>647</v>
      </c>
      <c r="B103" s="477">
        <v>0</v>
      </c>
      <c r="C103" s="477">
        <v>0</v>
      </c>
      <c r="D103" s="477">
        <v>0</v>
      </c>
      <c r="E103" s="477">
        <v>0</v>
      </c>
      <c r="F103" s="477">
        <v>0</v>
      </c>
      <c r="G103" s="477"/>
      <c r="H103" s="477"/>
      <c r="I103" s="477"/>
      <c r="J103" s="477"/>
      <c r="K103" s="477"/>
      <c r="L103" s="52">
        <v>0</v>
      </c>
      <c r="M103" s="52">
        <v>0</v>
      </c>
    </row>
    <row r="104" spans="1:13" ht="15.75" thickBot="1" x14ac:dyDescent="0.3">
      <c r="A104" s="6" t="s">
        <v>1439</v>
      </c>
      <c r="B104" s="477"/>
      <c r="C104" s="477">
        <v>0</v>
      </c>
      <c r="D104" s="477">
        <v>0</v>
      </c>
      <c r="E104" s="477"/>
      <c r="F104" s="477"/>
      <c r="G104" s="477"/>
      <c r="H104" s="477"/>
      <c r="I104" s="477"/>
      <c r="J104" s="477"/>
      <c r="K104" s="477"/>
      <c r="L104" s="52">
        <v>0</v>
      </c>
      <c r="M104" s="52">
        <v>0</v>
      </c>
    </row>
    <row r="105" spans="1:13" ht="15.75" thickBot="1" x14ac:dyDescent="0.3">
      <c r="A105" s="6" t="s">
        <v>1440</v>
      </c>
      <c r="B105" s="477"/>
      <c r="C105" s="477">
        <v>0</v>
      </c>
      <c r="D105" s="477">
        <v>0</v>
      </c>
      <c r="E105" s="477">
        <v>0</v>
      </c>
      <c r="F105" s="477"/>
      <c r="G105" s="477"/>
      <c r="H105" s="477"/>
      <c r="I105" s="477"/>
      <c r="J105" s="477"/>
      <c r="K105" s="477"/>
      <c r="L105" s="52">
        <v>0</v>
      </c>
      <c r="M105" s="52">
        <v>0</v>
      </c>
    </row>
    <row r="106" spans="1:13" ht="15.75" thickBot="1" x14ac:dyDescent="0.3">
      <c r="A106" s="6" t="s">
        <v>1441</v>
      </c>
      <c r="B106" s="477">
        <v>0</v>
      </c>
      <c r="C106" s="477">
        <v>0</v>
      </c>
      <c r="D106" s="477"/>
      <c r="E106" s="477"/>
      <c r="F106" s="477"/>
      <c r="G106" s="477"/>
      <c r="H106" s="477"/>
      <c r="I106" s="477"/>
      <c r="J106" s="477"/>
      <c r="K106" s="477"/>
      <c r="L106" s="52">
        <v>0</v>
      </c>
      <c r="M106" s="52">
        <v>0</v>
      </c>
    </row>
    <row r="107" spans="1:13" ht="15.75" thickBot="1" x14ac:dyDescent="0.3">
      <c r="A107" s="6" t="s">
        <v>1442</v>
      </c>
      <c r="B107" s="477">
        <v>0</v>
      </c>
      <c r="C107" s="477">
        <v>0</v>
      </c>
      <c r="D107" s="477"/>
      <c r="E107" s="477"/>
      <c r="F107" s="477"/>
      <c r="G107" s="477"/>
      <c r="H107" s="477"/>
      <c r="I107" s="477"/>
      <c r="J107" s="477"/>
      <c r="K107" s="477"/>
      <c r="L107" s="52">
        <v>0</v>
      </c>
      <c r="M107" s="52">
        <v>0</v>
      </c>
    </row>
    <row r="108" spans="1:13" ht="15.75" thickBot="1" x14ac:dyDescent="0.3">
      <c r="A108" s="6" t="s">
        <v>1443</v>
      </c>
      <c r="B108" s="477"/>
      <c r="C108" s="477"/>
      <c r="D108" s="477"/>
      <c r="E108" s="477">
        <v>0</v>
      </c>
      <c r="F108" s="477">
        <v>0</v>
      </c>
      <c r="G108" s="477"/>
      <c r="H108" s="477"/>
      <c r="I108" s="477"/>
      <c r="J108" s="477"/>
      <c r="K108" s="477"/>
      <c r="L108" s="52">
        <v>0</v>
      </c>
      <c r="M108" s="52">
        <v>0</v>
      </c>
    </row>
    <row r="109" spans="1:13" ht="15.75" thickBot="1" x14ac:dyDescent="0.3">
      <c r="A109" s="455" t="s">
        <v>1437</v>
      </c>
      <c r="B109" s="477">
        <v>124.86290322580646</v>
      </c>
      <c r="C109" s="477">
        <v>103.65178571428572</v>
      </c>
      <c r="D109" s="477">
        <v>36.169354838709673</v>
      </c>
      <c r="E109" s="477">
        <v>14.614166666666668</v>
      </c>
      <c r="F109" s="477">
        <v>3.4491935483870968</v>
      </c>
      <c r="G109" s="477"/>
      <c r="H109" s="477"/>
      <c r="I109" s="477"/>
      <c r="J109" s="477"/>
      <c r="K109" s="477"/>
      <c r="L109" s="52">
        <v>282.74740399385558</v>
      </c>
      <c r="M109" s="52">
        <v>282.74740399385558</v>
      </c>
    </row>
    <row r="110" spans="1:13" ht="15.75" thickBot="1" x14ac:dyDescent="0.3">
      <c r="A110" s="6" t="s">
        <v>1439</v>
      </c>
      <c r="B110" s="477"/>
      <c r="C110" s="477">
        <v>8.7053571428571423</v>
      </c>
      <c r="D110" s="477">
        <v>13.104838709677418</v>
      </c>
      <c r="E110" s="477"/>
      <c r="F110" s="477"/>
      <c r="G110" s="477"/>
      <c r="H110" s="477"/>
      <c r="I110" s="477"/>
      <c r="J110" s="477"/>
      <c r="K110" s="477"/>
      <c r="L110" s="52">
        <v>21.810195852534562</v>
      </c>
      <c r="M110" s="52">
        <v>21.810195852534562</v>
      </c>
    </row>
    <row r="111" spans="1:13" ht="15.75" thickBot="1" x14ac:dyDescent="0.3">
      <c r="A111" s="6" t="s">
        <v>1440</v>
      </c>
      <c r="B111" s="477"/>
      <c r="C111" s="477">
        <v>12.071428571428571</v>
      </c>
      <c r="D111" s="477">
        <v>13</v>
      </c>
      <c r="E111" s="477">
        <v>0.8666666666666667</v>
      </c>
      <c r="F111" s="477"/>
      <c r="G111" s="477"/>
      <c r="H111" s="477"/>
      <c r="I111" s="477"/>
      <c r="J111" s="477"/>
      <c r="K111" s="477"/>
      <c r="L111" s="52">
        <v>25.938095238095237</v>
      </c>
      <c r="M111" s="52">
        <v>25.938095238095237</v>
      </c>
    </row>
    <row r="112" spans="1:13" ht="15.75" thickBot="1" x14ac:dyDescent="0.3">
      <c r="A112" s="6" t="s">
        <v>1444</v>
      </c>
      <c r="B112" s="477">
        <v>0</v>
      </c>
      <c r="C112" s="477">
        <v>0</v>
      </c>
      <c r="D112" s="477">
        <v>0</v>
      </c>
      <c r="E112" s="477"/>
      <c r="F112" s="477"/>
      <c r="G112" s="477"/>
      <c r="H112" s="477"/>
      <c r="I112" s="477"/>
      <c r="J112" s="477"/>
      <c r="K112" s="477"/>
      <c r="L112" s="52">
        <v>0</v>
      </c>
      <c r="M112" s="52">
        <v>0</v>
      </c>
    </row>
    <row r="113" spans="1:13" ht="15.75" thickBot="1" x14ac:dyDescent="0.3">
      <c r="A113" s="6" t="s">
        <v>62</v>
      </c>
      <c r="B113" s="477">
        <v>79.258064516129039</v>
      </c>
      <c r="C113" s="477">
        <v>22.75</v>
      </c>
      <c r="D113" s="477"/>
      <c r="E113" s="477"/>
      <c r="F113" s="477"/>
      <c r="G113" s="477"/>
      <c r="H113" s="477"/>
      <c r="I113" s="477"/>
      <c r="J113" s="477"/>
      <c r="K113" s="477"/>
      <c r="L113" s="52">
        <v>102.00806451612904</v>
      </c>
      <c r="M113" s="52">
        <v>102.00806451612904</v>
      </c>
    </row>
    <row r="114" spans="1:13" ht="15.75" thickBot="1" x14ac:dyDescent="0.3">
      <c r="A114" s="6" t="s">
        <v>1441</v>
      </c>
      <c r="B114" s="477">
        <v>20.443548387096776</v>
      </c>
      <c r="C114" s="477">
        <v>21.125</v>
      </c>
      <c r="D114" s="477"/>
      <c r="E114" s="477"/>
      <c r="F114" s="477"/>
      <c r="G114" s="477"/>
      <c r="H114" s="477"/>
      <c r="I114" s="477"/>
      <c r="J114" s="477"/>
      <c r="K114" s="477"/>
      <c r="L114" s="52">
        <v>41.568548387096776</v>
      </c>
      <c r="M114" s="52">
        <v>41.568548387096776</v>
      </c>
    </row>
    <row r="115" spans="1:13" ht="15.75" thickBot="1" x14ac:dyDescent="0.3">
      <c r="A115" s="6" t="s">
        <v>1442</v>
      </c>
      <c r="B115" s="477">
        <v>25.161290322580644</v>
      </c>
      <c r="C115" s="477">
        <v>39</v>
      </c>
      <c r="D115" s="477">
        <v>10.064516129032258</v>
      </c>
      <c r="E115" s="477"/>
      <c r="F115" s="477"/>
      <c r="G115" s="477"/>
      <c r="H115" s="477"/>
      <c r="I115" s="477"/>
      <c r="J115" s="477"/>
      <c r="K115" s="477"/>
      <c r="L115" s="52">
        <v>74.225806451612897</v>
      </c>
      <c r="M115" s="52">
        <v>74.225806451612897</v>
      </c>
    </row>
    <row r="116" spans="1:13" ht="15.75" thickBot="1" x14ac:dyDescent="0.3">
      <c r="A116" s="6" t="s">
        <v>1443</v>
      </c>
      <c r="B116" s="477"/>
      <c r="C116" s="477"/>
      <c r="D116" s="477"/>
      <c r="E116" s="477">
        <v>13.7475</v>
      </c>
      <c r="F116" s="477">
        <v>3.4491935483870968</v>
      </c>
      <c r="G116" s="477"/>
      <c r="H116" s="477"/>
      <c r="I116" s="477"/>
      <c r="J116" s="477"/>
      <c r="K116" s="477"/>
      <c r="L116" s="52">
        <v>17.196693548387096</v>
      </c>
      <c r="M116" s="52">
        <v>17.196693548387096</v>
      </c>
    </row>
    <row r="117" spans="1:13" ht="15.75" thickBot="1" x14ac:dyDescent="0.3">
      <c r="A117" s="455" t="s">
        <v>351</v>
      </c>
      <c r="B117" s="477">
        <v>100.87903225806451</v>
      </c>
      <c r="C117" s="477">
        <v>184.14285714285714</v>
      </c>
      <c r="D117" s="477">
        <v>113.62499999999999</v>
      </c>
      <c r="E117" s="477">
        <v>14.45</v>
      </c>
      <c r="F117" s="477">
        <v>1.8064516129032258</v>
      </c>
      <c r="G117" s="477"/>
      <c r="H117" s="477"/>
      <c r="I117" s="477"/>
      <c r="J117" s="477"/>
      <c r="K117" s="477"/>
      <c r="L117" s="52">
        <v>414.90334101382484</v>
      </c>
      <c r="M117" s="52">
        <v>414.90334101382484</v>
      </c>
    </row>
    <row r="118" spans="1:13" ht="15.75" thickBot="1" x14ac:dyDescent="0.3">
      <c r="A118" s="6" t="s">
        <v>1439</v>
      </c>
      <c r="B118" s="477"/>
      <c r="C118" s="477">
        <v>3.910714285714286</v>
      </c>
      <c r="D118" s="477">
        <v>5.8870967741935489</v>
      </c>
      <c r="E118" s="477"/>
      <c r="F118" s="477"/>
      <c r="G118" s="477"/>
      <c r="H118" s="477"/>
      <c r="I118" s="477"/>
      <c r="J118" s="477"/>
      <c r="K118" s="477"/>
      <c r="L118" s="52">
        <v>9.7978110599078345</v>
      </c>
      <c r="M118" s="52">
        <v>9.7978110599078345</v>
      </c>
    </row>
    <row r="119" spans="1:13" ht="15.75" thickBot="1" x14ac:dyDescent="0.3">
      <c r="A119" s="6" t="s">
        <v>1440</v>
      </c>
      <c r="B119" s="477"/>
      <c r="C119" s="477">
        <v>7.4285714285714288</v>
      </c>
      <c r="D119" s="477">
        <v>8</v>
      </c>
      <c r="E119" s="477">
        <v>0.53333333333333333</v>
      </c>
      <c r="F119" s="477"/>
      <c r="G119" s="477"/>
      <c r="H119" s="477"/>
      <c r="I119" s="477"/>
      <c r="J119" s="477"/>
      <c r="K119" s="477"/>
      <c r="L119" s="52">
        <v>15.961904761904762</v>
      </c>
      <c r="M119" s="52">
        <v>15.961904761904762</v>
      </c>
    </row>
    <row r="120" spans="1:13" ht="15.75" thickBot="1" x14ac:dyDescent="0.3">
      <c r="A120" s="6" t="s">
        <v>1444</v>
      </c>
      <c r="B120" s="477">
        <v>0</v>
      </c>
      <c r="C120" s="477">
        <v>0</v>
      </c>
      <c r="D120" s="477">
        <v>0</v>
      </c>
      <c r="E120" s="477"/>
      <c r="F120" s="477"/>
      <c r="G120" s="477"/>
      <c r="H120" s="477"/>
      <c r="I120" s="477"/>
      <c r="J120" s="477"/>
      <c r="K120" s="477"/>
      <c r="L120" s="52">
        <v>0</v>
      </c>
      <c r="M120" s="52">
        <v>0</v>
      </c>
    </row>
    <row r="121" spans="1:13" ht="15.75" thickBot="1" x14ac:dyDescent="0.3">
      <c r="A121" s="6" t="s">
        <v>1445</v>
      </c>
      <c r="B121" s="477">
        <v>4.354838709677419</v>
      </c>
      <c r="C121" s="477">
        <v>27</v>
      </c>
      <c r="D121" s="477">
        <v>1.7419354838709677</v>
      </c>
      <c r="E121" s="477"/>
      <c r="F121" s="477"/>
      <c r="G121" s="477"/>
      <c r="H121" s="477"/>
      <c r="I121" s="477"/>
      <c r="J121" s="477"/>
      <c r="K121" s="477"/>
      <c r="L121" s="52">
        <v>33.096774193548384</v>
      </c>
      <c r="M121" s="52">
        <v>33.096774193548384</v>
      </c>
    </row>
    <row r="122" spans="1:13" ht="15.75" thickBot="1" x14ac:dyDescent="0.3">
      <c r="A122" s="6" t="s">
        <v>1446</v>
      </c>
      <c r="B122" s="477"/>
      <c r="C122" s="477">
        <v>22.5</v>
      </c>
      <c r="D122" s="477">
        <v>34.838709677419352</v>
      </c>
      <c r="E122" s="477"/>
      <c r="F122" s="477"/>
      <c r="G122" s="477"/>
      <c r="H122" s="477"/>
      <c r="I122" s="477"/>
      <c r="J122" s="477"/>
      <c r="K122" s="477"/>
      <c r="L122" s="52">
        <v>57.338709677419352</v>
      </c>
      <c r="M122" s="52">
        <v>57.338709677419352</v>
      </c>
    </row>
    <row r="123" spans="1:13" ht="15.75" thickBot="1" x14ac:dyDescent="0.3">
      <c r="A123" s="6" t="s">
        <v>62</v>
      </c>
      <c r="B123" s="477">
        <v>23.080645161290324</v>
      </c>
      <c r="C123" s="477">
        <v>6.625</v>
      </c>
      <c r="D123" s="477"/>
      <c r="E123" s="477"/>
      <c r="F123" s="477"/>
      <c r="G123" s="477"/>
      <c r="H123" s="477"/>
      <c r="I123" s="477"/>
      <c r="J123" s="477"/>
      <c r="K123" s="477"/>
      <c r="L123" s="52">
        <v>29.705645161290324</v>
      </c>
      <c r="M123" s="52">
        <v>29.705645161290324</v>
      </c>
    </row>
    <row r="124" spans="1:13" ht="15.75" thickBot="1" x14ac:dyDescent="0.3">
      <c r="A124" s="6" t="s">
        <v>1447</v>
      </c>
      <c r="B124" s="477">
        <v>20.967741935483872</v>
      </c>
      <c r="C124" s="477"/>
      <c r="D124" s="477"/>
      <c r="E124" s="477"/>
      <c r="F124" s="477"/>
      <c r="G124" s="477"/>
      <c r="H124" s="477"/>
      <c r="I124" s="477"/>
      <c r="J124" s="477"/>
      <c r="K124" s="477"/>
      <c r="L124" s="52">
        <v>20.967741935483872</v>
      </c>
      <c r="M124" s="52">
        <v>20.967741935483872</v>
      </c>
    </row>
    <row r="125" spans="1:13" ht="15.75" thickBot="1" x14ac:dyDescent="0.3">
      <c r="A125" s="6" t="s">
        <v>21</v>
      </c>
      <c r="B125" s="477"/>
      <c r="C125" s="477">
        <v>38.75</v>
      </c>
      <c r="D125" s="477"/>
      <c r="E125" s="477"/>
      <c r="F125" s="477"/>
      <c r="G125" s="477"/>
      <c r="H125" s="477"/>
      <c r="I125" s="477"/>
      <c r="J125" s="477"/>
      <c r="K125" s="477"/>
      <c r="L125" s="52">
        <v>38.75</v>
      </c>
      <c r="M125" s="52">
        <v>38.75</v>
      </c>
    </row>
    <row r="126" spans="1:13" ht="15.75" thickBot="1" x14ac:dyDescent="0.3">
      <c r="A126" s="6" t="s">
        <v>1448</v>
      </c>
      <c r="B126" s="477">
        <v>46.572580645161288</v>
      </c>
      <c r="C126" s="477"/>
      <c r="D126" s="477"/>
      <c r="E126" s="477"/>
      <c r="F126" s="477"/>
      <c r="G126" s="477"/>
      <c r="H126" s="477"/>
      <c r="I126" s="477"/>
      <c r="J126" s="477"/>
      <c r="K126" s="477"/>
      <c r="L126" s="52">
        <v>46.572580645161288</v>
      </c>
      <c r="M126" s="52">
        <v>46.572580645161288</v>
      </c>
    </row>
    <row r="127" spans="1:13" ht="15.75" thickBot="1" x14ac:dyDescent="0.3">
      <c r="A127" s="6" t="s">
        <v>1442</v>
      </c>
      <c r="B127" s="477">
        <v>5.4838709677419351</v>
      </c>
      <c r="C127" s="477">
        <v>8.5</v>
      </c>
      <c r="D127" s="477">
        <v>2.193548387096774</v>
      </c>
      <c r="E127" s="477"/>
      <c r="F127" s="477"/>
      <c r="G127" s="477"/>
      <c r="H127" s="477"/>
      <c r="I127" s="477"/>
      <c r="J127" s="477"/>
      <c r="K127" s="477"/>
      <c r="L127" s="52">
        <v>16.177419354838712</v>
      </c>
      <c r="M127" s="52">
        <v>16.177419354838712</v>
      </c>
    </row>
    <row r="128" spans="1:13" ht="15.75" thickBot="1" x14ac:dyDescent="0.3">
      <c r="A128" s="6" t="s">
        <v>43</v>
      </c>
      <c r="B128" s="477"/>
      <c r="C128" s="477">
        <v>2.7142857142857144</v>
      </c>
      <c r="D128" s="477">
        <v>1.935483870967742</v>
      </c>
      <c r="E128" s="477"/>
      <c r="F128" s="477"/>
      <c r="G128" s="477"/>
      <c r="H128" s="477"/>
      <c r="I128" s="477"/>
      <c r="J128" s="477"/>
      <c r="K128" s="477"/>
      <c r="L128" s="52">
        <v>4.6497695852534564</v>
      </c>
      <c r="M128" s="52">
        <v>4.6497695852534564</v>
      </c>
    </row>
    <row r="129" spans="1:13" ht="15.75" thickBot="1" x14ac:dyDescent="0.3">
      <c r="A129" s="6" t="s">
        <v>1443</v>
      </c>
      <c r="B129" s="477"/>
      <c r="C129" s="477"/>
      <c r="D129" s="477"/>
      <c r="E129" s="477">
        <v>7.2</v>
      </c>
      <c r="F129" s="477">
        <v>1.8064516129032258</v>
      </c>
      <c r="G129" s="477"/>
      <c r="H129" s="477"/>
      <c r="I129" s="477"/>
      <c r="J129" s="477"/>
      <c r="K129" s="477"/>
      <c r="L129" s="52">
        <v>9.0064516129032253</v>
      </c>
      <c r="M129" s="52">
        <v>9.0064516129032253</v>
      </c>
    </row>
    <row r="130" spans="1:13" ht="15.75" thickBot="1" x14ac:dyDescent="0.3">
      <c r="A130" s="6" t="s">
        <v>1449</v>
      </c>
      <c r="B130" s="477">
        <v>0.41935483870967744</v>
      </c>
      <c r="C130" s="477"/>
      <c r="D130" s="477"/>
      <c r="E130" s="477"/>
      <c r="F130" s="477"/>
      <c r="G130" s="477"/>
      <c r="H130" s="477"/>
      <c r="I130" s="477"/>
      <c r="J130" s="477"/>
      <c r="K130" s="477"/>
      <c r="L130" s="52">
        <v>0.41935483870967744</v>
      </c>
      <c r="M130" s="52">
        <v>0.41935483870967744</v>
      </c>
    </row>
    <row r="131" spans="1:13" ht="15.75" thickBot="1" x14ac:dyDescent="0.3">
      <c r="A131" s="6" t="s">
        <v>61</v>
      </c>
      <c r="B131" s="477"/>
      <c r="C131" s="477">
        <v>1.9642857142857142</v>
      </c>
      <c r="D131" s="477">
        <v>8.0645161290322578E-2</v>
      </c>
      <c r="E131" s="477"/>
      <c r="F131" s="477"/>
      <c r="G131" s="477"/>
      <c r="H131" s="477"/>
      <c r="I131" s="477"/>
      <c r="J131" s="477"/>
      <c r="K131" s="477"/>
      <c r="L131" s="52">
        <v>2.0449308755760369</v>
      </c>
      <c r="M131" s="52">
        <v>2.0449308755760369</v>
      </c>
    </row>
    <row r="132" spans="1:13" ht="15.75" thickBot="1" x14ac:dyDescent="0.3">
      <c r="A132" s="6" t="s">
        <v>1450</v>
      </c>
      <c r="B132" s="477"/>
      <c r="C132" s="477"/>
      <c r="D132" s="477">
        <v>0.62096774193548387</v>
      </c>
      <c r="E132" s="477">
        <v>0.46666666666666667</v>
      </c>
      <c r="F132" s="477"/>
      <c r="G132" s="477"/>
      <c r="H132" s="477"/>
      <c r="I132" s="477"/>
      <c r="J132" s="477"/>
      <c r="K132" s="477"/>
      <c r="L132" s="52">
        <v>1.0876344086021505</v>
      </c>
      <c r="M132" s="52">
        <v>1.0876344086021505</v>
      </c>
    </row>
    <row r="133" spans="1:13" ht="15.75" thickBot="1" x14ac:dyDescent="0.3">
      <c r="A133" s="6" t="s">
        <v>41</v>
      </c>
      <c r="B133" s="477"/>
      <c r="C133" s="477">
        <v>31.25</v>
      </c>
      <c r="D133" s="477">
        <v>31.25</v>
      </c>
      <c r="E133" s="477">
        <v>6.25</v>
      </c>
      <c r="F133" s="477"/>
      <c r="G133" s="477"/>
      <c r="H133" s="477"/>
      <c r="I133" s="477"/>
      <c r="J133" s="477"/>
      <c r="K133" s="477"/>
      <c r="L133" s="52">
        <v>68.75</v>
      </c>
      <c r="M133" s="52">
        <v>68.75</v>
      </c>
    </row>
    <row r="134" spans="1:13" ht="15.75" thickBot="1" x14ac:dyDescent="0.3">
      <c r="A134" s="6" t="s">
        <v>1451</v>
      </c>
      <c r="B134" s="477"/>
      <c r="C134" s="477">
        <v>11.535714285714285</v>
      </c>
      <c r="D134" s="477">
        <v>13.024193548387096</v>
      </c>
      <c r="E134" s="477"/>
      <c r="F134" s="477"/>
      <c r="G134" s="477"/>
      <c r="H134" s="477"/>
      <c r="I134" s="477"/>
      <c r="J134" s="477"/>
      <c r="K134" s="477"/>
      <c r="L134" s="52">
        <v>24.559907834101381</v>
      </c>
      <c r="M134" s="52">
        <v>24.559907834101381</v>
      </c>
    </row>
    <row r="135" spans="1:13" ht="15.75" thickBot="1" x14ac:dyDescent="0.3">
      <c r="A135" s="6" t="s">
        <v>1452</v>
      </c>
      <c r="B135" s="477"/>
      <c r="C135" s="477">
        <v>21.964285714285712</v>
      </c>
      <c r="D135" s="477">
        <v>14.052419354838708</v>
      </c>
      <c r="E135" s="477"/>
      <c r="F135" s="477"/>
      <c r="G135" s="477"/>
      <c r="H135" s="477"/>
      <c r="I135" s="477"/>
      <c r="J135" s="477"/>
      <c r="K135" s="477"/>
      <c r="L135" s="52">
        <v>36.01670506912442</v>
      </c>
      <c r="M135" s="52">
        <v>36.01670506912442</v>
      </c>
    </row>
    <row r="136" spans="1:13" ht="15.75" thickBot="1" x14ac:dyDescent="0.3">
      <c r="A136" s="455" t="s">
        <v>218</v>
      </c>
      <c r="B136" s="477">
        <v>11.27016129032258</v>
      </c>
      <c r="C136" s="477">
        <v>27.875</v>
      </c>
      <c r="D136" s="477">
        <v>7.120967741935484</v>
      </c>
      <c r="E136" s="477"/>
      <c r="F136" s="477"/>
      <c r="G136" s="477"/>
      <c r="H136" s="477"/>
      <c r="I136" s="477"/>
      <c r="J136" s="477"/>
      <c r="K136" s="477"/>
      <c r="L136" s="52">
        <v>46.266129032258064</v>
      </c>
      <c r="M136" s="52">
        <v>46.266129032258064</v>
      </c>
    </row>
    <row r="137" spans="1:13" ht="15.75" thickBot="1" x14ac:dyDescent="0.3">
      <c r="A137" s="6" t="s">
        <v>1445</v>
      </c>
      <c r="B137" s="477">
        <v>2.0766129032258065</v>
      </c>
      <c r="C137" s="477">
        <v>12.875</v>
      </c>
      <c r="D137" s="477">
        <v>0.83064516129032251</v>
      </c>
      <c r="E137" s="477"/>
      <c r="F137" s="477"/>
      <c r="G137" s="477"/>
      <c r="H137" s="477"/>
      <c r="I137" s="477"/>
      <c r="J137" s="477"/>
      <c r="K137" s="477"/>
      <c r="L137" s="52">
        <v>15.782258064516128</v>
      </c>
      <c r="M137" s="52">
        <v>15.782258064516128</v>
      </c>
    </row>
    <row r="138" spans="1:13" ht="15.75" thickBot="1" x14ac:dyDescent="0.3">
      <c r="A138" s="6" t="s">
        <v>21</v>
      </c>
      <c r="B138" s="477">
        <v>9.193548387096774</v>
      </c>
      <c r="C138" s="477">
        <v>15</v>
      </c>
      <c r="D138" s="477">
        <v>6.2903225806451619</v>
      </c>
      <c r="E138" s="477"/>
      <c r="F138" s="477"/>
      <c r="G138" s="477"/>
      <c r="H138" s="477"/>
      <c r="I138" s="477"/>
      <c r="J138" s="477"/>
      <c r="K138" s="477"/>
      <c r="L138" s="52">
        <v>30.483870967741936</v>
      </c>
      <c r="M138" s="52">
        <v>30.483870967741936</v>
      </c>
    </row>
    <row r="139" spans="1:13" ht="15.75" thickBot="1" x14ac:dyDescent="0.3">
      <c r="A139" s="455" t="s">
        <v>454</v>
      </c>
      <c r="B139" s="477"/>
      <c r="C139" s="477"/>
      <c r="D139" s="477"/>
      <c r="E139" s="477"/>
      <c r="F139" s="477">
        <v>2.57258064516129</v>
      </c>
      <c r="G139" s="477">
        <v>2.75</v>
      </c>
      <c r="H139" s="477">
        <v>0.91935483870967749</v>
      </c>
      <c r="I139" s="477">
        <v>1.0999999999999999</v>
      </c>
      <c r="J139" s="477"/>
      <c r="K139" s="477"/>
      <c r="L139" s="52">
        <v>7.3419354838709676</v>
      </c>
      <c r="M139" s="52">
        <v>7.3419354838709676</v>
      </c>
    </row>
    <row r="140" spans="1:13" ht="15.75" thickBot="1" x14ac:dyDescent="0.3">
      <c r="A140" s="6" t="s">
        <v>39</v>
      </c>
      <c r="B140" s="477"/>
      <c r="C140" s="477"/>
      <c r="D140" s="477"/>
      <c r="E140" s="477"/>
      <c r="F140" s="477"/>
      <c r="G140" s="477"/>
      <c r="H140" s="477">
        <v>0.91935483870967749</v>
      </c>
      <c r="I140" s="477">
        <v>1.0999999999999999</v>
      </c>
      <c r="J140" s="477"/>
      <c r="K140" s="477"/>
      <c r="L140" s="52">
        <v>2.0193548387096776</v>
      </c>
      <c r="M140" s="52">
        <v>2.0193548387096776</v>
      </c>
    </row>
    <row r="141" spans="1:13" ht="15.75" thickBot="1" x14ac:dyDescent="0.3">
      <c r="A141" s="6" t="s">
        <v>1453</v>
      </c>
      <c r="B141" s="477"/>
      <c r="C141" s="477"/>
      <c r="D141" s="477"/>
      <c r="E141" s="477"/>
      <c r="F141" s="477">
        <v>2.57258064516129</v>
      </c>
      <c r="G141" s="477">
        <v>2.75</v>
      </c>
      <c r="H141" s="477"/>
      <c r="I141" s="477"/>
      <c r="J141" s="477"/>
      <c r="K141" s="477"/>
      <c r="L141" s="52">
        <v>5.32258064516129</v>
      </c>
      <c r="M141" s="52">
        <v>5.32258064516129</v>
      </c>
    </row>
    <row r="142" spans="1:13" ht="15.75" thickBot="1" x14ac:dyDescent="0.3">
      <c r="A142" s="455" t="s">
        <v>1438</v>
      </c>
      <c r="B142" s="477"/>
      <c r="C142" s="477">
        <v>0</v>
      </c>
      <c r="D142" s="477">
        <v>0</v>
      </c>
      <c r="E142" s="477">
        <v>0</v>
      </c>
      <c r="F142" s="477"/>
      <c r="G142" s="477"/>
      <c r="H142" s="477"/>
      <c r="I142" s="477"/>
      <c r="J142" s="477"/>
      <c r="K142" s="477"/>
      <c r="L142" s="52">
        <v>0</v>
      </c>
      <c r="M142" s="52">
        <v>0</v>
      </c>
    </row>
    <row r="143" spans="1:13" ht="15.75" thickBot="1" x14ac:dyDescent="0.3">
      <c r="A143" s="6" t="s">
        <v>41</v>
      </c>
      <c r="B143" s="477"/>
      <c r="C143" s="477">
        <v>0</v>
      </c>
      <c r="D143" s="477">
        <v>0</v>
      </c>
      <c r="E143" s="477">
        <v>0</v>
      </c>
      <c r="F143" s="477"/>
      <c r="G143" s="477"/>
      <c r="H143" s="477"/>
      <c r="I143" s="477"/>
      <c r="J143" s="477"/>
      <c r="K143" s="477"/>
      <c r="L143" s="52">
        <v>0</v>
      </c>
      <c r="M143" s="52">
        <v>0</v>
      </c>
    </row>
    <row r="144" spans="1:13" ht="15.75" thickBot="1" x14ac:dyDescent="0.3">
      <c r="A144" s="455" t="s">
        <v>197</v>
      </c>
      <c r="B144" s="477">
        <v>9.1032258064516114</v>
      </c>
      <c r="C144" s="477">
        <v>71.157142857142858</v>
      </c>
      <c r="D144" s="477">
        <v>49.519354838709681</v>
      </c>
      <c r="E144" s="477">
        <v>9.3216666666666654</v>
      </c>
      <c r="F144" s="477">
        <v>2.1112903225806452</v>
      </c>
      <c r="G144" s="477"/>
      <c r="H144" s="477"/>
      <c r="I144" s="477"/>
      <c r="J144" s="477"/>
      <c r="K144" s="477"/>
      <c r="L144" s="52">
        <v>141.21268049155145</v>
      </c>
      <c r="M144" s="52">
        <v>141.21268049155145</v>
      </c>
    </row>
    <row r="145" spans="1:13" ht="15.75" thickBot="1" x14ac:dyDescent="0.3">
      <c r="A145" s="6" t="s">
        <v>1439</v>
      </c>
      <c r="B145" s="477"/>
      <c r="C145" s="477">
        <v>9.5624999999999982</v>
      </c>
      <c r="D145" s="477">
        <v>14.395161290322578</v>
      </c>
      <c r="E145" s="477"/>
      <c r="F145" s="477"/>
      <c r="G145" s="477"/>
      <c r="H145" s="477"/>
      <c r="I145" s="477"/>
      <c r="J145" s="477"/>
      <c r="K145" s="477"/>
      <c r="L145" s="52">
        <v>23.957661290322577</v>
      </c>
      <c r="M145" s="52">
        <v>23.957661290322577</v>
      </c>
    </row>
    <row r="146" spans="1:13" ht="15.75" thickBot="1" x14ac:dyDescent="0.3">
      <c r="A146" s="6" t="s">
        <v>1440</v>
      </c>
      <c r="B146" s="477"/>
      <c r="C146" s="477">
        <v>12.628571428571428</v>
      </c>
      <c r="D146" s="477">
        <v>13.6</v>
      </c>
      <c r="E146" s="477">
        <v>0.90666666666666662</v>
      </c>
      <c r="F146" s="477"/>
      <c r="G146" s="477"/>
      <c r="H146" s="477"/>
      <c r="I146" s="477"/>
      <c r="J146" s="477"/>
      <c r="K146" s="477"/>
      <c r="L146" s="52">
        <v>27.135238095238094</v>
      </c>
      <c r="M146" s="52">
        <v>27.135238095238094</v>
      </c>
    </row>
    <row r="147" spans="1:13" ht="15.75" thickBot="1" x14ac:dyDescent="0.3">
      <c r="A147" s="6" t="s">
        <v>1444</v>
      </c>
      <c r="B147" s="477">
        <v>0</v>
      </c>
      <c r="C147" s="477">
        <v>0</v>
      </c>
      <c r="D147" s="477">
        <v>0</v>
      </c>
      <c r="E147" s="477"/>
      <c r="F147" s="477"/>
      <c r="G147" s="477"/>
      <c r="H147" s="477"/>
      <c r="I147" s="477"/>
      <c r="J147" s="477"/>
      <c r="K147" s="477"/>
      <c r="L147" s="52">
        <v>0</v>
      </c>
      <c r="M147" s="52">
        <v>0</v>
      </c>
    </row>
    <row r="148" spans="1:13" ht="15.75" thickBot="1" x14ac:dyDescent="0.3">
      <c r="A148" s="6" t="s">
        <v>1442</v>
      </c>
      <c r="B148" s="477">
        <v>5.4838709677419351</v>
      </c>
      <c r="C148" s="477">
        <v>8.5</v>
      </c>
      <c r="D148" s="477">
        <v>2.193548387096774</v>
      </c>
      <c r="E148" s="477"/>
      <c r="F148" s="477"/>
      <c r="G148" s="477"/>
      <c r="H148" s="477"/>
      <c r="I148" s="477"/>
      <c r="J148" s="477"/>
      <c r="K148" s="477"/>
      <c r="L148" s="52">
        <v>16.177419354838712</v>
      </c>
      <c r="M148" s="52">
        <v>16.177419354838712</v>
      </c>
    </row>
    <row r="149" spans="1:13" ht="15.75" thickBot="1" x14ac:dyDescent="0.3">
      <c r="A149" s="6" t="s">
        <v>43</v>
      </c>
      <c r="B149" s="477"/>
      <c r="C149" s="477">
        <v>4.0375000000000005</v>
      </c>
      <c r="D149" s="477">
        <v>2.8790322580645165</v>
      </c>
      <c r="E149" s="477"/>
      <c r="F149" s="477"/>
      <c r="G149" s="477"/>
      <c r="H149" s="477"/>
      <c r="I149" s="477"/>
      <c r="J149" s="477"/>
      <c r="K149" s="477"/>
      <c r="L149" s="52">
        <v>6.9165322580645174</v>
      </c>
      <c r="M149" s="52">
        <v>6.9165322580645174</v>
      </c>
    </row>
    <row r="150" spans="1:13" ht="15.75" thickBot="1" x14ac:dyDescent="0.3">
      <c r="A150" s="6" t="s">
        <v>63</v>
      </c>
      <c r="B150" s="477"/>
      <c r="C150" s="477">
        <v>29.142857142857142</v>
      </c>
      <c r="D150" s="477">
        <v>16.451612903225808</v>
      </c>
      <c r="E150" s="477"/>
      <c r="F150" s="477"/>
      <c r="G150" s="477"/>
      <c r="H150" s="477"/>
      <c r="I150" s="477"/>
      <c r="J150" s="477"/>
      <c r="K150" s="477"/>
      <c r="L150" s="52">
        <v>45.594470046082947</v>
      </c>
      <c r="M150" s="52">
        <v>45.594470046082947</v>
      </c>
    </row>
    <row r="151" spans="1:13" ht="15.75" thickBot="1" x14ac:dyDescent="0.3">
      <c r="A151" s="6" t="s">
        <v>1443</v>
      </c>
      <c r="B151" s="477"/>
      <c r="C151" s="477"/>
      <c r="D151" s="477"/>
      <c r="E151" s="477">
        <v>8.4149999999999991</v>
      </c>
      <c r="F151" s="477">
        <v>2.1112903225806452</v>
      </c>
      <c r="G151" s="477"/>
      <c r="H151" s="477"/>
      <c r="I151" s="477"/>
      <c r="J151" s="477"/>
      <c r="K151" s="477"/>
      <c r="L151" s="52">
        <v>10.526290322580644</v>
      </c>
      <c r="M151" s="52">
        <v>10.526290322580644</v>
      </c>
    </row>
    <row r="152" spans="1:13" ht="15.75" thickBot="1" x14ac:dyDescent="0.3">
      <c r="A152" s="6" t="s">
        <v>1449</v>
      </c>
      <c r="B152" s="477">
        <v>1.4258064516129032</v>
      </c>
      <c r="C152" s="477"/>
      <c r="D152" s="477"/>
      <c r="E152" s="477"/>
      <c r="F152" s="477"/>
      <c r="G152" s="477"/>
      <c r="H152" s="477"/>
      <c r="I152" s="477"/>
      <c r="J152" s="477"/>
      <c r="K152" s="477"/>
      <c r="L152" s="52">
        <v>1.4258064516129032</v>
      </c>
      <c r="M152" s="52">
        <v>1.4258064516129032</v>
      </c>
    </row>
    <row r="153" spans="1:13" ht="15.75" thickBot="1" x14ac:dyDescent="0.3">
      <c r="A153" s="6" t="s">
        <v>1451</v>
      </c>
      <c r="B153" s="477">
        <v>2.193548387096774</v>
      </c>
      <c r="C153" s="477">
        <v>7.2857142857142856</v>
      </c>
      <c r="D153" s="477"/>
      <c r="E153" s="477"/>
      <c r="F153" s="477"/>
      <c r="G153" s="477"/>
      <c r="H153" s="477"/>
      <c r="I153" s="477"/>
      <c r="J153" s="477"/>
      <c r="K153" s="477"/>
      <c r="L153" s="52">
        <v>9.4792626728110605</v>
      </c>
      <c r="M153" s="52">
        <v>9.4792626728110605</v>
      </c>
    </row>
    <row r="154" spans="1:13" ht="15.75" thickBot="1" x14ac:dyDescent="0.3">
      <c r="A154" s="455" t="s">
        <v>195</v>
      </c>
      <c r="B154" s="477"/>
      <c r="C154" s="477">
        <v>0</v>
      </c>
      <c r="D154" s="477">
        <v>0</v>
      </c>
      <c r="E154" s="477">
        <v>0</v>
      </c>
      <c r="F154" s="477"/>
      <c r="G154" s="477"/>
      <c r="H154" s="477"/>
      <c r="I154" s="477"/>
      <c r="J154" s="477"/>
      <c r="K154" s="477"/>
      <c r="L154" s="52">
        <v>0</v>
      </c>
      <c r="M154" s="52">
        <v>0</v>
      </c>
    </row>
    <row r="155" spans="1:13" ht="15.75" thickBot="1" x14ac:dyDescent="0.3">
      <c r="A155" s="6" t="s">
        <v>41</v>
      </c>
      <c r="B155" s="477"/>
      <c r="C155" s="477">
        <v>0</v>
      </c>
      <c r="D155" s="477">
        <v>0</v>
      </c>
      <c r="E155" s="477">
        <v>0</v>
      </c>
      <c r="F155" s="477"/>
      <c r="G155" s="477"/>
      <c r="H155" s="477"/>
      <c r="I155" s="477"/>
      <c r="J155" s="477"/>
      <c r="K155" s="477"/>
      <c r="L155" s="52">
        <v>0</v>
      </c>
      <c r="M155" s="52">
        <v>0</v>
      </c>
    </row>
    <row r="156" spans="1:13" ht="15.75" thickBot="1" x14ac:dyDescent="0.3">
      <c r="A156" s="455" t="s">
        <v>1454</v>
      </c>
      <c r="B156" s="477"/>
      <c r="C156" s="477"/>
      <c r="D156" s="477"/>
      <c r="E156" s="477"/>
      <c r="F156" s="477"/>
      <c r="G156" s="477"/>
      <c r="H156" s="477"/>
      <c r="I156" s="477"/>
      <c r="J156" s="477"/>
      <c r="K156" s="477"/>
      <c r="L156" s="52"/>
      <c r="M156" s="52"/>
    </row>
    <row r="157" spans="1:13" x14ac:dyDescent="0.25">
      <c r="A157" s="6" t="s">
        <v>1445</v>
      </c>
      <c r="B157" s="477"/>
      <c r="C157" s="477"/>
      <c r="D157" s="477"/>
      <c r="E157" s="477"/>
      <c r="F157" s="477"/>
      <c r="G157" s="477"/>
      <c r="H157" s="477"/>
      <c r="I157" s="477"/>
      <c r="J157" s="477"/>
      <c r="K157" s="477"/>
      <c r="L157" s="52"/>
      <c r="M157" s="52"/>
    </row>
    <row r="158" spans="1:13" x14ac:dyDescent="0.25">
      <c r="A158" s="455" t="s">
        <v>13</v>
      </c>
      <c r="B158" s="52">
        <v>246.11532258064511</v>
      </c>
      <c r="C158" s="52">
        <v>386.82678571428579</v>
      </c>
      <c r="D158" s="52">
        <v>206.43467741935484</v>
      </c>
      <c r="E158" s="52">
        <v>38.385833333333331</v>
      </c>
      <c r="F158" s="52">
        <v>9.939516129032258</v>
      </c>
      <c r="G158" s="52">
        <v>2.75</v>
      </c>
      <c r="H158" s="52">
        <v>0.91935483870967749</v>
      </c>
      <c r="I158" s="52">
        <v>1.0999999999999999</v>
      </c>
      <c r="J158" s="52"/>
      <c r="K158" s="52"/>
      <c r="L158" s="52">
        <v>892.47149001536093</v>
      </c>
      <c r="M158" s="52">
        <v>892.47149001536093</v>
      </c>
    </row>
  </sheetData>
  <conditionalFormatting pivot="1" sqref="B103:K103 B104:K108 B109:K109 B110:K116 B117:K117 B118:K135 B136:K136 B137:K138 B139:K139 B140:K141 B142:K142 B143:K143 B144:K144 B145:K153 B154:K154 B155:K155 B156:K156 B157:K157">
    <cfRule type="colorScale" priority="1">
      <colorScale>
        <cfvo type="min"/>
        <cfvo type="percentile" val="33"/>
        <cfvo type="max"/>
        <color rgb="FF63BE7B"/>
        <color rgb="FFFFFF00"/>
        <color rgb="FFF8696B"/>
      </colorScale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2"/>
  <dimension ref="B1:AF52"/>
  <sheetViews>
    <sheetView topLeftCell="N1" zoomScale="85" zoomScaleNormal="85" workbookViewId="0">
      <pane ySplit="4" topLeftCell="A9" activePane="bottomLeft" state="frozen"/>
      <selection pane="bottomLeft" activeCell="Q35" sqref="Q35:Q36"/>
    </sheetView>
  </sheetViews>
  <sheetFormatPr defaultRowHeight="15" x14ac:dyDescent="0.25"/>
  <cols>
    <col min="2" max="2" width="37.28515625" customWidth="1"/>
    <col min="3" max="14" width="9.140625" customWidth="1"/>
    <col min="17" max="17" width="32.7109375" customWidth="1"/>
    <col min="18" max="25" width="9.140625" customWidth="1"/>
    <col min="30" max="30" width="0" hidden="1" customWidth="1"/>
    <col min="31" max="31" width="16.140625" customWidth="1"/>
  </cols>
  <sheetData>
    <row r="1" spans="2:31" ht="15.75" thickBot="1" x14ac:dyDescent="0.3"/>
    <row r="2" spans="2:31" ht="15.75" thickBot="1" x14ac:dyDescent="0.3">
      <c r="O2" s="15"/>
      <c r="P2" s="15"/>
      <c r="Q2" s="493" t="s">
        <v>56</v>
      </c>
      <c r="R2" s="494"/>
      <c r="S2" s="494"/>
      <c r="T2" s="494"/>
      <c r="U2" s="494"/>
      <c r="V2" s="494"/>
      <c r="W2" s="494"/>
      <c r="X2" s="494"/>
      <c r="Y2" s="494"/>
      <c r="Z2" s="494"/>
      <c r="AA2" s="494"/>
      <c r="AB2" s="494"/>
      <c r="AC2" s="495"/>
      <c r="AD2" s="15"/>
    </row>
    <row r="3" spans="2:31" ht="21" hidden="1" customHeight="1" x14ac:dyDescent="0.25"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O3" s="15"/>
      <c r="P3" s="15"/>
      <c r="Q3" s="1"/>
      <c r="R3" s="1" t="s">
        <v>1</v>
      </c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5"/>
    </row>
    <row r="4" spans="2:31" x14ac:dyDescent="0.25">
      <c r="B4" s="2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  <c r="O4" s="15"/>
      <c r="P4" s="15"/>
      <c r="Q4" s="2" t="s">
        <v>2</v>
      </c>
      <c r="R4" s="3" t="s">
        <v>3</v>
      </c>
      <c r="S4" s="3" t="s">
        <v>4</v>
      </c>
      <c r="T4" s="3" t="s">
        <v>5</v>
      </c>
      <c r="U4" s="3" t="s">
        <v>6</v>
      </c>
      <c r="V4" s="3" t="s">
        <v>7</v>
      </c>
      <c r="W4" s="3" t="s">
        <v>8</v>
      </c>
      <c r="X4" s="3" t="s">
        <v>45</v>
      </c>
      <c r="Y4" s="3" t="s">
        <v>46</v>
      </c>
      <c r="Z4" s="3" t="s">
        <v>9</v>
      </c>
      <c r="AA4" s="3" t="s">
        <v>10</v>
      </c>
      <c r="AB4" s="3" t="s">
        <v>11</v>
      </c>
      <c r="AC4" s="3" t="s">
        <v>12</v>
      </c>
      <c r="AD4" s="13" t="s">
        <v>50</v>
      </c>
      <c r="AE4" s="13" t="s">
        <v>58</v>
      </c>
    </row>
    <row r="5" spans="2:31" x14ac:dyDescent="0.25">
      <c r="B5" s="4" t="s">
        <v>14</v>
      </c>
      <c r="C5" s="5">
        <v>220.76</v>
      </c>
      <c r="D5" s="5">
        <v>77.745714285999995</v>
      </c>
      <c r="E5" s="5"/>
      <c r="F5" s="5"/>
      <c r="G5" s="5"/>
      <c r="H5" s="5"/>
      <c r="I5" s="5"/>
      <c r="J5" s="5"/>
      <c r="K5" s="5"/>
      <c r="L5" s="5">
        <v>24.768571428999998</v>
      </c>
      <c r="M5" s="5">
        <v>323.27428571500002</v>
      </c>
      <c r="Q5" s="4" t="s">
        <v>14</v>
      </c>
      <c r="R5" s="5">
        <f>C5/4</f>
        <v>55.19</v>
      </c>
      <c r="S5" s="5">
        <f t="shared" ref="S5:W20" si="0">D5/4</f>
        <v>19.436428571499999</v>
      </c>
      <c r="T5" s="5">
        <f t="shared" si="0"/>
        <v>0</v>
      </c>
      <c r="U5" s="5">
        <f t="shared" si="0"/>
        <v>0</v>
      </c>
      <c r="V5" s="5">
        <f t="shared" si="0"/>
        <v>0</v>
      </c>
      <c r="W5" s="5">
        <f t="shared" si="0"/>
        <v>0</v>
      </c>
      <c r="X5" s="5">
        <v>0</v>
      </c>
      <c r="Y5" s="5">
        <v>0</v>
      </c>
      <c r="Z5" s="5">
        <f t="shared" ref="Z5:AC20" si="1">I5/4</f>
        <v>0</v>
      </c>
      <c r="AA5" s="5">
        <f t="shared" si="1"/>
        <v>0</v>
      </c>
      <c r="AB5" s="5">
        <f t="shared" si="1"/>
        <v>0</v>
      </c>
      <c r="AC5" s="5">
        <f t="shared" si="1"/>
        <v>6.1921428572499995</v>
      </c>
    </row>
    <row r="6" spans="2:31" x14ac:dyDescent="0.25">
      <c r="B6" s="6" t="s">
        <v>15</v>
      </c>
      <c r="C6" s="7">
        <v>220.76</v>
      </c>
      <c r="D6" s="7">
        <v>77.745714285999995</v>
      </c>
      <c r="E6" s="7"/>
      <c r="F6" s="7"/>
      <c r="G6" s="7"/>
      <c r="H6" s="7"/>
      <c r="I6" s="7"/>
      <c r="J6" s="7"/>
      <c r="K6" s="7"/>
      <c r="L6" s="7">
        <v>24.768571428999998</v>
      </c>
      <c r="M6" s="7">
        <v>323.27428571500002</v>
      </c>
      <c r="Q6" s="6" t="s">
        <v>15</v>
      </c>
      <c r="R6" s="5">
        <f t="shared" ref="R6:W33" si="2">C6/4</f>
        <v>55.19</v>
      </c>
      <c r="S6" s="5">
        <f t="shared" si="0"/>
        <v>19.436428571499999</v>
      </c>
      <c r="T6" s="5">
        <f t="shared" si="0"/>
        <v>0</v>
      </c>
      <c r="U6" s="5">
        <f t="shared" si="0"/>
        <v>0</v>
      </c>
      <c r="V6" s="5">
        <f t="shared" si="0"/>
        <v>0</v>
      </c>
      <c r="W6" s="5">
        <f t="shared" si="0"/>
        <v>0</v>
      </c>
      <c r="X6" s="5">
        <v>0</v>
      </c>
      <c r="Y6" s="5">
        <v>0</v>
      </c>
      <c r="Z6" s="5">
        <f t="shared" si="1"/>
        <v>0</v>
      </c>
      <c r="AA6" s="5">
        <f t="shared" si="1"/>
        <v>0</v>
      </c>
      <c r="AB6" s="5">
        <f t="shared" si="1"/>
        <v>0</v>
      </c>
      <c r="AC6" s="5">
        <f t="shared" si="1"/>
        <v>6.1921428572499995</v>
      </c>
    </row>
    <row r="7" spans="2:31" x14ac:dyDescent="0.25">
      <c r="B7" s="4" t="s">
        <v>16</v>
      </c>
      <c r="C7" s="5"/>
      <c r="D7" s="5"/>
      <c r="E7" s="5"/>
      <c r="F7" s="5">
        <v>43.2</v>
      </c>
      <c r="G7" s="5">
        <v>86.4</v>
      </c>
      <c r="H7" s="5">
        <v>43.2</v>
      </c>
      <c r="I7" s="5"/>
      <c r="J7" s="5"/>
      <c r="K7" s="5"/>
      <c r="L7" s="5"/>
      <c r="M7" s="5">
        <v>172.8</v>
      </c>
      <c r="Q7" s="4" t="s">
        <v>16</v>
      </c>
      <c r="R7" s="5">
        <f t="shared" si="2"/>
        <v>0</v>
      </c>
      <c r="S7" s="5">
        <f t="shared" si="0"/>
        <v>0</v>
      </c>
      <c r="T7" s="5">
        <f t="shared" si="0"/>
        <v>0</v>
      </c>
      <c r="U7" s="5">
        <f t="shared" si="0"/>
        <v>10.8</v>
      </c>
      <c r="V7" s="5">
        <f t="shared" si="0"/>
        <v>21.6</v>
      </c>
      <c r="W7" s="5">
        <f t="shared" si="0"/>
        <v>10.8</v>
      </c>
      <c r="X7" s="5">
        <v>0</v>
      </c>
      <c r="Y7" s="5">
        <v>0</v>
      </c>
      <c r="Z7" s="5">
        <f t="shared" si="1"/>
        <v>0</v>
      </c>
      <c r="AA7" s="5">
        <f t="shared" si="1"/>
        <v>0</v>
      </c>
      <c r="AB7" s="5">
        <f t="shared" si="1"/>
        <v>0</v>
      </c>
      <c r="AC7" s="5">
        <f t="shared" si="1"/>
        <v>0</v>
      </c>
    </row>
    <row r="8" spans="2:31" x14ac:dyDescent="0.25">
      <c r="B8" s="6" t="s">
        <v>17</v>
      </c>
      <c r="C8" s="7"/>
      <c r="D8" s="7"/>
      <c r="E8" s="7"/>
      <c r="F8" s="7">
        <v>43.2</v>
      </c>
      <c r="G8" s="7">
        <v>86.4</v>
      </c>
      <c r="H8" s="7">
        <v>43.2</v>
      </c>
      <c r="I8" s="7"/>
      <c r="J8" s="7"/>
      <c r="K8" s="7"/>
      <c r="L8" s="7"/>
      <c r="M8" s="7">
        <v>172.8</v>
      </c>
      <c r="Q8" s="6" t="s">
        <v>17</v>
      </c>
      <c r="R8" s="5">
        <f t="shared" si="2"/>
        <v>0</v>
      </c>
      <c r="S8" s="5">
        <f t="shared" si="0"/>
        <v>0</v>
      </c>
      <c r="T8" s="5">
        <f t="shared" si="0"/>
        <v>0</v>
      </c>
      <c r="U8" s="5">
        <f t="shared" si="0"/>
        <v>10.8</v>
      </c>
      <c r="V8" s="5">
        <f t="shared" si="0"/>
        <v>21.6</v>
      </c>
      <c r="W8" s="5">
        <f t="shared" si="0"/>
        <v>10.8</v>
      </c>
      <c r="X8" s="5">
        <v>0</v>
      </c>
      <c r="Y8" s="5">
        <v>0</v>
      </c>
      <c r="Z8" s="5">
        <f t="shared" si="1"/>
        <v>0</v>
      </c>
      <c r="AA8" s="5">
        <f t="shared" si="1"/>
        <v>0</v>
      </c>
      <c r="AB8" s="5">
        <f t="shared" si="1"/>
        <v>0</v>
      </c>
      <c r="AC8" s="5">
        <f t="shared" si="1"/>
        <v>0</v>
      </c>
    </row>
    <row r="9" spans="2:31" x14ac:dyDescent="0.25">
      <c r="B9" s="4" t="s">
        <v>18</v>
      </c>
      <c r="C9" s="5">
        <v>19.942857142999998</v>
      </c>
      <c r="D9" s="5">
        <v>267.2</v>
      </c>
      <c r="E9" s="5">
        <v>392.14000000100009</v>
      </c>
      <c r="F9" s="5">
        <v>97.8</v>
      </c>
      <c r="G9" s="5"/>
      <c r="H9" s="5"/>
      <c r="I9" s="5">
        <v>180.51428571399998</v>
      </c>
      <c r="J9" s="5">
        <v>187.2</v>
      </c>
      <c r="K9" s="5">
        <v>33.428571429000002</v>
      </c>
      <c r="L9" s="5"/>
      <c r="M9" s="5">
        <v>1178.2257142870001</v>
      </c>
      <c r="Q9" s="4" t="s">
        <v>18</v>
      </c>
      <c r="R9" s="5">
        <f t="shared" si="2"/>
        <v>4.9857142857499994</v>
      </c>
      <c r="S9" s="5">
        <f t="shared" si="0"/>
        <v>66.8</v>
      </c>
      <c r="T9" s="5">
        <f t="shared" si="0"/>
        <v>98.035000000250022</v>
      </c>
      <c r="U9" s="5">
        <f t="shared" si="0"/>
        <v>24.45</v>
      </c>
      <c r="V9" s="5">
        <f t="shared" si="0"/>
        <v>0</v>
      </c>
      <c r="W9" s="5">
        <f t="shared" si="0"/>
        <v>0</v>
      </c>
      <c r="X9" s="5">
        <v>0</v>
      </c>
      <c r="Y9" s="5">
        <v>0</v>
      </c>
      <c r="Z9" s="5">
        <f t="shared" si="1"/>
        <v>45.128571428499995</v>
      </c>
      <c r="AA9" s="5">
        <f t="shared" si="1"/>
        <v>46.8</v>
      </c>
      <c r="AB9" s="5">
        <f t="shared" si="1"/>
        <v>8.3571428572500004</v>
      </c>
      <c r="AC9" s="5">
        <f t="shared" si="1"/>
        <v>0</v>
      </c>
    </row>
    <row r="10" spans="2:31" x14ac:dyDescent="0.25">
      <c r="B10" s="6" t="s">
        <v>19</v>
      </c>
      <c r="C10" s="7"/>
      <c r="D10" s="7"/>
      <c r="E10" s="7">
        <v>83.785714286000001</v>
      </c>
      <c r="F10" s="7">
        <v>69.214285713999999</v>
      </c>
      <c r="G10" s="7"/>
      <c r="H10" s="7"/>
      <c r="I10" s="7"/>
      <c r="J10" s="7"/>
      <c r="K10" s="7"/>
      <c r="L10" s="7"/>
      <c r="M10" s="7">
        <v>153</v>
      </c>
      <c r="Q10" s="6" t="s">
        <v>19</v>
      </c>
      <c r="R10" s="5">
        <f t="shared" si="2"/>
        <v>0</v>
      </c>
      <c r="S10" s="5">
        <f t="shared" si="0"/>
        <v>0</v>
      </c>
      <c r="T10" s="5">
        <f t="shared" si="0"/>
        <v>20.9464285715</v>
      </c>
      <c r="U10" s="5">
        <f t="shared" si="0"/>
        <v>17.3035714285</v>
      </c>
      <c r="V10" s="5">
        <f t="shared" si="0"/>
        <v>0</v>
      </c>
      <c r="W10" s="5">
        <f t="shared" si="0"/>
        <v>0</v>
      </c>
      <c r="X10" s="5">
        <v>0</v>
      </c>
      <c r="Y10" s="5">
        <v>0</v>
      </c>
      <c r="Z10" s="5">
        <f t="shared" si="1"/>
        <v>0</v>
      </c>
      <c r="AA10" s="5">
        <f t="shared" si="1"/>
        <v>0</v>
      </c>
      <c r="AB10" s="5">
        <f t="shared" si="1"/>
        <v>0</v>
      </c>
      <c r="AC10" s="5">
        <f t="shared" si="1"/>
        <v>0</v>
      </c>
    </row>
    <row r="11" spans="2:31" x14ac:dyDescent="0.25">
      <c r="B11" s="6" t="s">
        <v>20</v>
      </c>
      <c r="C11" s="7"/>
      <c r="D11" s="7"/>
      <c r="E11" s="7">
        <v>194.38285714300002</v>
      </c>
      <c r="F11" s="7">
        <v>28.585714286000002</v>
      </c>
      <c r="G11" s="7"/>
      <c r="H11" s="7"/>
      <c r="I11" s="7"/>
      <c r="J11" s="7"/>
      <c r="K11" s="7"/>
      <c r="L11" s="7"/>
      <c r="M11" s="7">
        <v>222.96857142900004</v>
      </c>
      <c r="Q11" s="6" t="s">
        <v>20</v>
      </c>
      <c r="R11" s="5">
        <f t="shared" si="2"/>
        <v>0</v>
      </c>
      <c r="S11" s="5">
        <f t="shared" si="0"/>
        <v>0</v>
      </c>
      <c r="T11" s="5">
        <f t="shared" si="0"/>
        <v>48.595714285750006</v>
      </c>
      <c r="U11" s="5">
        <f t="shared" si="0"/>
        <v>7.1464285715000004</v>
      </c>
      <c r="V11" s="5">
        <f t="shared" si="0"/>
        <v>0</v>
      </c>
      <c r="W11" s="5">
        <f t="shared" si="0"/>
        <v>0</v>
      </c>
      <c r="X11" s="5">
        <v>0</v>
      </c>
      <c r="Y11" s="5">
        <v>0</v>
      </c>
      <c r="Z11" s="5">
        <f t="shared" si="1"/>
        <v>0</v>
      </c>
      <c r="AA11" s="5">
        <f t="shared" si="1"/>
        <v>0</v>
      </c>
      <c r="AB11" s="5">
        <f t="shared" si="1"/>
        <v>0</v>
      </c>
      <c r="AC11" s="5">
        <f t="shared" si="1"/>
        <v>0</v>
      </c>
    </row>
    <row r="12" spans="2:31" x14ac:dyDescent="0.25">
      <c r="B12" s="6" t="s">
        <v>21</v>
      </c>
      <c r="C12" s="7">
        <v>19.942857142999998</v>
      </c>
      <c r="D12" s="7">
        <v>267.2</v>
      </c>
      <c r="E12" s="7">
        <v>113.97142857200001</v>
      </c>
      <c r="F12" s="7"/>
      <c r="G12" s="7"/>
      <c r="H12" s="7"/>
      <c r="I12" s="7">
        <v>180.51428571399998</v>
      </c>
      <c r="J12" s="7">
        <v>187.2</v>
      </c>
      <c r="K12" s="7">
        <v>33.428571429000002</v>
      </c>
      <c r="L12" s="7"/>
      <c r="M12" s="7">
        <v>802.25714285800007</v>
      </c>
      <c r="Q12" s="6" t="s">
        <v>21</v>
      </c>
      <c r="R12" s="5">
        <f t="shared" si="2"/>
        <v>4.9857142857499994</v>
      </c>
      <c r="S12" s="5">
        <f t="shared" si="0"/>
        <v>66.8</v>
      </c>
      <c r="T12" s="5">
        <f t="shared" si="0"/>
        <v>28.492857143000002</v>
      </c>
      <c r="U12" s="5">
        <f t="shared" si="0"/>
        <v>0</v>
      </c>
      <c r="V12" s="5">
        <f t="shared" si="0"/>
        <v>0</v>
      </c>
      <c r="W12" s="5">
        <f t="shared" si="0"/>
        <v>0</v>
      </c>
      <c r="X12" s="5">
        <v>0</v>
      </c>
      <c r="Y12" s="5">
        <v>0</v>
      </c>
      <c r="Z12" s="5">
        <f t="shared" si="1"/>
        <v>45.128571428499995</v>
      </c>
      <c r="AA12" s="5">
        <f t="shared" si="1"/>
        <v>46.8</v>
      </c>
      <c r="AB12" s="5">
        <f t="shared" si="1"/>
        <v>8.3571428572500004</v>
      </c>
      <c r="AC12" s="5">
        <f t="shared" si="1"/>
        <v>0</v>
      </c>
    </row>
    <row r="13" spans="2:31" x14ac:dyDescent="0.25">
      <c r="B13" s="4" t="s">
        <v>22</v>
      </c>
      <c r="C13" s="5"/>
      <c r="D13" s="5"/>
      <c r="E13" s="5"/>
      <c r="F13" s="5"/>
      <c r="G13" s="5"/>
      <c r="H13" s="5"/>
      <c r="I13" s="5">
        <v>27.867857142999998</v>
      </c>
      <c r="J13" s="5">
        <v>156.06</v>
      </c>
      <c r="K13" s="5">
        <v>11.147142857</v>
      </c>
      <c r="L13" s="5"/>
      <c r="M13" s="5">
        <v>195.07500000000002</v>
      </c>
      <c r="Q13" s="4" t="s">
        <v>22</v>
      </c>
      <c r="R13" s="5">
        <f t="shared" si="2"/>
        <v>0</v>
      </c>
      <c r="S13" s="5">
        <f t="shared" si="0"/>
        <v>0</v>
      </c>
      <c r="T13" s="5">
        <f t="shared" si="0"/>
        <v>0</v>
      </c>
      <c r="U13" s="5">
        <f t="shared" si="0"/>
        <v>0</v>
      </c>
      <c r="V13" s="5">
        <f t="shared" si="0"/>
        <v>0</v>
      </c>
      <c r="W13" s="5">
        <f t="shared" si="0"/>
        <v>0</v>
      </c>
      <c r="X13" s="5">
        <v>0</v>
      </c>
      <c r="Y13" s="5">
        <v>0</v>
      </c>
      <c r="Z13" s="5">
        <f t="shared" si="1"/>
        <v>6.9669642857499996</v>
      </c>
      <c r="AA13" s="5">
        <f t="shared" si="1"/>
        <v>39.015000000000001</v>
      </c>
      <c r="AB13" s="5">
        <f t="shared" si="1"/>
        <v>2.7867857142500001</v>
      </c>
      <c r="AC13" s="5">
        <f t="shared" si="1"/>
        <v>0</v>
      </c>
    </row>
    <row r="14" spans="2:31" x14ac:dyDescent="0.25">
      <c r="B14" s="6" t="s">
        <v>23</v>
      </c>
      <c r="C14" s="7"/>
      <c r="D14" s="7"/>
      <c r="E14" s="7"/>
      <c r="F14" s="7"/>
      <c r="G14" s="7"/>
      <c r="H14" s="7"/>
      <c r="I14" s="7">
        <v>27.867857142999998</v>
      </c>
      <c r="J14" s="7">
        <v>156.06</v>
      </c>
      <c r="K14" s="7">
        <v>11.147142857</v>
      </c>
      <c r="L14" s="7"/>
      <c r="M14" s="7">
        <v>195.07500000000002</v>
      </c>
      <c r="Q14" s="6" t="s">
        <v>23</v>
      </c>
      <c r="R14" s="5">
        <f t="shared" si="2"/>
        <v>0</v>
      </c>
      <c r="S14" s="5">
        <f t="shared" si="0"/>
        <v>0</v>
      </c>
      <c r="T14" s="5">
        <f t="shared" si="0"/>
        <v>0</v>
      </c>
      <c r="U14" s="5">
        <f t="shared" si="0"/>
        <v>0</v>
      </c>
      <c r="V14" s="5">
        <f t="shared" si="0"/>
        <v>0</v>
      </c>
      <c r="W14" s="5">
        <f t="shared" si="0"/>
        <v>0</v>
      </c>
      <c r="X14" s="5">
        <v>0</v>
      </c>
      <c r="Y14" s="5">
        <v>0</v>
      </c>
      <c r="Z14" s="5">
        <f t="shared" si="1"/>
        <v>6.9669642857499996</v>
      </c>
      <c r="AA14" s="5">
        <f t="shared" si="1"/>
        <v>39.015000000000001</v>
      </c>
      <c r="AB14" s="5">
        <f t="shared" si="1"/>
        <v>2.7867857142500001</v>
      </c>
      <c r="AC14" s="5">
        <f t="shared" si="1"/>
        <v>0</v>
      </c>
    </row>
    <row r="15" spans="2:31" x14ac:dyDescent="0.25">
      <c r="B15" s="4" t="s">
        <v>24</v>
      </c>
      <c r="C15" s="5"/>
      <c r="D15" s="5"/>
      <c r="E15" s="5"/>
      <c r="F15" s="5"/>
      <c r="G15" s="5"/>
      <c r="H15" s="5"/>
      <c r="I15" s="5"/>
      <c r="J15" s="5">
        <v>115.328571428</v>
      </c>
      <c r="K15" s="5">
        <v>76.885714284999992</v>
      </c>
      <c r="L15" s="5"/>
      <c r="M15" s="5">
        <v>192.21428571299998</v>
      </c>
      <c r="Q15" s="4" t="s">
        <v>24</v>
      </c>
      <c r="R15" s="5">
        <f t="shared" si="2"/>
        <v>0</v>
      </c>
      <c r="S15" s="5">
        <f t="shared" si="0"/>
        <v>0</v>
      </c>
      <c r="T15" s="5">
        <f t="shared" si="0"/>
        <v>0</v>
      </c>
      <c r="U15" s="5">
        <f t="shared" si="0"/>
        <v>0</v>
      </c>
      <c r="V15" s="5">
        <f t="shared" si="0"/>
        <v>0</v>
      </c>
      <c r="W15" s="5">
        <f t="shared" si="0"/>
        <v>0</v>
      </c>
      <c r="X15" s="5">
        <v>0</v>
      </c>
      <c r="Y15" s="5">
        <v>0</v>
      </c>
      <c r="Z15" s="5">
        <f t="shared" si="1"/>
        <v>0</v>
      </c>
      <c r="AA15" s="5">
        <f t="shared" si="1"/>
        <v>28.832142857000001</v>
      </c>
      <c r="AB15" s="5">
        <f t="shared" si="1"/>
        <v>19.221428571249998</v>
      </c>
      <c r="AC15" s="5">
        <f t="shared" si="1"/>
        <v>0</v>
      </c>
    </row>
    <row r="16" spans="2:31" x14ac:dyDescent="0.25">
      <c r="B16" s="6" t="s">
        <v>25</v>
      </c>
      <c r="C16" s="7"/>
      <c r="D16" s="7"/>
      <c r="E16" s="7"/>
      <c r="F16" s="7"/>
      <c r="G16" s="7"/>
      <c r="H16" s="7"/>
      <c r="I16" s="7"/>
      <c r="J16" s="7">
        <v>115.328571428</v>
      </c>
      <c r="K16" s="7">
        <v>76.885714284999992</v>
      </c>
      <c r="L16" s="7"/>
      <c r="M16" s="7">
        <v>192.21428571299998</v>
      </c>
      <c r="Q16" s="6" t="s">
        <v>25</v>
      </c>
      <c r="R16" s="5">
        <f t="shared" si="2"/>
        <v>0</v>
      </c>
      <c r="S16" s="5">
        <f t="shared" si="0"/>
        <v>0</v>
      </c>
      <c r="T16" s="5">
        <f t="shared" si="0"/>
        <v>0</v>
      </c>
      <c r="U16" s="5">
        <f t="shared" si="0"/>
        <v>0</v>
      </c>
      <c r="V16" s="5">
        <f t="shared" si="0"/>
        <v>0</v>
      </c>
      <c r="W16" s="5">
        <f t="shared" si="0"/>
        <v>0</v>
      </c>
      <c r="X16" s="5">
        <v>0</v>
      </c>
      <c r="Y16" s="5">
        <v>0</v>
      </c>
      <c r="Z16" s="5">
        <f t="shared" si="1"/>
        <v>0</v>
      </c>
      <c r="AA16" s="5">
        <f t="shared" si="1"/>
        <v>28.832142857000001</v>
      </c>
      <c r="AB16" s="5">
        <f t="shared" si="1"/>
        <v>19.221428571249998</v>
      </c>
      <c r="AC16" s="5">
        <f t="shared" si="1"/>
        <v>0</v>
      </c>
    </row>
    <row r="17" spans="2:29" x14ac:dyDescent="0.25">
      <c r="B17" s="4" t="s">
        <v>26</v>
      </c>
      <c r="C17" s="5">
        <v>433.67857142900004</v>
      </c>
      <c r="D17" s="5">
        <v>413.73571428499997</v>
      </c>
      <c r="E17" s="5"/>
      <c r="F17" s="5"/>
      <c r="G17" s="5"/>
      <c r="H17" s="5"/>
      <c r="I17" s="5"/>
      <c r="J17" s="5"/>
      <c r="K17" s="5"/>
      <c r="L17" s="5">
        <v>18.228571428999999</v>
      </c>
      <c r="M17" s="5">
        <v>865.64285714300013</v>
      </c>
      <c r="Q17" s="4" t="s">
        <v>26</v>
      </c>
      <c r="R17" s="5">
        <f t="shared" si="2"/>
        <v>108.41964285725001</v>
      </c>
      <c r="S17" s="5">
        <f t="shared" si="0"/>
        <v>103.43392857124999</v>
      </c>
      <c r="T17" s="5">
        <f t="shared" si="0"/>
        <v>0</v>
      </c>
      <c r="U17" s="5">
        <f t="shared" si="0"/>
        <v>0</v>
      </c>
      <c r="V17" s="5">
        <f t="shared" si="0"/>
        <v>0</v>
      </c>
      <c r="W17" s="5">
        <f t="shared" si="0"/>
        <v>0</v>
      </c>
      <c r="X17" s="5">
        <v>0</v>
      </c>
      <c r="Y17" s="5">
        <v>0</v>
      </c>
      <c r="Z17" s="5">
        <f t="shared" si="1"/>
        <v>0</v>
      </c>
      <c r="AA17" s="5">
        <f t="shared" si="1"/>
        <v>0</v>
      </c>
      <c r="AB17" s="5">
        <f t="shared" si="1"/>
        <v>0</v>
      </c>
      <c r="AC17" s="5">
        <f t="shared" si="1"/>
        <v>4.5571428572499997</v>
      </c>
    </row>
    <row r="18" spans="2:29" x14ac:dyDescent="0.25">
      <c r="B18" s="6" t="s">
        <v>27</v>
      </c>
      <c r="C18" s="7">
        <v>255.2</v>
      </c>
      <c r="D18" s="7">
        <v>45.571428570999998</v>
      </c>
      <c r="E18" s="7"/>
      <c r="F18" s="7"/>
      <c r="G18" s="7"/>
      <c r="H18" s="7"/>
      <c r="I18" s="7"/>
      <c r="J18" s="7"/>
      <c r="K18" s="7"/>
      <c r="L18" s="7">
        <v>18.228571428999999</v>
      </c>
      <c r="M18" s="7">
        <v>319</v>
      </c>
      <c r="Q18" s="6" t="s">
        <v>27</v>
      </c>
      <c r="R18" s="5">
        <f t="shared" si="2"/>
        <v>63.8</v>
      </c>
      <c r="S18" s="5">
        <f t="shared" si="0"/>
        <v>11.39285714275</v>
      </c>
      <c r="T18" s="5">
        <f t="shared" si="0"/>
        <v>0</v>
      </c>
      <c r="U18" s="5">
        <f t="shared" si="0"/>
        <v>0</v>
      </c>
      <c r="V18" s="5">
        <f t="shared" si="0"/>
        <v>0</v>
      </c>
      <c r="W18" s="5">
        <f t="shared" si="0"/>
        <v>0</v>
      </c>
      <c r="X18" s="5">
        <v>0</v>
      </c>
      <c r="Y18" s="5">
        <v>0</v>
      </c>
      <c r="Z18" s="5">
        <f t="shared" si="1"/>
        <v>0</v>
      </c>
      <c r="AA18" s="5">
        <f t="shared" si="1"/>
        <v>0</v>
      </c>
      <c r="AB18" s="5">
        <f t="shared" si="1"/>
        <v>0</v>
      </c>
      <c r="AC18" s="5">
        <f t="shared" si="1"/>
        <v>4.5571428572499997</v>
      </c>
    </row>
    <row r="19" spans="2:29" x14ac:dyDescent="0.25">
      <c r="B19" s="6" t="s">
        <v>28</v>
      </c>
      <c r="C19" s="7">
        <v>159.19285714300003</v>
      </c>
      <c r="D19" s="7">
        <v>117.664285714</v>
      </c>
      <c r="E19" s="7"/>
      <c r="F19" s="7"/>
      <c r="G19" s="7"/>
      <c r="H19" s="7"/>
      <c r="I19" s="7"/>
      <c r="J19" s="7"/>
      <c r="K19" s="7"/>
      <c r="L19" s="7"/>
      <c r="M19" s="7">
        <v>276.85714285700004</v>
      </c>
      <c r="Q19" s="6" t="s">
        <v>28</v>
      </c>
      <c r="R19" s="5">
        <f t="shared" si="2"/>
        <v>39.798214285750007</v>
      </c>
      <c r="S19" s="5">
        <f t="shared" si="0"/>
        <v>29.4160714285</v>
      </c>
      <c r="T19" s="5">
        <f t="shared" si="0"/>
        <v>0</v>
      </c>
      <c r="U19" s="5">
        <f t="shared" si="0"/>
        <v>0</v>
      </c>
      <c r="V19" s="5">
        <f t="shared" si="0"/>
        <v>0</v>
      </c>
      <c r="W19" s="5">
        <f t="shared" si="0"/>
        <v>0</v>
      </c>
      <c r="X19" s="5">
        <v>0</v>
      </c>
      <c r="Y19" s="5">
        <v>0</v>
      </c>
      <c r="Z19" s="5">
        <f t="shared" si="1"/>
        <v>0</v>
      </c>
      <c r="AA19" s="5">
        <f t="shared" si="1"/>
        <v>0</v>
      </c>
      <c r="AB19" s="5">
        <f t="shared" si="1"/>
        <v>0</v>
      </c>
      <c r="AC19" s="5">
        <f t="shared" si="1"/>
        <v>0</v>
      </c>
    </row>
    <row r="20" spans="2:29" x14ac:dyDescent="0.25">
      <c r="B20" s="6" t="s">
        <v>29</v>
      </c>
      <c r="C20" s="7">
        <v>19.285714286000001</v>
      </c>
      <c r="D20" s="7">
        <v>250.5</v>
      </c>
      <c r="E20" s="7"/>
      <c r="F20" s="7"/>
      <c r="G20" s="7"/>
      <c r="H20" s="7"/>
      <c r="I20" s="7"/>
      <c r="J20" s="7"/>
      <c r="K20" s="7"/>
      <c r="L20" s="7"/>
      <c r="M20" s="7">
        <v>269.78571428600003</v>
      </c>
      <c r="Q20" s="6" t="s">
        <v>29</v>
      </c>
      <c r="R20" s="5">
        <f t="shared" si="2"/>
        <v>4.8214285715000003</v>
      </c>
      <c r="S20" s="5">
        <f t="shared" si="0"/>
        <v>62.625</v>
      </c>
      <c r="T20" s="5">
        <f t="shared" si="0"/>
        <v>0</v>
      </c>
      <c r="U20" s="5">
        <f t="shared" si="0"/>
        <v>0</v>
      </c>
      <c r="V20" s="5">
        <f t="shared" si="0"/>
        <v>0</v>
      </c>
      <c r="W20" s="5">
        <f t="shared" si="0"/>
        <v>0</v>
      </c>
      <c r="X20" s="5">
        <v>0</v>
      </c>
      <c r="Y20" s="5">
        <v>0</v>
      </c>
      <c r="Z20" s="5">
        <f t="shared" si="1"/>
        <v>0</v>
      </c>
      <c r="AA20" s="5">
        <f t="shared" si="1"/>
        <v>0</v>
      </c>
      <c r="AB20" s="5">
        <f t="shared" si="1"/>
        <v>0</v>
      </c>
      <c r="AC20" s="5">
        <f t="shared" si="1"/>
        <v>0</v>
      </c>
    </row>
    <row r="21" spans="2:29" x14ac:dyDescent="0.25">
      <c r="B21" s="4" t="s">
        <v>30</v>
      </c>
      <c r="C21" s="5">
        <v>155.81428571399999</v>
      </c>
      <c r="D21" s="5">
        <v>155.81428571399999</v>
      </c>
      <c r="E21" s="5"/>
      <c r="F21" s="5"/>
      <c r="G21" s="5"/>
      <c r="H21" s="5"/>
      <c r="I21" s="5">
        <v>91.142857143000001</v>
      </c>
      <c r="J21" s="5">
        <v>68.357142856999999</v>
      </c>
      <c r="K21" s="5"/>
      <c r="L21" s="5"/>
      <c r="M21" s="5">
        <v>471.12857142799999</v>
      </c>
      <c r="Q21" s="4" t="s">
        <v>30</v>
      </c>
      <c r="R21" s="5">
        <f t="shared" si="2"/>
        <v>38.953571428499998</v>
      </c>
      <c r="S21" s="5">
        <f t="shared" si="2"/>
        <v>38.953571428499998</v>
      </c>
      <c r="T21" s="5">
        <f t="shared" si="2"/>
        <v>0</v>
      </c>
      <c r="U21" s="5">
        <f t="shared" si="2"/>
        <v>0</v>
      </c>
      <c r="V21" s="5">
        <f t="shared" si="2"/>
        <v>0</v>
      </c>
      <c r="W21" s="5">
        <f t="shared" si="2"/>
        <v>0</v>
      </c>
      <c r="X21" s="5">
        <v>0</v>
      </c>
      <c r="Y21" s="5">
        <v>0</v>
      </c>
      <c r="Z21" s="5">
        <f t="shared" ref="Z21:AC33" si="3">I21/4</f>
        <v>22.78571428575</v>
      </c>
      <c r="AA21" s="5">
        <f t="shared" si="3"/>
        <v>17.08928571425</v>
      </c>
      <c r="AB21" s="5">
        <f t="shared" si="3"/>
        <v>0</v>
      </c>
      <c r="AC21" s="5">
        <f t="shared" si="3"/>
        <v>0</v>
      </c>
    </row>
    <row r="22" spans="2:29" x14ac:dyDescent="0.25">
      <c r="B22" s="6" t="s">
        <v>31</v>
      </c>
      <c r="C22" s="7"/>
      <c r="D22" s="7"/>
      <c r="E22" s="7"/>
      <c r="F22" s="7"/>
      <c r="G22" s="7"/>
      <c r="H22" s="7"/>
      <c r="I22" s="7">
        <v>91.142857143000001</v>
      </c>
      <c r="J22" s="7">
        <v>68.357142856999999</v>
      </c>
      <c r="K22" s="7"/>
      <c r="L22" s="7"/>
      <c r="M22" s="7">
        <v>159.5</v>
      </c>
      <c r="Q22" s="6" t="s">
        <v>31</v>
      </c>
      <c r="R22" s="5">
        <f t="shared" si="2"/>
        <v>0</v>
      </c>
      <c r="S22" s="5">
        <f t="shared" si="2"/>
        <v>0</v>
      </c>
      <c r="T22" s="5">
        <f t="shared" si="2"/>
        <v>0</v>
      </c>
      <c r="U22" s="5">
        <f t="shared" si="2"/>
        <v>0</v>
      </c>
      <c r="V22" s="5">
        <f t="shared" si="2"/>
        <v>0</v>
      </c>
      <c r="W22" s="5">
        <f t="shared" si="2"/>
        <v>0</v>
      </c>
      <c r="X22" s="5">
        <v>0</v>
      </c>
      <c r="Y22" s="5">
        <v>0</v>
      </c>
      <c r="Z22" s="5">
        <f t="shared" si="3"/>
        <v>22.78571428575</v>
      </c>
      <c r="AA22" s="5">
        <f t="shared" si="3"/>
        <v>17.08928571425</v>
      </c>
      <c r="AB22" s="5">
        <f t="shared" si="3"/>
        <v>0</v>
      </c>
      <c r="AC22" s="5">
        <f t="shared" si="3"/>
        <v>0</v>
      </c>
    </row>
    <row r="23" spans="2:29" x14ac:dyDescent="0.25">
      <c r="B23" s="6" t="s">
        <v>32</v>
      </c>
      <c r="C23" s="7">
        <v>155.81428571399999</v>
      </c>
      <c r="D23" s="7">
        <v>155.81428571399999</v>
      </c>
      <c r="E23" s="7"/>
      <c r="F23" s="7"/>
      <c r="G23" s="7"/>
      <c r="H23" s="7"/>
      <c r="I23" s="7"/>
      <c r="J23" s="7"/>
      <c r="K23" s="7"/>
      <c r="L23" s="7"/>
      <c r="M23" s="7">
        <v>311.62857142799999</v>
      </c>
      <c r="Q23" s="6" t="s">
        <v>32</v>
      </c>
      <c r="R23" s="5">
        <f t="shared" si="2"/>
        <v>38.953571428499998</v>
      </c>
      <c r="S23" s="5">
        <f t="shared" si="2"/>
        <v>38.953571428499998</v>
      </c>
      <c r="T23" s="5">
        <f t="shared" si="2"/>
        <v>0</v>
      </c>
      <c r="U23" s="5">
        <f t="shared" si="2"/>
        <v>0</v>
      </c>
      <c r="V23" s="5">
        <f t="shared" si="2"/>
        <v>0</v>
      </c>
      <c r="W23" s="5">
        <f t="shared" si="2"/>
        <v>0</v>
      </c>
      <c r="X23" s="5">
        <v>0</v>
      </c>
      <c r="Y23" s="5">
        <v>0</v>
      </c>
      <c r="Z23" s="5">
        <f t="shared" si="3"/>
        <v>0</v>
      </c>
      <c r="AA23" s="5">
        <f t="shared" si="3"/>
        <v>0</v>
      </c>
      <c r="AB23" s="5">
        <f t="shared" si="3"/>
        <v>0</v>
      </c>
      <c r="AC23" s="5">
        <f t="shared" si="3"/>
        <v>0</v>
      </c>
    </row>
    <row r="24" spans="2:29" x14ac:dyDescent="0.25">
      <c r="B24" s="4" t="s">
        <v>33</v>
      </c>
      <c r="C24" s="5">
        <v>160.82857142799998</v>
      </c>
      <c r="D24" s="5">
        <v>49.485714285</v>
      </c>
      <c r="E24" s="5"/>
      <c r="F24" s="5"/>
      <c r="G24" s="5"/>
      <c r="H24" s="5"/>
      <c r="I24" s="5"/>
      <c r="J24" s="5"/>
      <c r="K24" s="5"/>
      <c r="L24" s="5"/>
      <c r="M24" s="5">
        <v>210.31428571299998</v>
      </c>
      <c r="Q24" s="4" t="s">
        <v>33</v>
      </c>
      <c r="R24" s="5">
        <f t="shared" si="2"/>
        <v>40.207142856999994</v>
      </c>
      <c r="S24" s="5">
        <f t="shared" si="2"/>
        <v>12.37142857125</v>
      </c>
      <c r="T24" s="5">
        <f t="shared" si="2"/>
        <v>0</v>
      </c>
      <c r="U24" s="5">
        <f t="shared" si="2"/>
        <v>0</v>
      </c>
      <c r="V24" s="5">
        <f t="shared" si="2"/>
        <v>0</v>
      </c>
      <c r="W24" s="5">
        <f t="shared" si="2"/>
        <v>0</v>
      </c>
      <c r="X24" s="5">
        <v>0</v>
      </c>
      <c r="Y24" s="5">
        <v>0</v>
      </c>
      <c r="Z24" s="5">
        <f t="shared" si="3"/>
        <v>0</v>
      </c>
      <c r="AA24" s="5">
        <f t="shared" si="3"/>
        <v>0</v>
      </c>
      <c r="AB24" s="5">
        <f t="shared" si="3"/>
        <v>0</v>
      </c>
      <c r="AC24" s="5">
        <f t="shared" si="3"/>
        <v>0</v>
      </c>
    </row>
    <row r="25" spans="2:29" x14ac:dyDescent="0.25">
      <c r="B25" s="6" t="s">
        <v>34</v>
      </c>
      <c r="C25" s="7">
        <v>160.82857142799998</v>
      </c>
      <c r="D25" s="7">
        <v>49.485714285</v>
      </c>
      <c r="E25" s="7"/>
      <c r="F25" s="7"/>
      <c r="G25" s="7"/>
      <c r="H25" s="7"/>
      <c r="I25" s="7"/>
      <c r="J25" s="7"/>
      <c r="K25" s="7"/>
      <c r="L25" s="7"/>
      <c r="M25" s="7">
        <v>210.31428571299998</v>
      </c>
      <c r="Q25" s="6" t="s">
        <v>34</v>
      </c>
      <c r="R25" s="5">
        <f t="shared" si="2"/>
        <v>40.207142856999994</v>
      </c>
      <c r="S25" s="5">
        <f t="shared" si="2"/>
        <v>12.37142857125</v>
      </c>
      <c r="T25" s="5">
        <f t="shared" si="2"/>
        <v>0</v>
      </c>
      <c r="U25" s="5">
        <f t="shared" si="2"/>
        <v>0</v>
      </c>
      <c r="V25" s="5">
        <f t="shared" si="2"/>
        <v>0</v>
      </c>
      <c r="W25" s="5">
        <f t="shared" si="2"/>
        <v>0</v>
      </c>
      <c r="X25" s="5">
        <v>0</v>
      </c>
      <c r="Y25" s="5">
        <v>0</v>
      </c>
      <c r="Z25" s="5">
        <f t="shared" si="3"/>
        <v>0</v>
      </c>
      <c r="AA25" s="5">
        <f t="shared" si="3"/>
        <v>0</v>
      </c>
      <c r="AB25" s="5">
        <f t="shared" si="3"/>
        <v>0</v>
      </c>
      <c r="AC25" s="5">
        <f t="shared" si="3"/>
        <v>0</v>
      </c>
    </row>
    <row r="26" spans="2:29" x14ac:dyDescent="0.25">
      <c r="B26" s="4" t="s">
        <v>35</v>
      </c>
      <c r="C26" s="5"/>
      <c r="D26" s="5">
        <v>9</v>
      </c>
      <c r="E26" s="5">
        <v>157.5</v>
      </c>
      <c r="F26" s="5">
        <v>22.5</v>
      </c>
      <c r="G26" s="5"/>
      <c r="H26" s="5"/>
      <c r="I26" s="5">
        <v>76.56</v>
      </c>
      <c r="J26" s="5">
        <v>107.184</v>
      </c>
      <c r="K26" s="5">
        <v>45.936</v>
      </c>
      <c r="L26" s="5"/>
      <c r="M26" s="5">
        <v>418.68</v>
      </c>
      <c r="Q26" s="4" t="s">
        <v>35</v>
      </c>
      <c r="R26" s="5">
        <f t="shared" si="2"/>
        <v>0</v>
      </c>
      <c r="S26" s="5">
        <f t="shared" si="2"/>
        <v>2.25</v>
      </c>
      <c r="T26" s="5">
        <f t="shared" si="2"/>
        <v>39.375</v>
      </c>
      <c r="U26" s="5">
        <f t="shared" si="2"/>
        <v>5.625</v>
      </c>
      <c r="V26" s="5">
        <f t="shared" si="2"/>
        <v>0</v>
      </c>
      <c r="W26" s="5">
        <f t="shared" si="2"/>
        <v>0</v>
      </c>
      <c r="X26" s="5">
        <v>0</v>
      </c>
      <c r="Y26" s="5">
        <v>0</v>
      </c>
      <c r="Z26" s="5">
        <f t="shared" si="3"/>
        <v>19.14</v>
      </c>
      <c r="AA26" s="5">
        <f t="shared" si="3"/>
        <v>26.795999999999999</v>
      </c>
      <c r="AB26" s="5">
        <f t="shared" si="3"/>
        <v>11.484</v>
      </c>
      <c r="AC26" s="5">
        <f t="shared" si="3"/>
        <v>0</v>
      </c>
    </row>
    <row r="27" spans="2:29" x14ac:dyDescent="0.25">
      <c r="B27" s="6" t="s">
        <v>36</v>
      </c>
      <c r="C27" s="7"/>
      <c r="D27" s="7"/>
      <c r="E27" s="7"/>
      <c r="F27" s="7"/>
      <c r="G27" s="7"/>
      <c r="H27" s="7"/>
      <c r="I27" s="7">
        <v>76.56</v>
      </c>
      <c r="J27" s="7">
        <v>107.184</v>
      </c>
      <c r="K27" s="7">
        <v>45.936</v>
      </c>
      <c r="L27" s="7"/>
      <c r="M27" s="7">
        <v>229.68</v>
      </c>
      <c r="Q27" s="6" t="s">
        <v>36</v>
      </c>
      <c r="R27" s="5">
        <f t="shared" si="2"/>
        <v>0</v>
      </c>
      <c r="S27" s="5">
        <f t="shared" si="2"/>
        <v>0</v>
      </c>
      <c r="T27" s="5">
        <f t="shared" si="2"/>
        <v>0</v>
      </c>
      <c r="U27" s="5">
        <f t="shared" si="2"/>
        <v>0</v>
      </c>
      <c r="V27" s="5">
        <f t="shared" si="2"/>
        <v>0</v>
      </c>
      <c r="W27" s="5">
        <f t="shared" si="2"/>
        <v>0</v>
      </c>
      <c r="X27" s="5">
        <v>0</v>
      </c>
      <c r="Y27" s="5">
        <v>0</v>
      </c>
      <c r="Z27" s="5">
        <f t="shared" si="3"/>
        <v>19.14</v>
      </c>
      <c r="AA27" s="5">
        <f t="shared" si="3"/>
        <v>26.795999999999999</v>
      </c>
      <c r="AB27" s="5">
        <f t="shared" si="3"/>
        <v>11.484</v>
      </c>
      <c r="AC27" s="5">
        <f t="shared" si="3"/>
        <v>0</v>
      </c>
    </row>
    <row r="28" spans="2:29" x14ac:dyDescent="0.25">
      <c r="B28" s="6" t="s">
        <v>37</v>
      </c>
      <c r="C28" s="7"/>
      <c r="D28" s="7">
        <v>9</v>
      </c>
      <c r="E28" s="7">
        <v>157.5</v>
      </c>
      <c r="F28" s="7">
        <v>22.5</v>
      </c>
      <c r="G28" s="7"/>
      <c r="H28" s="7"/>
      <c r="I28" s="7"/>
      <c r="J28" s="7"/>
      <c r="K28" s="7"/>
      <c r="L28" s="7"/>
      <c r="M28" s="7">
        <v>189</v>
      </c>
      <c r="Q28" s="6" t="s">
        <v>37</v>
      </c>
      <c r="R28" s="5">
        <f t="shared" si="2"/>
        <v>0</v>
      </c>
      <c r="S28" s="5">
        <f t="shared" si="2"/>
        <v>2.25</v>
      </c>
      <c r="T28" s="5">
        <f t="shared" si="2"/>
        <v>39.375</v>
      </c>
      <c r="U28" s="5">
        <f t="shared" si="2"/>
        <v>5.625</v>
      </c>
      <c r="V28" s="5">
        <f t="shared" si="2"/>
        <v>0</v>
      </c>
      <c r="W28" s="5">
        <f t="shared" si="2"/>
        <v>0</v>
      </c>
      <c r="X28" s="5">
        <v>0</v>
      </c>
      <c r="Y28" s="5">
        <v>0</v>
      </c>
      <c r="Z28" s="5">
        <f t="shared" si="3"/>
        <v>0</v>
      </c>
      <c r="AA28" s="5">
        <f t="shared" si="3"/>
        <v>0</v>
      </c>
      <c r="AB28" s="5">
        <f t="shared" si="3"/>
        <v>0</v>
      </c>
      <c r="AC28" s="5">
        <f t="shared" si="3"/>
        <v>0</v>
      </c>
    </row>
    <row r="29" spans="2:29" x14ac:dyDescent="0.25">
      <c r="B29" s="4" t="s">
        <v>38</v>
      </c>
      <c r="C29" s="5">
        <v>374.15999999999997</v>
      </c>
      <c r="D29" s="5">
        <v>319.51714285700001</v>
      </c>
      <c r="E29" s="5">
        <v>51.04</v>
      </c>
      <c r="F29" s="5"/>
      <c r="G29" s="5"/>
      <c r="H29" s="5"/>
      <c r="I29" s="5">
        <v>19.794285714000001</v>
      </c>
      <c r="J29" s="5">
        <v>277.11999999999995</v>
      </c>
      <c r="K29" s="5">
        <v>98.971428571000004</v>
      </c>
      <c r="L29" s="5">
        <v>26.725714285999999</v>
      </c>
      <c r="M29" s="5">
        <v>1167.328571428</v>
      </c>
      <c r="Q29" s="4" t="s">
        <v>38</v>
      </c>
      <c r="R29" s="5">
        <f t="shared" si="2"/>
        <v>93.539999999999992</v>
      </c>
      <c r="S29" s="5">
        <f t="shared" si="2"/>
        <v>79.879285714250003</v>
      </c>
      <c r="T29" s="5">
        <f t="shared" si="2"/>
        <v>12.76</v>
      </c>
      <c r="U29" s="5">
        <f t="shared" si="2"/>
        <v>0</v>
      </c>
      <c r="V29" s="5">
        <f t="shared" si="2"/>
        <v>0</v>
      </c>
      <c r="W29" s="5">
        <f t="shared" si="2"/>
        <v>0</v>
      </c>
      <c r="X29" s="5">
        <v>0</v>
      </c>
      <c r="Y29" s="5">
        <v>0</v>
      </c>
      <c r="Z29" s="5">
        <f t="shared" si="3"/>
        <v>4.9485714285000002</v>
      </c>
      <c r="AA29" s="5">
        <f t="shared" si="3"/>
        <v>69.279999999999987</v>
      </c>
      <c r="AB29" s="5">
        <f t="shared" si="3"/>
        <v>24.742857142750001</v>
      </c>
      <c r="AC29" s="5">
        <f t="shared" si="3"/>
        <v>6.6814285714999997</v>
      </c>
    </row>
    <row r="30" spans="2:29" x14ac:dyDescent="0.25">
      <c r="B30" s="6" t="s">
        <v>39</v>
      </c>
      <c r="C30" s="7"/>
      <c r="D30" s="7"/>
      <c r="E30" s="7"/>
      <c r="F30" s="7"/>
      <c r="G30" s="7"/>
      <c r="H30" s="7"/>
      <c r="I30" s="7">
        <v>19.794285714000001</v>
      </c>
      <c r="J30" s="7">
        <v>277.11999999999995</v>
      </c>
      <c r="K30" s="7">
        <v>98.971428571000004</v>
      </c>
      <c r="L30" s="7"/>
      <c r="M30" s="7">
        <v>395.88571428499995</v>
      </c>
      <c r="Q30" s="6" t="s">
        <v>39</v>
      </c>
      <c r="R30" s="5">
        <f t="shared" si="2"/>
        <v>0</v>
      </c>
      <c r="S30" s="5">
        <f t="shared" si="2"/>
        <v>0</v>
      </c>
      <c r="T30" s="5">
        <f t="shared" si="2"/>
        <v>0</v>
      </c>
      <c r="U30" s="5">
        <f t="shared" si="2"/>
        <v>0</v>
      </c>
      <c r="V30" s="5">
        <f t="shared" si="2"/>
        <v>0</v>
      </c>
      <c r="W30" s="5">
        <f t="shared" si="2"/>
        <v>0</v>
      </c>
      <c r="X30" s="5">
        <v>0</v>
      </c>
      <c r="Y30" s="5">
        <v>0</v>
      </c>
      <c r="Z30" s="5">
        <f t="shared" si="3"/>
        <v>4.9485714285000002</v>
      </c>
      <c r="AA30" s="5">
        <f t="shared" si="3"/>
        <v>69.279999999999987</v>
      </c>
      <c r="AB30" s="5">
        <f t="shared" si="3"/>
        <v>24.742857142750001</v>
      </c>
      <c r="AC30" s="5">
        <f t="shared" si="3"/>
        <v>0</v>
      </c>
    </row>
    <row r="31" spans="2:29" x14ac:dyDescent="0.25">
      <c r="B31" s="6" t="s">
        <v>40</v>
      </c>
      <c r="C31" s="7">
        <v>170</v>
      </c>
      <c r="D31" s="7">
        <v>115.357142857</v>
      </c>
      <c r="E31" s="7"/>
      <c r="F31" s="7"/>
      <c r="G31" s="7"/>
      <c r="H31" s="7"/>
      <c r="I31" s="7"/>
      <c r="J31" s="7"/>
      <c r="K31" s="7"/>
      <c r="L31" s="7">
        <v>12.142857143000001</v>
      </c>
      <c r="M31" s="7">
        <v>297.5</v>
      </c>
      <c r="Q31" s="6" t="s">
        <v>40</v>
      </c>
      <c r="R31" s="5">
        <f t="shared" si="2"/>
        <v>42.5</v>
      </c>
      <c r="S31" s="5">
        <f t="shared" si="2"/>
        <v>28.83928571425</v>
      </c>
      <c r="T31" s="5">
        <f t="shared" si="2"/>
        <v>0</v>
      </c>
      <c r="U31" s="5">
        <f t="shared" si="2"/>
        <v>0</v>
      </c>
      <c r="V31" s="5">
        <f t="shared" si="2"/>
        <v>0</v>
      </c>
      <c r="W31" s="5">
        <f t="shared" si="2"/>
        <v>0</v>
      </c>
      <c r="X31" s="5">
        <v>0</v>
      </c>
      <c r="Y31" s="5">
        <v>0</v>
      </c>
      <c r="Z31" s="5">
        <f t="shared" si="3"/>
        <v>0</v>
      </c>
      <c r="AA31" s="5">
        <f t="shared" si="3"/>
        <v>0</v>
      </c>
      <c r="AB31" s="5">
        <f t="shared" si="3"/>
        <v>0</v>
      </c>
      <c r="AC31" s="5">
        <f t="shared" si="3"/>
        <v>3.0357142857500001</v>
      </c>
    </row>
    <row r="32" spans="2:29" x14ac:dyDescent="0.25">
      <c r="B32" s="6" t="s">
        <v>41</v>
      </c>
      <c r="C32" s="7">
        <v>204.16</v>
      </c>
      <c r="D32" s="7">
        <v>204.16</v>
      </c>
      <c r="E32" s="7">
        <v>51.04</v>
      </c>
      <c r="F32" s="7"/>
      <c r="G32" s="7"/>
      <c r="H32" s="7"/>
      <c r="I32" s="7"/>
      <c r="J32" s="7"/>
      <c r="K32" s="7"/>
      <c r="L32" s="7">
        <v>14.582857143</v>
      </c>
      <c r="M32" s="7">
        <v>473.94285714300003</v>
      </c>
      <c r="Q32" s="6" t="s">
        <v>41</v>
      </c>
      <c r="R32" s="5">
        <f t="shared" si="2"/>
        <v>51.04</v>
      </c>
      <c r="S32" s="5">
        <f t="shared" si="2"/>
        <v>51.04</v>
      </c>
      <c r="T32" s="5">
        <f t="shared" si="2"/>
        <v>12.76</v>
      </c>
      <c r="U32" s="5">
        <f t="shared" si="2"/>
        <v>0</v>
      </c>
      <c r="V32" s="5">
        <f t="shared" si="2"/>
        <v>0</v>
      </c>
      <c r="W32" s="5">
        <f t="shared" si="2"/>
        <v>0</v>
      </c>
      <c r="X32" s="5">
        <v>0</v>
      </c>
      <c r="Y32" s="5">
        <v>0</v>
      </c>
      <c r="Z32" s="5">
        <f t="shared" si="3"/>
        <v>0</v>
      </c>
      <c r="AA32" s="5">
        <f t="shared" si="3"/>
        <v>0</v>
      </c>
      <c r="AB32" s="5">
        <f t="shared" si="3"/>
        <v>0</v>
      </c>
      <c r="AC32" s="5">
        <f t="shared" si="3"/>
        <v>3.64571428575</v>
      </c>
    </row>
    <row r="33" spans="2:32" x14ac:dyDescent="0.25">
      <c r="B33" s="4" t="s">
        <v>42</v>
      </c>
      <c r="C33" s="5"/>
      <c r="D33" s="5"/>
      <c r="E33" s="5"/>
      <c r="F33" s="5"/>
      <c r="G33" s="5"/>
      <c r="H33" s="5"/>
      <c r="I33" s="5">
        <v>3.2785714289999999</v>
      </c>
      <c r="J33" s="5">
        <v>45.9</v>
      </c>
      <c r="K33" s="5">
        <v>8.1964285710000002</v>
      </c>
      <c r="L33" s="5"/>
      <c r="M33" s="5">
        <v>57.375</v>
      </c>
      <c r="Q33" s="4" t="s">
        <v>42</v>
      </c>
      <c r="R33" s="5">
        <f t="shared" si="2"/>
        <v>0</v>
      </c>
      <c r="S33" s="5">
        <f t="shared" si="2"/>
        <v>0</v>
      </c>
      <c r="T33" s="5">
        <f t="shared" si="2"/>
        <v>0</v>
      </c>
      <c r="U33" s="5">
        <f t="shared" si="2"/>
        <v>0</v>
      </c>
      <c r="V33" s="5">
        <f t="shared" si="2"/>
        <v>0</v>
      </c>
      <c r="W33" s="5">
        <f t="shared" si="2"/>
        <v>0</v>
      </c>
      <c r="X33" s="5">
        <v>0</v>
      </c>
      <c r="Y33" s="5">
        <v>0</v>
      </c>
      <c r="Z33" s="5">
        <f t="shared" si="3"/>
        <v>0.81964285724999997</v>
      </c>
      <c r="AA33" s="5">
        <f t="shared" si="3"/>
        <v>11.475</v>
      </c>
      <c r="AB33" s="5">
        <f t="shared" si="3"/>
        <v>2.0491071427500001</v>
      </c>
      <c r="AC33" s="5">
        <f t="shared" si="3"/>
        <v>0</v>
      </c>
    </row>
    <row r="34" spans="2:32" ht="15.75" thickBot="1" x14ac:dyDescent="0.3">
      <c r="B34" s="6" t="s">
        <v>43</v>
      </c>
      <c r="C34" s="7"/>
      <c r="D34" s="7"/>
      <c r="E34" s="7"/>
      <c r="F34" s="7"/>
      <c r="G34" s="7"/>
      <c r="H34" s="7"/>
      <c r="I34" s="7">
        <v>3.2785714289999999</v>
      </c>
      <c r="J34" s="7">
        <v>45.9</v>
      </c>
      <c r="K34" s="7">
        <v>8.1964285710000002</v>
      </c>
      <c r="L34" s="7"/>
      <c r="M34" s="7">
        <v>57.375</v>
      </c>
      <c r="Q34" s="6" t="s">
        <v>43</v>
      </c>
      <c r="R34" s="7"/>
      <c r="S34" s="7"/>
      <c r="T34" s="7"/>
      <c r="U34" s="7"/>
      <c r="V34" s="7"/>
      <c r="W34" s="7"/>
      <c r="X34" s="5">
        <v>0</v>
      </c>
      <c r="Y34" s="5">
        <v>0</v>
      </c>
      <c r="Z34" s="7"/>
      <c r="AA34" s="7"/>
      <c r="AB34" s="7"/>
      <c r="AC34" s="7"/>
    </row>
    <row r="35" spans="2:32" x14ac:dyDescent="0.25">
      <c r="B35" s="8" t="s">
        <v>13</v>
      </c>
      <c r="C35" s="9">
        <v>1365.184285714</v>
      </c>
      <c r="D35" s="9">
        <v>1292.4985714270001</v>
      </c>
      <c r="E35" s="9">
        <v>600.68000000100005</v>
      </c>
      <c r="F35" s="9">
        <v>163.5</v>
      </c>
      <c r="G35" s="9">
        <v>86.4</v>
      </c>
      <c r="H35" s="9">
        <v>43.2</v>
      </c>
      <c r="I35" s="9">
        <v>399.157857143</v>
      </c>
      <c r="J35" s="9">
        <v>957.14971428499996</v>
      </c>
      <c r="K35" s="9">
        <v>274.56528571300004</v>
      </c>
      <c r="L35" s="9">
        <v>69.722857144000002</v>
      </c>
      <c r="M35" s="9">
        <v>5252.0585714270001</v>
      </c>
      <c r="O35" s="496" t="s">
        <v>54</v>
      </c>
      <c r="P35" s="497"/>
      <c r="Q35" s="8" t="s">
        <v>57</v>
      </c>
      <c r="R35" s="9">
        <v>347.97645161290325</v>
      </c>
      <c r="S35" s="9">
        <v>594.7177864293659</v>
      </c>
      <c r="T35" s="9">
        <v>237.86139043381533</v>
      </c>
      <c r="U35" s="9">
        <v>80.508333333333326</v>
      </c>
      <c r="V35" s="9">
        <v>22.800161290322581</v>
      </c>
      <c r="W35" s="9">
        <v>59.756666666666675</v>
      </c>
      <c r="X35" s="9">
        <v>52.009677419354837</v>
      </c>
      <c r="Y35" s="9">
        <v>102.1708064516129</v>
      </c>
      <c r="Z35" s="9">
        <f>238.371666667333-7</f>
        <v>231.37166666733299</v>
      </c>
      <c r="AA35" s="9">
        <f>349.070537633742-39</f>
        <v>310.07053763374199</v>
      </c>
      <c r="AB35" s="9">
        <f>71.0011666666667-3</f>
        <v>68.001166666666705</v>
      </c>
      <c r="AC35" s="9">
        <v>0</v>
      </c>
      <c r="AD35" s="9">
        <f>AVERAGE(R35:AC35)</f>
        <v>175.60372038375974</v>
      </c>
      <c r="AE35" s="9">
        <f>AVERAGE(Y35:AB35)</f>
        <v>177.90354435483863</v>
      </c>
    </row>
    <row r="36" spans="2:32" x14ac:dyDescent="0.25">
      <c r="B36" s="16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O36" s="502"/>
      <c r="P36" s="499"/>
      <c r="Q36" s="16" t="s">
        <v>59</v>
      </c>
      <c r="R36" s="17">
        <v>877.89209677419387</v>
      </c>
      <c r="S36" s="17">
        <v>1086.994344827586</v>
      </c>
      <c r="T36" s="17">
        <v>629.37490322580652</v>
      </c>
      <c r="U36" s="17">
        <v>500.59283333333337</v>
      </c>
      <c r="V36" s="17">
        <v>225.10806451612905</v>
      </c>
      <c r="W36" s="17">
        <v>227.28416666666666</v>
      </c>
      <c r="X36" s="17">
        <v>211.11274193548388</v>
      </c>
      <c r="Y36" s="17">
        <v>122.99354838709688</v>
      </c>
      <c r="Z36" s="17">
        <v>205.66433333333333</v>
      </c>
      <c r="AA36" s="17">
        <v>381.26325806451621</v>
      </c>
      <c r="AB36" s="17">
        <v>74.424300000000031</v>
      </c>
      <c r="AC36" s="17"/>
      <c r="AD36" s="17"/>
      <c r="AE36" s="9">
        <f>AVERAGE(Y36:AB36)</f>
        <v>196.08635994623663</v>
      </c>
    </row>
    <row r="37" spans="2:32" x14ac:dyDescent="0.25">
      <c r="O37" s="498"/>
      <c r="P37" s="499"/>
      <c r="Q37" s="6" t="s">
        <v>44</v>
      </c>
      <c r="R37" s="11">
        <v>417.94819354838717</v>
      </c>
      <c r="S37" s="11">
        <v>512.31600000000003</v>
      </c>
      <c r="T37" s="11">
        <v>415.3019032258066</v>
      </c>
      <c r="U37" s="11">
        <v>283.59499999999997</v>
      </c>
      <c r="V37" s="11">
        <v>218.23032258064515</v>
      </c>
      <c r="W37" s="11">
        <v>236.04299999999998</v>
      </c>
      <c r="X37" s="11">
        <v>127.59258064516133</v>
      </c>
      <c r="Y37" s="11">
        <v>245.76064516129034</v>
      </c>
      <c r="Z37" s="11">
        <v>323.25500000000005</v>
      </c>
      <c r="AA37" s="11">
        <v>530.40580645161299</v>
      </c>
      <c r="AB37" s="11">
        <v>239.63700000000006</v>
      </c>
      <c r="AC37" s="11">
        <v>58.000645161290294</v>
      </c>
      <c r="AD37" s="11">
        <f>AVERAGE(R37:AC37)</f>
        <v>300.67384139784957</v>
      </c>
      <c r="AE37" s="11">
        <f>AVERAGE(Y37:AB37)</f>
        <v>334.76461290322584</v>
      </c>
    </row>
    <row r="38" spans="2:32" x14ac:dyDescent="0.25">
      <c r="O38" s="498"/>
      <c r="P38" s="499"/>
      <c r="Q38" s="6" t="s">
        <v>48</v>
      </c>
      <c r="R38" s="14">
        <f>(R35-R37)/R37</f>
        <v>-0.16741726131514689</v>
      </c>
      <c r="S38" s="14">
        <f t="shared" ref="S38:AD38" si="4">(S35-S37)/S37</f>
        <v>0.16084171962102661</v>
      </c>
      <c r="T38" s="14">
        <f t="shared" si="4"/>
        <v>-0.42725668101625308</v>
      </c>
      <c r="U38" s="14">
        <f t="shared" si="4"/>
        <v>-0.71611511721527765</v>
      </c>
      <c r="V38" s="14">
        <f t="shared" si="4"/>
        <v>-0.89552248733950812</v>
      </c>
      <c r="W38" s="14">
        <f t="shared" si="4"/>
        <v>-0.74683991193694921</v>
      </c>
      <c r="X38" s="14">
        <f t="shared" si="4"/>
        <v>-0.59237694577245625</v>
      </c>
      <c r="Y38" s="14">
        <f t="shared" si="4"/>
        <v>-0.58426701563808492</v>
      </c>
      <c r="Z38" s="14">
        <f t="shared" si="4"/>
        <v>-0.28424412099632501</v>
      </c>
      <c r="AA38" s="14">
        <f>(AA35-AA37)/AA37</f>
        <v>-0.41540885514037335</v>
      </c>
      <c r="AB38" s="14">
        <f t="shared" si="4"/>
        <v>-0.71623260737420891</v>
      </c>
      <c r="AC38" s="14">
        <f t="shared" si="4"/>
        <v>-1</v>
      </c>
      <c r="AD38" s="14">
        <f t="shared" si="4"/>
        <v>-0.41596608615046732</v>
      </c>
      <c r="AE38" s="14">
        <f>(AE35-AE37)/AE37</f>
        <v>-0.46857123633235631</v>
      </c>
    </row>
    <row r="39" spans="2:32" x14ac:dyDescent="0.25">
      <c r="O39" s="498"/>
      <c r="P39" s="499"/>
      <c r="Q39" s="6" t="s">
        <v>47</v>
      </c>
      <c r="R39" s="11">
        <v>373.97450666599997</v>
      </c>
      <c r="S39" s="11">
        <v>530.57791999900007</v>
      </c>
      <c r="T39" s="11">
        <v>279.18400666700001</v>
      </c>
      <c r="U39" s="11">
        <v>242.635583333</v>
      </c>
      <c r="V39" s="11">
        <v>221.08524000000003</v>
      </c>
      <c r="W39" s="11">
        <v>87.443666665999999</v>
      </c>
      <c r="X39" s="11">
        <v>50.773666667000001</v>
      </c>
      <c r="Y39" s="11">
        <v>59.664333333000002</v>
      </c>
      <c r="Z39" s="11">
        <v>104.03633333500001</v>
      </c>
      <c r="AA39" s="11">
        <v>446.52620000000002</v>
      </c>
      <c r="AB39" s="11">
        <v>226.35833333299996</v>
      </c>
      <c r="AC39" s="11">
        <v>391.73253333600007</v>
      </c>
      <c r="AD39" s="11">
        <f>AVERAGE(R39:AC39)</f>
        <v>251.16602694458334</v>
      </c>
      <c r="AE39" s="11">
        <f>AVERAGE(Y39:AB39)</f>
        <v>209.14630000024999</v>
      </c>
    </row>
    <row r="40" spans="2:32" ht="15.75" thickBot="1" x14ac:dyDescent="0.3">
      <c r="O40" s="500"/>
      <c r="P40" s="501"/>
      <c r="Q40" s="6" t="s">
        <v>48</v>
      </c>
      <c r="R40" s="14">
        <f>(R35-R39)/R39</f>
        <v>-6.9518254826700848E-2</v>
      </c>
      <c r="S40" s="14">
        <f t="shared" ref="S40:AE40" si="5">(S35-S39)/S39</f>
        <v>0.12088679911611608</v>
      </c>
      <c r="T40" s="14">
        <f t="shared" si="5"/>
        <v>-0.14801211833911643</v>
      </c>
      <c r="U40" s="14">
        <f t="shared" si="5"/>
        <v>-0.66819238865372277</v>
      </c>
      <c r="V40" s="14">
        <f t="shared" si="5"/>
        <v>-0.8968716261188554</v>
      </c>
      <c r="W40" s="14">
        <f t="shared" si="5"/>
        <v>-0.31662670442545193</v>
      </c>
      <c r="X40" s="14">
        <f t="shared" si="5"/>
        <v>2.4343539348088351E-2</v>
      </c>
      <c r="Y40" s="14">
        <f t="shared" si="5"/>
        <v>0.71242685108664094</v>
      </c>
      <c r="Z40" s="14">
        <f t="shared" si="5"/>
        <v>1.2239506069702544</v>
      </c>
      <c r="AA40" s="14">
        <f t="shared" si="5"/>
        <v>-0.30559385399167621</v>
      </c>
      <c r="AB40" s="14">
        <f t="shared" si="5"/>
        <v>-0.69958620181820774</v>
      </c>
      <c r="AC40" s="14">
        <f t="shared" si="5"/>
        <v>-1</v>
      </c>
      <c r="AD40" s="14">
        <f t="shared" si="5"/>
        <v>-0.30084604785142971</v>
      </c>
      <c r="AE40" s="14">
        <f t="shared" si="5"/>
        <v>-0.14938230150556819</v>
      </c>
    </row>
    <row r="41" spans="2:32" x14ac:dyDescent="0.25">
      <c r="O41" s="496" t="s">
        <v>55</v>
      </c>
      <c r="P41" s="497"/>
      <c r="Q41" s="8" t="s">
        <v>57</v>
      </c>
      <c r="R41" s="9">
        <v>347.97645161290325</v>
      </c>
      <c r="S41" s="9">
        <v>594.7177864293659</v>
      </c>
      <c r="T41" s="9">
        <v>237.86139043381533</v>
      </c>
      <c r="U41" s="9">
        <v>80.508333333333326</v>
      </c>
      <c r="V41" s="9">
        <v>22.800161290322581</v>
      </c>
      <c r="W41" s="9">
        <v>59.756666666666675</v>
      </c>
      <c r="X41" s="9">
        <v>52.009677419354837</v>
      </c>
      <c r="Y41" s="9">
        <v>102.1708064516129</v>
      </c>
      <c r="Z41" s="9">
        <f>238.371666667333-7</f>
        <v>231.37166666733299</v>
      </c>
      <c r="AA41" s="9">
        <f>349.070537633742-39</f>
        <v>310.07053763374199</v>
      </c>
      <c r="AB41" s="9">
        <f>71.0011666666667-3</f>
        <v>68.001166666666705</v>
      </c>
      <c r="AC41" s="9">
        <v>0</v>
      </c>
      <c r="AD41" s="9">
        <f>AVERAGE(R41:AC41)</f>
        <v>175.60372038375974</v>
      </c>
      <c r="AE41" s="9">
        <f>AVERAGE(Y41:AB41)</f>
        <v>177.90354435483863</v>
      </c>
      <c r="AF41" s="10"/>
    </row>
    <row r="42" spans="2:32" x14ac:dyDescent="0.25">
      <c r="O42" s="498"/>
      <c r="P42" s="499"/>
      <c r="Q42" s="6" t="s">
        <v>44</v>
      </c>
      <c r="R42" s="11">
        <v>238.07846666699999</v>
      </c>
      <c r="S42" s="11">
        <v>467.77760000000001</v>
      </c>
      <c r="T42" s="11">
        <v>370.22563333300002</v>
      </c>
      <c r="U42" s="11">
        <v>218.854333333</v>
      </c>
      <c r="V42" s="11">
        <v>116.557833333</v>
      </c>
      <c r="W42" s="11">
        <v>63.005666667</v>
      </c>
      <c r="X42" s="11">
        <v>1.7406666669999999</v>
      </c>
      <c r="Y42" s="11">
        <v>63.728999999999999</v>
      </c>
      <c r="Z42" s="11">
        <v>165.49833333300001</v>
      </c>
      <c r="AA42" s="11">
        <v>445.01900000000001</v>
      </c>
      <c r="AB42" s="11">
        <v>196.64500000000001</v>
      </c>
      <c r="AC42" s="11">
        <v>29.198333333000001</v>
      </c>
      <c r="AD42" s="11">
        <f>AVERAGE(R42:AC42)</f>
        <v>198.02748888883332</v>
      </c>
      <c r="AE42" s="11">
        <f>AVERAGE(Y42:AB42)</f>
        <v>217.72283333324998</v>
      </c>
    </row>
    <row r="43" spans="2:32" x14ac:dyDescent="0.25">
      <c r="O43" s="498"/>
      <c r="P43" s="499"/>
      <c r="Q43" s="6" t="s">
        <v>48</v>
      </c>
      <c r="R43" s="14">
        <f t="shared" ref="R43:AE43" si="6">(R41-R42)/R42</f>
        <v>0.46160405216158173</v>
      </c>
      <c r="S43" s="14">
        <f t="shared" si="6"/>
        <v>0.27136867269695236</v>
      </c>
      <c r="T43" s="14">
        <f t="shared" si="6"/>
        <v>-0.3575231723086269</v>
      </c>
      <c r="U43" s="14">
        <f t="shared" si="6"/>
        <v>-0.63213735772444102</v>
      </c>
      <c r="V43" s="14">
        <f t="shared" si="6"/>
        <v>-0.8043875676276202</v>
      </c>
      <c r="W43" s="14">
        <f t="shared" si="6"/>
        <v>-5.156679029372177E-2</v>
      </c>
      <c r="X43" s="14">
        <f t="shared" si="6"/>
        <v>28.87917124247134</v>
      </c>
      <c r="Y43" s="14">
        <f t="shared" si="6"/>
        <v>0.60320743227750173</v>
      </c>
      <c r="Z43" s="14">
        <f t="shared" si="6"/>
        <v>0.39803019165026227</v>
      </c>
      <c r="AA43" s="14">
        <f t="shared" si="6"/>
        <v>-0.30324202419729945</v>
      </c>
      <c r="AB43" s="14">
        <f t="shared" si="6"/>
        <v>-0.65419325857933486</v>
      </c>
      <c r="AC43" s="14">
        <f t="shared" si="6"/>
        <v>-1</v>
      </c>
      <c r="AD43" s="14">
        <f t="shared" si="6"/>
        <v>-0.1132356352691096</v>
      </c>
      <c r="AE43" s="14">
        <f t="shared" si="6"/>
        <v>-0.18288981623467723</v>
      </c>
    </row>
    <row r="44" spans="2:32" x14ac:dyDescent="0.25">
      <c r="O44" s="498"/>
      <c r="P44" s="499"/>
      <c r="Q44" s="6" t="s">
        <v>47</v>
      </c>
      <c r="R44" s="11">
        <v>166.37083333300001</v>
      </c>
      <c r="S44" s="11">
        <v>279.69299999999998</v>
      </c>
      <c r="T44" s="11">
        <v>218.807333333</v>
      </c>
      <c r="U44" s="11">
        <v>155.898</v>
      </c>
      <c r="V44" s="11">
        <v>81.371333332999995</v>
      </c>
      <c r="W44" s="11">
        <v>2.4266666670000001</v>
      </c>
      <c r="X44" s="11">
        <v>22.841666666999998</v>
      </c>
      <c r="Y44" s="11">
        <v>20.173333332999999</v>
      </c>
      <c r="Z44" s="11">
        <v>68.549666666999997</v>
      </c>
      <c r="AA44" s="11">
        <v>391.1662</v>
      </c>
      <c r="AB44" s="11">
        <v>193.85300000000001</v>
      </c>
      <c r="AC44" s="11">
        <v>36.110333333</v>
      </c>
      <c r="AD44" s="11">
        <f>AVERAGE(R44:AC44)</f>
        <v>136.43844722216667</v>
      </c>
      <c r="AE44" s="11">
        <f>AVERAGE(Y44:AB44)</f>
        <v>168.43555000000001</v>
      </c>
    </row>
    <row r="45" spans="2:32" ht="15.75" thickBot="1" x14ac:dyDescent="0.3">
      <c r="O45" s="500"/>
      <c r="P45" s="501"/>
      <c r="Q45" s="18" t="s">
        <v>48</v>
      </c>
      <c r="R45" s="19">
        <f t="shared" ref="R45:AE45" si="7">(R41-R44)/R44</f>
        <v>1.0915712486479527</v>
      </c>
      <c r="S45" s="19">
        <f t="shared" si="7"/>
        <v>1.1263234561800473</v>
      </c>
      <c r="T45" s="19">
        <f t="shared" si="7"/>
        <v>8.7081437402361683E-2</v>
      </c>
      <c r="U45" s="19">
        <f t="shared" si="7"/>
        <v>-0.48358328308680465</v>
      </c>
      <c r="V45" s="19">
        <f t="shared" si="7"/>
        <v>-0.71980106068784278</v>
      </c>
      <c r="W45" s="19">
        <f t="shared" si="7"/>
        <v>23.624999996617447</v>
      </c>
      <c r="X45" s="19">
        <f t="shared" si="7"/>
        <v>1.2769650821712888</v>
      </c>
      <c r="Y45" s="19">
        <f t="shared" si="7"/>
        <v>4.0646467177776495</v>
      </c>
      <c r="Z45" s="19">
        <f t="shared" si="7"/>
        <v>2.3752413092143594</v>
      </c>
      <c r="AA45" s="19">
        <f t="shared" si="7"/>
        <v>-0.20731766284064934</v>
      </c>
      <c r="AB45" s="19">
        <f t="shared" si="7"/>
        <v>-0.64921271960368576</v>
      </c>
      <c r="AC45" s="19">
        <f t="shared" si="7"/>
        <v>-1</v>
      </c>
      <c r="AD45" s="19">
        <f t="shared" si="7"/>
        <v>0.28705452135364101</v>
      </c>
      <c r="AE45" s="19">
        <f t="shared" si="7"/>
        <v>5.6211377911840006E-2</v>
      </c>
    </row>
    <row r="46" spans="2:32" x14ac:dyDescent="0.25">
      <c r="O46" s="15"/>
      <c r="P46" s="15"/>
      <c r="Q46" s="6" t="s">
        <v>60</v>
      </c>
      <c r="R46" s="6"/>
      <c r="S46" s="6"/>
      <c r="T46" s="6"/>
      <c r="U46" s="6"/>
      <c r="V46" s="6"/>
      <c r="W46" s="20">
        <v>71</v>
      </c>
      <c r="X46" s="20">
        <v>135</v>
      </c>
      <c r="Y46" s="21">
        <v>103</v>
      </c>
      <c r="Z46" s="21">
        <v>103</v>
      </c>
      <c r="AA46" s="21">
        <v>103</v>
      </c>
      <c r="AB46" s="21">
        <v>103</v>
      </c>
      <c r="AC46" s="21">
        <v>103</v>
      </c>
      <c r="AD46" s="6"/>
      <c r="AE46" s="22">
        <f>AVERAGE(Y46:AB46)</f>
        <v>103</v>
      </c>
    </row>
    <row r="47" spans="2:32" x14ac:dyDescent="0.25">
      <c r="O47" s="15"/>
      <c r="P47" s="15"/>
      <c r="Q47" s="6" t="s">
        <v>52</v>
      </c>
      <c r="R47" s="6">
        <f t="shared" ref="R47:AC47" si="8">R37-R42</f>
        <v>179.86972688138718</v>
      </c>
      <c r="S47" s="6">
        <f t="shared" si="8"/>
        <v>44.538400000000024</v>
      </c>
      <c r="T47" s="6">
        <f t="shared" si="8"/>
        <v>45.076269892806579</v>
      </c>
      <c r="U47" s="6">
        <f t="shared" si="8"/>
        <v>64.740666666999971</v>
      </c>
      <c r="V47" s="6">
        <f t="shared" si="8"/>
        <v>101.67248924764515</v>
      </c>
      <c r="W47" s="6">
        <f t="shared" si="8"/>
        <v>173.03733333299999</v>
      </c>
      <c r="X47" s="6">
        <f t="shared" si="8"/>
        <v>125.85191397816133</v>
      </c>
      <c r="Y47" s="6">
        <f t="shared" si="8"/>
        <v>182.03164516129033</v>
      </c>
      <c r="Z47" s="6">
        <f t="shared" si="8"/>
        <v>157.75666666700005</v>
      </c>
      <c r="AA47" s="6">
        <f t="shared" si="8"/>
        <v>85.386806451612983</v>
      </c>
      <c r="AB47" s="6">
        <f t="shared" si="8"/>
        <v>42.992000000000047</v>
      </c>
      <c r="AC47" s="6">
        <f t="shared" si="8"/>
        <v>28.802311828290293</v>
      </c>
      <c r="AD47" s="6">
        <f>AVERAGE(R47:AC47)</f>
        <v>102.64635250901615</v>
      </c>
      <c r="AE47" s="22">
        <f>AVERAGE(Y47:AB47)</f>
        <v>117.04177956997586</v>
      </c>
    </row>
    <row r="48" spans="2:32" x14ac:dyDescent="0.25">
      <c r="O48" s="15"/>
      <c r="P48" s="15"/>
      <c r="Q48" s="6" t="s">
        <v>53</v>
      </c>
      <c r="R48" s="6">
        <f t="shared" ref="R48:AC48" si="9">R39-R44</f>
        <v>207.60367333299996</v>
      </c>
      <c r="S48" s="6">
        <f t="shared" si="9"/>
        <v>250.88491999900009</v>
      </c>
      <c r="T48" s="6">
        <f t="shared" si="9"/>
        <v>60.376673334000003</v>
      </c>
      <c r="U48" s="6">
        <f t="shared" si="9"/>
        <v>86.737583333000003</v>
      </c>
      <c r="V48" s="6">
        <f t="shared" si="9"/>
        <v>139.71390666700003</v>
      </c>
      <c r="W48" s="6">
        <f t="shared" si="9"/>
        <v>85.016999998999992</v>
      </c>
      <c r="X48" s="6">
        <f t="shared" si="9"/>
        <v>27.932000000000002</v>
      </c>
      <c r="Y48" s="6">
        <f t="shared" si="9"/>
        <v>39.491</v>
      </c>
      <c r="Z48" s="6">
        <f t="shared" si="9"/>
        <v>35.486666668000012</v>
      </c>
      <c r="AA48" s="6">
        <f t="shared" si="9"/>
        <v>55.360000000000014</v>
      </c>
      <c r="AB48" s="6">
        <f t="shared" si="9"/>
        <v>32.505333332999953</v>
      </c>
      <c r="AC48" s="6">
        <f t="shared" si="9"/>
        <v>355.6222000030001</v>
      </c>
      <c r="AD48" s="6">
        <f>AVERAGE(R48:AC48)</f>
        <v>114.72757972241668</v>
      </c>
      <c r="AE48" s="22">
        <f>AVERAGE(Y48:AB48)</f>
        <v>40.710750000249995</v>
      </c>
    </row>
    <row r="52" spans="18:30" x14ac:dyDescent="0.25"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>
        <f>AD37-AD51</f>
        <v>300.67384139784957</v>
      </c>
    </row>
  </sheetData>
  <mergeCells count="3">
    <mergeCell ref="Q2:AC2"/>
    <mergeCell ref="O35:P40"/>
    <mergeCell ref="O41:P45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A049D-D66C-4EB4-B665-A8BF3B38AE01}">
  <sheetPr codeName="Sheet11"/>
  <dimension ref="B1:AF54"/>
  <sheetViews>
    <sheetView zoomScale="85" zoomScaleNormal="85" workbookViewId="0">
      <pane ySplit="4" topLeftCell="A19" activePane="bottomLeft" state="frozen"/>
      <selection pane="bottomLeft" activeCell="Q37" sqref="Q37:Q38"/>
    </sheetView>
  </sheetViews>
  <sheetFormatPr defaultRowHeight="15" x14ac:dyDescent="0.25"/>
  <cols>
    <col min="2" max="2" width="37.28515625" customWidth="1"/>
    <col min="3" max="14" width="9.140625" customWidth="1"/>
    <col min="17" max="17" width="32.7109375" customWidth="1"/>
    <col min="18" max="25" width="9.140625" customWidth="1"/>
    <col min="30" max="30" width="0" hidden="1" customWidth="1"/>
    <col min="31" max="31" width="16.140625" customWidth="1"/>
  </cols>
  <sheetData>
    <row r="1" spans="2:31" ht="15.75" thickBot="1" x14ac:dyDescent="0.3"/>
    <row r="2" spans="2:31" ht="15.75" thickBot="1" x14ac:dyDescent="0.3">
      <c r="O2" s="15"/>
      <c r="P2" s="15"/>
      <c r="Q2" s="493" t="s">
        <v>56</v>
      </c>
      <c r="R2" s="494"/>
      <c r="S2" s="494"/>
      <c r="T2" s="494"/>
      <c r="U2" s="494"/>
      <c r="V2" s="494"/>
      <c r="W2" s="494"/>
      <c r="X2" s="494"/>
      <c r="Y2" s="494"/>
      <c r="Z2" s="494"/>
      <c r="AA2" s="494"/>
      <c r="AB2" s="494"/>
      <c r="AC2" s="495"/>
      <c r="AD2" s="15"/>
    </row>
    <row r="3" spans="2:31" ht="21" hidden="1" customHeight="1" x14ac:dyDescent="0.25"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O3" s="15"/>
      <c r="P3" s="15"/>
      <c r="Q3" s="1"/>
      <c r="R3" s="1" t="s">
        <v>1</v>
      </c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5"/>
    </row>
    <row r="4" spans="2:31" x14ac:dyDescent="0.25">
      <c r="B4" s="2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  <c r="O4" s="15"/>
      <c r="P4" s="15"/>
      <c r="Q4" s="2" t="s">
        <v>2</v>
      </c>
      <c r="R4" s="3" t="s">
        <v>3</v>
      </c>
      <c r="S4" s="3" t="s">
        <v>4</v>
      </c>
      <c r="T4" s="3" t="s">
        <v>5</v>
      </c>
      <c r="U4" s="3" t="s">
        <v>6</v>
      </c>
      <c r="V4" s="3" t="s">
        <v>7</v>
      </c>
      <c r="W4" s="3" t="s">
        <v>8</v>
      </c>
      <c r="X4" s="3" t="s">
        <v>45</v>
      </c>
      <c r="Y4" s="3" t="s">
        <v>46</v>
      </c>
      <c r="Z4" s="3" t="s">
        <v>9</v>
      </c>
      <c r="AA4" s="3" t="s">
        <v>10</v>
      </c>
      <c r="AB4" s="3" t="s">
        <v>11</v>
      </c>
      <c r="AC4" s="3" t="s">
        <v>12</v>
      </c>
      <c r="AD4" s="13" t="s">
        <v>50</v>
      </c>
      <c r="AE4" s="13" t="s">
        <v>58</v>
      </c>
    </row>
    <row r="5" spans="2:31" x14ac:dyDescent="0.25">
      <c r="B5" s="4" t="s">
        <v>14</v>
      </c>
      <c r="C5" s="5">
        <v>220.76</v>
      </c>
      <c r="D5" s="5">
        <v>77.745714285999995</v>
      </c>
      <c r="E5" s="5"/>
      <c r="F5" s="5"/>
      <c r="G5" s="5"/>
      <c r="H5" s="5"/>
      <c r="I5" s="5"/>
      <c r="J5" s="5"/>
      <c r="K5" s="5"/>
      <c r="L5" s="5">
        <v>24.768571428999998</v>
      </c>
      <c r="M5" s="5">
        <v>323.27428571500002</v>
      </c>
      <c r="Q5" s="4" t="s">
        <v>14</v>
      </c>
      <c r="R5" s="5">
        <f>C5/4</f>
        <v>55.19</v>
      </c>
      <c r="S5" s="5">
        <f t="shared" ref="S5:W20" si="0">D5/4</f>
        <v>19.436428571499999</v>
      </c>
      <c r="T5" s="5">
        <f t="shared" si="0"/>
        <v>0</v>
      </c>
      <c r="U5" s="5">
        <f t="shared" si="0"/>
        <v>0</v>
      </c>
      <c r="V5" s="5">
        <f t="shared" si="0"/>
        <v>0</v>
      </c>
      <c r="W5" s="5">
        <f t="shared" si="0"/>
        <v>0</v>
      </c>
      <c r="X5" s="5">
        <v>0</v>
      </c>
      <c r="Y5" s="5">
        <v>0</v>
      </c>
      <c r="Z5" s="5">
        <f t="shared" ref="Z5:AC20" si="1">I5/4</f>
        <v>0</v>
      </c>
      <c r="AA5" s="5">
        <f t="shared" si="1"/>
        <v>0</v>
      </c>
      <c r="AB5" s="5">
        <f t="shared" si="1"/>
        <v>0</v>
      </c>
      <c r="AC5" s="5">
        <f t="shared" si="1"/>
        <v>6.1921428572499995</v>
      </c>
    </row>
    <row r="6" spans="2:31" x14ac:dyDescent="0.25">
      <c r="B6" s="6" t="s">
        <v>15</v>
      </c>
      <c r="C6" s="7">
        <v>220.76</v>
      </c>
      <c r="D6" s="7">
        <v>77.745714285999995</v>
      </c>
      <c r="E6" s="7"/>
      <c r="F6" s="7"/>
      <c r="G6" s="7"/>
      <c r="H6" s="7"/>
      <c r="I6" s="7"/>
      <c r="J6" s="7"/>
      <c r="K6" s="7"/>
      <c r="L6" s="7">
        <v>24.768571428999998</v>
      </c>
      <c r="M6" s="7">
        <v>323.27428571500002</v>
      </c>
      <c r="Q6" s="6" t="s">
        <v>15</v>
      </c>
      <c r="R6" s="5">
        <f t="shared" ref="R6:W33" si="2">C6/4</f>
        <v>55.19</v>
      </c>
      <c r="S6" s="5">
        <f t="shared" si="0"/>
        <v>19.436428571499999</v>
      </c>
      <c r="T6" s="5">
        <f t="shared" si="0"/>
        <v>0</v>
      </c>
      <c r="U6" s="5">
        <f t="shared" si="0"/>
        <v>0</v>
      </c>
      <c r="V6" s="5">
        <f t="shared" si="0"/>
        <v>0</v>
      </c>
      <c r="W6" s="5">
        <f t="shared" si="0"/>
        <v>0</v>
      </c>
      <c r="X6" s="5">
        <v>0</v>
      </c>
      <c r="Y6" s="5">
        <v>0</v>
      </c>
      <c r="Z6" s="5">
        <f t="shared" si="1"/>
        <v>0</v>
      </c>
      <c r="AA6" s="5">
        <f t="shared" si="1"/>
        <v>0</v>
      </c>
      <c r="AB6" s="5">
        <f t="shared" si="1"/>
        <v>0</v>
      </c>
      <c r="AC6" s="5">
        <f t="shared" si="1"/>
        <v>6.1921428572499995</v>
      </c>
    </row>
    <row r="7" spans="2:31" x14ac:dyDescent="0.25">
      <c r="B7" s="4" t="s">
        <v>16</v>
      </c>
      <c r="C7" s="5"/>
      <c r="D7" s="5"/>
      <c r="E7" s="5"/>
      <c r="F7" s="5">
        <v>43.2</v>
      </c>
      <c r="G7" s="5">
        <v>86.4</v>
      </c>
      <c r="H7" s="5">
        <v>43.2</v>
      </c>
      <c r="I7" s="5"/>
      <c r="J7" s="5"/>
      <c r="K7" s="5"/>
      <c r="L7" s="5"/>
      <c r="M7" s="5">
        <v>172.8</v>
      </c>
      <c r="Q7" s="4" t="s">
        <v>16</v>
      </c>
      <c r="R7" s="5">
        <f t="shared" si="2"/>
        <v>0</v>
      </c>
      <c r="S7" s="5">
        <f t="shared" si="0"/>
        <v>0</v>
      </c>
      <c r="T7" s="5">
        <f t="shared" si="0"/>
        <v>0</v>
      </c>
      <c r="U7" s="5">
        <f t="shared" si="0"/>
        <v>10.8</v>
      </c>
      <c r="V7" s="5">
        <f t="shared" si="0"/>
        <v>21.6</v>
      </c>
      <c r="W7" s="5">
        <f t="shared" si="0"/>
        <v>10.8</v>
      </c>
      <c r="X7" s="5">
        <v>0</v>
      </c>
      <c r="Y7" s="5">
        <v>0</v>
      </c>
      <c r="Z7" s="5">
        <f t="shared" si="1"/>
        <v>0</v>
      </c>
      <c r="AA7" s="5">
        <f t="shared" si="1"/>
        <v>0</v>
      </c>
      <c r="AB7" s="5">
        <f t="shared" si="1"/>
        <v>0</v>
      </c>
      <c r="AC7" s="5">
        <f t="shared" si="1"/>
        <v>0</v>
      </c>
    </row>
    <row r="8" spans="2:31" x14ac:dyDescent="0.25">
      <c r="B8" s="6" t="s">
        <v>17</v>
      </c>
      <c r="C8" s="7"/>
      <c r="D8" s="7"/>
      <c r="E8" s="7"/>
      <c r="F8" s="7">
        <v>43.2</v>
      </c>
      <c r="G8" s="7">
        <v>86.4</v>
      </c>
      <c r="H8" s="7">
        <v>43.2</v>
      </c>
      <c r="I8" s="7"/>
      <c r="J8" s="7"/>
      <c r="K8" s="7"/>
      <c r="L8" s="7"/>
      <c r="M8" s="7">
        <v>172.8</v>
      </c>
      <c r="Q8" s="6" t="s">
        <v>17</v>
      </c>
      <c r="R8" s="5">
        <f t="shared" si="2"/>
        <v>0</v>
      </c>
      <c r="S8" s="5">
        <f t="shared" si="0"/>
        <v>0</v>
      </c>
      <c r="T8" s="5">
        <f t="shared" si="0"/>
        <v>0</v>
      </c>
      <c r="U8" s="5">
        <f t="shared" si="0"/>
        <v>10.8</v>
      </c>
      <c r="V8" s="5">
        <f t="shared" si="0"/>
        <v>21.6</v>
      </c>
      <c r="W8" s="5">
        <f t="shared" si="0"/>
        <v>10.8</v>
      </c>
      <c r="X8" s="5">
        <v>0</v>
      </c>
      <c r="Y8" s="5">
        <v>0</v>
      </c>
      <c r="Z8" s="5">
        <f t="shared" si="1"/>
        <v>0</v>
      </c>
      <c r="AA8" s="5">
        <f t="shared" si="1"/>
        <v>0</v>
      </c>
      <c r="AB8" s="5">
        <f t="shared" si="1"/>
        <v>0</v>
      </c>
      <c r="AC8" s="5">
        <f t="shared" si="1"/>
        <v>0</v>
      </c>
    </row>
    <row r="9" spans="2:31" x14ac:dyDescent="0.25">
      <c r="B9" s="4" t="s">
        <v>18</v>
      </c>
      <c r="C9" s="5">
        <v>19.942857142999998</v>
      </c>
      <c r="D9" s="5">
        <v>267.2</v>
      </c>
      <c r="E9" s="5">
        <v>392.14000000100009</v>
      </c>
      <c r="F9" s="5">
        <v>97.8</v>
      </c>
      <c r="G9" s="5"/>
      <c r="H9" s="5"/>
      <c r="I9" s="5">
        <v>180.51428571399998</v>
      </c>
      <c r="J9" s="5">
        <v>187.2</v>
      </c>
      <c r="K9" s="5">
        <v>33.428571429000002</v>
      </c>
      <c r="L9" s="5"/>
      <c r="M9" s="5">
        <v>1178.2257142870001</v>
      </c>
      <c r="Q9" s="4" t="s">
        <v>18</v>
      </c>
      <c r="R9" s="5">
        <f t="shared" si="2"/>
        <v>4.9857142857499994</v>
      </c>
      <c r="S9" s="5">
        <f t="shared" si="0"/>
        <v>66.8</v>
      </c>
      <c r="T9" s="5">
        <f t="shared" si="0"/>
        <v>98.035000000250022</v>
      </c>
      <c r="U9" s="5">
        <f t="shared" si="0"/>
        <v>24.45</v>
      </c>
      <c r="V9" s="5">
        <f t="shared" si="0"/>
        <v>0</v>
      </c>
      <c r="W9" s="5">
        <f t="shared" si="0"/>
        <v>0</v>
      </c>
      <c r="X9" s="5">
        <v>0</v>
      </c>
      <c r="Y9" s="5">
        <v>0</v>
      </c>
      <c r="Z9" s="5">
        <f t="shared" si="1"/>
        <v>45.128571428499995</v>
      </c>
      <c r="AA9" s="5">
        <f t="shared" si="1"/>
        <v>46.8</v>
      </c>
      <c r="AB9" s="5">
        <f t="shared" si="1"/>
        <v>8.3571428572500004</v>
      </c>
      <c r="AC9" s="5">
        <f t="shared" si="1"/>
        <v>0</v>
      </c>
    </row>
    <row r="10" spans="2:31" x14ac:dyDescent="0.25">
      <c r="B10" s="6" t="s">
        <v>19</v>
      </c>
      <c r="C10" s="7"/>
      <c r="D10" s="7"/>
      <c r="E10" s="7">
        <v>83.785714286000001</v>
      </c>
      <c r="F10" s="7">
        <v>69.214285713999999</v>
      </c>
      <c r="G10" s="7"/>
      <c r="H10" s="7"/>
      <c r="I10" s="7"/>
      <c r="J10" s="7"/>
      <c r="K10" s="7"/>
      <c r="L10" s="7"/>
      <c r="M10" s="7">
        <v>153</v>
      </c>
      <c r="Q10" s="6" t="s">
        <v>19</v>
      </c>
      <c r="R10" s="5">
        <f t="shared" si="2"/>
        <v>0</v>
      </c>
      <c r="S10" s="5">
        <f t="shared" si="0"/>
        <v>0</v>
      </c>
      <c r="T10" s="5">
        <f t="shared" si="0"/>
        <v>20.9464285715</v>
      </c>
      <c r="U10" s="5">
        <f t="shared" si="0"/>
        <v>17.3035714285</v>
      </c>
      <c r="V10" s="5">
        <f t="shared" si="0"/>
        <v>0</v>
      </c>
      <c r="W10" s="5">
        <f t="shared" si="0"/>
        <v>0</v>
      </c>
      <c r="X10" s="5">
        <v>0</v>
      </c>
      <c r="Y10" s="5">
        <v>0</v>
      </c>
      <c r="Z10" s="5">
        <f t="shared" si="1"/>
        <v>0</v>
      </c>
      <c r="AA10" s="5">
        <f t="shared" si="1"/>
        <v>0</v>
      </c>
      <c r="AB10" s="5">
        <f t="shared" si="1"/>
        <v>0</v>
      </c>
      <c r="AC10" s="5">
        <f t="shared" si="1"/>
        <v>0</v>
      </c>
    </row>
    <row r="11" spans="2:31" x14ac:dyDescent="0.25">
      <c r="B11" s="6" t="s">
        <v>20</v>
      </c>
      <c r="C11" s="7"/>
      <c r="D11" s="7"/>
      <c r="E11" s="7">
        <v>194.38285714300002</v>
      </c>
      <c r="F11" s="7">
        <v>28.585714286000002</v>
      </c>
      <c r="G11" s="7"/>
      <c r="H11" s="7"/>
      <c r="I11" s="7"/>
      <c r="J11" s="7"/>
      <c r="K11" s="7"/>
      <c r="L11" s="7"/>
      <c r="M11" s="7">
        <v>222.96857142900004</v>
      </c>
      <c r="Q11" s="6" t="s">
        <v>20</v>
      </c>
      <c r="R11" s="5">
        <f t="shared" si="2"/>
        <v>0</v>
      </c>
      <c r="S11" s="5">
        <f t="shared" si="0"/>
        <v>0</v>
      </c>
      <c r="T11" s="5">
        <f t="shared" si="0"/>
        <v>48.595714285750006</v>
      </c>
      <c r="U11" s="5">
        <f t="shared" si="0"/>
        <v>7.1464285715000004</v>
      </c>
      <c r="V11" s="5">
        <f t="shared" si="0"/>
        <v>0</v>
      </c>
      <c r="W11" s="5">
        <f t="shared" si="0"/>
        <v>0</v>
      </c>
      <c r="X11" s="5">
        <v>0</v>
      </c>
      <c r="Y11" s="5">
        <v>0</v>
      </c>
      <c r="Z11" s="5">
        <f t="shared" si="1"/>
        <v>0</v>
      </c>
      <c r="AA11" s="5">
        <f t="shared" si="1"/>
        <v>0</v>
      </c>
      <c r="AB11" s="5">
        <f t="shared" si="1"/>
        <v>0</v>
      </c>
      <c r="AC11" s="5">
        <f t="shared" si="1"/>
        <v>0</v>
      </c>
    </row>
    <row r="12" spans="2:31" x14ac:dyDescent="0.25">
      <c r="B12" s="6" t="s">
        <v>21</v>
      </c>
      <c r="C12" s="7">
        <v>19.942857142999998</v>
      </c>
      <c r="D12" s="7">
        <v>267.2</v>
      </c>
      <c r="E12" s="7">
        <v>113.97142857200001</v>
      </c>
      <c r="F12" s="7"/>
      <c r="G12" s="7"/>
      <c r="H12" s="7"/>
      <c r="I12" s="7">
        <v>180.51428571399998</v>
      </c>
      <c r="J12" s="7">
        <v>187.2</v>
      </c>
      <c r="K12" s="7">
        <v>33.428571429000002</v>
      </c>
      <c r="L12" s="7"/>
      <c r="M12" s="7">
        <v>802.25714285800007</v>
      </c>
      <c r="Q12" s="6" t="s">
        <v>21</v>
      </c>
      <c r="R12" s="5">
        <f t="shared" si="2"/>
        <v>4.9857142857499994</v>
      </c>
      <c r="S12" s="5">
        <f t="shared" si="0"/>
        <v>66.8</v>
      </c>
      <c r="T12" s="5">
        <f t="shared" si="0"/>
        <v>28.492857143000002</v>
      </c>
      <c r="U12" s="5">
        <f t="shared" si="0"/>
        <v>0</v>
      </c>
      <c r="V12" s="5">
        <f t="shared" si="0"/>
        <v>0</v>
      </c>
      <c r="W12" s="5">
        <f t="shared" si="0"/>
        <v>0</v>
      </c>
      <c r="X12" s="5">
        <v>0</v>
      </c>
      <c r="Y12" s="5">
        <v>0</v>
      </c>
      <c r="Z12" s="5">
        <f t="shared" si="1"/>
        <v>45.128571428499995</v>
      </c>
      <c r="AA12" s="5">
        <f t="shared" si="1"/>
        <v>46.8</v>
      </c>
      <c r="AB12" s="5">
        <f t="shared" si="1"/>
        <v>8.3571428572500004</v>
      </c>
      <c r="AC12" s="5">
        <f t="shared" si="1"/>
        <v>0</v>
      </c>
    </row>
    <row r="13" spans="2:31" x14ac:dyDescent="0.25">
      <c r="B13" s="4" t="s">
        <v>22</v>
      </c>
      <c r="C13" s="5"/>
      <c r="D13" s="5"/>
      <c r="E13" s="5"/>
      <c r="F13" s="5"/>
      <c r="G13" s="5"/>
      <c r="H13" s="5"/>
      <c r="I13" s="5">
        <v>27.867857142999998</v>
      </c>
      <c r="J13" s="5">
        <v>156.06</v>
      </c>
      <c r="K13" s="5">
        <v>11.147142857</v>
      </c>
      <c r="L13" s="5"/>
      <c r="M13" s="5">
        <v>195.07500000000002</v>
      </c>
      <c r="Q13" s="4" t="s">
        <v>22</v>
      </c>
      <c r="R13" s="5">
        <f t="shared" si="2"/>
        <v>0</v>
      </c>
      <c r="S13" s="5">
        <f t="shared" si="0"/>
        <v>0</v>
      </c>
      <c r="T13" s="5">
        <f t="shared" si="0"/>
        <v>0</v>
      </c>
      <c r="U13" s="5">
        <f t="shared" si="0"/>
        <v>0</v>
      </c>
      <c r="V13" s="5">
        <f t="shared" si="0"/>
        <v>0</v>
      </c>
      <c r="W13" s="5">
        <f t="shared" si="0"/>
        <v>0</v>
      </c>
      <c r="X13" s="5">
        <v>0</v>
      </c>
      <c r="Y13" s="5">
        <v>0</v>
      </c>
      <c r="Z13" s="5">
        <f t="shared" si="1"/>
        <v>6.9669642857499996</v>
      </c>
      <c r="AA13" s="5">
        <f t="shared" si="1"/>
        <v>39.015000000000001</v>
      </c>
      <c r="AB13" s="5">
        <f t="shared" si="1"/>
        <v>2.7867857142500001</v>
      </c>
      <c r="AC13" s="5">
        <f t="shared" si="1"/>
        <v>0</v>
      </c>
    </row>
    <row r="14" spans="2:31" x14ac:dyDescent="0.25">
      <c r="B14" s="6" t="s">
        <v>23</v>
      </c>
      <c r="C14" s="7"/>
      <c r="D14" s="7"/>
      <c r="E14" s="7"/>
      <c r="F14" s="7"/>
      <c r="G14" s="7"/>
      <c r="H14" s="7"/>
      <c r="I14" s="7">
        <v>27.867857142999998</v>
      </c>
      <c r="J14" s="7">
        <v>156.06</v>
      </c>
      <c r="K14" s="7">
        <v>11.147142857</v>
      </c>
      <c r="L14" s="7"/>
      <c r="M14" s="7">
        <v>195.07500000000002</v>
      </c>
      <c r="Q14" s="6" t="s">
        <v>23</v>
      </c>
      <c r="R14" s="5">
        <f t="shared" si="2"/>
        <v>0</v>
      </c>
      <c r="S14" s="5">
        <f t="shared" si="0"/>
        <v>0</v>
      </c>
      <c r="T14" s="5">
        <f t="shared" si="0"/>
        <v>0</v>
      </c>
      <c r="U14" s="5">
        <f t="shared" si="0"/>
        <v>0</v>
      </c>
      <c r="V14" s="5">
        <f t="shared" si="0"/>
        <v>0</v>
      </c>
      <c r="W14" s="5">
        <f t="shared" si="0"/>
        <v>0</v>
      </c>
      <c r="X14" s="5">
        <v>0</v>
      </c>
      <c r="Y14" s="5">
        <v>0</v>
      </c>
      <c r="Z14" s="5">
        <f t="shared" si="1"/>
        <v>6.9669642857499996</v>
      </c>
      <c r="AA14" s="5">
        <f t="shared" si="1"/>
        <v>39.015000000000001</v>
      </c>
      <c r="AB14" s="5">
        <f t="shared" si="1"/>
        <v>2.7867857142500001</v>
      </c>
      <c r="AC14" s="5">
        <f t="shared" si="1"/>
        <v>0</v>
      </c>
    </row>
    <row r="15" spans="2:31" x14ac:dyDescent="0.25">
      <c r="B15" s="4" t="s">
        <v>24</v>
      </c>
      <c r="C15" s="5"/>
      <c r="D15" s="5"/>
      <c r="E15" s="5"/>
      <c r="F15" s="5"/>
      <c r="G15" s="5"/>
      <c r="H15" s="5"/>
      <c r="I15" s="5"/>
      <c r="J15" s="5">
        <v>115.328571428</v>
      </c>
      <c r="K15" s="5">
        <v>76.885714284999992</v>
      </c>
      <c r="L15" s="5"/>
      <c r="M15" s="5">
        <v>192.21428571299998</v>
      </c>
      <c r="Q15" s="4" t="s">
        <v>24</v>
      </c>
      <c r="R15" s="5">
        <f t="shared" si="2"/>
        <v>0</v>
      </c>
      <c r="S15" s="5">
        <f t="shared" si="0"/>
        <v>0</v>
      </c>
      <c r="T15" s="5">
        <f t="shared" si="0"/>
        <v>0</v>
      </c>
      <c r="U15" s="5">
        <f t="shared" si="0"/>
        <v>0</v>
      </c>
      <c r="V15" s="5">
        <f t="shared" si="0"/>
        <v>0</v>
      </c>
      <c r="W15" s="5">
        <f t="shared" si="0"/>
        <v>0</v>
      </c>
      <c r="X15" s="5">
        <v>0</v>
      </c>
      <c r="Y15" s="5">
        <v>0</v>
      </c>
      <c r="Z15" s="5">
        <f t="shared" si="1"/>
        <v>0</v>
      </c>
      <c r="AA15" s="5">
        <f t="shared" si="1"/>
        <v>28.832142857000001</v>
      </c>
      <c r="AB15" s="5">
        <f t="shared" si="1"/>
        <v>19.221428571249998</v>
      </c>
      <c r="AC15" s="5">
        <f t="shared" si="1"/>
        <v>0</v>
      </c>
    </row>
    <row r="16" spans="2:31" x14ac:dyDescent="0.25">
      <c r="B16" s="6" t="s">
        <v>25</v>
      </c>
      <c r="C16" s="7"/>
      <c r="D16" s="7"/>
      <c r="E16" s="7"/>
      <c r="F16" s="7"/>
      <c r="G16" s="7"/>
      <c r="H16" s="7"/>
      <c r="I16" s="7"/>
      <c r="J16" s="7">
        <v>115.328571428</v>
      </c>
      <c r="K16" s="7">
        <v>76.885714284999992</v>
      </c>
      <c r="L16" s="7"/>
      <c r="M16" s="7">
        <v>192.21428571299998</v>
      </c>
      <c r="Q16" s="6" t="s">
        <v>25</v>
      </c>
      <c r="R16" s="5">
        <f t="shared" si="2"/>
        <v>0</v>
      </c>
      <c r="S16" s="5">
        <f t="shared" si="0"/>
        <v>0</v>
      </c>
      <c r="T16" s="5">
        <f t="shared" si="0"/>
        <v>0</v>
      </c>
      <c r="U16" s="5">
        <f t="shared" si="0"/>
        <v>0</v>
      </c>
      <c r="V16" s="5">
        <f t="shared" si="0"/>
        <v>0</v>
      </c>
      <c r="W16" s="5">
        <f t="shared" si="0"/>
        <v>0</v>
      </c>
      <c r="X16" s="5">
        <v>0</v>
      </c>
      <c r="Y16" s="5">
        <v>0</v>
      </c>
      <c r="Z16" s="5">
        <f t="shared" si="1"/>
        <v>0</v>
      </c>
      <c r="AA16" s="5">
        <f t="shared" si="1"/>
        <v>28.832142857000001</v>
      </c>
      <c r="AB16" s="5">
        <f t="shared" si="1"/>
        <v>19.221428571249998</v>
      </c>
      <c r="AC16" s="5">
        <f t="shared" si="1"/>
        <v>0</v>
      </c>
    </row>
    <row r="17" spans="2:29" x14ac:dyDescent="0.25">
      <c r="B17" s="4" t="s">
        <v>26</v>
      </c>
      <c r="C17" s="5">
        <v>433.67857142900004</v>
      </c>
      <c r="D17" s="5">
        <v>413.73571428499997</v>
      </c>
      <c r="E17" s="5"/>
      <c r="F17" s="5"/>
      <c r="G17" s="5"/>
      <c r="H17" s="5"/>
      <c r="I17" s="5"/>
      <c r="J17" s="5"/>
      <c r="K17" s="5"/>
      <c r="L17" s="5">
        <v>18.228571428999999</v>
      </c>
      <c r="M17" s="5">
        <v>865.64285714300013</v>
      </c>
      <c r="Q17" s="4" t="s">
        <v>26</v>
      </c>
      <c r="R17" s="5">
        <f t="shared" si="2"/>
        <v>108.41964285725001</v>
      </c>
      <c r="S17" s="5">
        <f t="shared" si="0"/>
        <v>103.43392857124999</v>
      </c>
      <c r="T17" s="5">
        <f t="shared" si="0"/>
        <v>0</v>
      </c>
      <c r="U17" s="5">
        <f t="shared" si="0"/>
        <v>0</v>
      </c>
      <c r="V17" s="5">
        <f t="shared" si="0"/>
        <v>0</v>
      </c>
      <c r="W17" s="5">
        <f t="shared" si="0"/>
        <v>0</v>
      </c>
      <c r="X17" s="5">
        <v>0</v>
      </c>
      <c r="Y17" s="5">
        <v>0</v>
      </c>
      <c r="Z17" s="5">
        <f t="shared" si="1"/>
        <v>0</v>
      </c>
      <c r="AA17" s="5">
        <f t="shared" si="1"/>
        <v>0</v>
      </c>
      <c r="AB17" s="5">
        <f t="shared" si="1"/>
        <v>0</v>
      </c>
      <c r="AC17" s="5">
        <f t="shared" si="1"/>
        <v>4.5571428572499997</v>
      </c>
    </row>
    <row r="18" spans="2:29" x14ac:dyDescent="0.25">
      <c r="B18" s="6" t="s">
        <v>27</v>
      </c>
      <c r="C18" s="7">
        <v>255.2</v>
      </c>
      <c r="D18" s="7">
        <v>45.571428570999998</v>
      </c>
      <c r="E18" s="7"/>
      <c r="F18" s="7"/>
      <c r="G18" s="7"/>
      <c r="H18" s="7"/>
      <c r="I18" s="7"/>
      <c r="J18" s="7"/>
      <c r="K18" s="7"/>
      <c r="L18" s="7">
        <v>18.228571428999999</v>
      </c>
      <c r="M18" s="7">
        <v>319</v>
      </c>
      <c r="Q18" s="6" t="s">
        <v>27</v>
      </c>
      <c r="R18" s="5">
        <f t="shared" si="2"/>
        <v>63.8</v>
      </c>
      <c r="S18" s="5">
        <f t="shared" si="0"/>
        <v>11.39285714275</v>
      </c>
      <c r="T18" s="5">
        <f t="shared" si="0"/>
        <v>0</v>
      </c>
      <c r="U18" s="5">
        <f t="shared" si="0"/>
        <v>0</v>
      </c>
      <c r="V18" s="5">
        <f t="shared" si="0"/>
        <v>0</v>
      </c>
      <c r="W18" s="5">
        <f t="shared" si="0"/>
        <v>0</v>
      </c>
      <c r="X18" s="5">
        <v>0</v>
      </c>
      <c r="Y18" s="5">
        <v>0</v>
      </c>
      <c r="Z18" s="5">
        <f t="shared" si="1"/>
        <v>0</v>
      </c>
      <c r="AA18" s="5">
        <f t="shared" si="1"/>
        <v>0</v>
      </c>
      <c r="AB18" s="5">
        <f t="shared" si="1"/>
        <v>0</v>
      </c>
      <c r="AC18" s="5">
        <f t="shared" si="1"/>
        <v>4.5571428572499997</v>
      </c>
    </row>
    <row r="19" spans="2:29" x14ac:dyDescent="0.25">
      <c r="B19" s="6" t="s">
        <v>28</v>
      </c>
      <c r="C19" s="7">
        <v>159.19285714300003</v>
      </c>
      <c r="D19" s="7">
        <v>117.664285714</v>
      </c>
      <c r="E19" s="7"/>
      <c r="F19" s="7"/>
      <c r="G19" s="7"/>
      <c r="H19" s="7"/>
      <c r="I19" s="7"/>
      <c r="J19" s="7"/>
      <c r="K19" s="7"/>
      <c r="L19" s="7"/>
      <c r="M19" s="7">
        <v>276.85714285700004</v>
      </c>
      <c r="Q19" s="6" t="s">
        <v>28</v>
      </c>
      <c r="R19" s="5">
        <f t="shared" si="2"/>
        <v>39.798214285750007</v>
      </c>
      <c r="S19" s="5">
        <f t="shared" si="0"/>
        <v>29.4160714285</v>
      </c>
      <c r="T19" s="5">
        <f t="shared" si="0"/>
        <v>0</v>
      </c>
      <c r="U19" s="5">
        <f t="shared" si="0"/>
        <v>0</v>
      </c>
      <c r="V19" s="5">
        <f t="shared" si="0"/>
        <v>0</v>
      </c>
      <c r="W19" s="5">
        <f t="shared" si="0"/>
        <v>0</v>
      </c>
      <c r="X19" s="5">
        <v>0</v>
      </c>
      <c r="Y19" s="5">
        <v>0</v>
      </c>
      <c r="Z19" s="5">
        <f t="shared" si="1"/>
        <v>0</v>
      </c>
      <c r="AA19" s="5">
        <f t="shared" si="1"/>
        <v>0</v>
      </c>
      <c r="AB19" s="5">
        <f t="shared" si="1"/>
        <v>0</v>
      </c>
      <c r="AC19" s="5">
        <f t="shared" si="1"/>
        <v>0</v>
      </c>
    </row>
    <row r="20" spans="2:29" x14ac:dyDescent="0.25">
      <c r="B20" s="6" t="s">
        <v>29</v>
      </c>
      <c r="C20" s="7">
        <v>19.285714286000001</v>
      </c>
      <c r="D20" s="7">
        <v>250.5</v>
      </c>
      <c r="E20" s="7"/>
      <c r="F20" s="7"/>
      <c r="G20" s="7"/>
      <c r="H20" s="7"/>
      <c r="I20" s="7"/>
      <c r="J20" s="7"/>
      <c r="K20" s="7"/>
      <c r="L20" s="7"/>
      <c r="M20" s="7">
        <v>269.78571428600003</v>
      </c>
      <c r="Q20" s="6" t="s">
        <v>29</v>
      </c>
      <c r="R20" s="5">
        <f t="shared" si="2"/>
        <v>4.8214285715000003</v>
      </c>
      <c r="S20" s="5">
        <f t="shared" si="0"/>
        <v>62.625</v>
      </c>
      <c r="T20" s="5">
        <f t="shared" si="0"/>
        <v>0</v>
      </c>
      <c r="U20" s="5">
        <f t="shared" si="0"/>
        <v>0</v>
      </c>
      <c r="V20" s="5">
        <f t="shared" si="0"/>
        <v>0</v>
      </c>
      <c r="W20" s="5">
        <f t="shared" si="0"/>
        <v>0</v>
      </c>
      <c r="X20" s="5">
        <v>0</v>
      </c>
      <c r="Y20" s="5">
        <v>0</v>
      </c>
      <c r="Z20" s="5">
        <f t="shared" si="1"/>
        <v>0</v>
      </c>
      <c r="AA20" s="5">
        <f t="shared" si="1"/>
        <v>0</v>
      </c>
      <c r="AB20" s="5">
        <f t="shared" si="1"/>
        <v>0</v>
      </c>
      <c r="AC20" s="5">
        <f t="shared" si="1"/>
        <v>0</v>
      </c>
    </row>
    <row r="21" spans="2:29" x14ac:dyDescent="0.25">
      <c r="B21" s="4" t="s">
        <v>30</v>
      </c>
      <c r="C21" s="5">
        <v>155.81428571399999</v>
      </c>
      <c r="D21" s="5">
        <v>155.81428571399999</v>
      </c>
      <c r="E21" s="5"/>
      <c r="F21" s="5"/>
      <c r="G21" s="5"/>
      <c r="H21" s="5"/>
      <c r="I21" s="5">
        <v>91.142857143000001</v>
      </c>
      <c r="J21" s="5">
        <v>68.357142856999999</v>
      </c>
      <c r="K21" s="5"/>
      <c r="L21" s="5"/>
      <c r="M21" s="5">
        <v>471.12857142799999</v>
      </c>
      <c r="Q21" s="4" t="s">
        <v>30</v>
      </c>
      <c r="R21" s="5">
        <f t="shared" si="2"/>
        <v>38.953571428499998</v>
      </c>
      <c r="S21" s="5">
        <f t="shared" si="2"/>
        <v>38.953571428499998</v>
      </c>
      <c r="T21" s="5">
        <f t="shared" si="2"/>
        <v>0</v>
      </c>
      <c r="U21" s="5">
        <f t="shared" si="2"/>
        <v>0</v>
      </c>
      <c r="V21" s="5">
        <f t="shared" si="2"/>
        <v>0</v>
      </c>
      <c r="W21" s="5">
        <f t="shared" si="2"/>
        <v>0</v>
      </c>
      <c r="X21" s="5">
        <v>0</v>
      </c>
      <c r="Y21" s="5">
        <v>0</v>
      </c>
      <c r="Z21" s="5">
        <f t="shared" ref="Z21:AC33" si="3">I21/4</f>
        <v>22.78571428575</v>
      </c>
      <c r="AA21" s="5">
        <f t="shared" si="3"/>
        <v>17.08928571425</v>
      </c>
      <c r="AB21" s="5">
        <f t="shared" si="3"/>
        <v>0</v>
      </c>
      <c r="AC21" s="5">
        <f t="shared" si="3"/>
        <v>0</v>
      </c>
    </row>
    <row r="22" spans="2:29" x14ac:dyDescent="0.25">
      <c r="B22" s="6" t="s">
        <v>31</v>
      </c>
      <c r="C22" s="7"/>
      <c r="D22" s="7"/>
      <c r="E22" s="7"/>
      <c r="F22" s="7"/>
      <c r="G22" s="7"/>
      <c r="H22" s="7"/>
      <c r="I22" s="7">
        <v>91.142857143000001</v>
      </c>
      <c r="J22" s="7">
        <v>68.357142856999999</v>
      </c>
      <c r="K22" s="7"/>
      <c r="L22" s="7"/>
      <c r="M22" s="7">
        <v>159.5</v>
      </c>
      <c r="Q22" s="6" t="s">
        <v>31</v>
      </c>
      <c r="R22" s="5">
        <f t="shared" si="2"/>
        <v>0</v>
      </c>
      <c r="S22" s="5">
        <f t="shared" si="2"/>
        <v>0</v>
      </c>
      <c r="T22" s="5">
        <f t="shared" si="2"/>
        <v>0</v>
      </c>
      <c r="U22" s="5">
        <f t="shared" si="2"/>
        <v>0</v>
      </c>
      <c r="V22" s="5">
        <f t="shared" si="2"/>
        <v>0</v>
      </c>
      <c r="W22" s="5">
        <f t="shared" si="2"/>
        <v>0</v>
      </c>
      <c r="X22" s="5">
        <v>0</v>
      </c>
      <c r="Y22" s="5">
        <v>0</v>
      </c>
      <c r="Z22" s="5">
        <f t="shared" si="3"/>
        <v>22.78571428575</v>
      </c>
      <c r="AA22" s="5">
        <f t="shared" si="3"/>
        <v>17.08928571425</v>
      </c>
      <c r="AB22" s="5">
        <f t="shared" si="3"/>
        <v>0</v>
      </c>
      <c r="AC22" s="5">
        <f t="shared" si="3"/>
        <v>0</v>
      </c>
    </row>
    <row r="23" spans="2:29" x14ac:dyDescent="0.25">
      <c r="B23" s="6" t="s">
        <v>32</v>
      </c>
      <c r="C23" s="7">
        <v>155.81428571399999</v>
      </c>
      <c r="D23" s="7">
        <v>155.81428571399999</v>
      </c>
      <c r="E23" s="7"/>
      <c r="F23" s="7"/>
      <c r="G23" s="7"/>
      <c r="H23" s="7"/>
      <c r="I23" s="7"/>
      <c r="J23" s="7"/>
      <c r="K23" s="7"/>
      <c r="L23" s="7"/>
      <c r="M23" s="7">
        <v>311.62857142799999</v>
      </c>
      <c r="Q23" s="6" t="s">
        <v>32</v>
      </c>
      <c r="R23" s="5">
        <f t="shared" si="2"/>
        <v>38.953571428499998</v>
      </c>
      <c r="S23" s="5">
        <f t="shared" si="2"/>
        <v>38.953571428499998</v>
      </c>
      <c r="T23" s="5">
        <f t="shared" si="2"/>
        <v>0</v>
      </c>
      <c r="U23" s="5">
        <f t="shared" si="2"/>
        <v>0</v>
      </c>
      <c r="V23" s="5">
        <f t="shared" si="2"/>
        <v>0</v>
      </c>
      <c r="W23" s="5">
        <f t="shared" si="2"/>
        <v>0</v>
      </c>
      <c r="X23" s="5">
        <v>0</v>
      </c>
      <c r="Y23" s="5">
        <v>0</v>
      </c>
      <c r="Z23" s="5">
        <f t="shared" si="3"/>
        <v>0</v>
      </c>
      <c r="AA23" s="5">
        <f t="shared" si="3"/>
        <v>0</v>
      </c>
      <c r="AB23" s="5">
        <f t="shared" si="3"/>
        <v>0</v>
      </c>
      <c r="AC23" s="5">
        <f t="shared" si="3"/>
        <v>0</v>
      </c>
    </row>
    <row r="24" spans="2:29" x14ac:dyDescent="0.25">
      <c r="B24" s="4" t="s">
        <v>33</v>
      </c>
      <c r="C24" s="5">
        <v>160.82857142799998</v>
      </c>
      <c r="D24" s="5">
        <v>49.485714285</v>
      </c>
      <c r="E24" s="5"/>
      <c r="F24" s="5"/>
      <c r="G24" s="5"/>
      <c r="H24" s="5"/>
      <c r="I24" s="5"/>
      <c r="J24" s="5"/>
      <c r="K24" s="5"/>
      <c r="L24" s="5"/>
      <c r="M24" s="5">
        <v>210.31428571299998</v>
      </c>
      <c r="Q24" s="4" t="s">
        <v>33</v>
      </c>
      <c r="R24" s="5">
        <f t="shared" si="2"/>
        <v>40.207142856999994</v>
      </c>
      <c r="S24" s="5">
        <f t="shared" si="2"/>
        <v>12.37142857125</v>
      </c>
      <c r="T24" s="5">
        <f t="shared" si="2"/>
        <v>0</v>
      </c>
      <c r="U24" s="5">
        <f t="shared" si="2"/>
        <v>0</v>
      </c>
      <c r="V24" s="5">
        <f t="shared" si="2"/>
        <v>0</v>
      </c>
      <c r="W24" s="5">
        <f t="shared" si="2"/>
        <v>0</v>
      </c>
      <c r="X24" s="5">
        <v>0</v>
      </c>
      <c r="Y24" s="5">
        <v>0</v>
      </c>
      <c r="Z24" s="5">
        <f t="shared" si="3"/>
        <v>0</v>
      </c>
      <c r="AA24" s="5">
        <f t="shared" si="3"/>
        <v>0</v>
      </c>
      <c r="AB24" s="5">
        <f t="shared" si="3"/>
        <v>0</v>
      </c>
      <c r="AC24" s="5">
        <f t="shared" si="3"/>
        <v>0</v>
      </c>
    </row>
    <row r="25" spans="2:29" x14ac:dyDescent="0.25">
      <c r="B25" s="6" t="s">
        <v>34</v>
      </c>
      <c r="C25" s="7">
        <v>160.82857142799998</v>
      </c>
      <c r="D25" s="7">
        <v>49.485714285</v>
      </c>
      <c r="E25" s="7"/>
      <c r="F25" s="7"/>
      <c r="G25" s="7"/>
      <c r="H25" s="7"/>
      <c r="I25" s="7"/>
      <c r="J25" s="7"/>
      <c r="K25" s="7"/>
      <c r="L25" s="7"/>
      <c r="M25" s="7">
        <v>210.31428571299998</v>
      </c>
      <c r="Q25" s="6" t="s">
        <v>34</v>
      </c>
      <c r="R25" s="5">
        <f t="shared" si="2"/>
        <v>40.207142856999994</v>
      </c>
      <c r="S25" s="5">
        <f t="shared" si="2"/>
        <v>12.37142857125</v>
      </c>
      <c r="T25" s="5">
        <f t="shared" si="2"/>
        <v>0</v>
      </c>
      <c r="U25" s="5">
        <f t="shared" si="2"/>
        <v>0</v>
      </c>
      <c r="V25" s="5">
        <f t="shared" si="2"/>
        <v>0</v>
      </c>
      <c r="W25" s="5">
        <f t="shared" si="2"/>
        <v>0</v>
      </c>
      <c r="X25" s="5">
        <v>0</v>
      </c>
      <c r="Y25" s="5">
        <v>0</v>
      </c>
      <c r="Z25" s="5">
        <f t="shared" si="3"/>
        <v>0</v>
      </c>
      <c r="AA25" s="5">
        <f t="shared" si="3"/>
        <v>0</v>
      </c>
      <c r="AB25" s="5">
        <f t="shared" si="3"/>
        <v>0</v>
      </c>
      <c r="AC25" s="5">
        <f t="shared" si="3"/>
        <v>0</v>
      </c>
    </row>
    <row r="26" spans="2:29" x14ac:dyDescent="0.25">
      <c r="B26" s="4" t="s">
        <v>35</v>
      </c>
      <c r="C26" s="5"/>
      <c r="D26" s="5">
        <v>9</v>
      </c>
      <c r="E26" s="5">
        <v>157.5</v>
      </c>
      <c r="F26" s="5">
        <v>22.5</v>
      </c>
      <c r="G26" s="5"/>
      <c r="H26" s="5"/>
      <c r="I26" s="5">
        <v>76.56</v>
      </c>
      <c r="J26" s="5">
        <v>107.184</v>
      </c>
      <c r="K26" s="5">
        <v>45.936</v>
      </c>
      <c r="L26" s="5"/>
      <c r="M26" s="5">
        <v>418.68</v>
      </c>
      <c r="Q26" s="4" t="s">
        <v>35</v>
      </c>
      <c r="R26" s="5">
        <f t="shared" si="2"/>
        <v>0</v>
      </c>
      <c r="S26" s="5">
        <f t="shared" si="2"/>
        <v>2.25</v>
      </c>
      <c r="T26" s="5">
        <f t="shared" si="2"/>
        <v>39.375</v>
      </c>
      <c r="U26" s="5">
        <f t="shared" si="2"/>
        <v>5.625</v>
      </c>
      <c r="V26" s="5">
        <f t="shared" si="2"/>
        <v>0</v>
      </c>
      <c r="W26" s="5">
        <f t="shared" si="2"/>
        <v>0</v>
      </c>
      <c r="X26" s="5">
        <v>0</v>
      </c>
      <c r="Y26" s="5">
        <v>0</v>
      </c>
      <c r="Z26" s="5">
        <f t="shared" si="3"/>
        <v>19.14</v>
      </c>
      <c r="AA26" s="5">
        <f t="shared" si="3"/>
        <v>26.795999999999999</v>
      </c>
      <c r="AB26" s="5">
        <f t="shared" si="3"/>
        <v>11.484</v>
      </c>
      <c r="AC26" s="5">
        <f t="shared" si="3"/>
        <v>0</v>
      </c>
    </row>
    <row r="27" spans="2:29" x14ac:dyDescent="0.25">
      <c r="B27" s="6" t="s">
        <v>36</v>
      </c>
      <c r="C27" s="7"/>
      <c r="D27" s="7"/>
      <c r="E27" s="7"/>
      <c r="F27" s="7"/>
      <c r="G27" s="7"/>
      <c r="H27" s="7"/>
      <c r="I27" s="7">
        <v>76.56</v>
      </c>
      <c r="J27" s="7">
        <v>107.184</v>
      </c>
      <c r="K27" s="7">
        <v>45.936</v>
      </c>
      <c r="L27" s="7"/>
      <c r="M27" s="7">
        <v>229.68</v>
      </c>
      <c r="Q27" s="6" t="s">
        <v>36</v>
      </c>
      <c r="R27" s="5">
        <f t="shared" si="2"/>
        <v>0</v>
      </c>
      <c r="S27" s="5">
        <f t="shared" si="2"/>
        <v>0</v>
      </c>
      <c r="T27" s="5">
        <f t="shared" si="2"/>
        <v>0</v>
      </c>
      <c r="U27" s="5">
        <f t="shared" si="2"/>
        <v>0</v>
      </c>
      <c r="V27" s="5">
        <f t="shared" si="2"/>
        <v>0</v>
      </c>
      <c r="W27" s="5">
        <f t="shared" si="2"/>
        <v>0</v>
      </c>
      <c r="X27" s="5">
        <v>0</v>
      </c>
      <c r="Y27" s="5">
        <v>0</v>
      </c>
      <c r="Z27" s="5">
        <f t="shared" si="3"/>
        <v>19.14</v>
      </c>
      <c r="AA27" s="5">
        <f t="shared" si="3"/>
        <v>26.795999999999999</v>
      </c>
      <c r="AB27" s="5">
        <f t="shared" si="3"/>
        <v>11.484</v>
      </c>
      <c r="AC27" s="5">
        <f t="shared" si="3"/>
        <v>0</v>
      </c>
    </row>
    <row r="28" spans="2:29" x14ac:dyDescent="0.25">
      <c r="B28" s="6" t="s">
        <v>37</v>
      </c>
      <c r="C28" s="7"/>
      <c r="D28" s="7">
        <v>9</v>
      </c>
      <c r="E28" s="7">
        <v>157.5</v>
      </c>
      <c r="F28" s="7">
        <v>22.5</v>
      </c>
      <c r="G28" s="7"/>
      <c r="H28" s="7"/>
      <c r="I28" s="7"/>
      <c r="J28" s="7"/>
      <c r="K28" s="7"/>
      <c r="L28" s="7"/>
      <c r="M28" s="7">
        <v>189</v>
      </c>
      <c r="Q28" s="6" t="s">
        <v>37</v>
      </c>
      <c r="R28" s="5">
        <f t="shared" si="2"/>
        <v>0</v>
      </c>
      <c r="S28" s="5">
        <f t="shared" si="2"/>
        <v>2.25</v>
      </c>
      <c r="T28" s="5">
        <f t="shared" si="2"/>
        <v>39.375</v>
      </c>
      <c r="U28" s="5">
        <f t="shared" si="2"/>
        <v>5.625</v>
      </c>
      <c r="V28" s="5">
        <f t="shared" si="2"/>
        <v>0</v>
      </c>
      <c r="W28" s="5">
        <f t="shared" si="2"/>
        <v>0</v>
      </c>
      <c r="X28" s="5">
        <v>0</v>
      </c>
      <c r="Y28" s="5">
        <v>0</v>
      </c>
      <c r="Z28" s="5">
        <f t="shared" si="3"/>
        <v>0</v>
      </c>
      <c r="AA28" s="5">
        <f t="shared" si="3"/>
        <v>0</v>
      </c>
      <c r="AB28" s="5">
        <f t="shared" si="3"/>
        <v>0</v>
      </c>
      <c r="AC28" s="5">
        <f t="shared" si="3"/>
        <v>0</v>
      </c>
    </row>
    <row r="29" spans="2:29" x14ac:dyDescent="0.25">
      <c r="B29" s="4" t="s">
        <v>38</v>
      </c>
      <c r="C29" s="5">
        <v>374.15999999999997</v>
      </c>
      <c r="D29" s="5">
        <v>319.51714285700001</v>
      </c>
      <c r="E29" s="5">
        <v>51.04</v>
      </c>
      <c r="F29" s="5"/>
      <c r="G29" s="5"/>
      <c r="H29" s="5"/>
      <c r="I29" s="5">
        <v>19.794285714000001</v>
      </c>
      <c r="J29" s="5">
        <v>277.11999999999995</v>
      </c>
      <c r="K29" s="5">
        <v>98.971428571000004</v>
      </c>
      <c r="L29" s="5">
        <v>26.725714285999999</v>
      </c>
      <c r="M29" s="5">
        <v>1167.328571428</v>
      </c>
      <c r="Q29" s="4" t="s">
        <v>38</v>
      </c>
      <c r="R29" s="5">
        <f t="shared" si="2"/>
        <v>93.539999999999992</v>
      </c>
      <c r="S29" s="5">
        <f t="shared" si="2"/>
        <v>79.879285714250003</v>
      </c>
      <c r="T29" s="5">
        <f t="shared" si="2"/>
        <v>12.76</v>
      </c>
      <c r="U29" s="5">
        <f t="shared" si="2"/>
        <v>0</v>
      </c>
      <c r="V29" s="5">
        <f t="shared" si="2"/>
        <v>0</v>
      </c>
      <c r="W29" s="5">
        <f t="shared" si="2"/>
        <v>0</v>
      </c>
      <c r="X29" s="5">
        <v>0</v>
      </c>
      <c r="Y29" s="5">
        <v>0</v>
      </c>
      <c r="Z29" s="5">
        <f t="shared" si="3"/>
        <v>4.9485714285000002</v>
      </c>
      <c r="AA29" s="5">
        <f t="shared" si="3"/>
        <v>69.279999999999987</v>
      </c>
      <c r="AB29" s="5">
        <f t="shared" si="3"/>
        <v>24.742857142750001</v>
      </c>
      <c r="AC29" s="5">
        <f t="shared" si="3"/>
        <v>6.6814285714999997</v>
      </c>
    </row>
    <row r="30" spans="2:29" x14ac:dyDescent="0.25">
      <c r="B30" s="6" t="s">
        <v>39</v>
      </c>
      <c r="C30" s="7"/>
      <c r="D30" s="7"/>
      <c r="E30" s="7"/>
      <c r="F30" s="7"/>
      <c r="G30" s="7"/>
      <c r="H30" s="7"/>
      <c r="I30" s="7">
        <v>19.794285714000001</v>
      </c>
      <c r="J30" s="7">
        <v>277.11999999999995</v>
      </c>
      <c r="K30" s="7">
        <v>98.971428571000004</v>
      </c>
      <c r="L30" s="7"/>
      <c r="M30" s="7">
        <v>395.88571428499995</v>
      </c>
      <c r="Q30" s="6" t="s">
        <v>39</v>
      </c>
      <c r="R30" s="5">
        <f t="shared" si="2"/>
        <v>0</v>
      </c>
      <c r="S30" s="5">
        <f t="shared" si="2"/>
        <v>0</v>
      </c>
      <c r="T30" s="5">
        <f t="shared" si="2"/>
        <v>0</v>
      </c>
      <c r="U30" s="5">
        <f t="shared" si="2"/>
        <v>0</v>
      </c>
      <c r="V30" s="5">
        <f t="shared" si="2"/>
        <v>0</v>
      </c>
      <c r="W30" s="5">
        <f t="shared" si="2"/>
        <v>0</v>
      </c>
      <c r="X30" s="5">
        <v>0</v>
      </c>
      <c r="Y30" s="5">
        <v>0</v>
      </c>
      <c r="Z30" s="5">
        <f t="shared" si="3"/>
        <v>4.9485714285000002</v>
      </c>
      <c r="AA30" s="5">
        <f t="shared" si="3"/>
        <v>69.279999999999987</v>
      </c>
      <c r="AB30" s="5">
        <f t="shared" si="3"/>
        <v>24.742857142750001</v>
      </c>
      <c r="AC30" s="5">
        <f t="shared" si="3"/>
        <v>0</v>
      </c>
    </row>
    <row r="31" spans="2:29" x14ac:dyDescent="0.25">
      <c r="B31" s="6" t="s">
        <v>40</v>
      </c>
      <c r="C31" s="7">
        <v>170</v>
      </c>
      <c r="D31" s="7">
        <v>115.357142857</v>
      </c>
      <c r="E31" s="7"/>
      <c r="F31" s="7"/>
      <c r="G31" s="7"/>
      <c r="H31" s="7"/>
      <c r="I31" s="7"/>
      <c r="J31" s="7"/>
      <c r="K31" s="7"/>
      <c r="L31" s="7">
        <v>12.142857143000001</v>
      </c>
      <c r="M31" s="7">
        <v>297.5</v>
      </c>
      <c r="Q31" s="6" t="s">
        <v>40</v>
      </c>
      <c r="R31" s="5">
        <f t="shared" si="2"/>
        <v>42.5</v>
      </c>
      <c r="S31" s="5">
        <f t="shared" si="2"/>
        <v>28.83928571425</v>
      </c>
      <c r="T31" s="5">
        <f t="shared" si="2"/>
        <v>0</v>
      </c>
      <c r="U31" s="5">
        <f t="shared" si="2"/>
        <v>0</v>
      </c>
      <c r="V31" s="5">
        <f t="shared" si="2"/>
        <v>0</v>
      </c>
      <c r="W31" s="5">
        <f t="shared" si="2"/>
        <v>0</v>
      </c>
      <c r="X31" s="5">
        <v>0</v>
      </c>
      <c r="Y31" s="5">
        <v>0</v>
      </c>
      <c r="Z31" s="5">
        <f t="shared" si="3"/>
        <v>0</v>
      </c>
      <c r="AA31" s="5">
        <f t="shared" si="3"/>
        <v>0</v>
      </c>
      <c r="AB31" s="5">
        <f t="shared" si="3"/>
        <v>0</v>
      </c>
      <c r="AC31" s="5">
        <f t="shared" si="3"/>
        <v>3.0357142857500001</v>
      </c>
    </row>
    <row r="32" spans="2:29" x14ac:dyDescent="0.25">
      <c r="B32" s="6" t="s">
        <v>41</v>
      </c>
      <c r="C32" s="7">
        <v>204.16</v>
      </c>
      <c r="D32" s="7">
        <v>204.16</v>
      </c>
      <c r="E32" s="7">
        <v>51.04</v>
      </c>
      <c r="F32" s="7"/>
      <c r="G32" s="7"/>
      <c r="H32" s="7"/>
      <c r="I32" s="7"/>
      <c r="J32" s="7"/>
      <c r="K32" s="7"/>
      <c r="L32" s="7">
        <v>14.582857143</v>
      </c>
      <c r="M32" s="7">
        <v>473.94285714300003</v>
      </c>
      <c r="Q32" s="6" t="s">
        <v>41</v>
      </c>
      <c r="R32" s="5">
        <f t="shared" si="2"/>
        <v>51.04</v>
      </c>
      <c r="S32" s="5">
        <f t="shared" si="2"/>
        <v>51.04</v>
      </c>
      <c r="T32" s="5">
        <f t="shared" si="2"/>
        <v>12.76</v>
      </c>
      <c r="U32" s="5">
        <f t="shared" si="2"/>
        <v>0</v>
      </c>
      <c r="V32" s="5">
        <f t="shared" si="2"/>
        <v>0</v>
      </c>
      <c r="W32" s="5">
        <f t="shared" si="2"/>
        <v>0</v>
      </c>
      <c r="X32" s="5">
        <v>0</v>
      </c>
      <c r="Y32" s="5">
        <v>0</v>
      </c>
      <c r="Z32" s="5">
        <f t="shared" si="3"/>
        <v>0</v>
      </c>
      <c r="AA32" s="5">
        <f t="shared" si="3"/>
        <v>0</v>
      </c>
      <c r="AB32" s="5">
        <f t="shared" si="3"/>
        <v>0</v>
      </c>
      <c r="AC32" s="5">
        <f t="shared" si="3"/>
        <v>3.64571428575</v>
      </c>
    </row>
    <row r="33" spans="2:32" x14ac:dyDescent="0.25">
      <c r="B33" s="4" t="s">
        <v>42</v>
      </c>
      <c r="C33" s="5"/>
      <c r="D33" s="5"/>
      <c r="E33" s="5"/>
      <c r="F33" s="5"/>
      <c r="G33" s="5"/>
      <c r="H33" s="5"/>
      <c r="I33" s="5">
        <v>3.2785714289999999</v>
      </c>
      <c r="J33" s="5">
        <v>45.9</v>
      </c>
      <c r="K33" s="5">
        <v>8.1964285710000002</v>
      </c>
      <c r="L33" s="5"/>
      <c r="M33" s="5">
        <v>57.375</v>
      </c>
      <c r="Q33" s="4" t="s">
        <v>42</v>
      </c>
      <c r="R33" s="5">
        <f t="shared" si="2"/>
        <v>0</v>
      </c>
      <c r="S33" s="5">
        <f t="shared" si="2"/>
        <v>0</v>
      </c>
      <c r="T33" s="5">
        <f t="shared" si="2"/>
        <v>0</v>
      </c>
      <c r="U33" s="5">
        <f t="shared" si="2"/>
        <v>0</v>
      </c>
      <c r="V33" s="5">
        <f t="shared" si="2"/>
        <v>0</v>
      </c>
      <c r="W33" s="5">
        <f t="shared" si="2"/>
        <v>0</v>
      </c>
      <c r="X33" s="5">
        <v>0</v>
      </c>
      <c r="Y33" s="5">
        <v>0</v>
      </c>
      <c r="Z33" s="5">
        <f t="shared" si="3"/>
        <v>0.81964285724999997</v>
      </c>
      <c r="AA33" s="5">
        <f t="shared" si="3"/>
        <v>11.475</v>
      </c>
      <c r="AB33" s="5">
        <f t="shared" si="3"/>
        <v>2.0491071427500001</v>
      </c>
      <c r="AC33" s="5">
        <f t="shared" si="3"/>
        <v>0</v>
      </c>
    </row>
    <row r="34" spans="2:32" ht="15.75" thickBot="1" x14ac:dyDescent="0.3">
      <c r="B34" s="6" t="s">
        <v>43</v>
      </c>
      <c r="C34" s="7"/>
      <c r="D34" s="7"/>
      <c r="E34" s="7"/>
      <c r="F34" s="7"/>
      <c r="G34" s="7"/>
      <c r="H34" s="7"/>
      <c r="I34" s="7">
        <v>3.2785714289999999</v>
      </c>
      <c r="J34" s="7">
        <v>45.9</v>
      </c>
      <c r="K34" s="7">
        <v>8.1964285710000002</v>
      </c>
      <c r="L34" s="7"/>
      <c r="M34" s="7">
        <v>57.375</v>
      </c>
      <c r="Q34" s="6" t="s">
        <v>43</v>
      </c>
      <c r="R34" s="7"/>
      <c r="S34" s="7"/>
      <c r="T34" s="7"/>
      <c r="U34" s="7"/>
      <c r="V34" s="7"/>
      <c r="W34" s="7"/>
      <c r="X34" s="5">
        <v>0</v>
      </c>
      <c r="Y34" s="5">
        <v>0</v>
      </c>
      <c r="Z34" s="7"/>
      <c r="AA34" s="7"/>
      <c r="AB34" s="7"/>
      <c r="AC34" s="7"/>
    </row>
    <row r="35" spans="2:32" ht="15" customHeight="1" x14ac:dyDescent="0.25">
      <c r="B35" s="8" t="s">
        <v>13</v>
      </c>
      <c r="C35" s="9">
        <v>1365.184285714</v>
      </c>
      <c r="D35" s="9">
        <v>1292.4985714270001</v>
      </c>
      <c r="E35" s="9">
        <v>600.68000000100005</v>
      </c>
      <c r="F35" s="9">
        <v>163.5</v>
      </c>
      <c r="G35" s="9">
        <v>86.4</v>
      </c>
      <c r="H35" s="9">
        <v>43.2</v>
      </c>
      <c r="I35" s="9">
        <v>399.157857143</v>
      </c>
      <c r="J35" s="9">
        <v>957.14971428499996</v>
      </c>
      <c r="K35" s="9">
        <v>274.56528571300004</v>
      </c>
      <c r="L35" s="9">
        <v>69.722857144000002</v>
      </c>
      <c r="M35" s="9">
        <v>5252.0585714270001</v>
      </c>
      <c r="O35" s="55" t="s">
        <v>54</v>
      </c>
      <c r="P35" s="56"/>
      <c r="Q35" s="6" t="s">
        <v>87</v>
      </c>
      <c r="R35" s="7"/>
      <c r="S35" s="7"/>
      <c r="T35" s="7"/>
      <c r="U35" s="7"/>
      <c r="V35" s="7"/>
      <c r="W35" s="7"/>
      <c r="X35" s="54"/>
      <c r="Y35" s="54"/>
      <c r="Z35" s="7"/>
      <c r="AA35" s="7"/>
      <c r="AB35" s="7"/>
      <c r="AC35" s="7"/>
    </row>
    <row r="36" spans="2:32" x14ac:dyDescent="0.25">
      <c r="B36" s="16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O36" s="57"/>
      <c r="P36" s="58"/>
      <c r="Q36" s="6"/>
      <c r="R36" s="7"/>
      <c r="S36" s="7"/>
      <c r="T36" s="7"/>
      <c r="U36" s="7"/>
      <c r="V36" s="7"/>
      <c r="W36" s="7"/>
      <c r="X36" s="54"/>
      <c r="Y36" s="54"/>
      <c r="Z36" s="7"/>
      <c r="AA36" s="7"/>
      <c r="AB36" s="7"/>
      <c r="AC36" s="7"/>
    </row>
    <row r="37" spans="2:32" x14ac:dyDescent="0.25">
      <c r="O37" s="59"/>
      <c r="P37" s="58"/>
      <c r="Q37" s="8" t="s">
        <v>57</v>
      </c>
      <c r="R37" s="9">
        <v>347.97645161290325</v>
      </c>
      <c r="S37" s="9">
        <v>594.7177864293659</v>
      </c>
      <c r="T37" s="9">
        <v>237.86139043381533</v>
      </c>
      <c r="U37" s="9">
        <v>80.508333333333326</v>
      </c>
      <c r="V37" s="9">
        <v>22.800161290322581</v>
      </c>
      <c r="W37" s="9">
        <v>59.756666666666675</v>
      </c>
      <c r="X37" s="9">
        <v>52.009677419354837</v>
      </c>
      <c r="Y37" s="9">
        <v>102.1708064516129</v>
      </c>
      <c r="Z37" s="9">
        <f>238.371666667333-7</f>
        <v>231.37166666733299</v>
      </c>
      <c r="AA37" s="9">
        <f>349.070537633742-39</f>
        <v>310.07053763374199</v>
      </c>
      <c r="AB37" s="9">
        <f>71.0011666666667-3</f>
        <v>68.001166666666705</v>
      </c>
      <c r="AC37" s="9">
        <v>0</v>
      </c>
      <c r="AD37" s="9">
        <f>AVERAGE(R37:AC37)</f>
        <v>175.60372038375974</v>
      </c>
      <c r="AE37" s="9">
        <f>AVERAGE(Y37:AB37)</f>
        <v>177.90354435483863</v>
      </c>
    </row>
    <row r="38" spans="2:32" x14ac:dyDescent="0.25">
      <c r="O38" s="59"/>
      <c r="P38" s="58"/>
      <c r="Q38" s="16" t="s">
        <v>59</v>
      </c>
      <c r="R38" s="17">
        <v>877.89209677419387</v>
      </c>
      <c r="S38" s="17">
        <v>1086.994344827586</v>
      </c>
      <c r="T38" s="17">
        <v>629.37490322580652</v>
      </c>
      <c r="U38" s="17">
        <v>500.59283333333337</v>
      </c>
      <c r="V38" s="17">
        <v>225.10806451612905</v>
      </c>
      <c r="W38" s="17">
        <v>227.28416666666666</v>
      </c>
      <c r="X38" s="17">
        <v>211.11274193548388</v>
      </c>
      <c r="Y38" s="17">
        <v>122.99354838709688</v>
      </c>
      <c r="Z38" s="17">
        <v>205.66433333333333</v>
      </c>
      <c r="AA38" s="17">
        <v>381.26325806451621</v>
      </c>
      <c r="AB38" s="17">
        <v>74.424300000000031</v>
      </c>
      <c r="AC38" s="17"/>
      <c r="AD38" s="17"/>
      <c r="AE38" s="9">
        <f>AVERAGE(Y38:AB38)</f>
        <v>196.08635994623663</v>
      </c>
    </row>
    <row r="39" spans="2:32" x14ac:dyDescent="0.25">
      <c r="O39" s="59"/>
      <c r="P39" s="58"/>
      <c r="Q39" s="6" t="s">
        <v>44</v>
      </c>
      <c r="R39" s="11">
        <v>417.94819354838717</v>
      </c>
      <c r="S39" s="11">
        <v>512.31600000000003</v>
      </c>
      <c r="T39" s="11">
        <v>415.3019032258066</v>
      </c>
      <c r="U39" s="11">
        <v>283.59499999999997</v>
      </c>
      <c r="V39" s="11">
        <v>218.23032258064515</v>
      </c>
      <c r="W39" s="11">
        <v>236.04299999999998</v>
      </c>
      <c r="X39" s="11">
        <v>127.59258064516133</v>
      </c>
      <c r="Y39" s="11">
        <v>245.76064516129034</v>
      </c>
      <c r="Z39" s="11">
        <v>323.25500000000005</v>
      </c>
      <c r="AA39" s="11">
        <v>530.40580645161299</v>
      </c>
      <c r="AB39" s="11">
        <v>239.63700000000006</v>
      </c>
      <c r="AC39" s="11">
        <v>58.000645161290294</v>
      </c>
      <c r="AD39" s="11">
        <f>AVERAGE(R39:AC39)</f>
        <v>300.67384139784957</v>
      </c>
      <c r="AE39" s="11">
        <f>AVERAGE(Y39:AB39)</f>
        <v>334.76461290322584</v>
      </c>
    </row>
    <row r="40" spans="2:32" ht="15.75" thickBot="1" x14ac:dyDescent="0.3">
      <c r="O40" s="60"/>
      <c r="P40" s="61"/>
      <c r="Q40" s="6" t="s">
        <v>48</v>
      </c>
      <c r="R40" s="14">
        <f t="shared" ref="R40:AE40" si="4">(R37-R39)/R39</f>
        <v>-0.16741726131514689</v>
      </c>
      <c r="S40" s="14">
        <f t="shared" si="4"/>
        <v>0.16084171962102661</v>
      </c>
      <c r="T40" s="14">
        <f t="shared" si="4"/>
        <v>-0.42725668101625308</v>
      </c>
      <c r="U40" s="14">
        <f t="shared" si="4"/>
        <v>-0.71611511721527765</v>
      </c>
      <c r="V40" s="14">
        <f t="shared" si="4"/>
        <v>-0.89552248733950812</v>
      </c>
      <c r="W40" s="14">
        <f t="shared" si="4"/>
        <v>-0.74683991193694921</v>
      </c>
      <c r="X40" s="14">
        <f t="shared" si="4"/>
        <v>-0.59237694577245625</v>
      </c>
      <c r="Y40" s="14">
        <f t="shared" si="4"/>
        <v>-0.58426701563808492</v>
      </c>
      <c r="Z40" s="14">
        <f t="shared" si="4"/>
        <v>-0.28424412099632501</v>
      </c>
      <c r="AA40" s="14">
        <f t="shared" si="4"/>
        <v>-0.41540885514037335</v>
      </c>
      <c r="AB40" s="14">
        <f t="shared" si="4"/>
        <v>-0.71623260737420891</v>
      </c>
      <c r="AC40" s="14">
        <f t="shared" si="4"/>
        <v>-1</v>
      </c>
      <c r="AD40" s="14">
        <f t="shared" si="4"/>
        <v>-0.41596608615046732</v>
      </c>
      <c r="AE40" s="14">
        <f t="shared" si="4"/>
        <v>-0.46857123633235631</v>
      </c>
    </row>
    <row r="41" spans="2:32" ht="15" customHeight="1" thickBot="1" x14ac:dyDescent="0.3">
      <c r="P41" s="56"/>
      <c r="Q41" s="6" t="s">
        <v>47</v>
      </c>
      <c r="R41" s="11">
        <v>373.97450666599997</v>
      </c>
      <c r="S41" s="11">
        <v>530.57791999900007</v>
      </c>
      <c r="T41" s="11">
        <v>279.18400666700001</v>
      </c>
      <c r="U41" s="11">
        <v>242.635583333</v>
      </c>
      <c r="V41" s="11">
        <v>221.08524000000003</v>
      </c>
      <c r="W41" s="11">
        <v>87.443666665999999</v>
      </c>
      <c r="X41" s="11">
        <v>50.773666667000001</v>
      </c>
      <c r="Y41" s="11">
        <v>59.664333333000002</v>
      </c>
      <c r="Z41" s="11">
        <v>104.03633333500001</v>
      </c>
      <c r="AA41" s="11">
        <v>446.52620000000002</v>
      </c>
      <c r="AB41" s="11">
        <v>226.35833333299996</v>
      </c>
      <c r="AC41" s="11">
        <v>391.73253333600007</v>
      </c>
      <c r="AD41" s="11">
        <f>AVERAGE(R41:AC41)</f>
        <v>251.16602694458334</v>
      </c>
      <c r="AE41" s="11">
        <f>AVERAGE(Y41:AB41)</f>
        <v>209.14630000024999</v>
      </c>
      <c r="AF41" s="10"/>
    </row>
    <row r="42" spans="2:32" ht="105" x14ac:dyDescent="0.25">
      <c r="O42" s="55" t="s">
        <v>55</v>
      </c>
      <c r="P42" s="58"/>
      <c r="Q42" s="6" t="s">
        <v>48</v>
      </c>
      <c r="R42" s="14">
        <f t="shared" ref="R42:AE42" si="5">(R37-R41)/R41</f>
        <v>-6.9518254826700848E-2</v>
      </c>
      <c r="S42" s="14">
        <f t="shared" si="5"/>
        <v>0.12088679911611608</v>
      </c>
      <c r="T42" s="14">
        <f t="shared" si="5"/>
        <v>-0.14801211833911643</v>
      </c>
      <c r="U42" s="14">
        <f t="shared" si="5"/>
        <v>-0.66819238865372277</v>
      </c>
      <c r="V42" s="14">
        <f t="shared" si="5"/>
        <v>-0.8968716261188554</v>
      </c>
      <c r="W42" s="14">
        <f t="shared" si="5"/>
        <v>-0.31662670442545193</v>
      </c>
      <c r="X42" s="14">
        <f t="shared" si="5"/>
        <v>2.4343539348088351E-2</v>
      </c>
      <c r="Y42" s="14">
        <f t="shared" si="5"/>
        <v>0.71242685108664094</v>
      </c>
      <c r="Z42" s="14">
        <f t="shared" si="5"/>
        <v>1.2239506069702544</v>
      </c>
      <c r="AA42" s="14">
        <f t="shared" si="5"/>
        <v>-0.30559385399167621</v>
      </c>
      <c r="AB42" s="14">
        <f t="shared" si="5"/>
        <v>-0.69958620181820774</v>
      </c>
      <c r="AC42" s="14">
        <f t="shared" si="5"/>
        <v>-1</v>
      </c>
      <c r="AD42" s="14">
        <f t="shared" si="5"/>
        <v>-0.30084604785142971</v>
      </c>
      <c r="AE42" s="14">
        <f t="shared" si="5"/>
        <v>-0.14938230150556819</v>
      </c>
    </row>
    <row r="43" spans="2:32" x14ac:dyDescent="0.25">
      <c r="O43" s="59"/>
      <c r="P43" s="58"/>
      <c r="Q43" s="8" t="s">
        <v>57</v>
      </c>
      <c r="R43" s="9">
        <v>347.97645161290325</v>
      </c>
      <c r="S43" s="9">
        <v>594.7177864293659</v>
      </c>
      <c r="T43" s="9">
        <v>237.86139043381533</v>
      </c>
      <c r="U43" s="9">
        <v>80.508333333333326</v>
      </c>
      <c r="V43" s="9">
        <v>22.800161290322581</v>
      </c>
      <c r="W43" s="9">
        <v>59.756666666666675</v>
      </c>
      <c r="X43" s="9">
        <v>52.009677419354837</v>
      </c>
      <c r="Y43" s="9">
        <v>102.1708064516129</v>
      </c>
      <c r="Z43" s="9">
        <f>238.371666667333-7</f>
        <v>231.37166666733299</v>
      </c>
      <c r="AA43" s="9">
        <f>349.070537633742-39</f>
        <v>310.07053763374199</v>
      </c>
      <c r="AB43" s="9">
        <f>71.0011666666667-3</f>
        <v>68.001166666666705</v>
      </c>
      <c r="AC43" s="9">
        <v>0</v>
      </c>
      <c r="AD43" s="9">
        <f>AVERAGE(R43:AC43)</f>
        <v>175.60372038375974</v>
      </c>
      <c r="AE43" s="9">
        <f>AVERAGE(Y43:AB43)</f>
        <v>177.90354435483863</v>
      </c>
    </row>
    <row r="44" spans="2:32" x14ac:dyDescent="0.25">
      <c r="O44" s="59"/>
      <c r="P44" s="58"/>
      <c r="Q44" s="6" t="s">
        <v>44</v>
      </c>
      <c r="R44" s="11">
        <v>238.07846666699999</v>
      </c>
      <c r="S44" s="11">
        <v>467.77760000000001</v>
      </c>
      <c r="T44" s="11">
        <v>370.22563333300002</v>
      </c>
      <c r="U44" s="11">
        <v>218.854333333</v>
      </c>
      <c r="V44" s="11">
        <v>116.557833333</v>
      </c>
      <c r="W44" s="11">
        <v>63.005666667</v>
      </c>
      <c r="X44" s="11">
        <v>1.7406666669999999</v>
      </c>
      <c r="Y44" s="11">
        <v>63.728999999999999</v>
      </c>
      <c r="Z44" s="11">
        <v>165.49833333300001</v>
      </c>
      <c r="AA44" s="11">
        <v>445.01900000000001</v>
      </c>
      <c r="AB44" s="11">
        <v>196.64500000000001</v>
      </c>
      <c r="AC44" s="11">
        <v>29.198333333000001</v>
      </c>
      <c r="AD44" s="11">
        <f>AVERAGE(R44:AC44)</f>
        <v>198.02748888883332</v>
      </c>
      <c r="AE44" s="11">
        <f>AVERAGE(Y44:AB44)</f>
        <v>217.72283333324998</v>
      </c>
    </row>
    <row r="45" spans="2:32" ht="15.75" thickBot="1" x14ac:dyDescent="0.3">
      <c r="O45" s="60"/>
      <c r="P45" s="61"/>
      <c r="Q45" s="6" t="s">
        <v>48</v>
      </c>
      <c r="R45" s="14">
        <f t="shared" ref="R45:AE45" si="6">(R43-R44)/R44</f>
        <v>0.46160405216158173</v>
      </c>
      <c r="S45" s="14">
        <f t="shared" si="6"/>
        <v>0.27136867269695236</v>
      </c>
      <c r="T45" s="14">
        <f t="shared" si="6"/>
        <v>-0.3575231723086269</v>
      </c>
      <c r="U45" s="14">
        <f t="shared" si="6"/>
        <v>-0.63213735772444102</v>
      </c>
      <c r="V45" s="14">
        <f t="shared" si="6"/>
        <v>-0.8043875676276202</v>
      </c>
      <c r="W45" s="14">
        <f t="shared" si="6"/>
        <v>-5.156679029372177E-2</v>
      </c>
      <c r="X45" s="14">
        <f t="shared" si="6"/>
        <v>28.87917124247134</v>
      </c>
      <c r="Y45" s="14">
        <f t="shared" si="6"/>
        <v>0.60320743227750173</v>
      </c>
      <c r="Z45" s="14">
        <f t="shared" si="6"/>
        <v>0.39803019165026227</v>
      </c>
      <c r="AA45" s="14">
        <f t="shared" si="6"/>
        <v>-0.30324202419729945</v>
      </c>
      <c r="AB45" s="14">
        <f t="shared" si="6"/>
        <v>-0.65419325857933486</v>
      </c>
      <c r="AC45" s="14">
        <f t="shared" si="6"/>
        <v>-1</v>
      </c>
      <c r="AD45" s="14">
        <f t="shared" si="6"/>
        <v>-0.1132356352691096</v>
      </c>
      <c r="AE45" s="14">
        <f t="shared" si="6"/>
        <v>-0.18288981623467723</v>
      </c>
    </row>
    <row r="46" spans="2:32" x14ac:dyDescent="0.25">
      <c r="O46" s="15"/>
      <c r="P46" s="15"/>
      <c r="Q46" s="6" t="s">
        <v>47</v>
      </c>
      <c r="R46" s="11">
        <v>166.37083333300001</v>
      </c>
      <c r="S46" s="11">
        <v>279.69299999999998</v>
      </c>
      <c r="T46" s="11">
        <v>218.807333333</v>
      </c>
      <c r="U46" s="11">
        <v>155.898</v>
      </c>
      <c r="V46" s="11">
        <v>81.371333332999995</v>
      </c>
      <c r="W46" s="11">
        <v>2.4266666670000001</v>
      </c>
      <c r="X46" s="11">
        <v>22.841666666999998</v>
      </c>
      <c r="Y46" s="11">
        <v>20.173333332999999</v>
      </c>
      <c r="Z46" s="11">
        <v>68.549666666999997</v>
      </c>
      <c r="AA46" s="11">
        <v>391.1662</v>
      </c>
      <c r="AB46" s="11">
        <v>193.85300000000001</v>
      </c>
      <c r="AC46" s="11">
        <v>36.110333333</v>
      </c>
      <c r="AD46" s="11">
        <f>AVERAGE(R46:AC46)</f>
        <v>136.43844722216667</v>
      </c>
      <c r="AE46" s="11">
        <f>AVERAGE(Y46:AB46)</f>
        <v>168.43555000000001</v>
      </c>
    </row>
    <row r="47" spans="2:32" ht="15.75" thickBot="1" x14ac:dyDescent="0.3">
      <c r="O47" s="15"/>
      <c r="P47" s="15"/>
      <c r="Q47" s="18" t="s">
        <v>48</v>
      </c>
      <c r="R47" s="19">
        <f t="shared" ref="R47:AE47" si="7">(R43-R46)/R46</f>
        <v>1.0915712486479527</v>
      </c>
      <c r="S47" s="19">
        <f t="shared" si="7"/>
        <v>1.1263234561800473</v>
      </c>
      <c r="T47" s="19">
        <f t="shared" si="7"/>
        <v>8.7081437402361683E-2</v>
      </c>
      <c r="U47" s="19">
        <f t="shared" si="7"/>
        <v>-0.48358328308680465</v>
      </c>
      <c r="V47" s="19">
        <f t="shared" si="7"/>
        <v>-0.71980106068784278</v>
      </c>
      <c r="W47" s="19">
        <f t="shared" si="7"/>
        <v>23.624999996617447</v>
      </c>
      <c r="X47" s="19">
        <f t="shared" si="7"/>
        <v>1.2769650821712888</v>
      </c>
      <c r="Y47" s="19">
        <f t="shared" si="7"/>
        <v>4.0646467177776495</v>
      </c>
      <c r="Z47" s="19">
        <f t="shared" si="7"/>
        <v>2.3752413092143594</v>
      </c>
      <c r="AA47" s="19">
        <f t="shared" si="7"/>
        <v>-0.20731766284064934</v>
      </c>
      <c r="AB47" s="19">
        <f t="shared" si="7"/>
        <v>-0.64921271960368576</v>
      </c>
      <c r="AC47" s="19">
        <f t="shared" si="7"/>
        <v>-1</v>
      </c>
      <c r="AD47" s="19">
        <f t="shared" si="7"/>
        <v>0.28705452135364101</v>
      </c>
      <c r="AE47" s="19">
        <f t="shared" si="7"/>
        <v>5.6211377911840006E-2</v>
      </c>
    </row>
    <row r="48" spans="2:32" x14ac:dyDescent="0.25">
      <c r="O48" s="15"/>
      <c r="P48" s="15"/>
      <c r="Q48" s="6" t="s">
        <v>60</v>
      </c>
      <c r="R48" s="6"/>
      <c r="S48" s="6"/>
      <c r="T48" s="6"/>
      <c r="U48" s="6"/>
      <c r="V48" s="6"/>
      <c r="W48" s="20">
        <v>71</v>
      </c>
      <c r="X48" s="20">
        <v>135</v>
      </c>
      <c r="Y48" s="21">
        <v>103</v>
      </c>
      <c r="Z48" s="21">
        <v>103</v>
      </c>
      <c r="AA48" s="21">
        <v>103</v>
      </c>
      <c r="AB48" s="21">
        <v>103</v>
      </c>
      <c r="AC48" s="21">
        <v>103</v>
      </c>
      <c r="AD48" s="6"/>
      <c r="AE48" s="22">
        <f>AVERAGE(Y48:AB48)</f>
        <v>103</v>
      </c>
    </row>
    <row r="49" spans="17:31" x14ac:dyDescent="0.25">
      <c r="Q49" s="6" t="s">
        <v>52</v>
      </c>
      <c r="R49" s="6">
        <f t="shared" ref="R49:AC49" si="8">R39-R44</f>
        <v>179.86972688138718</v>
      </c>
      <c r="S49" s="6">
        <f t="shared" si="8"/>
        <v>44.538400000000024</v>
      </c>
      <c r="T49" s="6">
        <f t="shared" si="8"/>
        <v>45.076269892806579</v>
      </c>
      <c r="U49" s="6">
        <f t="shared" si="8"/>
        <v>64.740666666999971</v>
      </c>
      <c r="V49" s="6">
        <f t="shared" si="8"/>
        <v>101.67248924764515</v>
      </c>
      <c r="W49" s="6">
        <f t="shared" si="8"/>
        <v>173.03733333299999</v>
      </c>
      <c r="X49" s="6">
        <f t="shared" si="8"/>
        <v>125.85191397816133</v>
      </c>
      <c r="Y49" s="6">
        <f t="shared" si="8"/>
        <v>182.03164516129033</v>
      </c>
      <c r="Z49" s="6">
        <f t="shared" si="8"/>
        <v>157.75666666700005</v>
      </c>
      <c r="AA49" s="6">
        <f t="shared" si="8"/>
        <v>85.386806451612983</v>
      </c>
      <c r="AB49" s="6">
        <f t="shared" si="8"/>
        <v>42.992000000000047</v>
      </c>
      <c r="AC49" s="6">
        <f t="shared" si="8"/>
        <v>28.802311828290293</v>
      </c>
      <c r="AD49" s="6">
        <f>AVERAGE(R49:AC49)</f>
        <v>102.64635250901615</v>
      </c>
      <c r="AE49" s="22">
        <f>AVERAGE(Y49:AB49)</f>
        <v>117.04177956997586</v>
      </c>
    </row>
    <row r="50" spans="17:31" x14ac:dyDescent="0.25">
      <c r="Q50" s="6" t="s">
        <v>53</v>
      </c>
      <c r="R50" s="6">
        <f t="shared" ref="R50:AC50" si="9">R41-R46</f>
        <v>207.60367333299996</v>
      </c>
      <c r="S50" s="6">
        <f t="shared" si="9"/>
        <v>250.88491999900009</v>
      </c>
      <c r="T50" s="6">
        <f t="shared" si="9"/>
        <v>60.376673334000003</v>
      </c>
      <c r="U50" s="6">
        <f t="shared" si="9"/>
        <v>86.737583333000003</v>
      </c>
      <c r="V50" s="6">
        <f t="shared" si="9"/>
        <v>139.71390666700003</v>
      </c>
      <c r="W50" s="6">
        <f t="shared" si="9"/>
        <v>85.016999998999992</v>
      </c>
      <c r="X50" s="6">
        <f t="shared" si="9"/>
        <v>27.932000000000002</v>
      </c>
      <c r="Y50" s="6">
        <f t="shared" si="9"/>
        <v>39.491</v>
      </c>
      <c r="Z50" s="6">
        <f t="shared" si="9"/>
        <v>35.486666668000012</v>
      </c>
      <c r="AA50" s="6">
        <f t="shared" si="9"/>
        <v>55.360000000000014</v>
      </c>
      <c r="AB50" s="6">
        <f t="shared" si="9"/>
        <v>32.505333332999953</v>
      </c>
      <c r="AC50" s="6">
        <f t="shared" si="9"/>
        <v>355.6222000030001</v>
      </c>
      <c r="AD50" s="6">
        <f>AVERAGE(R50:AC50)</f>
        <v>114.72757972241668</v>
      </c>
      <c r="AE50" s="22">
        <f>AVERAGE(Y50:AB50)</f>
        <v>40.710750000249995</v>
      </c>
    </row>
    <row r="54" spans="17:31" x14ac:dyDescent="0.25"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>
        <f>AD39-AD53</f>
        <v>300.67384139784957</v>
      </c>
    </row>
  </sheetData>
  <mergeCells count="1">
    <mergeCell ref="Q2:AC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P2 - 2026 delet</vt:lpstr>
      <vt:lpstr>P1 - 2026</vt:lpstr>
      <vt:lpstr>P2 - 2026 </vt:lpstr>
      <vt:lpstr>P3 - 2026</vt:lpstr>
      <vt:lpstr>P4 - 2026</vt:lpstr>
      <vt:lpstr>P5 - 2026</vt:lpstr>
      <vt:lpstr>US</vt:lpstr>
      <vt:lpstr>US (2026 planned and unplanned)</vt:lpstr>
      <vt:lpstr>1h26 US &amp; PADD</vt:lpstr>
      <vt:lpstr>June Monthly updated 725</vt:lpstr>
      <vt:lpstr>Offlline Gas by month from Raw</vt:lpstr>
      <vt:lpstr>22-24 data</vt:lpstr>
      <vt:lpstr>23-26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Metcalf, Patrick</dc:creator>
  <cp:lastModifiedBy>Arango Castaneda, Erika L</cp:lastModifiedBy>
  <dcterms:created xsi:type="dcterms:W3CDTF">2023-10-16T20:11:57Z</dcterms:created>
  <dcterms:modified xsi:type="dcterms:W3CDTF">2026-06-22T18:53:20Z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-582651719</vt:i4>
  </property>
  <property fmtid="{D5CDD505-2E9C-101B-9397-08002B2CF9AE}" pid="3" name="_NewReviewCycle">
    <vt:lpwstr/>
  </property>
  <property fmtid="{D5CDD505-2E9C-101B-9397-08002B2CF9AE}" pid="4" name="_EmailSubject">
    <vt:lpwstr>2024 PADD 3 Offline Production</vt:lpwstr>
  </property>
  <property fmtid="{D5CDD505-2E9C-101B-9397-08002B2CF9AE}" pid="5" name="_AuthorEmail">
    <vt:lpwstr>patrick.metcalf@exxonmobil.com</vt:lpwstr>
  </property>
  <property fmtid="{D5CDD505-2E9C-101B-9397-08002B2CF9AE}" pid="6" name="_AuthorEmailDisplayName">
    <vt:lpwstr>Metcalf, Patrick</vt:lpwstr>
  </property>
  <property fmtid="{D5CDD505-2E9C-101B-9397-08002B2CF9AE}" pid="7" name="_ReviewingToolsShownOnce">
    <vt:lpwstr/>
  </property>
  <property fmtid="{D5CDD505-2E9C-101B-9397-08002B2CF9AE}" pid="8" name="MSIP_Label_092277f7-5f06-4209-8c6b-d3f322455381_Enabled">
    <vt:lpwstr>true</vt:lpwstr>
  </property>
  <property fmtid="{D5CDD505-2E9C-101B-9397-08002B2CF9AE}" pid="9" name="MSIP_Label_092277f7-5f06-4209-8c6b-d3f322455381_SetDate">
    <vt:lpwstr>2026-06-12T18:11:10Z</vt:lpwstr>
  </property>
  <property fmtid="{D5CDD505-2E9C-101B-9397-08002B2CF9AE}" pid="10" name="MSIP_Label_092277f7-5f06-4209-8c6b-d3f322455381_Method">
    <vt:lpwstr>Standard</vt:lpwstr>
  </property>
  <property fmtid="{D5CDD505-2E9C-101B-9397-08002B2CF9AE}" pid="11" name="MSIP_Label_092277f7-5f06-4209-8c6b-d3f322455381_Name">
    <vt:lpwstr>Unclassified</vt:lpwstr>
  </property>
  <property fmtid="{D5CDD505-2E9C-101B-9397-08002B2CF9AE}" pid="12" name="MSIP_Label_092277f7-5f06-4209-8c6b-d3f322455381_SiteId">
    <vt:lpwstr>d1ee1acd-bc7a-4bc4-a787-938c49a83906</vt:lpwstr>
  </property>
  <property fmtid="{D5CDD505-2E9C-101B-9397-08002B2CF9AE}" pid="13" name="MSIP_Label_092277f7-5f06-4209-8c6b-d3f322455381_ActionId">
    <vt:lpwstr>b08aab7b-2feb-4a84-b8c1-a09c40c74090</vt:lpwstr>
  </property>
  <property fmtid="{D5CDD505-2E9C-101B-9397-08002B2CF9AE}" pid="14" name="MSIP_Label_092277f7-5f06-4209-8c6b-d3f322455381_ContentBits">
    <vt:lpwstr>0</vt:lpwstr>
  </property>
  <property fmtid="{D5CDD505-2E9C-101B-9397-08002B2CF9AE}" pid="15" name="MSIP_Label_092277f7-5f06-4209-8c6b-d3f322455381_Tag">
    <vt:lpwstr>10, 3, 0, 1</vt:lpwstr>
  </property>
  <property fmtid="{D5CDD505-2E9C-101B-9397-08002B2CF9AE}" pid="16" name="PowerlinkCOMAddIn.COMAddIn.WebAddinBridge.Options">
    <vt:lpwstr>{"port":50153,"version":"1.26.718"}</vt:lpwstr>
  </property>
</Properties>
</file>