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<sst xmlns="http://schemas.openxmlformats.org/spreadsheetml/2006/main" count="17443" uniqueCount="431">
  <si>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</si>
  <si>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</si>
  <si>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</si>
  <si>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</si>
  <si>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</si>
  <si>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</si>
  <si>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</si>
  <si>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</si>
  <si>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</si>
  <si>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</si>
  <si>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</si>
  <si>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</si>
  <si>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</si>
  <si>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</si>
  <si>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</si>
  <si>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</si>
  <si>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</si>
  <si>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</si>
  <si>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</si>
  <si>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</si>
  <si>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</si>
  <si>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</si>
  <si>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</si>
  <si>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</si>
  <si>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</si>
  <si>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</si>
  <si>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</si>
  <si>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</si>
  <si>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</si>
  <si>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</si>
  <si>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</si>
  <si>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</si>
  <si>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</si>
  <si>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</si>
  <si>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</si>
  <si>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</si>
  <si>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</si>
  <si>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</si>
  <si>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</si>
  <si>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</si>
  <si>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</si>
  <si>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</si>
  <si>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</si>
  <si>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</si>
  <si>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</si>
  <si>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</si>
  <si>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</si>
  <si>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</si>
  <si>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</si>
  <si>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</si>
  <si>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</si>
  <si>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</si>
  <si>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</si>
  <si>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</si>
  <si>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</si>
  <si>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</si>
  <si>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</si>
  <si>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</si>
  <si>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</si>
  <si>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</si>
  <si>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</si>
  <si>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</si>
  <si>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</si>
  <si>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</si>
  <si>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</si>
  <si>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</si>
  <si>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</si>
  <si>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</si>
  <si>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</si>
  <si>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</si>
  <si>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</si>
  <si>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</si>
  <si>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</si>
  <si>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</si>
  <si>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</si>
  <si>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</si>
  <si>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</si>
  <si>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</si>
  <si>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</si>
  <si>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</si>
  <si>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</si>
  <si>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</si>
  <si>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</si>
  <si>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</si>
  <si>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</si>
  <si>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</si>
  <si>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</si>
  <si>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</si>
  <si>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</si>
  <si>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</si>
  <si>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</si>
  <si>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</si>
  <si>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</si>
  <si>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</si>
  <si>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</si>
  <si>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</si>
  <si>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</si>
  <si>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</si>
  <si>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</si>
  <si>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</si>
  <si>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</si>
  <si>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</si>
  <si>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</si>
  <si>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</si>
  <si>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</si>
  <si>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</si>
  <si>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</si>
  <si>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</si>
  <si>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</si>
  <si>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</si>
  <si>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</si>
  <si>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</si>
  <si>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</si>
  <si>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</si>
  <si>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</si>
  <si>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</si>
  <si>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</si>
  <si>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</si>
  <si>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</si>
  <si>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</si>
  <si>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</si>
  <si>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</si>
  <si>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</si>
  <si>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</si>
  <si>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</si>
  <si>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</si>
  <si>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</si>
  <si>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</si>
  <si>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</si>
  <si>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</si>
  <si>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</si>
  <si>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</si>
  <si>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</si>
  <si>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</si>
  <si>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</si>
  <si>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</si>
  <si>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</si>
  <si>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</si>
  <si>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</si>
  <si>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</si>
  <si>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</si>
  <si>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</si>
  <si>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</si>
  <si>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</si>
  <si>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</si>
  <si>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</si>
  <si>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</si>
  <si>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</si>
  <si>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</si>
  <si>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</si>
  <si>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</si>
  <si>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</si>
  <si>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</si>
  <si>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</si>
  <si>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</si>
  <si>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</si>
  <si>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</si>
  <si>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</si>
  <si>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</si>
  <si>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</si>
  <si>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</si>
  <si>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</si>
  <si>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</si>
  <si>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</si>
  <si>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</si>
  <si>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</si>
  <si>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</si>
  <si>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</si>
  <si>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</si>
  <si>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</si>
  <si>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</si>
  <si>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</si>
  <si>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</si>
  <si>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</si>
  <si>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</si>
  <si>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</si>
  <si>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</si>
  <si>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</si>
  <si>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</si>
  <si>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</si>
  <si>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</si>
  <si>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</si>
  <si>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</si>
  <si>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</si>
  <si>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</si>
  <si>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</si>
  <si>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</si>
  <si>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</si>
  <si>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</si>
  <si>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</si>
  <si>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</si>
  <si>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</si>
  <si>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</si>
  <si>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</si>
  <si>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</si>
  <si>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</si>
  <si>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</si>
  <si>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</si>
  <si>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</si>
  <si>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</si>
  <si>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</si>
  <si>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</si>
  <si>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</si>
  <si>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</si>
  <si>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</si>
  <si>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</si>
  <si>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</si>
  <si>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</si>
  <si>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</si>
  <si>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</si>
  <si>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</si>
  <si>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</si>
  <si>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</si>
  <si>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</si>
  <si>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</si>
  <si>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</si>
  <si>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</si>
  <si>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</si>
  <si>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</si>
  <si>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</si>
  <si>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</si>
  <si>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</si>
  <si>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</si>
  <si>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</si>
  <si>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</si>
  <si>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</si>
  <si>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</si>
  <si>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</si>
  <si>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</si>
  <si>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</si>
  <si>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</si>
  <si>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</si>
  <si>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</si>
  <si>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</si>
  <si>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</si>
  <si>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</si>
  <si>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</si>
  <si>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</si>
  <si>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</si>
  <si>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</si>
  <si>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</si>
  <si>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</si>
  <si>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</si>
  <si>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</si>
  <si>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</si>
  <si>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</si>
  <si>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</si>
  <si>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</si>
  <si>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</si>
  <si>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</si>
  <si>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</si>
  <si>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</si>
  <si>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</si>
  <si>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</si>
  <si>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</si>
  <si>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</si>
  <si>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</si>
  <si>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</si>
  <si>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</si>
  <si>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</si>
  <si>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</si>
  <si>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</si>
  <si>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</si>
  <si>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</si>
  <si>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</si>
  <si>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</si>
  <si>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</si>
  <si>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</si>
  <si>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</si>
  <si>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</si>
  <si>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</si>
  <si>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</si>
  <si>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</si>
  <si>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</si>
  <si>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</si>
  <si>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</si>
  <si>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</si>
  <si>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</si>
  <si>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</si>
  <si>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</si>
  <si>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</si>
  <si>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</si>
  <si>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</si>
  <si>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</si>
  <si>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</si>
  <si>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</si>
  <si>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</si>
  <si>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</si>
  <si>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</si>
  <si>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</si>
  <si>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</si>
  <si>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</si>
  <si>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</si>
  <si>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</si>
  <si>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</si>
  <si>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</si>
  <si>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</si>
  <si>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</si>
  <si>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</si>
  <si>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</si>
  <si>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</si>
  <si>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</si>
  <si>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</si>
  <si>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</si>
  <si>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</si>
  <si>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</si>
  <si>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</si>
  <si>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</si>
  <si>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</si>
  <si>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</si>
  <si>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</si>
  <si>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</si>
  <si>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</si>
  <si>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</si>
  <si>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</si>
  <si>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</si>
  <si>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</si>
  <si>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</si>
  <si>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</si>
  <si>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</si>
  <si>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</si>
  <si>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</si>
  <si>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</si>
  <si>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</si>
  <si>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</si>
  <si>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</si>
  <si>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</si>
  <si>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</si>
  <si>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</si>
  <si>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</si>
  <si>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</si>
  <si>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</si>
  <si>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</si>
  <si>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</si>
  <si>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</si>
  <si>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</si>
  <si>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</si>
  <si>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</si>
  <si>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</si>
  <si>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</si>
  <si>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</si>
  <si>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</si>
  <si>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</si>
  <si>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</si>
  <si>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</si>
  <si>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</si>
  <si>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</si>
  <si>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</si>
  <si>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</si>
  <si>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</si>
  <si>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</si>
  <si>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</si>
  <si>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</si>
  <si>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</si>
  <si>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</si>
  <si>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</si>
  <si>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</si>
  <si>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</si>
  <si>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</si>
  <si>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</si>
  <si>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</si>
  <si>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</si>
  <si>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</si>
  <si>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</si>
  <si>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</si>
  <si>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</si>
  <si>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</si>
  <si>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</si>
  <si>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</si>
  <si>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</si>
  <si>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</si>
  <si>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</si>
  <si>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</si>
  <si>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</si>
  <si>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</si>
  <si>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</si>
  <si>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</si>
  <si>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</si>
  <si>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</si>
  <si>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</si>
  <si>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</si>
  <si>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</si>
  <si>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</si>
  <si>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</si>
  <si>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</si>
  <si>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</si>
  <si>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</si>
  <si>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</si>
  <si>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</si>
  <si>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</si>
  <si>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</si>
  <si>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</si>
  <si>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</si>
  <si>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</si>
  <si>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</si>
  <si>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</si>
  <si>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</si>
  <si>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</si>
  <si>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</si>
  <si>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</si>
  <si>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</si>
  <si>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</si>
  <si>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</si>
  <si>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</si>
  <si>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</si>
  <si>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</si>
  <si>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</si>
  <si>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</si>
  <si>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</si>
  <si>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</si>
  <si>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</si>
  <si>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</si>
  <si>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</si>
  <si>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</si>
  <si>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</si>
  <si>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</si>
  <si>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</si>
  <si>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</si>
  <si>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</si>
  <si>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</si>
  <si>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</si>
  <si>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</si>
  <si>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</si>
  <si>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</si>
  <si>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</si>
  <si>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</si>
  <si>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</si>
  <si>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Scenario Summary - 2027 Implied Total Offline (booked planned + scenario unplanned, kbd)</t>
  </si>
  <si>
    <t>Mult</t>
  </si>
  <si>
    <t>Booked planned</t>
  </si>
  <si>
    <t>Implied total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</si>
</sst>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right"/>
    </xf>
    <xf numFmtId="170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Analysis'!$E$68:$E$70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Analysis'!$D$68:$D$70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71</xdr:row>
      <xdr:rowOff>0</xdr:rowOff>
    </xdr:from>
    <xdr:to>
      <xdr:col>9</xdr:col>
      <xdr:colOff>190500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28" spans="2:4">
      <c r="B28" s="3" t="s">
        <v>152</v>
      </c>
    </row>
    <row r="29" spans="2:4">
      <c r="B29" s="15" t="s">
        <v>153</v>
      </c>
      <c r="C29" s="16" t="s">
        <v>2</v>
      </c>
      <c r="D29" s="16" t="s">
        <v>3</v>
      </c>
    </row>
    <row r="30" spans="2:4">
      <c r="B30" s="26">
        <v>2016</v>
      </c>
      <c r="C30" s="27">
        <v>18970.5414</v>
      </c>
      <c r="D30" s="27">
        <v>10026.5576</v>
      </c>
    </row>
    <row r="31" spans="2:4">
      <c r="B31" s="26">
        <v>2017</v>
      </c>
      <c r="C31" s="27">
        <v>19379.438</v>
      </c>
      <c r="D31" s="27">
        <v>17806.1563</v>
      </c>
    </row>
    <row r="32" spans="2:4">
      <c r="B32" s="26">
        <v>2018</v>
      </c>
      <c r="C32" s="27">
        <v>20666.8937</v>
      </c>
      <c r="D32" s="27">
        <v>11368.5909</v>
      </c>
    </row>
    <row r="33" spans="2:6">
      <c r="B33" s="26">
        <v>2019</v>
      </c>
      <c r="C33" s="27">
        <v>24322.1946</v>
      </c>
      <c r="D33" s="27">
        <v>18335.4043</v>
      </c>
    </row>
    <row r="34" spans="2:6">
      <c r="B34" s="26">
        <v>2020</v>
      </c>
      <c r="C34" s="27">
        <v>25471.7365</v>
      </c>
      <c r="D34" s="27">
        <v>124777.8455</v>
      </c>
    </row>
    <row r="35" spans="2:6">
      <c r="B35" s="26">
        <v>2021</v>
      </c>
      <c r="C35" s="27">
        <v>25740.7337</v>
      </c>
      <c r="D35" s="27">
        <v>67571.4237</v>
      </c>
    </row>
    <row r="36" spans="2:6">
      <c r="B36" s="26">
        <v>2022</v>
      </c>
      <c r="C36" s="27">
        <v>24430.7107</v>
      </c>
      <c r="D36" s="27">
        <v>22628.5092</v>
      </c>
    </row>
    <row r="37" spans="2:6">
      <c r="B37" s="26">
        <v>2023</v>
      </c>
      <c r="C37" s="27">
        <v>26140.2458</v>
      </c>
      <c r="D37" s="27">
        <v>23684.4589</v>
      </c>
    </row>
    <row r="38" spans="2:6">
      <c r="B38" s="26">
        <v>2024</v>
      </c>
      <c r="C38" s="27">
        <v>20382.4957</v>
      </c>
      <c r="D38" s="27">
        <v>21582.5668</v>
      </c>
    </row>
    <row r="39" spans="2:6">
      <c r="B39" s="26">
        <v>2025</v>
      </c>
      <c r="C39" s="27">
        <v>19416.5201</v>
      </c>
      <c r="D39" s="27">
        <v>19257.5535</v>
      </c>
    </row>
    <row r="40" spans="2:6">
      <c r="B40" s="26">
        <v>2026</v>
      </c>
      <c r="C40" s="27">
        <v>12029.062</v>
      </c>
      <c r="D40" s="27">
        <v>8382.040800000001</v>
      </c>
    </row>
    <row r="41" spans="2:6">
      <c r="B41" s="26">
        <v>2027</v>
      </c>
      <c r="C41" s="27">
        <v>15923.1696</v>
      </c>
      <c r="D41" s="27">
        <v>0</v>
      </c>
    </row>
    <row r="43" spans="2:6">
      <c r="B43" s="15" t="s">
        <v>63</v>
      </c>
      <c r="C43" s="26">
        <v>2022</v>
      </c>
      <c r="D43" s="26">
        <v>2023</v>
      </c>
      <c r="E43" s="26">
        <v>2024</v>
      </c>
      <c r="F43" s="26">
        <v>2025</v>
      </c>
    </row>
    <row r="44" spans="2:6">
      <c r="B44" s="28" t="s">
        <v>4</v>
      </c>
      <c r="C44" s="27">
        <v>838.49</v>
      </c>
      <c r="D44" s="27">
        <v>871.5185</v>
      </c>
      <c r="E44" s="27">
        <v>758.0088</v>
      </c>
      <c r="F44" s="27">
        <v>1524.7432</v>
      </c>
    </row>
    <row r="45" spans="2:6">
      <c r="B45" s="28" t="s">
        <v>5</v>
      </c>
      <c r="C45" s="27">
        <v>6764.0168</v>
      </c>
      <c r="D45" s="27">
        <v>6640.3387</v>
      </c>
      <c r="E45" s="27">
        <v>5602.5239</v>
      </c>
      <c r="F45" s="27">
        <v>2837.6686</v>
      </c>
    </row>
    <row r="46" spans="2:6">
      <c r="B46" s="28" t="s">
        <v>6</v>
      </c>
      <c r="C46" s="27">
        <v>11315.8739</v>
      </c>
      <c r="D46" s="27">
        <v>11829.2618</v>
      </c>
      <c r="E46" s="27">
        <v>11810.3492</v>
      </c>
      <c r="F46" s="27">
        <v>6051.7432</v>
      </c>
    </row>
    <row r="47" spans="2:6">
      <c r="B47" s="28" t="s">
        <v>7</v>
      </c>
      <c r="C47" s="27">
        <v>693.9537</v>
      </c>
      <c r="D47" s="27">
        <v>1470.7124</v>
      </c>
      <c r="E47" s="27">
        <v>401.7754</v>
      </c>
      <c r="F47" s="27">
        <v>381.1887</v>
      </c>
    </row>
    <row r="48" spans="2:6">
      <c r="B48" s="28" t="s">
        <v>8</v>
      </c>
      <c r="C48" s="27">
        <v>3016.1748</v>
      </c>
      <c r="D48" s="27">
        <v>2872.6275</v>
      </c>
      <c r="E48" s="27">
        <v>3009.9095</v>
      </c>
      <c r="F48" s="27">
        <v>8462.209800000001</v>
      </c>
    </row>
    <row r="51" spans="2:21">
      <c r="B51" s="28" t="s">
        <v>4</v>
      </c>
      <c r="C51" s="27">
        <v>1524.7432</v>
      </c>
      <c r="I51" s="15" t="s">
        <v>154</v>
      </c>
      <c r="J51" s="16" t="s">
        <v>155</v>
      </c>
      <c r="K51" s="16" t="s">
        <v>156</v>
      </c>
      <c r="L51" s="16" t="s">
        <v>157</v>
      </c>
      <c r="M51" s="16" t="s">
        <v>158</v>
      </c>
      <c r="N51" s="16" t="s">
        <v>159</v>
      </c>
      <c r="O51" s="16" t="s">
        <v>160</v>
      </c>
      <c r="P51" s="16" t="s">
        <v>161</v>
      </c>
      <c r="Q51" s="16" t="s">
        <v>162</v>
      </c>
      <c r="R51" s="16" t="s">
        <v>163</v>
      </c>
      <c r="S51" s="16" t="s">
        <v>164</v>
      </c>
      <c r="T51" s="16" t="s">
        <v>165</v>
      </c>
      <c r="U51" s="16" t="s">
        <v>166</v>
      </c>
    </row>
    <row r="52" spans="2:21">
      <c r="B52" s="28" t="s">
        <v>5</v>
      </c>
      <c r="C52" s="27">
        <v>2837.6686</v>
      </c>
      <c r="I52" s="26">
        <v>2024</v>
      </c>
      <c r="J52" s="27">
        <v>2433.6238</v>
      </c>
      <c r="K52" s="27">
        <v>5025.1422</v>
      </c>
      <c r="L52" s="27">
        <v>2051.1556</v>
      </c>
      <c r="M52" s="27">
        <v>1881.5364</v>
      </c>
      <c r="N52" s="27">
        <v>940.6905</v>
      </c>
      <c r="O52" s="27">
        <v>1023.714</v>
      </c>
      <c r="P52" s="27">
        <v>1472.8685</v>
      </c>
      <c r="Q52" s="27">
        <v>1211.9996</v>
      </c>
      <c r="R52" s="27">
        <v>1844.9944</v>
      </c>
      <c r="S52" s="27">
        <v>1940.158</v>
      </c>
      <c r="T52" s="27">
        <v>1047.007</v>
      </c>
      <c r="U52" s="27">
        <v>709.6768</v>
      </c>
    </row>
    <row r="53" spans="2:21">
      <c r="B53" s="28" t="s">
        <v>6</v>
      </c>
      <c r="C53" s="27">
        <v>6051.7432</v>
      </c>
      <c r="I53" s="26">
        <v>2025</v>
      </c>
      <c r="J53" s="27">
        <v>1400.9949</v>
      </c>
      <c r="K53" s="27">
        <v>2023.3805</v>
      </c>
      <c r="L53" s="27">
        <v>2228.4465</v>
      </c>
      <c r="M53" s="27">
        <v>2621.2351</v>
      </c>
      <c r="N53" s="27">
        <v>1753.1826</v>
      </c>
      <c r="O53" s="27">
        <v>1169.5851</v>
      </c>
      <c r="P53" s="27">
        <v>939.4538</v>
      </c>
      <c r="Q53" s="27">
        <v>979.7175</v>
      </c>
      <c r="R53" s="27">
        <v>1487.0255</v>
      </c>
      <c r="S53" s="27">
        <v>2468.751</v>
      </c>
      <c r="T53" s="27">
        <v>1324.048</v>
      </c>
      <c r="U53" s="27">
        <v>861.7330000000001</v>
      </c>
    </row>
    <row r="54" spans="2:21">
      <c r="B54" s="28" t="s">
        <v>7</v>
      </c>
      <c r="C54" s="27">
        <v>381.1887</v>
      </c>
      <c r="I54" s="26">
        <v>2026</v>
      </c>
      <c r="J54" s="27">
        <v>786.9865</v>
      </c>
      <c r="K54" s="27">
        <v>1792.968</v>
      </c>
      <c r="L54" s="27">
        <v>1118.4157</v>
      </c>
      <c r="M54" s="27">
        <v>2043.992</v>
      </c>
      <c r="N54" s="27">
        <v>1202.4129</v>
      </c>
      <c r="O54" s="27">
        <v>1044.0667</v>
      </c>
      <c r="P54" s="27">
        <v>209.899</v>
      </c>
      <c r="Q54" s="27">
        <v>47</v>
      </c>
      <c r="R54" s="27">
        <v>47</v>
      </c>
      <c r="S54" s="27">
        <v>47</v>
      </c>
      <c r="T54" s="27">
        <v>42.3</v>
      </c>
      <c r="U54" s="27">
        <v>0</v>
      </c>
    </row>
    <row r="55" spans="2:21">
      <c r="B55" s="28" t="s">
        <v>8</v>
      </c>
      <c r="C55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4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</row>
    <row r="9" spans="2:14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</row>
    <row r="10" spans="2:14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</row>
    <row r="11" spans="2:14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</row>
    <row r="12" spans="2:14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</row>
    <row r="13" spans="2:14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</row>
    <row r="31" spans="2:14" ht="19" customHeight="1">
      <c r="B31" s="5" t="s">
        <v>222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15" t="s">
        <v>210</v>
      </c>
      <c r="C32" s="16" t="s">
        <v>155</v>
      </c>
      <c r="D32" s="16" t="s">
        <v>156</v>
      </c>
      <c r="E32" s="16" t="s">
        <v>157</v>
      </c>
      <c r="F32" s="16" t="s">
        <v>158</v>
      </c>
      <c r="G32" s="16" t="s">
        <v>159</v>
      </c>
      <c r="H32" s="16" t="s">
        <v>160</v>
      </c>
      <c r="I32" s="16" t="s">
        <v>161</v>
      </c>
      <c r="J32" s="16" t="s">
        <v>162</v>
      </c>
      <c r="K32" s="16" t="s">
        <v>163</v>
      </c>
      <c r="L32" s="16" t="s">
        <v>164</v>
      </c>
      <c r="M32" s="16" t="s">
        <v>165</v>
      </c>
      <c r="N32" s="16" t="s">
        <v>166</v>
      </c>
    </row>
    <row r="33" spans="2:14">
      <c r="B33" s="28" t="s">
        <v>216</v>
      </c>
      <c r="C33" s="27">
        <v>0</v>
      </c>
      <c r="D33" s="27">
        <v>152.32</v>
      </c>
      <c r="E33" s="27">
        <v>1116.623</v>
      </c>
      <c r="F33" s="27">
        <v>1226.99</v>
      </c>
      <c r="G33" s="27">
        <v>454.127</v>
      </c>
      <c r="H33" s="27">
        <v>0</v>
      </c>
      <c r="I33" s="27">
        <v>8</v>
      </c>
      <c r="J33" s="27">
        <v>0</v>
      </c>
      <c r="K33" s="27">
        <v>572.9400000000001</v>
      </c>
      <c r="L33" s="27">
        <v>705.146</v>
      </c>
      <c r="M33" s="27">
        <v>397.5</v>
      </c>
      <c r="N33" s="27">
        <v>0</v>
      </c>
    </row>
    <row r="34" spans="2:14">
      <c r="B34" s="28" t="s">
        <v>217</v>
      </c>
      <c r="C34" s="27">
        <v>161.3505</v>
      </c>
      <c r="D34" s="27">
        <v>568.1735</v>
      </c>
      <c r="E34" s="27">
        <v>119.4167</v>
      </c>
      <c r="F34" s="27">
        <v>287.843</v>
      </c>
      <c r="G34" s="27">
        <v>375.833</v>
      </c>
      <c r="H34" s="27">
        <v>138.475</v>
      </c>
      <c r="I34" s="27">
        <v>327.4526644359984</v>
      </c>
      <c r="J34" s="27">
        <v>312.2237567411152</v>
      </c>
      <c r="K34" s="27">
        <v>379.3556205231208</v>
      </c>
      <c r="L34" s="27">
        <v>513.9033359463359</v>
      </c>
      <c r="M34" s="27">
        <v>337.0643009231111</v>
      </c>
      <c r="N34" s="27">
        <v>357.237778062238</v>
      </c>
    </row>
    <row r="35" spans="2:14">
      <c r="B35" s="28" t="s">
        <v>218</v>
      </c>
      <c r="C35" s="27">
        <v>194.6489</v>
      </c>
      <c r="D35" s="27">
        <v>601.5409</v>
      </c>
      <c r="E35" s="27">
        <v>1263.025</v>
      </c>
      <c r="F35" s="27">
        <v>2161.4255</v>
      </c>
      <c r="G35" s="27">
        <v>919.8905999999999</v>
      </c>
      <c r="H35" s="27">
        <v>326.2495</v>
      </c>
      <c r="I35" s="27">
        <v>260.566</v>
      </c>
      <c r="J35" s="27">
        <v>603.6235</v>
      </c>
      <c r="K35" s="27">
        <v>773.2645</v>
      </c>
      <c r="L35" s="27">
        <v>1204.6989</v>
      </c>
      <c r="M35" s="27">
        <v>328.8481</v>
      </c>
      <c r="N35" s="27">
        <v>129.87</v>
      </c>
    </row>
    <row r="36" spans="2:14">
      <c r="B36" s="28" t="s">
        <v>219</v>
      </c>
      <c r="C36" s="27">
        <v>82.622</v>
      </c>
      <c r="D36" s="27">
        <v>1893.1044</v>
      </c>
      <c r="E36" s="27">
        <v>1347.1691</v>
      </c>
      <c r="F36" s="27">
        <v>1456.5636</v>
      </c>
      <c r="G36" s="27">
        <v>670.5625</v>
      </c>
      <c r="H36" s="27">
        <v>364.397</v>
      </c>
      <c r="I36" s="27">
        <v>802.508</v>
      </c>
      <c r="J36" s="27">
        <v>516.3492</v>
      </c>
      <c r="K36" s="27">
        <v>1029.2768</v>
      </c>
      <c r="L36" s="27">
        <v>1512.466</v>
      </c>
      <c r="M36" s="27">
        <v>525.778</v>
      </c>
      <c r="N36" s="27">
        <v>41.1286</v>
      </c>
    </row>
    <row r="37" spans="2:14">
      <c r="B37" s="28" t="s">
        <v>220</v>
      </c>
      <c r="C37" s="27">
        <v>1256.5976</v>
      </c>
      <c r="D37" s="27">
        <v>1088.065</v>
      </c>
      <c r="E37" s="27">
        <v>1877.395</v>
      </c>
      <c r="F37" s="27">
        <v>2007.8074</v>
      </c>
      <c r="G37" s="27">
        <v>1042.2436</v>
      </c>
      <c r="H37" s="27">
        <v>511.95</v>
      </c>
      <c r="I37" s="27">
        <v>453.487</v>
      </c>
      <c r="J37" s="27">
        <v>182.999</v>
      </c>
      <c r="K37" s="27">
        <v>1481.1244</v>
      </c>
      <c r="L37" s="27">
        <v>1816.5088</v>
      </c>
      <c r="M37" s="27">
        <v>326.1729</v>
      </c>
      <c r="N37" s="27">
        <v>60.5386</v>
      </c>
    </row>
    <row r="38" spans="2:14">
      <c r="B38" s="28" t="s">
        <v>221</v>
      </c>
      <c r="C38" s="27">
        <v>0</v>
      </c>
      <c r="D38" s="27">
        <v>192.48</v>
      </c>
      <c r="E38" s="27">
        <v>614.741</v>
      </c>
      <c r="F38" s="27">
        <v>961.0699999999999</v>
      </c>
      <c r="G38" s="27">
        <v>473.25</v>
      </c>
      <c r="H38" s="27">
        <v>0</v>
      </c>
      <c r="I38" s="27">
        <v>0</v>
      </c>
      <c r="J38" s="27">
        <v>0</v>
      </c>
      <c r="K38" s="27">
        <v>1168.516</v>
      </c>
      <c r="L38" s="27">
        <v>583.63</v>
      </c>
      <c r="M38" s="27">
        <v>1.8</v>
      </c>
      <c r="N38" s="27">
        <v>0</v>
      </c>
    </row>
    <row r="56" spans="2:14" ht="19" customHeight="1">
      <c r="B56" s="5" t="s">
        <v>223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15" t="s">
        <v>210</v>
      </c>
      <c r="C57" s="16" t="s">
        <v>155</v>
      </c>
      <c r="D57" s="16" t="s">
        <v>156</v>
      </c>
      <c r="E57" s="16" t="s">
        <v>157</v>
      </c>
      <c r="F57" s="16" t="s">
        <v>158</v>
      </c>
      <c r="G57" s="16" t="s">
        <v>159</v>
      </c>
      <c r="H57" s="16" t="s">
        <v>160</v>
      </c>
      <c r="I57" s="16" t="s">
        <v>161</v>
      </c>
      <c r="J57" s="16" t="s">
        <v>162</v>
      </c>
      <c r="K57" s="16" t="s">
        <v>163</v>
      </c>
      <c r="L57" s="16" t="s">
        <v>164</v>
      </c>
      <c r="M57" s="16" t="s">
        <v>165</v>
      </c>
      <c r="N57" s="16" t="s">
        <v>166</v>
      </c>
    </row>
    <row r="58" spans="2:14">
      <c r="B58" s="28" t="s">
        <v>216</v>
      </c>
      <c r="C58" s="27">
        <v>879.5774</v>
      </c>
      <c r="D58" s="27">
        <v>1498.1345</v>
      </c>
      <c r="E58" s="27">
        <v>645.745</v>
      </c>
      <c r="F58" s="27">
        <v>229.32</v>
      </c>
      <c r="G58" s="27">
        <v>221.335</v>
      </c>
      <c r="H58" s="27">
        <v>55.65</v>
      </c>
      <c r="I58" s="27">
        <v>115.992</v>
      </c>
      <c r="J58" s="27">
        <v>156.58</v>
      </c>
      <c r="K58" s="27">
        <v>416.941</v>
      </c>
      <c r="L58" s="27">
        <v>587.8024</v>
      </c>
      <c r="M58" s="27">
        <v>121.48</v>
      </c>
      <c r="N58" s="27">
        <v>0</v>
      </c>
    </row>
    <row r="59" spans="2:14">
      <c r="B59" s="28" t="s">
        <v>217</v>
      </c>
      <c r="C59" s="27">
        <v>275.676</v>
      </c>
      <c r="D59" s="27">
        <v>807.2025</v>
      </c>
      <c r="E59" s="27">
        <v>652.611</v>
      </c>
      <c r="F59" s="27">
        <v>1045.263</v>
      </c>
      <c r="G59" s="27">
        <v>531.2235000000001</v>
      </c>
      <c r="H59" s="27">
        <v>671.035</v>
      </c>
      <c r="I59" s="27">
        <v>614.7037742543238</v>
      </c>
      <c r="J59" s="27">
        <v>586.1156207453603</v>
      </c>
      <c r="K59" s="27">
        <v>712.1375302344849</v>
      </c>
      <c r="L59" s="27">
        <v>964.7144595760151</v>
      </c>
      <c r="M59" s="27">
        <v>632.7470210105082</v>
      </c>
      <c r="N59" s="27">
        <v>670.6172657330958</v>
      </c>
    </row>
    <row r="60" spans="2:14">
      <c r="B60" s="28" t="s">
        <v>218</v>
      </c>
      <c r="C60" s="27">
        <v>2513.4756</v>
      </c>
      <c r="D60" s="27">
        <v>2916.5111</v>
      </c>
      <c r="E60" s="27">
        <v>1164.668</v>
      </c>
      <c r="F60" s="27">
        <v>951.206</v>
      </c>
      <c r="G60" s="27">
        <v>451.324</v>
      </c>
      <c r="H60" s="27">
        <v>382.749</v>
      </c>
      <c r="I60" s="27">
        <v>296.0898</v>
      </c>
      <c r="J60" s="27">
        <v>608.524</v>
      </c>
      <c r="K60" s="27">
        <v>2193.196</v>
      </c>
      <c r="L60" s="27">
        <v>3093.4153</v>
      </c>
      <c r="M60" s="27">
        <v>1683.7699</v>
      </c>
      <c r="N60" s="27">
        <v>172.694</v>
      </c>
    </row>
    <row r="61" spans="2:14">
      <c r="B61" s="28" t="s">
        <v>219</v>
      </c>
      <c r="C61" s="27">
        <v>3897.7506</v>
      </c>
      <c r="D61" s="27">
        <v>5540.9283</v>
      </c>
      <c r="E61" s="27">
        <v>2248.1637</v>
      </c>
      <c r="F61" s="27">
        <v>2012.658</v>
      </c>
      <c r="G61" s="27">
        <v>1141.365</v>
      </c>
      <c r="H61" s="27">
        <v>1180.7915</v>
      </c>
      <c r="I61" s="27">
        <v>1019.787</v>
      </c>
      <c r="J61" s="27">
        <v>1019.9182</v>
      </c>
      <c r="K61" s="27">
        <v>1784.1745</v>
      </c>
      <c r="L61" s="27">
        <v>2036.786</v>
      </c>
      <c r="M61" s="27">
        <v>1212.9515</v>
      </c>
      <c r="N61" s="27">
        <v>324.6714</v>
      </c>
    </row>
    <row r="62" spans="2:14">
      <c r="B62" s="28" t="s">
        <v>220</v>
      </c>
      <c r="C62" s="27">
        <v>3219.0812</v>
      </c>
      <c r="D62" s="27">
        <v>3622.339</v>
      </c>
      <c r="E62" s="27">
        <v>3305.26</v>
      </c>
      <c r="F62" s="27">
        <v>2929.6089</v>
      </c>
      <c r="G62" s="27">
        <v>2020.7778</v>
      </c>
      <c r="H62" s="27">
        <v>1367.2069</v>
      </c>
      <c r="I62" s="27">
        <v>772.8094</v>
      </c>
      <c r="J62" s="27">
        <v>1367.907</v>
      </c>
      <c r="K62" s="27">
        <v>1980.1739</v>
      </c>
      <c r="L62" s="27">
        <v>3552.627</v>
      </c>
      <c r="M62" s="27">
        <v>1809.522</v>
      </c>
      <c r="N62" s="27">
        <v>541.6272</v>
      </c>
    </row>
    <row r="63" spans="2:14">
      <c r="B63" s="28" t="s">
        <v>221</v>
      </c>
      <c r="C63" s="27">
        <v>692.313</v>
      </c>
      <c r="D63" s="27">
        <v>1256.1221</v>
      </c>
      <c r="E63" s="27">
        <v>1565.6915</v>
      </c>
      <c r="F63" s="27">
        <v>664.0222</v>
      </c>
      <c r="G63" s="27">
        <v>134.4</v>
      </c>
      <c r="H63" s="27">
        <v>210.95</v>
      </c>
      <c r="I63" s="27">
        <v>164</v>
      </c>
      <c r="J63" s="27">
        <v>47.56</v>
      </c>
      <c r="K63" s="27">
        <v>1545.905</v>
      </c>
      <c r="L63" s="27">
        <v>1819.237</v>
      </c>
      <c r="M63" s="27">
        <v>446.133</v>
      </c>
      <c r="N63" s="27">
        <v>0</v>
      </c>
    </row>
    <row r="81" spans="2:14" ht="19" customHeight="1">
      <c r="B81" s="5" t="s">
        <v>224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15" t="s">
        <v>210</v>
      </c>
      <c r="C82" s="16" t="s">
        <v>155</v>
      </c>
      <c r="D82" s="16" t="s">
        <v>156</v>
      </c>
      <c r="E82" s="16" t="s">
        <v>157</v>
      </c>
      <c r="F82" s="16" t="s">
        <v>158</v>
      </c>
      <c r="G82" s="16" t="s">
        <v>159</v>
      </c>
      <c r="H82" s="16" t="s">
        <v>160</v>
      </c>
      <c r="I82" s="16" t="s">
        <v>161</v>
      </c>
      <c r="J82" s="16" t="s">
        <v>162</v>
      </c>
      <c r="K82" s="16" t="s">
        <v>163</v>
      </c>
      <c r="L82" s="16" t="s">
        <v>164</v>
      </c>
      <c r="M82" s="16" t="s">
        <v>165</v>
      </c>
      <c r="N82" s="16" t="s">
        <v>166</v>
      </c>
    </row>
    <row r="83" spans="2:14">
      <c r="B83" s="28" t="s">
        <v>216</v>
      </c>
      <c r="C83" s="27">
        <v>0</v>
      </c>
      <c r="D83" s="27">
        <v>7.79</v>
      </c>
      <c r="E83" s="27">
        <v>173.293</v>
      </c>
      <c r="F83" s="27">
        <v>263.53</v>
      </c>
      <c r="G83" s="27">
        <v>52.98800000000001</v>
      </c>
      <c r="H83" s="27">
        <v>0</v>
      </c>
      <c r="I83" s="27">
        <v>0</v>
      </c>
      <c r="J83" s="27">
        <v>0</v>
      </c>
      <c r="K83" s="27">
        <v>0</v>
      </c>
      <c r="L83" s="27">
        <v>19.62</v>
      </c>
      <c r="M83" s="27">
        <v>0</v>
      </c>
      <c r="N83" s="27">
        <v>0</v>
      </c>
    </row>
    <row r="84" spans="2:14">
      <c r="B84" s="28" t="s">
        <v>217</v>
      </c>
      <c r="C84" s="27">
        <v>0</v>
      </c>
      <c r="D84" s="27">
        <v>27.512</v>
      </c>
      <c r="E84" s="27">
        <v>20.374</v>
      </c>
      <c r="F84" s="27">
        <v>34.525</v>
      </c>
      <c r="G84" s="27">
        <v>75.66640000000001</v>
      </c>
      <c r="H84" s="27">
        <v>10.17</v>
      </c>
      <c r="I84" s="27">
        <v>44.18536665359313</v>
      </c>
      <c r="J84" s="27">
        <v>42.13042881581089</v>
      </c>
      <c r="K84" s="27">
        <v>51.1889778444347</v>
      </c>
      <c r="L84" s="27">
        <v>69.34439627298147</v>
      </c>
      <c r="M84" s="27">
        <v>45.48232871391296</v>
      </c>
      <c r="N84" s="27">
        <v>48.20447020451738</v>
      </c>
    </row>
    <row r="85" spans="2:14">
      <c r="B85" s="28" t="s">
        <v>218</v>
      </c>
      <c r="C85" s="27">
        <v>63.17959999999999</v>
      </c>
      <c r="D85" s="27">
        <v>36.9436</v>
      </c>
      <c r="E85" s="27">
        <v>72.16249999999999</v>
      </c>
      <c r="F85" s="27">
        <v>127.706</v>
      </c>
      <c r="G85" s="27">
        <v>75.15000000000001</v>
      </c>
      <c r="H85" s="27">
        <v>8.223000000000001</v>
      </c>
      <c r="I85" s="27">
        <v>92.11199999999999</v>
      </c>
      <c r="J85" s="27">
        <v>4.779999999999999</v>
      </c>
      <c r="K85" s="27">
        <v>6.365</v>
      </c>
      <c r="L85" s="27">
        <v>54.195</v>
      </c>
      <c r="M85" s="27">
        <v>16.895</v>
      </c>
      <c r="N85" s="27">
        <v>14.089</v>
      </c>
    </row>
    <row r="86" spans="2:14">
      <c r="B86" s="28" t="s">
        <v>219</v>
      </c>
      <c r="C86" s="27">
        <v>71.7204</v>
      </c>
      <c r="D86" s="27">
        <v>226.08</v>
      </c>
      <c r="E86" s="27">
        <v>244.3878</v>
      </c>
      <c r="F86" s="27">
        <v>138.769</v>
      </c>
      <c r="G86" s="27">
        <v>31.459</v>
      </c>
      <c r="H86" s="27">
        <v>17.778</v>
      </c>
      <c r="I86" s="27">
        <v>23.131</v>
      </c>
      <c r="J86" s="27">
        <v>38.4844</v>
      </c>
      <c r="K86" s="27">
        <v>131.881</v>
      </c>
      <c r="L86" s="27">
        <v>58.955</v>
      </c>
      <c r="M86" s="27">
        <v>6.975</v>
      </c>
      <c r="N86" s="27">
        <v>44.4628</v>
      </c>
    </row>
    <row r="87" spans="2:14">
      <c r="B87" s="28" t="s">
        <v>220</v>
      </c>
      <c r="C87" s="27">
        <v>493.348</v>
      </c>
      <c r="D87" s="27">
        <v>408.143</v>
      </c>
      <c r="E87" s="27">
        <v>357.3731</v>
      </c>
      <c r="F87" s="27">
        <v>344.0876</v>
      </c>
      <c r="G87" s="27">
        <v>228.289</v>
      </c>
      <c r="H87" s="27">
        <v>53.3175</v>
      </c>
      <c r="I87" s="27">
        <v>40.651</v>
      </c>
      <c r="J87" s="27">
        <v>76.8</v>
      </c>
      <c r="K87" s="27">
        <v>0</v>
      </c>
      <c r="L87" s="27">
        <v>2.726</v>
      </c>
      <c r="M87" s="27">
        <v>18.951</v>
      </c>
      <c r="N87" s="27">
        <v>111.2157</v>
      </c>
    </row>
    <row r="88" spans="2:14">
      <c r="B88" s="28" t="s">
        <v>221</v>
      </c>
      <c r="C88" s="27">
        <v>0</v>
      </c>
      <c r="D88" s="27">
        <v>139.68</v>
      </c>
      <c r="E88" s="27">
        <v>251.725</v>
      </c>
      <c r="F88" s="27">
        <v>257.098</v>
      </c>
      <c r="G88" s="27">
        <v>242.162</v>
      </c>
      <c r="H88" s="27">
        <v>0.855</v>
      </c>
      <c r="I88" s="27">
        <v>0</v>
      </c>
      <c r="J88" s="27">
        <v>0</v>
      </c>
      <c r="K88" s="27">
        <v>42.994</v>
      </c>
      <c r="L88" s="27">
        <v>34.444</v>
      </c>
      <c r="M88" s="27">
        <v>4.753</v>
      </c>
      <c r="N88" s="27">
        <v>0</v>
      </c>
    </row>
    <row r="106" spans="2:14" ht="19" customHeight="1">
      <c r="B106" s="5" t="s">
        <v>225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15" t="s">
        <v>210</v>
      </c>
      <c r="C107" s="16" t="s">
        <v>155</v>
      </c>
      <c r="D107" s="16" t="s">
        <v>156</v>
      </c>
      <c r="E107" s="16" t="s">
        <v>157</v>
      </c>
      <c r="F107" s="16" t="s">
        <v>158</v>
      </c>
      <c r="G107" s="16" t="s">
        <v>159</v>
      </c>
      <c r="H107" s="16" t="s">
        <v>160</v>
      </c>
      <c r="I107" s="16" t="s">
        <v>161</v>
      </c>
      <c r="J107" s="16" t="s">
        <v>162</v>
      </c>
      <c r="K107" s="16" t="s">
        <v>163</v>
      </c>
      <c r="L107" s="16" t="s">
        <v>164</v>
      </c>
      <c r="M107" s="16" t="s">
        <v>165</v>
      </c>
      <c r="N107" s="16" t="s">
        <v>166</v>
      </c>
    </row>
    <row r="108" spans="2:14">
      <c r="B108" s="28" t="s">
        <v>216</v>
      </c>
      <c r="C108" s="27">
        <v>179.8849</v>
      </c>
      <c r="D108" s="27">
        <v>275.9716</v>
      </c>
      <c r="E108" s="27">
        <v>85.6249</v>
      </c>
      <c r="F108" s="27">
        <v>214.89</v>
      </c>
      <c r="G108" s="27">
        <v>272.8808</v>
      </c>
      <c r="H108" s="27">
        <v>123.38</v>
      </c>
      <c r="I108" s="27">
        <v>109.58</v>
      </c>
      <c r="J108" s="27">
        <v>47.53</v>
      </c>
      <c r="K108" s="27">
        <v>110.06</v>
      </c>
      <c r="L108" s="27">
        <v>198.14</v>
      </c>
      <c r="M108" s="27">
        <v>136.196</v>
      </c>
      <c r="N108" s="27">
        <v>9.5</v>
      </c>
    </row>
    <row r="109" spans="2:14">
      <c r="B109" s="28" t="s">
        <v>217</v>
      </c>
      <c r="C109" s="27">
        <v>320.38</v>
      </c>
      <c r="D109" s="27">
        <v>364.98</v>
      </c>
      <c r="E109" s="27">
        <v>287.466</v>
      </c>
      <c r="F109" s="27">
        <v>674.1610000000001</v>
      </c>
      <c r="G109" s="27">
        <v>198.49</v>
      </c>
      <c r="H109" s="27">
        <v>0</v>
      </c>
      <c r="I109" s="27">
        <v>260.242511540384</v>
      </c>
      <c r="J109" s="27">
        <v>248.1393601021165</v>
      </c>
      <c r="K109" s="27">
        <v>301.4923076651094</v>
      </c>
      <c r="L109" s="27">
        <v>408.423901714185</v>
      </c>
      <c r="M109" s="27">
        <v>267.8813451523436</v>
      </c>
      <c r="N109" s="27">
        <v>283.9141857042183</v>
      </c>
    </row>
    <row r="110" spans="2:14">
      <c r="B110" s="28" t="s">
        <v>218</v>
      </c>
      <c r="C110" s="27">
        <v>509.283</v>
      </c>
      <c r="D110" s="27">
        <v>985.422</v>
      </c>
      <c r="E110" s="27">
        <v>1263.928</v>
      </c>
      <c r="F110" s="27">
        <v>1698.66</v>
      </c>
      <c r="G110" s="27">
        <v>942.048</v>
      </c>
      <c r="H110" s="27">
        <v>631.49</v>
      </c>
      <c r="I110" s="27">
        <v>370.407</v>
      </c>
      <c r="J110" s="27">
        <v>387.615</v>
      </c>
      <c r="K110" s="27">
        <v>563.551</v>
      </c>
      <c r="L110" s="27">
        <v>1485.9288</v>
      </c>
      <c r="M110" s="27">
        <v>1026.309</v>
      </c>
      <c r="N110" s="27">
        <v>626.7</v>
      </c>
    </row>
    <row r="111" spans="2:14">
      <c r="B111" s="28" t="s">
        <v>219</v>
      </c>
      <c r="C111" s="27">
        <v>533.6799999999999</v>
      </c>
      <c r="D111" s="27">
        <v>1069.4633</v>
      </c>
      <c r="E111" s="27">
        <v>618.688</v>
      </c>
      <c r="F111" s="27">
        <v>709.707</v>
      </c>
      <c r="G111" s="27">
        <v>615.076</v>
      </c>
      <c r="H111" s="27">
        <v>544.169</v>
      </c>
      <c r="I111" s="27">
        <v>65.27199999999999</v>
      </c>
      <c r="J111" s="27">
        <v>112.765</v>
      </c>
      <c r="K111" s="27">
        <v>533.729</v>
      </c>
      <c r="L111" s="27">
        <v>647.6950000000001</v>
      </c>
      <c r="M111" s="27">
        <v>325.03</v>
      </c>
      <c r="N111" s="27">
        <v>171.0665</v>
      </c>
    </row>
    <row r="112" spans="2:14">
      <c r="B112" s="28" t="s">
        <v>220</v>
      </c>
      <c r="C112" s="27">
        <v>617.2497999999999</v>
      </c>
      <c r="D112" s="27">
        <v>1255.1687</v>
      </c>
      <c r="E112" s="27">
        <v>727.2744</v>
      </c>
      <c r="F112" s="27">
        <v>724.665</v>
      </c>
      <c r="G112" s="27">
        <v>482.509</v>
      </c>
      <c r="H112" s="27">
        <v>40.6612</v>
      </c>
      <c r="I112" s="27">
        <v>96.7664</v>
      </c>
      <c r="J112" s="27">
        <v>129.265</v>
      </c>
      <c r="K112" s="27">
        <v>102.055</v>
      </c>
      <c r="L112" s="27">
        <v>864.36</v>
      </c>
      <c r="M112" s="27">
        <v>658.28</v>
      </c>
      <c r="N112" s="27">
        <v>231.929</v>
      </c>
    </row>
    <row r="113" spans="2:14">
      <c r="B113" s="28" t="s">
        <v>221</v>
      </c>
      <c r="C113" s="27">
        <v>396.02</v>
      </c>
      <c r="D113" s="27">
        <v>504.118</v>
      </c>
      <c r="E113" s="27">
        <v>241.146</v>
      </c>
      <c r="F113" s="27">
        <v>13.559</v>
      </c>
      <c r="G113" s="27">
        <v>51.34</v>
      </c>
      <c r="H113" s="27">
        <v>3.5</v>
      </c>
      <c r="I113" s="27">
        <v>3.5</v>
      </c>
      <c r="J113" s="27">
        <v>3.5</v>
      </c>
      <c r="K113" s="27">
        <v>190.75</v>
      </c>
      <c r="L113" s="27">
        <v>513.04</v>
      </c>
      <c r="M113" s="27">
        <v>94.25</v>
      </c>
      <c r="N113" s="27">
        <v>3.5</v>
      </c>
    </row>
    <row r="131" spans="2:12" ht="19" customHeight="1">
      <c r="B131" s="8" t="s">
        <v>226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15" t="s">
        <v>63</v>
      </c>
      <c r="C132" s="26">
        <v>2018</v>
      </c>
      <c r="D132" s="26">
        <v>2019</v>
      </c>
      <c r="E132" s="26">
        <v>2020</v>
      </c>
      <c r="F132" s="26">
        <v>2021</v>
      </c>
      <c r="G132" s="26">
        <v>2022</v>
      </c>
      <c r="H132" s="26">
        <v>2023</v>
      </c>
      <c r="I132" s="26">
        <v>2024</v>
      </c>
      <c r="J132" s="26">
        <v>2025</v>
      </c>
      <c r="K132" s="43">
        <v>2026</v>
      </c>
      <c r="L132" s="43">
        <v>2027</v>
      </c>
    </row>
    <row r="133" spans="2:12">
      <c r="B133" s="28" t="s">
        <v>4</v>
      </c>
      <c r="C133" s="27">
        <v>2893.3769</v>
      </c>
      <c r="D133" s="27">
        <v>3939.7629</v>
      </c>
      <c r="E133" s="27">
        <v>9251.751700000001</v>
      </c>
      <c r="F133" s="27">
        <v>3805.4693</v>
      </c>
      <c r="G133" s="27">
        <v>1555.1216</v>
      </c>
      <c r="H133" s="27">
        <v>3165.7897</v>
      </c>
      <c r="I133" s="27">
        <v>1322.7674</v>
      </c>
      <c r="J133" s="27">
        <v>2415.657</v>
      </c>
      <c r="K133" s="37">
        <v>527.7182</v>
      </c>
      <c r="L133" s="37">
        <v>389.4148</v>
      </c>
    </row>
    <row r="134" spans="2:12">
      <c r="B134" s="28" t="s">
        <v>5</v>
      </c>
      <c r="C134" s="27">
        <v>8081.7244</v>
      </c>
      <c r="D134" s="27">
        <v>10058.3026</v>
      </c>
      <c r="E134" s="27">
        <v>29889.079</v>
      </c>
      <c r="F134" s="27">
        <v>15977.2302</v>
      </c>
      <c r="G134" s="27">
        <v>10595.2604</v>
      </c>
      <c r="H134" s="27">
        <v>12104.8893</v>
      </c>
      <c r="I134" s="27">
        <v>10241.9252</v>
      </c>
      <c r="J134" s="27">
        <v>8767.651400000001</v>
      </c>
      <c r="K134" s="37">
        <v>6284.7377</v>
      </c>
      <c r="L134" s="37">
        <v>3995.487</v>
      </c>
    </row>
    <row r="135" spans="2:12">
      <c r="B135" s="28" t="s">
        <v>6</v>
      </c>
      <c r="C135" s="27">
        <v>14797.2328</v>
      </c>
      <c r="D135" s="27">
        <v>22644.4881</v>
      </c>
      <c r="E135" s="27">
        <v>80028.2665</v>
      </c>
      <c r="F135" s="27">
        <v>55571.7062</v>
      </c>
      <c r="G135" s="27">
        <v>26369.1344</v>
      </c>
      <c r="H135" s="27">
        <v>26488.9403</v>
      </c>
      <c r="I135" s="27">
        <v>23419.9457</v>
      </c>
      <c r="J135" s="27">
        <v>16427.6227</v>
      </c>
      <c r="K135" s="37">
        <v>9299.2333</v>
      </c>
      <c r="L135" s="37">
        <v>8546.3338</v>
      </c>
    </row>
    <row r="136" spans="2:12">
      <c r="B136" s="28" t="s">
        <v>7</v>
      </c>
      <c r="C136" s="27">
        <v>1578.74</v>
      </c>
      <c r="D136" s="27">
        <v>573.6105</v>
      </c>
      <c r="E136" s="27">
        <v>3098.1596</v>
      </c>
      <c r="F136" s="27">
        <v>2489.7791</v>
      </c>
      <c r="G136" s="27">
        <v>1648.2037</v>
      </c>
      <c r="H136" s="27">
        <v>2134.9019</v>
      </c>
      <c r="I136" s="27">
        <v>1034.0834</v>
      </c>
      <c r="J136" s="27">
        <v>571.8007</v>
      </c>
      <c r="K136" s="37">
        <v>690.2984</v>
      </c>
      <c r="L136" s="37">
        <v>973.711</v>
      </c>
    </row>
    <row r="137" spans="2:12">
      <c r="B137" s="28" t="s">
        <v>8</v>
      </c>
      <c r="C137" s="27">
        <v>4684.4105</v>
      </c>
      <c r="D137" s="27">
        <v>5441.4348</v>
      </c>
      <c r="E137" s="27">
        <v>27982.3252</v>
      </c>
      <c r="F137" s="27">
        <v>14331.2426</v>
      </c>
      <c r="G137" s="27">
        <v>6891.4998</v>
      </c>
      <c r="H137" s="27">
        <v>5930.1835</v>
      </c>
      <c r="I137" s="27">
        <v>5946.3408</v>
      </c>
      <c r="J137" s="27">
        <v>10491.3418</v>
      </c>
      <c r="K137" s="37">
        <v>3609.1152</v>
      </c>
      <c r="L137" s="37">
        <v>2018.223</v>
      </c>
    </row>
    <row r="138" spans="2:12">
      <c r="B138" s="17" t="s">
        <v>0</v>
      </c>
      <c r="C138" s="35">
        <f>SUM(C133:C137)</f>
        <v>0</v>
      </c>
      <c r="D138" s="35">
        <f>SUM(D133:D137)</f>
        <v>0</v>
      </c>
      <c r="E138" s="35">
        <f>SUM(E133:E137)</f>
        <v>0</v>
      </c>
      <c r="F138" s="35">
        <f>SUM(F133:F137)</f>
        <v>0</v>
      </c>
      <c r="G138" s="35">
        <f>SUM(G133:G137)</f>
        <v>0</v>
      </c>
      <c r="H138" s="35">
        <f>SUM(H133:H137)</f>
        <v>0</v>
      </c>
      <c r="I138" s="35">
        <f>SUM(I133:I137)</f>
        <v>0</v>
      </c>
      <c r="J138" s="35">
        <f>SUM(J133:J137)</f>
        <v>0</v>
      </c>
      <c r="K138" s="37">
        <f>SUM(K133:K137)</f>
        <v>0</v>
      </c>
      <c r="L138" s="37">
        <f>SUM(L133:L137)</f>
        <v>0</v>
      </c>
    </row>
    <row r="140" spans="2:12" ht="19" customHeight="1">
      <c r="B140" s="6" t="s">
        <v>227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15" t="s">
        <v>63</v>
      </c>
      <c r="C141" s="26">
        <v>2018</v>
      </c>
      <c r="D141" s="26">
        <v>2019</v>
      </c>
      <c r="E141" s="26">
        <v>2020</v>
      </c>
      <c r="F141" s="26">
        <v>2021</v>
      </c>
      <c r="G141" s="26">
        <v>2022</v>
      </c>
      <c r="H141" s="26">
        <v>2023</v>
      </c>
      <c r="I141" s="26">
        <v>2024</v>
      </c>
      <c r="J141" s="26">
        <v>2025</v>
      </c>
      <c r="K141" s="43">
        <v>2026</v>
      </c>
    </row>
    <row r="142" spans="2:12">
      <c r="B142" s="28" t="s">
        <v>4</v>
      </c>
      <c r="C142" s="27">
        <v>686.5771999999999</v>
      </c>
      <c r="D142" s="27">
        <v>1134.9774</v>
      </c>
      <c r="E142" s="27">
        <v>6639.4917</v>
      </c>
      <c r="F142" s="27">
        <v>3499.3643</v>
      </c>
      <c r="G142" s="27">
        <v>838.49</v>
      </c>
      <c r="H142" s="27">
        <v>871.5185</v>
      </c>
      <c r="I142" s="27">
        <v>758.0088</v>
      </c>
      <c r="J142" s="27">
        <v>1524.7432</v>
      </c>
      <c r="K142" s="37">
        <v>341.7187</v>
      </c>
    </row>
    <row r="143" spans="2:12">
      <c r="B143" s="28" t="s">
        <v>5</v>
      </c>
      <c r="C143" s="27">
        <v>2968.9009</v>
      </c>
      <c r="D143" s="27">
        <v>4280.2866</v>
      </c>
      <c r="E143" s="27">
        <v>27603.1455</v>
      </c>
      <c r="F143" s="27">
        <v>11298.4568</v>
      </c>
      <c r="G143" s="27">
        <v>6764.0168</v>
      </c>
      <c r="H143" s="27">
        <v>6640.3387</v>
      </c>
      <c r="I143" s="27">
        <v>5602.5239</v>
      </c>
      <c r="J143" s="27">
        <v>2837.6686</v>
      </c>
      <c r="K143" s="37">
        <v>1651.0917</v>
      </c>
    </row>
    <row r="144" spans="2:12">
      <c r="B144" s="28" t="s">
        <v>6</v>
      </c>
      <c r="C144" s="27">
        <v>6130.7373</v>
      </c>
      <c r="D144" s="27">
        <v>9871.7996</v>
      </c>
      <c r="E144" s="27">
        <v>66180.89750000001</v>
      </c>
      <c r="F144" s="27">
        <v>40953.2259</v>
      </c>
      <c r="G144" s="27">
        <v>11315.8739</v>
      </c>
      <c r="H144" s="27">
        <v>11829.2618</v>
      </c>
      <c r="I144" s="27">
        <v>11810.3492</v>
      </c>
      <c r="J144" s="27">
        <v>6051.7432</v>
      </c>
      <c r="K144" s="37">
        <v>4370.676</v>
      </c>
    </row>
    <row r="145" spans="2:12">
      <c r="B145" s="28" t="s">
        <v>7</v>
      </c>
      <c r="C145" s="27">
        <v>397.564</v>
      </c>
      <c r="D145" s="27">
        <v>40.13650000000001</v>
      </c>
      <c r="E145" s="27">
        <v>2735.7326</v>
      </c>
      <c r="F145" s="27">
        <v>1627.5056</v>
      </c>
      <c r="G145" s="27">
        <v>693.9537</v>
      </c>
      <c r="H145" s="27">
        <v>1470.7124</v>
      </c>
      <c r="I145" s="27">
        <v>401.7754</v>
      </c>
      <c r="J145" s="27">
        <v>381.1887</v>
      </c>
      <c r="K145" s="37">
        <v>173.0774</v>
      </c>
    </row>
    <row r="146" spans="2:12">
      <c r="B146" s="28" t="s">
        <v>8</v>
      </c>
      <c r="C146" s="27">
        <v>1184.8115</v>
      </c>
      <c r="D146" s="27">
        <v>3008.2042</v>
      </c>
      <c r="E146" s="27">
        <v>21618.5782</v>
      </c>
      <c r="F146" s="27">
        <v>9056.141100000001</v>
      </c>
      <c r="G146" s="27">
        <v>3016.1748</v>
      </c>
      <c r="H146" s="27">
        <v>2872.6275</v>
      </c>
      <c r="I146" s="27">
        <v>3009.9095</v>
      </c>
      <c r="J146" s="27">
        <v>8462.209800000001</v>
      </c>
      <c r="K146" s="37">
        <v>1845.477</v>
      </c>
    </row>
    <row r="147" spans="2:12">
      <c r="B147" s="17" t="s">
        <v>0</v>
      </c>
      <c r="C147" s="35">
        <f>SUM(C142:C146)</f>
        <v>0</v>
      </c>
      <c r="D147" s="35">
        <f>SUM(D142:D146)</f>
        <v>0</v>
      </c>
      <c r="E147" s="35">
        <f>SUM(E142:E146)</f>
        <v>0</v>
      </c>
      <c r="F147" s="35">
        <f>SUM(F142:F146)</f>
        <v>0</v>
      </c>
      <c r="G147" s="35">
        <f>SUM(G142:G146)</f>
        <v>0</v>
      </c>
      <c r="H147" s="35">
        <f>SUM(H142:H146)</f>
        <v>0</v>
      </c>
      <c r="I147" s="35">
        <f>SUM(I142:I146)</f>
        <v>0</v>
      </c>
      <c r="J147" s="35">
        <f>SUM(J142:J146)</f>
        <v>0</v>
      </c>
      <c r="K147" s="37">
        <f>SUM(K142:K146)</f>
        <v>0</v>
      </c>
    </row>
    <row r="149" spans="2:12" ht="19" customHeight="1">
      <c r="B149" s="44" t="s">
        <v>228</v>
      </c>
      <c r="C149" s="44"/>
      <c r="D149" s="44"/>
      <c r="E149" s="44"/>
      <c r="F149" s="44"/>
      <c r="G149" s="44"/>
      <c r="H149" s="44"/>
      <c r="I149" s="44"/>
      <c r="J149" s="44"/>
      <c r="K149" s="44"/>
      <c r="L149" s="44"/>
    </row>
    <row r="150" spans="2:12">
      <c r="B150" s="15" t="s">
        <v>63</v>
      </c>
      <c r="C150" s="26">
        <v>2018</v>
      </c>
      <c r="D150" s="26">
        <v>2019</v>
      </c>
      <c r="E150" s="26">
        <v>2020</v>
      </c>
      <c r="F150" s="26">
        <v>2021</v>
      </c>
      <c r="G150" s="26">
        <v>2022</v>
      </c>
      <c r="H150" s="26">
        <v>2023</v>
      </c>
      <c r="I150" s="26">
        <v>2024</v>
      </c>
      <c r="J150" s="26">
        <v>2025</v>
      </c>
      <c r="K150" s="43">
        <v>2026</v>
      </c>
      <c r="L150" s="43">
        <v>2027</v>
      </c>
    </row>
    <row r="151" spans="2:12">
      <c r="B151" s="28" t="s">
        <v>4</v>
      </c>
      <c r="C151" s="27">
        <v>2206.7997</v>
      </c>
      <c r="D151" s="27">
        <v>2804.7855</v>
      </c>
      <c r="E151" s="27">
        <v>2612.26</v>
      </c>
      <c r="F151" s="27">
        <v>306.105</v>
      </c>
      <c r="G151" s="27">
        <v>716.6316</v>
      </c>
      <c r="H151" s="27">
        <v>2294.2712</v>
      </c>
      <c r="I151" s="27">
        <v>564.7586</v>
      </c>
      <c r="J151" s="27">
        <v>890.9138</v>
      </c>
      <c r="K151" s="37">
        <v>185.9995</v>
      </c>
      <c r="L151" s="37">
        <v>389.4148</v>
      </c>
    </row>
    <row r="152" spans="2:12">
      <c r="B152" s="28" t="s">
        <v>5</v>
      </c>
      <c r="C152" s="27">
        <v>5112.8235</v>
      </c>
      <c r="D152" s="27">
        <v>5778.016</v>
      </c>
      <c r="E152" s="27">
        <v>2285.9335</v>
      </c>
      <c r="F152" s="27">
        <v>4678.7734</v>
      </c>
      <c r="G152" s="27">
        <v>3831.2436</v>
      </c>
      <c r="H152" s="27">
        <v>5464.5506</v>
      </c>
      <c r="I152" s="27">
        <v>4639.4013</v>
      </c>
      <c r="J152" s="27">
        <v>5929.9828</v>
      </c>
      <c r="K152" s="37">
        <v>4633.646</v>
      </c>
      <c r="L152" s="37">
        <v>3995.487</v>
      </c>
    </row>
    <row r="153" spans="2:12">
      <c r="B153" s="28" t="s">
        <v>6</v>
      </c>
      <c r="C153" s="27">
        <v>8666.495499999999</v>
      </c>
      <c r="D153" s="27">
        <v>12772.6885</v>
      </c>
      <c r="E153" s="27">
        <v>13847.369</v>
      </c>
      <c r="F153" s="27">
        <v>14618.4803</v>
      </c>
      <c r="G153" s="27">
        <v>15053.2605</v>
      </c>
      <c r="H153" s="27">
        <v>14659.6785</v>
      </c>
      <c r="I153" s="27">
        <v>11609.5965</v>
      </c>
      <c r="J153" s="27">
        <v>10375.8795</v>
      </c>
      <c r="K153" s="37">
        <v>4928.5573</v>
      </c>
      <c r="L153" s="37">
        <v>8546.3338</v>
      </c>
    </row>
    <row r="154" spans="2:12">
      <c r="B154" s="28" t="s">
        <v>7</v>
      </c>
      <c r="C154" s="27">
        <v>1181.176</v>
      </c>
      <c r="D154" s="27">
        <v>533.474</v>
      </c>
      <c r="E154" s="27">
        <v>362.427</v>
      </c>
      <c r="F154" s="27">
        <v>862.2735</v>
      </c>
      <c r="G154" s="27">
        <v>954.25</v>
      </c>
      <c r="H154" s="27">
        <v>664.1895</v>
      </c>
      <c r="I154" s="27">
        <v>632.308</v>
      </c>
      <c r="J154" s="27">
        <v>190.612</v>
      </c>
      <c r="K154" s="37">
        <v>517.221</v>
      </c>
      <c r="L154" s="37">
        <v>973.711</v>
      </c>
    </row>
    <row r="155" spans="2:12">
      <c r="B155" s="28" t="s">
        <v>8</v>
      </c>
      <c r="C155" s="27">
        <v>3499.599</v>
      </c>
      <c r="D155" s="27">
        <v>2433.2306</v>
      </c>
      <c r="E155" s="27">
        <v>6363.747</v>
      </c>
      <c r="F155" s="27">
        <v>5275.1015</v>
      </c>
      <c r="G155" s="27">
        <v>3875.325</v>
      </c>
      <c r="H155" s="27">
        <v>3057.556</v>
      </c>
      <c r="I155" s="27">
        <v>2936.4313</v>
      </c>
      <c r="J155" s="27">
        <v>2029.132</v>
      </c>
      <c r="K155" s="37">
        <v>1763.6382</v>
      </c>
      <c r="L155" s="37">
        <v>2018.223</v>
      </c>
    </row>
    <row r="156" spans="2:12">
      <c r="B156" s="17" t="s">
        <v>0</v>
      </c>
      <c r="C156" s="35">
        <f>SUM(C151:C155)</f>
        <v>0</v>
      </c>
      <c r="D156" s="35">
        <f>SUM(D151:D155)</f>
        <v>0</v>
      </c>
      <c r="E156" s="35">
        <f>SUM(E151:E155)</f>
        <v>0</v>
      </c>
      <c r="F156" s="35">
        <f>SUM(F151:F155)</f>
        <v>0</v>
      </c>
      <c r="G156" s="35">
        <f>SUM(G151:G155)</f>
        <v>0</v>
      </c>
      <c r="H156" s="35">
        <f>SUM(H151:H155)</f>
        <v>0</v>
      </c>
      <c r="I156" s="35">
        <f>SUM(I151:I155)</f>
        <v>0</v>
      </c>
      <c r="J156" s="35">
        <f>SUM(J151:J155)</f>
        <v>0</v>
      </c>
      <c r="K156" s="37">
        <f>SUM(K151:K155)</f>
        <v>0</v>
      </c>
      <c r="L156" s="37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3">
      <c r="B2" s="1" t="s">
        <v>284</v>
      </c>
      <c r="C2" s="1"/>
      <c r="D2" s="1"/>
      <c r="E2" s="1"/>
      <c r="F2" s="1"/>
      <c r="G2" s="1"/>
      <c r="H2" s="1"/>
      <c r="I2" s="1"/>
    </row>
    <row r="3" spans="2:13">
      <c r="B3" s="2" t="s">
        <v>285</v>
      </c>
      <c r="C3" s="2"/>
      <c r="D3" s="2"/>
      <c r="E3" s="2"/>
      <c r="F3" s="2"/>
      <c r="G3" s="2"/>
      <c r="H3" s="2"/>
      <c r="I3" s="2"/>
    </row>
    <row r="6" spans="2:13" ht="19" customHeight="1">
      <c r="B6" s="47" t="s">
        <v>286</v>
      </c>
      <c r="C6" s="47"/>
      <c r="D6" s="47"/>
      <c r="E6" s="47"/>
      <c r="F6" s="47"/>
    </row>
    <row r="7" spans="2:13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  <c r="L7" s="3" t="s">
        <v>288</v>
      </c>
    </row>
    <row r="8" spans="2:13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  <c r="L8" s="28" t="s">
        <v>113</v>
      </c>
      <c r="M8" s="27">
        <v>55629.5349</v>
      </c>
    </row>
    <row r="9" spans="2:13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  <c r="L9" s="28" t="s">
        <v>240</v>
      </c>
      <c r="M9" s="27">
        <v>4002.1342</v>
      </c>
    </row>
    <row r="10" spans="2:13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  <c r="L10" s="28" t="s">
        <v>243</v>
      </c>
      <c r="M10" s="27">
        <v>425.142</v>
      </c>
    </row>
    <row r="11" spans="2:13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  <c r="L11" s="28" t="s">
        <v>244</v>
      </c>
      <c r="M11" s="27">
        <v>295.104</v>
      </c>
    </row>
    <row r="12" spans="2:13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3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3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3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3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0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19" spans="2:10" ht="19" customHeight="1">
      <c r="B19" s="8" t="s">
        <v>287</v>
      </c>
      <c r="C19" s="8"/>
      <c r="D19" s="8"/>
      <c r="E19" s="8"/>
      <c r="F19" s="8"/>
      <c r="G19" s="8"/>
      <c r="H19" s="8"/>
      <c r="I19" s="8"/>
      <c r="J19" s="8"/>
    </row>
    <row r="20" spans="2:10">
      <c r="B20" s="15" t="s">
        <v>63</v>
      </c>
      <c r="C20" s="26">
        <v>2020</v>
      </c>
      <c r="D20" s="26">
        <v>2021</v>
      </c>
      <c r="E20" s="26">
        <v>2022</v>
      </c>
      <c r="F20" s="26">
        <v>2023</v>
      </c>
      <c r="G20" s="26">
        <v>2024</v>
      </c>
      <c r="H20" s="26">
        <v>2025</v>
      </c>
      <c r="I20" s="43">
        <v>2026</v>
      </c>
      <c r="J20" s="43">
        <v>2027</v>
      </c>
    </row>
    <row r="21" spans="2:10">
      <c r="B21" s="28" t="s">
        <v>4</v>
      </c>
      <c r="C21" s="27">
        <v>519.4454000000001</v>
      </c>
      <c r="D21" s="27">
        <v>563.8996</v>
      </c>
      <c r="E21" s="27">
        <v>199.403</v>
      </c>
      <c r="F21" s="27">
        <v>137.86</v>
      </c>
      <c r="G21" s="27">
        <v>45.6437</v>
      </c>
      <c r="H21" s="27">
        <v>120.1568</v>
      </c>
      <c r="I21" s="37">
        <v>26.532</v>
      </c>
      <c r="J21" s="37">
        <v>27.95</v>
      </c>
    </row>
    <row r="22" spans="2:10">
      <c r="B22" s="28" t="s">
        <v>5</v>
      </c>
      <c r="C22" s="45">
        <v>2693.5234</v>
      </c>
      <c r="D22" s="45">
        <v>1665.5151</v>
      </c>
      <c r="E22" s="45">
        <v>925.9366</v>
      </c>
      <c r="F22" s="45">
        <v>1145.2151</v>
      </c>
      <c r="G22" s="45">
        <v>1049.295</v>
      </c>
      <c r="H22" s="45">
        <v>949.9639999999999</v>
      </c>
      <c r="I22" s="46">
        <v>433.159</v>
      </c>
      <c r="J22" s="46">
        <v>239.23</v>
      </c>
    </row>
    <row r="23" spans="2:10">
      <c r="B23" s="28" t="s">
        <v>6</v>
      </c>
      <c r="C23" s="27">
        <v>6726.321</v>
      </c>
      <c r="D23" s="27">
        <v>4320.2848</v>
      </c>
      <c r="E23" s="27">
        <v>2004.3639</v>
      </c>
      <c r="F23" s="27">
        <v>2256.307</v>
      </c>
      <c r="G23" s="27">
        <v>2628.0522</v>
      </c>
      <c r="H23" s="27">
        <v>864.109</v>
      </c>
      <c r="I23" s="37">
        <v>613.164</v>
      </c>
      <c r="J23" s="37">
        <v>254.66</v>
      </c>
    </row>
    <row r="24" spans="2:10">
      <c r="B24" s="28" t="s">
        <v>7</v>
      </c>
      <c r="C24" s="45">
        <v>245.9824</v>
      </c>
      <c r="D24" s="45">
        <v>164.957</v>
      </c>
      <c r="E24" s="45">
        <v>86.30200000000001</v>
      </c>
      <c r="F24" s="45">
        <v>153.9075</v>
      </c>
      <c r="G24" s="45">
        <v>48.297</v>
      </c>
      <c r="H24" s="45">
        <v>37.768</v>
      </c>
      <c r="I24" s="46">
        <v>31.47</v>
      </c>
      <c r="J24" s="46">
        <v>87.65300000000001</v>
      </c>
    </row>
    <row r="25" spans="2:10">
      <c r="B25" s="28" t="s">
        <v>8</v>
      </c>
      <c r="C25" s="27">
        <v>2154.2035</v>
      </c>
      <c r="D25" s="27">
        <v>1141.5813</v>
      </c>
      <c r="E25" s="27">
        <v>669.835</v>
      </c>
      <c r="F25" s="27">
        <v>539.8076</v>
      </c>
      <c r="G25" s="27">
        <v>592.4104</v>
      </c>
      <c r="H25" s="27">
        <v>650.3818</v>
      </c>
      <c r="I25" s="37">
        <v>315.876</v>
      </c>
      <c r="J25" s="37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</row>
    <row r="26" spans="2:14">
      <c r="B26" s="28" t="s">
        <v>405</v>
      </c>
      <c r="C26" s="27">
        <f>SUM(C22:N22)</f>
        <v>0</v>
      </c>
    </row>
    <row r="27" spans="2:14">
      <c r="B27" s="17" t="s">
        <v>406</v>
      </c>
      <c r="C27" s="32">
        <f>SUM(C23:N23)</f>
        <v>0</v>
      </c>
    </row>
    <row r="28" spans="2:14">
      <c r="B28" s="28" t="s">
        <v>407</v>
      </c>
      <c r="C28" s="59">
        <v>15923.1696</v>
      </c>
    </row>
    <row r="29" spans="2:14">
      <c r="B29" s="17" t="s">
        <v>408</v>
      </c>
      <c r="C29" s="32">
        <f>$C$27+$C$28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</row>
    <row r="31" spans="2:14">
      <c r="B31" s="28" t="s">
        <v>410</v>
      </c>
      <c r="C31" s="27">
        <f>D30+$C$28</f>
        <v>0</v>
      </c>
      <c r="D31" s="27">
        <f>E30+$C$28</f>
        <v>0</v>
      </c>
    </row>
    <row r="33" spans="2:14" ht="19" customHeight="1">
      <c r="B33" s="5" t="s">
        <v>411</v>
      </c>
      <c r="C33" s="5"/>
      <c r="D33" s="5"/>
      <c r="E33" s="5"/>
    </row>
    <row r="34" spans="2:14">
      <c r="B34" s="15" t="s">
        <v>63</v>
      </c>
      <c r="C34" s="16" t="s">
        <v>412</v>
      </c>
      <c r="D34" s="16" t="s">
        <v>413</v>
      </c>
      <c r="E34" s="16" t="s">
        <v>414</v>
      </c>
    </row>
    <row r="35" spans="2:14">
      <c r="B35" s="28" t="s">
        <v>4</v>
      </c>
      <c r="C35" s="27">
        <v>998.190125</v>
      </c>
      <c r="D35" s="32">
        <f>C35*(1+$C$8)*$C$9</f>
        <v>0</v>
      </c>
      <c r="E35" s="60">
        <f>IF($D$40=0,0,D35/$D$40)</f>
        <v>0</v>
      </c>
    </row>
    <row r="36" spans="2:14">
      <c r="B36" s="28" t="s">
        <v>5</v>
      </c>
      <c r="C36" s="27">
        <v>5461.137000000001</v>
      </c>
      <c r="D36" s="32">
        <f>C36*(1+$C$8)*$C$9</f>
        <v>0</v>
      </c>
      <c r="E36" s="60">
        <f>IF($D$40=0,0,D36/$D$40)</f>
        <v>0</v>
      </c>
    </row>
    <row r="37" spans="2:14">
      <c r="B37" s="28" t="s">
        <v>6</v>
      </c>
      <c r="C37" s="27">
        <v>10251.807025</v>
      </c>
      <c r="D37" s="32">
        <f>C37*(1+$C$8)*$C$9</f>
        <v>0</v>
      </c>
      <c r="E37" s="60">
        <f>IF($D$40=0,0,D37/$D$40)</f>
        <v>0</v>
      </c>
    </row>
    <row r="38" spans="2:14">
      <c r="B38" s="28" t="s">
        <v>7</v>
      </c>
      <c r="C38" s="27">
        <v>736.9075499999999</v>
      </c>
      <c r="D38" s="32">
        <f>C38*(1+$C$8)*$C$9</f>
        <v>0</v>
      </c>
      <c r="E38" s="60">
        <f>IF($D$40=0,0,D38/$D$40)</f>
        <v>0</v>
      </c>
    </row>
    <row r="39" spans="2:14">
      <c r="B39" s="28" t="s">
        <v>8</v>
      </c>
      <c r="C39" s="27">
        <v>4340.230399999999</v>
      </c>
      <c r="D39" s="32">
        <f>C39*(1+$C$8)*$C$9</f>
        <v>0</v>
      </c>
      <c r="E39" s="60">
        <f>IF($D$40=0,0,D39/$D$40)</f>
        <v>0</v>
      </c>
    </row>
    <row r="40" spans="2:14">
      <c r="B40" s="17" t="s">
        <v>0</v>
      </c>
      <c r="C40" s="32">
        <f>SUM(C35:C39)</f>
        <v>0</v>
      </c>
      <c r="D40" s="32">
        <f>SUM(D35:D39)</f>
        <v>0</v>
      </c>
    </row>
    <row r="42" spans="2:14" ht="19" customHeight="1">
      <c r="B42" s="8" t="s">
        <v>415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15" t="s">
        <v>210</v>
      </c>
      <c r="C43" s="16" t="s">
        <v>155</v>
      </c>
      <c r="D43" s="16" t="s">
        <v>156</v>
      </c>
      <c r="E43" s="16" t="s">
        <v>157</v>
      </c>
      <c r="F43" s="16" t="s">
        <v>158</v>
      </c>
      <c r="G43" s="16" t="s">
        <v>159</v>
      </c>
      <c r="H43" s="16" t="s">
        <v>160</v>
      </c>
      <c r="I43" s="16" t="s">
        <v>161</v>
      </c>
      <c r="J43" s="16" t="s">
        <v>162</v>
      </c>
      <c r="K43" s="16" t="s">
        <v>163</v>
      </c>
      <c r="L43" s="16" t="s">
        <v>164</v>
      </c>
      <c r="M43" s="16" t="s">
        <v>165</v>
      </c>
      <c r="N43" s="16" t="s">
        <v>166</v>
      </c>
    </row>
    <row r="44" spans="2:14">
      <c r="B44" s="28" t="s">
        <v>416</v>
      </c>
      <c r="C44" s="27">
        <f>C23</f>
        <v>0</v>
      </c>
      <c r="D44" s="27">
        <f>D23</f>
        <v>0</v>
      </c>
      <c r="E44" s="27">
        <f>E23</f>
        <v>0</v>
      </c>
      <c r="F44" s="27">
        <f>F23</f>
        <v>0</v>
      </c>
      <c r="G44" s="27">
        <f>G23</f>
        <v>0</v>
      </c>
      <c r="H44" s="27">
        <f>H23</f>
        <v>0</v>
      </c>
      <c r="I44" s="27">
        <f>I23</f>
        <v>0</v>
      </c>
      <c r="J44" s="27">
        <f>J23</f>
        <v>0</v>
      </c>
      <c r="K44" s="27">
        <f>K23</f>
        <v>0</v>
      </c>
      <c r="L44" s="27">
        <f>L23</f>
        <v>0</v>
      </c>
      <c r="M44" s="27">
        <f>M23</f>
        <v>0</v>
      </c>
      <c r="N44" s="27">
        <f>N23</f>
        <v>0</v>
      </c>
    </row>
    <row r="45" spans="2:14">
      <c r="B45" s="28" t="s">
        <v>221</v>
      </c>
      <c r="C45" s="27">
        <v>1088.333</v>
      </c>
      <c r="D45" s="27">
        <v>2092.4001</v>
      </c>
      <c r="E45" s="27">
        <v>2910.1523</v>
      </c>
      <c r="F45" s="27">
        <v>2004.0124</v>
      </c>
      <c r="G45" s="27">
        <v>901.152</v>
      </c>
      <c r="H45" s="27">
        <v>215.305</v>
      </c>
      <c r="I45" s="27">
        <v>167.5</v>
      </c>
      <c r="J45" s="27">
        <v>51.06</v>
      </c>
      <c r="K45" s="27">
        <v>2986.8719</v>
      </c>
      <c r="L45" s="27">
        <v>2955.9469</v>
      </c>
      <c r="M45" s="27">
        <v>546.936</v>
      </c>
      <c r="N45" s="27">
        <v>3.5</v>
      </c>
    </row>
    <row r="46" spans="2:14">
      <c r="B46" s="28" t="s">
        <v>417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</row>
    <row r="47" spans="2:14">
      <c r="B47" s="28" t="s">
        <v>418</v>
      </c>
      <c r="C47" s="27">
        <v>2433.6238</v>
      </c>
      <c r="D47" s="27">
        <v>5025.1422</v>
      </c>
      <c r="E47" s="27">
        <v>2051.1556</v>
      </c>
      <c r="F47" s="27">
        <v>1881.5364</v>
      </c>
      <c r="G47" s="27">
        <v>940.6905</v>
      </c>
      <c r="H47" s="27">
        <v>1023.714</v>
      </c>
      <c r="I47" s="27">
        <v>1472.8685</v>
      </c>
      <c r="J47" s="27">
        <v>1211.9996</v>
      </c>
      <c r="K47" s="27">
        <v>1844.9944</v>
      </c>
      <c r="L47" s="27">
        <v>1940.158</v>
      </c>
      <c r="M47" s="27">
        <v>1047.007</v>
      </c>
      <c r="N47" s="27">
        <v>709.6768</v>
      </c>
    </row>
    <row r="49" spans="2:15" ht="19" customHeight="1">
      <c r="B49" s="19" t="s">
        <v>419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>
      <c r="B50" s="15" t="s">
        <v>413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153</v>
      </c>
    </row>
    <row r="51" spans="2:15">
      <c r="B51" s="28" t="s">
        <v>420</v>
      </c>
      <c r="C51" s="27">
        <v>1826.08884</v>
      </c>
      <c r="D51" s="27">
        <v>2457.61348</v>
      </c>
      <c r="E51" s="27">
        <v>1850.78732</v>
      </c>
      <c r="F51" s="27">
        <v>1819.60626</v>
      </c>
      <c r="G51" s="27">
        <v>1271.6815</v>
      </c>
      <c r="H51" s="27">
        <v>1096.0414</v>
      </c>
      <c r="I51" s="27">
        <v>1045.14906</v>
      </c>
      <c r="J51" s="27">
        <v>996.5421000000001</v>
      </c>
      <c r="K51" s="27">
        <v>1210.81064</v>
      </c>
      <c r="L51" s="27">
        <v>1640.25414</v>
      </c>
      <c r="M51" s="27">
        <v>1075.82706</v>
      </c>
      <c r="N51" s="27">
        <v>1140.21588</v>
      </c>
      <c r="O51" s="35">
        <f>SUM(C51:N51)</f>
        <v>0</v>
      </c>
    </row>
    <row r="52" spans="2:15">
      <c r="B52" s="28" t="s">
        <v>421</v>
      </c>
      <c r="C52" s="27">
        <v>2282.61105</v>
      </c>
      <c r="D52" s="27">
        <v>3072.01685</v>
      </c>
      <c r="E52" s="27">
        <v>2313.48415</v>
      </c>
      <c r="F52" s="27">
        <v>2274.507825</v>
      </c>
      <c r="G52" s="27">
        <v>1589.601875</v>
      </c>
      <c r="H52" s="27">
        <v>1370.05175</v>
      </c>
      <c r="I52" s="27">
        <v>1306.436325</v>
      </c>
      <c r="J52" s="27">
        <v>1245.677625</v>
      </c>
      <c r="K52" s="27">
        <v>1513.5133</v>
      </c>
      <c r="L52" s="27">
        <v>2050.317675</v>
      </c>
      <c r="M52" s="27">
        <v>1344.783825</v>
      </c>
      <c r="N52" s="27">
        <v>1425.26985</v>
      </c>
      <c r="O52" s="35">
        <f>SUM(C52:N52)</f>
        <v>0</v>
      </c>
    </row>
    <row r="53" spans="2:15">
      <c r="B53" s="28" t="s">
        <v>422</v>
      </c>
      <c r="C53" s="27">
        <v>2967.394365</v>
      </c>
      <c r="D53" s="27">
        <v>3993.621905</v>
      </c>
      <c r="E53" s="27">
        <v>3007.529395</v>
      </c>
      <c r="F53" s="27">
        <v>2956.8601725</v>
      </c>
      <c r="G53" s="27">
        <v>2066.4824375</v>
      </c>
      <c r="H53" s="27">
        <v>1781.067275</v>
      </c>
      <c r="I53" s="27">
        <v>1698.3672225</v>
      </c>
      <c r="J53" s="27">
        <v>1619.3809125</v>
      </c>
      <c r="K53" s="27">
        <v>1967.56729</v>
      </c>
      <c r="L53" s="27">
        <v>2665.412977500001</v>
      </c>
      <c r="M53" s="27">
        <v>1748.2189725</v>
      </c>
      <c r="N53" s="27">
        <v>1852.850805</v>
      </c>
      <c r="O53" s="35">
        <f>SUM(C53:N53)</f>
        <v>0</v>
      </c>
    </row>
    <row r="54" spans="2:15">
      <c r="B54" s="28" t="s">
        <v>423</v>
      </c>
      <c r="C54" s="27">
        <v>1400.9949</v>
      </c>
      <c r="D54" s="27">
        <v>2023.3805</v>
      </c>
      <c r="E54" s="27">
        <v>2228.4465</v>
      </c>
      <c r="F54" s="27">
        <v>2621.2351</v>
      </c>
      <c r="G54" s="27">
        <v>1753.1826</v>
      </c>
      <c r="H54" s="27">
        <v>1169.5851</v>
      </c>
      <c r="I54" s="27">
        <v>939.4538</v>
      </c>
      <c r="J54" s="27">
        <v>979.7175</v>
      </c>
      <c r="K54" s="27">
        <v>1487.0255</v>
      </c>
      <c r="L54" s="27">
        <v>2468.751</v>
      </c>
      <c r="M54" s="27">
        <v>1324.048</v>
      </c>
      <c r="N54" s="27">
        <v>861.7330000000001</v>
      </c>
      <c r="O54" s="35">
        <f>SUM(C54:N54)</f>
        <v>0</v>
      </c>
    </row>
    <row r="55" spans="2:15" ht="30" customHeight="1">
      <c r="B55" s="4" t="s">
        <v>424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19" t="s">
        <v>425</v>
      </c>
      <c r="C57" s="19"/>
      <c r="D57" s="19"/>
      <c r="E57" s="19"/>
      <c r="F57" s="19"/>
      <c r="G57" s="19"/>
      <c r="H57" s="19"/>
    </row>
    <row r="58" spans="2:15">
      <c r="B58" s="61" t="s">
        <v>426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6" ht="19" customHeight="1">
      <c r="B66" s="19" t="s">
        <v>427</v>
      </c>
      <c r="C66" s="19"/>
      <c r="D66" s="19"/>
      <c r="E66" s="19"/>
      <c r="F66" s="19"/>
    </row>
    <row r="67" spans="2:6">
      <c r="B67" s="15" t="s">
        <v>413</v>
      </c>
      <c r="C67" s="16" t="s">
        <v>428</v>
      </c>
      <c r="D67" s="16" t="s">
        <v>3</v>
      </c>
      <c r="E67" s="16" t="s">
        <v>429</v>
      </c>
      <c r="F67" s="16" t="s">
        <v>430</v>
      </c>
    </row>
    <row r="68" spans="2:6">
      <c r="B68" s="28" t="s">
        <v>420</v>
      </c>
      <c r="C68" s="66">
        <v>0.8</v>
      </c>
      <c r="D68" s="27">
        <v>17430.61768</v>
      </c>
      <c r="E68" s="27">
        <v>15923.1696</v>
      </c>
      <c r="F68" s="35">
        <f>D68+E68</f>
        <v>33353.78728</v>
      </c>
    </row>
    <row r="69" spans="2:6">
      <c r="B69" s="28" t="s">
        <v>421</v>
      </c>
      <c r="C69" s="66">
        <v>1</v>
      </c>
      <c r="D69" s="27">
        <v>21788.2721</v>
      </c>
      <c r="E69" s="27">
        <v>15923.1696</v>
      </c>
      <c r="F69" s="35">
        <f>D69+E69</f>
        <v>37711.441699999996</v>
      </c>
    </row>
    <row r="70" spans="2:6">
      <c r="B70" s="28" t="s">
        <v>422</v>
      </c>
      <c r="C70" s="66">
        <v>1.3</v>
      </c>
      <c r="D70" s="27">
        <v>28324.75373</v>
      </c>
      <c r="E70" s="27">
        <v>15923.1696</v>
      </c>
      <c r="F70" s="35">
        <f>D70+E70</f>
        <v>44247.92333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F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2026-06-25T01:26:35Z</dcterms:created>
  <dcterms:modified xsi:type="dcterms:W3CDTF">2026-06-25T01:26:35Z</dcterms:modified>
</cp:coreProperties>
</file>