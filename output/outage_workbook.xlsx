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25%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47%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20%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1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<sst xmlns="http://schemas.openxmlformats.org/spreadsheetml/2006/main" count="17443" uniqueCount="431">
  <si>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</si>
  <si>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</si>
  <si>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</si>
  <si>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</si>
  <si>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</si>
  <si>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</si>
  <si>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</si>
  <si>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</si>
  <si>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</si>
  <si>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</si>
  <si>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</si>
  <si>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</si>
  <si>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</si>
  <si>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</si>
  <si>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</si>
  <si>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</si>
  <si>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</si>
  <si>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</si>
  <si>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</si>
  <si>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</si>
  <si>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</si>
  <si>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</si>
  <si>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</si>
  <si>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</si>
  <si>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</si>
  <si>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</si>
  <si>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</si>
  <si>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</si>
  <si>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</si>
  <si>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</si>
  <si>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</si>
  <si>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</si>
  <si>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</si>
  <si>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</si>
  <si>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</si>
  <si>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</si>
  <si>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</si>
  <si>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</si>
  <si>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46,464 rows | 2010-2038 | 19,936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</si>
  <si>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</si>
  <si>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</si>
  <si>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</si>
  <si>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</si>
  <si>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</si>
  <si>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</si>
  <si>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</si>
  <si>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</si>
  <si>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~37,711 kbd (15,923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</si>
  <si>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</si>
  <si>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</si>
  <si>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</si>
  <si>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</si>
  <si>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</si>
  <si>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</si>
  <si>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</si>
  <si>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</si>
  <si>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</si>
  <si>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</si>
  <si>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</si>
  <si>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</si>
  <si>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</si>
  <si>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</si>
  <si>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</si>
  <si>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</si>
  <si>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</si>
  <si>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</si>
  <si>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</si>
  <si>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</si>
  <si>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</si>
  <si>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</si>
  <si>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</si>
  <si>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</si>
  <si>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</si>
  <si>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</si>
  <si>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</si>
  <si>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</si>
  <si>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</si>
  <si>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</si>
  <si>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</si>
  <si>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</si>
  <si>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</si>
  <si>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</si>
  <si>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</si>
  <si>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</si>
  <si>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</si>
  <si>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</si>
  <si>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</si>
  <si>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46,464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</si>
  <si>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</si>
  <si>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</si>
  <si>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</si>
  <si>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</si>
  <si>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</si>
  <si>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</si>
  <si>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</si>
  <si>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</si>
  <si>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</si>
  <si>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</si>
  <si>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</si>
  <si>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</si>
  <si>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</si>
  <si>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</si>
  <si>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</si>
  <si>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</si>
  <si>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</si>
  <si>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</si>
  <si>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</si>
  <si>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</si>
  <si>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</si>
  <si>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</si>
  <si>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</si>
  <si>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</si>
  <si>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</si>
  <si>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</si>
  <si>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</si>
  <si>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</si>
  <si>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</si>
  <si>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</si>
  <si>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</si>
  <si>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</si>
  <si>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</si>
  <si>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</si>
  <si>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</si>
  <si>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</si>
  <si>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</si>
  <si>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</si>
  <si>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</si>
  <si>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</si>
  <si>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</si>
  <si>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</si>
  <si>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</si>
  <si>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</si>
  <si>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</si>
  <si>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</si>
  <si>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</si>
  <si>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</si>
  <si>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</si>
  <si>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</si>
  <si>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</si>
  <si>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</si>
  <si>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</si>
  <si>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</si>
  <si>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</si>
  <si>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</si>
  <si>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</si>
  <si>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</si>
  <si>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</si>
  <si>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</si>
  <si>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</si>
  <si>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</si>
  <si>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</si>
  <si>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</si>
  <si>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</si>
  <si>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</si>
  <si>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</si>
  <si>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</si>
  <si>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</si>
  <si>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</si>
  <si>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</si>
  <si>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</si>
  <si>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</si>
  <si>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</si>
  <si>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</si>
  <si>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</si>
  <si>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</si>
  <si>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</si>
  <si>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</si>
  <si>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</si>
  <si>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</si>
  <si>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</si>
  <si>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</si>
  <si>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</si>
  <si>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</si>
  <si>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</si>
  <si>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</si>
  <si>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</si>
  <si>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</si>
  <si>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</si>
  <si>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</si>
  <si>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</si>
  <si>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</si>
  <si>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</si>
  <si>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</si>
  <si>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</si>
  <si>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</si>
  <si>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</si>
  <si>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</si>
  <si>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</si>
  <si>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</si>
  <si>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</si>
  <si>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</si>
  <si>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</si>
  <si>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</si>
  <si>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</si>
  <si>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</si>
  <si>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</si>
  <si>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</si>
  <si>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</si>
  <si>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</si>
  <si>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</si>
  <si>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</si>
  <si>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</si>
  <si>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</si>
  <si>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</si>
  <si>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</si>
  <si>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</si>
  <si>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</si>
  <si>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</si>
  <si>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</si>
  <si>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</si>
  <si>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</si>
  <si>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</si>
  <si>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</si>
  <si>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</si>
  <si>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</si>
  <si>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</si>
  <si>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</si>
  <si>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</si>
  <si>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</si>
  <si>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</si>
  <si>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</si>
  <si>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</si>
  <si>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</si>
  <si>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</si>
  <si>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</si>
  <si>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</si>
  <si>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</si>
  <si>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</si>
  <si>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</si>
  <si>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</si>
  <si>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</si>
  <si>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</si>
  <si>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</si>
  <si>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</si>
  <si>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</si>
  <si>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</si>
  <si>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</si>
  <si>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</si>
  <si>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</si>
  <si>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</si>
  <si>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</si>
  <si>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</si>
  <si>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</si>
  <si>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</si>
  <si>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</si>
  <si>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</si>
  <si>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</si>
  <si>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</si>
  <si>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</si>
  <si>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</si>
  <si>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</si>
  <si>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</si>
  <si>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</si>
  <si>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</si>
  <si>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</si>
  <si>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</si>
  <si>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</si>
  <si>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</si>
  <si>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</si>
  <si>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</si>
  <si>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</si>
  <si>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</si>
  <si>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</si>
  <si>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</si>
  <si>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</si>
  <si>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</si>
  <si>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</si>
  <si>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</si>
  <si>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</si>
  <si>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</si>
  <si>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</si>
  <si>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Joliet Refinery</t>
  </si>
  <si>
    <t>Deer Park Refinery</t>
  </si>
  <si>
    <t>Deer Park</t>
  </si>
  <si>
    <t>Pascagoula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</si>
  <si>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</si>
  <si>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</si>
  <si>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</si>
  <si>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</si>
  <si>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</si>
  <si>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</si>
  <si>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</si>
  <si>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</si>
  <si>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</si>
  <si>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</si>
  <si>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</si>
  <si>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</si>
  <si>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</si>
  <si>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</si>
  <si>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</si>
  <si>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</si>
  <si>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</si>
  <si>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</si>
  <si>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</si>
  <si>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</si>
  <si>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</si>
  <si>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</si>
  <si>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</si>
  <si>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</si>
  <si>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</si>
  <si>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</si>
  <si>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</si>
  <si>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</si>
  <si>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</si>
  <si>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</si>
  <si>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</si>
  <si>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</si>
  <si>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</si>
  <si>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</si>
  <si>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</si>
  <si>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</si>
  <si>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</si>
  <si>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</si>
  <si>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</si>
  <si>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</si>
  <si>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</si>
  <si>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</si>
  <si>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</si>
  <si>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</si>
  <si>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</si>
  <si>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</si>
  <si>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</si>
  <si>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</si>
  <si>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</si>
  <si>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</si>
  <si>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</si>
  <si>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</si>
  <si>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</si>
  <si>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</si>
  <si>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</si>
  <si>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</si>
  <si>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</si>
  <si>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</si>
  <si>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</si>
  <si>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</si>
  <si>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</si>
  <si>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</si>
  <si>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</si>
  <si>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</si>
  <si>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</si>
  <si>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</si>
  <si>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</si>
  <si>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(2,378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</si>
  <si>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</si>
  <si>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</si>
  <si>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</si>
  <si>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</si>
  <si>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</si>
  <si>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</si>
  <si>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</si>
  <si>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</si>
  <si>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</si>
  <si>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</si>
  <si>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</si>
  <si>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</si>
  <si>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</si>
  <si>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</si>
  <si>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</si>
  <si>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</si>
  <si>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</si>
  <si>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</si>
  <si>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</si>
  <si>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</si>
  <si>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</si>
  <si>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</si>
  <si>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</si>
  <si>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</si>
  <si>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</si>
  <si>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</si>
  <si>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</si>
  <si>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</si>
  <si>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</si>
  <si>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</si>
  <si>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</si>
  <si>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</si>
  <si>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</si>
  <si>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</si>
  <si>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</si>
  <si>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</si>
  <si>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</si>
  <si>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</si>
  <si>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</si>
  <si>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</si>
  <si>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</si>
  <si>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</si>
  <si>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</si>
  <si>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</si>
  <si>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</si>
  <si>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</si>
  <si>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</si>
  <si>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</si>
  <si>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</si>
  <si>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</si>
  <si>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</si>
  <si>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</si>
  <si>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</si>
  <si>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</si>
  <si>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</si>
  <si>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</si>
  <si>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</si>
  <si>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</si>
  <si>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</si>
  <si>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</si>
  <si>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</si>
  <si>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</si>
  <si>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</si>
  <si>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</si>
  <si>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</si>
  <si>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</si>
  <si>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</si>
  <si>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</si>
  <si>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</si>
  <si>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</si>
  <si>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</si>
  <si>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</si>
  <si>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</si>
  <si>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</si>
  <si>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</si>
  <si>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</si>
  <si>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</si>
  <si>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</si>
  <si>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</si>
  <si>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</si>
  <si>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</si>
  <si>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(15,923 kbd) for implied totals of ~33,354 / ~37,711 / ~44,248 kbd. Active vs Conservative spans ~10,894 kbd (+62%) - the risk range to hedge.</t>
  </si>
  <si>
    <t>Scenario Summary - 2027 Implied Total Offline (kbd)</t>
  </si>
  <si>
    <t>Mult</t>
  </si>
  <si>
    <t>Booked planned</t>
  </si>
  <si>
    <t>Implied total</t>
  </si>
  <si>
    <t>Sensitivity - 2027 Unplanned (kbd): Growth x Mult</t>
  </si>
  <si>
    <t>Grw \ Mult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</si>
</sst>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70" fontId="28" fillId="0" borderId="0" xfId="0" applyNumberFormat="1" applyFont="1" applyAlignment="1">
      <alignment horizontal="right"/>
    </xf>
    <xf numFmtId="168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15923.1696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961.0699999999999</c:v>
                </c:pt>
                <c:pt idx="4">
                  <c:v>473.25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1168.516</c:v>
                </c:pt>
                <c:pt idx="9">
                  <c:v>583.63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3507.6762475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635.4300000000001</c:v>
                </c:pt>
                <c:pt idx="4">
                  <c:v>303.78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223.1</c:v>
                </c:pt>
                <c:pt idx="9">
                  <c:v>156.4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Analysis'!$B$36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Analysis'!$C$37:$N$37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2004.0124</c:v>
                </c:pt>
                <c:pt idx="4">
                  <c:v>901.152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2986.8719</c:v>
                </c:pt>
                <c:pt idx="9">
                  <c:v>2955.9469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Analysis'!$B$38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Analysis'!$C$38:$N$38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Analysis'!$B$39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Analysis'!$C$39:$N$39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Analysis'!$B$43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Analysis'!$C$43:$N$43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Analysis'!$B$44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Analysis'!$B$45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Analysis'!$E$51:$E$53</c:f>
              <c:numCache>
                <c:formatCode>General</c:formatCode>
                <c:ptCount val="3"/>
                <c:pt idx="0">
                  <c:v>15923.1696</c:v>
                </c:pt>
                <c:pt idx="1">
                  <c:v>15923.1696</c:v>
                </c:pt>
                <c:pt idx="2">
                  <c:v>15923.1696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Analysis'!$D$51:$D$53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34</xdr:row>
      <xdr:rowOff>0</xdr:rowOff>
    </xdr:from>
    <xdr:to>
      <xdr:col>25</xdr:col>
      <xdr:colOff>0</xdr:colOff>
      <xdr:row>47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50</xdr:row>
      <xdr:rowOff>0</xdr:rowOff>
    </xdr:from>
    <xdr:to>
      <xdr:col>25</xdr:col>
      <xdr:colOff>0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57</xdr:row>
      <xdr:rowOff>0</xdr:rowOff>
    </xdr:from>
    <xdr:to>
      <xdr:col>9</xdr:col>
      <xdr:colOff>190500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15923.1696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15923.1696</v>
      </c>
      <c r="D19" s="37">
        <v>0</v>
      </c>
      <c r="E19" s="37">
        <f>C19+D19</f>
        <v>0</v>
      </c>
      <c r="F19" s="37">
        <v>295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15923.1696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15923.1696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15923.1696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9211.354800000001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2004.0124</v>
      </c>
      <c r="G47" s="37">
        <v>901.152</v>
      </c>
      <c r="H47" s="37">
        <v>215.305</v>
      </c>
      <c r="I47" s="37">
        <v>167.5</v>
      </c>
      <c r="J47" s="37">
        <v>51.06</v>
      </c>
      <c r="K47" s="37">
        <v>2986.8719</v>
      </c>
      <c r="L47" s="37">
        <v>2955.9469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2004.0124</v>
      </c>
      <c r="G62" s="37">
        <v>901.152</v>
      </c>
      <c r="H62" s="37">
        <v>215.305</v>
      </c>
      <c r="I62" s="37">
        <v>167.5</v>
      </c>
      <c r="J62" s="37">
        <v>51.06</v>
      </c>
      <c r="K62" s="37">
        <v>2986.8719</v>
      </c>
      <c r="L62" s="37">
        <v>2955.9469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327.4526644359984</v>
      </c>
      <c r="X9" s="27">
        <v>312.2237567411152</v>
      </c>
      <c r="Y9" s="27">
        <v>379.3556205231208</v>
      </c>
      <c r="Z9" s="27">
        <v>513.9033359463359</v>
      </c>
      <c r="AA9" s="27">
        <v>337.0643009231111</v>
      </c>
      <c r="AB9" s="27">
        <v>357.237778062238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961.0699999999999</v>
      </c>
      <c r="U13" s="27">
        <v>473.25</v>
      </c>
      <c r="V13" s="27">
        <v>0</v>
      </c>
      <c r="W13" s="27">
        <v>0</v>
      </c>
      <c r="X13" s="27">
        <v>0</v>
      </c>
      <c r="Y13" s="27">
        <v>1168.516</v>
      </c>
      <c r="Z13" s="27">
        <v>583.63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614.7037742543238</v>
      </c>
      <c r="J33" s="27">
        <v>586.1156207453603</v>
      </c>
      <c r="K33" s="27">
        <v>712.1375302344849</v>
      </c>
      <c r="L33" s="27">
        <v>964.7144595760151</v>
      </c>
      <c r="M33" s="27">
        <v>632.7470210105082</v>
      </c>
      <c r="N33" s="27">
        <v>670.6172657330958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44.18536665359313</v>
      </c>
      <c r="X33" s="27">
        <v>42.13042881581089</v>
      </c>
      <c r="Y33" s="27">
        <v>51.1889778444347</v>
      </c>
      <c r="Z33" s="27">
        <v>69.34439627298147</v>
      </c>
      <c r="AA33" s="27">
        <v>45.48232871391296</v>
      </c>
      <c r="AB33" s="27">
        <v>48.20447020451738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260.242511540384</v>
      </c>
      <c r="J57" s="27">
        <v>248.1393601021165</v>
      </c>
      <c r="K57" s="27">
        <v>301.4923076651094</v>
      </c>
      <c r="L57" s="27">
        <v>408.423901714185</v>
      </c>
      <c r="M57" s="27">
        <v>267.8813451523436</v>
      </c>
      <c r="N57" s="27">
        <v>283.9141857042183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3995.487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3995.487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7055.79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2064.5315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265</v>
      </c>
      <c r="D40" s="28" t="s">
        <v>5</v>
      </c>
      <c r="E40" s="27">
        <v>13291.4389</v>
      </c>
      <c r="F40" s="27">
        <v>7925.807</v>
      </c>
      <c r="G40" s="27">
        <v>5365.631899999999</v>
      </c>
      <c r="H40" s="42">
        <f>IF(E40=0,0,G40/E40)</f>
        <v>0</v>
      </c>
      <c r="I40" s="27">
        <v>196</v>
      </c>
    </row>
    <row r="41" spans="2:11" x14ac:dyDescent="0.25">
      <c r="B41" s="28" t="s">
        <v>272</v>
      </c>
      <c r="C41" s="28" t="s">
        <v>273</v>
      </c>
      <c r="D41" s="28" t="s">
        <v>6</v>
      </c>
      <c r="E41" s="27">
        <v>13290.7522</v>
      </c>
      <c r="F41" s="27">
        <v>5579.9005</v>
      </c>
      <c r="G41" s="27">
        <v>7710.851700000001</v>
      </c>
      <c r="H41" s="42">
        <f>IF(E41=0,0,G41/E41)</f>
        <v>0</v>
      </c>
      <c r="I41" s="27">
        <v>329</v>
      </c>
    </row>
    <row r="42" spans="2:11" x14ac:dyDescent="0.25">
      <c r="B42" s="28" t="s">
        <v>274</v>
      </c>
      <c r="C42" s="28" t="s">
        <v>270</v>
      </c>
      <c r="D42" s="28" t="s">
        <v>6</v>
      </c>
      <c r="E42" s="27">
        <v>12949.1048</v>
      </c>
      <c r="F42" s="27">
        <v>3578.835</v>
      </c>
      <c r="G42" s="27">
        <v>9370.269799999998</v>
      </c>
      <c r="H42" s="42">
        <f>IF(E42=0,0,G42/E42)</f>
        <v>0</v>
      </c>
      <c r="I42" s="27">
        <v>174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2377.5475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3507.6762475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271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271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271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271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271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271</v>
      </c>
      <c r="C48" s="27">
        <v>1318.71</v>
      </c>
      <c r="D48" s="42">
        <f>IF(C48=0,0,C48/2377.5475)</f>
        <v>0</v>
      </c>
      <c r="F48" s="28" t="s">
        <v>234</v>
      </c>
      <c r="G48" s="27">
        <v>782.3</v>
      </c>
      <c r="H48" s="42">
        <f>IF(G48=0,0,G48/2377.5475)</f>
        <v>0</v>
      </c>
    </row>
    <row r="49" spans="2:14" x14ac:dyDescent="0.25">
      <c r="B49" s="28" t="s">
        <v>266</v>
      </c>
      <c r="C49" s="27">
        <v>382.2</v>
      </c>
      <c r="D49" s="42">
        <f>IF(C49=0,0,C49/2377.5475)</f>
        <v>0</v>
      </c>
      <c r="F49" s="28" t="s">
        <v>111</v>
      </c>
      <c r="G49" s="27">
        <v>561.84</v>
      </c>
      <c r="H49" s="42">
        <f>IF(G49=0,0,G49/2377.5475)</f>
        <v>0</v>
      </c>
    </row>
    <row r="50" spans="2:14" x14ac:dyDescent="0.25">
      <c r="B50" s="28" t="s">
        <v>264</v>
      </c>
      <c r="C50" s="27">
        <v>374.85</v>
      </c>
      <c r="D50" s="42">
        <f>IF(C50=0,0,C50/2377.5475)</f>
        <v>0</v>
      </c>
      <c r="F50" s="28" t="s">
        <v>235</v>
      </c>
      <c r="G50" s="27">
        <v>474.45</v>
      </c>
      <c r="H50" s="42">
        <f>IF(G50=0,0,G50/2377.5475)</f>
        <v>0</v>
      </c>
    </row>
    <row r="51" spans="2:14" x14ac:dyDescent="0.25">
      <c r="B51" s="28" t="s">
        <v>268</v>
      </c>
      <c r="C51" s="27">
        <v>301.7875</v>
      </c>
      <c r="D51" s="42">
        <f>IF(C51=0,0,C51/2377.5475)</f>
        <v>0</v>
      </c>
      <c r="F51" s="28" t="s">
        <v>237</v>
      </c>
      <c r="G51" s="27">
        <v>226.795</v>
      </c>
      <c r="H51" s="42">
        <f>IF(G51=0,0,G51/2377.5475)</f>
        <v>0</v>
      </c>
    </row>
    <row r="52" spans="2:14" x14ac:dyDescent="0.25">
      <c r="F52" s="28" t="s">
        <v>236</v>
      </c>
      <c r="G52" s="27">
        <v>163.83</v>
      </c>
      <c r="H52" s="42">
        <f>IF(G52=0,0,G52/2377.5475)</f>
        <v>0</v>
      </c>
    </row>
    <row r="53" spans="2:14" x14ac:dyDescent="0.25">
      <c r="F53" s="28" t="s">
        <v>239</v>
      </c>
      <c r="G53" s="27">
        <v>161.1325</v>
      </c>
      <c r="H53" s="42">
        <f>IF(G53=0,0,G53/2377.5475)</f>
        <v>0</v>
      </c>
    </row>
    <row r="54" spans="2:14" x14ac:dyDescent="0.25">
      <c r="F54" s="28" t="s">
        <v>245</v>
      </c>
      <c r="G54" s="27">
        <v>7.2</v>
      </c>
      <c r="H54" s="42">
        <f>IF(G54=0,0,G54/2377.5475)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635.4300000000001</v>
      </c>
      <c r="G57" s="27">
        <v>303.78</v>
      </c>
      <c r="H57" s="27">
        <v>0</v>
      </c>
      <c r="I57" s="27">
        <v>0</v>
      </c>
      <c r="J57" s="27">
        <v>0</v>
      </c>
      <c r="K57" s="27">
        <v>223.1</v>
      </c>
      <c r="L57" s="27">
        <v>156.4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271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271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271</v>
      </c>
      <c r="D136" s="28" t="s">
        <v>111</v>
      </c>
      <c r="E136" s="27">
        <v>82.31999999999999</v>
      </c>
      <c r="F136" s="42">
        <v>0.02060324561186158</v>
      </c>
      <c r="G136" s="53">
        <v>46479</v>
      </c>
      <c r="H136" s="53">
        <v>46529</v>
      </c>
    </row>
    <row r="137" spans="2:9" x14ac:dyDescent="0.25">
      <c r="B137" s="54" t="s">
        <v>265</v>
      </c>
      <c r="C137" s="54" t="s">
        <v>271</v>
      </c>
      <c r="D137" s="54" t="s">
        <v>234</v>
      </c>
      <c r="E137" s="45">
        <v>161.25</v>
      </c>
      <c r="F137" s="42">
        <v>0.04035803395180612</v>
      </c>
      <c r="G137" s="55">
        <v>46482</v>
      </c>
      <c r="H137" s="55">
        <v>46520</v>
      </c>
    </row>
    <row r="138" spans="2:9" x14ac:dyDescent="0.25">
      <c r="B138" s="28" t="s">
        <v>265</v>
      </c>
      <c r="C138" s="28" t="s">
        <v>271</v>
      </c>
      <c r="D138" s="28" t="s">
        <v>236</v>
      </c>
      <c r="E138" s="27">
        <v>81.91499999999999</v>
      </c>
      <c r="F138" s="42">
        <v>0.02050188124751751</v>
      </c>
      <c r="G138" s="53">
        <v>46482</v>
      </c>
      <c r="H138" s="53">
        <v>46520</v>
      </c>
    </row>
    <row r="139" spans="2:9" x14ac:dyDescent="0.25">
      <c r="B139" s="54" t="s">
        <v>256</v>
      </c>
      <c r="C139" s="54" t="s">
        <v>366</v>
      </c>
      <c r="D139" s="54" t="s">
        <v>234</v>
      </c>
      <c r="E139" s="45">
        <v>114.625</v>
      </c>
      <c r="F139" s="42">
        <v>0.02868861793318311</v>
      </c>
      <c r="G139" s="55">
        <v>46486</v>
      </c>
      <c r="H139" s="55">
        <v>46525</v>
      </c>
    </row>
    <row r="140" spans="2:9" x14ac:dyDescent="0.25">
      <c r="B140" s="28" t="s">
        <v>252</v>
      </c>
      <c r="C140" s="28" t="s">
        <v>380</v>
      </c>
      <c r="D140" s="28" t="s">
        <v>234</v>
      </c>
      <c r="E140" s="27">
        <v>62.7</v>
      </c>
      <c r="F140" s="42">
        <v>0.0156927052947488</v>
      </c>
      <c r="G140" s="53">
        <v>46631</v>
      </c>
      <c r="H140" s="53">
        <v>46670</v>
      </c>
    </row>
    <row r="141" spans="2:9" x14ac:dyDescent="0.25">
      <c r="B141" s="54" t="s">
        <v>265</v>
      </c>
      <c r="C141" s="54" t="s">
        <v>271</v>
      </c>
      <c r="D141" s="54" t="s">
        <v>234</v>
      </c>
      <c r="E141" s="45">
        <v>189.75</v>
      </c>
      <c r="F141" s="42">
        <v>0.04749108181305558</v>
      </c>
      <c r="G141" s="55">
        <v>46632</v>
      </c>
      <c r="H141" s="55">
        <v>46681</v>
      </c>
    </row>
    <row r="142" spans="2:9" x14ac:dyDescent="0.25">
      <c r="B142" s="28" t="s">
        <v>262</v>
      </c>
      <c r="C142" s="28" t="s">
        <v>381</v>
      </c>
      <c r="D142" s="28" t="s">
        <v>234</v>
      </c>
      <c r="E142" s="27">
        <v>67.71000000000001</v>
      </c>
      <c r="F142" s="42">
        <v>0.01694662002404213</v>
      </c>
      <c r="G142" s="53">
        <v>46633</v>
      </c>
      <c r="H142" s="53">
        <v>46677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0.01802783991037888</v>
      </c>
      <c r="G143" s="55">
        <v>46640</v>
      </c>
      <c r="H143" s="55">
        <v>46684</v>
      </c>
    </row>
    <row r="145" spans="2:9" ht="19" customHeight="1" x14ac:dyDescent="0.25">
      <c r="B145" s="44" t="s">
        <v>382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383</v>
      </c>
      <c r="C149" s="28" t="s">
        <v>384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383</v>
      </c>
      <c r="C150" s="54" t="s">
        <v>384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385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386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386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5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389</v>
      </c>
      <c r="C6" s="19"/>
      <c r="D6" s="19"/>
      <c r="E6" s="19"/>
    </row>
    <row r="7" spans="2:14">
      <c r="B7" s="30" t="s">
        <v>390</v>
      </c>
      <c r="C7" s="31" t="s">
        <v>391</v>
      </c>
      <c r="D7" s="31"/>
      <c r="E7" s="31"/>
    </row>
    <row r="8" spans="2:14">
      <c r="B8" s="30" t="s">
        <v>392</v>
      </c>
      <c r="C8" s="56">
        <v>0</v>
      </c>
      <c r="D8" s="56"/>
      <c r="E8" s="56"/>
    </row>
    <row r="9" spans="2:14">
      <c r="B9" s="30" t="s">
        <v>393</v>
      </c>
      <c r="C9" s="57">
        <v>1</v>
      </c>
      <c r="D9" s="57"/>
      <c r="E9" s="57"/>
    </row>
    <row r="10" spans="2:14">
      <c r="B10" s="30" t="s">
        <v>394</v>
      </c>
      <c r="C10" s="58">
        <v>0</v>
      </c>
      <c r="D10" s="58"/>
      <c r="E10" s="58"/>
    </row>
    <row r="11" spans="2:14">
      <c r="B11" s="30" t="s">
        <v>395</v>
      </c>
      <c r="C11" s="31" t="s">
        <v>163</v>
      </c>
      <c r="D11" s="31"/>
      <c r="E11" s="31"/>
    </row>
    <row r="13" spans="2:14" ht="19" customHeight="1">
      <c r="B13" s="8" t="s">
        <v>396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397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391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398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399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400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402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403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404</v>
      </c>
      <c r="C25" s="19"/>
      <c r="D25" s="19"/>
      <c r="E25" s="19"/>
      <c r="G25" s="5" t="s">
        <v>411</v>
      </c>
      <c r="H25" s="5"/>
      <c r="I25" s="5"/>
      <c r="J25" s="5"/>
    </row>
    <row r="26" spans="2:14">
      <c r="B26" s="28" t="s">
        <v>405</v>
      </c>
      <c r="C26" s="27">
        <f>SUM(C22:N22)</f>
        <v>0</v>
      </c>
      <c r="G26" s="15" t="s">
        <v>63</v>
      </c>
      <c r="H26" s="16" t="s">
        <v>412</v>
      </c>
      <c r="I26" s="16" t="s">
        <v>413</v>
      </c>
      <c r="J26" s="16" t="s">
        <v>414</v>
      </c>
    </row>
    <row r="27" spans="2:14">
      <c r="B27" s="17" t="s">
        <v>406</v>
      </c>
      <c r="C27" s="32">
        <f>SUM(C23:N23)</f>
        <v>0</v>
      </c>
      <c r="G27" s="28" t="s">
        <v>4</v>
      </c>
      <c r="H27" s="27">
        <v>998.190125</v>
      </c>
      <c r="I27" s="32">
        <f>H27*(1+$C$8)*$C$9</f>
        <v>0</v>
      </c>
      <c r="J27" s="59">
        <f>IF($I$32=0,0,I27/$I$32)</f>
        <v>0</v>
      </c>
    </row>
    <row r="28" spans="2:14">
      <c r="B28" s="28" t="s">
        <v>407</v>
      </c>
      <c r="C28" s="60">
        <v>15923.1696</v>
      </c>
      <c r="G28" s="28" t="s">
        <v>5</v>
      </c>
      <c r="H28" s="27">
        <v>5461.137000000001</v>
      </c>
      <c r="I28" s="32">
        <f>H28*(1+$C$8)*$C$9</f>
        <v>0</v>
      </c>
      <c r="J28" s="59">
        <f>IF($I$32=0,0,I28/$I$32)</f>
        <v>0</v>
      </c>
    </row>
    <row r="29" spans="2:14">
      <c r="B29" s="17" t="s">
        <v>408</v>
      </c>
      <c r="C29" s="32">
        <f>$C$27+$C$28</f>
        <v>0</v>
      </c>
      <c r="G29" s="28" t="s">
        <v>6</v>
      </c>
      <c r="H29" s="27">
        <v>10251.807025</v>
      </c>
      <c r="I29" s="32">
        <f>H29*(1+$C$8)*$C$9</f>
        <v>0</v>
      </c>
      <c r="J29" s="59">
        <f>IF($I$32=0,0,I29/$I$32)</f>
        <v>0</v>
      </c>
    </row>
    <row r="30" spans="2:14">
      <c r="B30" s="28" t="s">
        <v>409</v>
      </c>
      <c r="C30" s="27">
        <v>21001.313475</v>
      </c>
      <c r="D30" s="27">
        <v>22105.538</v>
      </c>
      <c r="E30" s="27">
        <v>23367.67399</v>
      </c>
      <c r="G30" s="28" t="s">
        <v>7</v>
      </c>
      <c r="H30" s="27">
        <v>736.9075499999999</v>
      </c>
      <c r="I30" s="32">
        <f>H30*(1+$C$8)*$C$9</f>
        <v>0</v>
      </c>
      <c r="J30" s="59">
        <f>IF($I$32=0,0,I30/$I$32)</f>
        <v>0</v>
      </c>
    </row>
    <row r="31" spans="2:14">
      <c r="B31" s="28" t="s">
        <v>410</v>
      </c>
      <c r="C31" s="27">
        <f>D30+$C$28</f>
        <v>0</v>
      </c>
      <c r="D31" s="27">
        <f>E30+$C$28</f>
        <v>0</v>
      </c>
      <c r="G31" s="28" t="s">
        <v>8</v>
      </c>
      <c r="H31" s="27">
        <v>4340.230399999999</v>
      </c>
      <c r="I31" s="32">
        <f>H31*(1+$C$8)*$C$9</f>
        <v>0</v>
      </c>
      <c r="J31" s="59">
        <f>IF($I$32=0,0,I31/$I$32)</f>
        <v>0</v>
      </c>
    </row>
    <row r="32" spans="2:14">
      <c r="G32" s="17" t="s">
        <v>0</v>
      </c>
      <c r="H32" s="32">
        <f>SUM(H27:H31)</f>
        <v>0</v>
      </c>
      <c r="I32" s="32">
        <f>SUM(I27:I31)</f>
        <v>0</v>
      </c>
    </row>
    <row r="34" spans="2:15" ht="19" customHeight="1">
      <c r="B34" s="8" t="s">
        <v>415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2:15">
      <c r="B35" s="15" t="s">
        <v>210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</row>
    <row r="36" spans="2:15">
      <c r="B36" s="28" t="s">
        <v>416</v>
      </c>
      <c r="C36" s="27">
        <f>C23</f>
        <v>0</v>
      </c>
      <c r="D36" s="27">
        <f>D23</f>
        <v>0</v>
      </c>
      <c r="E36" s="27">
        <f>E23</f>
        <v>0</v>
      </c>
      <c r="F36" s="27">
        <f>F23</f>
        <v>0</v>
      </c>
      <c r="G36" s="27">
        <f>G23</f>
        <v>0</v>
      </c>
      <c r="H36" s="27">
        <f>H23</f>
        <v>0</v>
      </c>
      <c r="I36" s="27">
        <f>I23</f>
        <v>0</v>
      </c>
      <c r="J36" s="27">
        <f>J23</f>
        <v>0</v>
      </c>
      <c r="K36" s="27">
        <f>K23</f>
        <v>0</v>
      </c>
      <c r="L36" s="27">
        <f>L23</f>
        <v>0</v>
      </c>
      <c r="M36" s="27">
        <f>M23</f>
        <v>0</v>
      </c>
      <c r="N36" s="27">
        <f>N23</f>
        <v>0</v>
      </c>
    </row>
    <row r="37" spans="2:15">
      <c r="B37" s="28" t="s">
        <v>221</v>
      </c>
      <c r="C37" s="27">
        <v>1088.333</v>
      </c>
      <c r="D37" s="27">
        <v>2092.4001</v>
      </c>
      <c r="E37" s="27">
        <v>2910.1523</v>
      </c>
      <c r="F37" s="27">
        <v>2004.0124</v>
      </c>
      <c r="G37" s="27">
        <v>901.152</v>
      </c>
      <c r="H37" s="27">
        <v>215.305</v>
      </c>
      <c r="I37" s="27">
        <v>167.5</v>
      </c>
      <c r="J37" s="27">
        <v>51.06</v>
      </c>
      <c r="K37" s="27">
        <v>2986.8719</v>
      </c>
      <c r="L37" s="27">
        <v>2955.9469</v>
      </c>
      <c r="M37" s="27">
        <v>546.936</v>
      </c>
      <c r="N37" s="27">
        <v>3.5</v>
      </c>
    </row>
    <row r="38" spans="2:15">
      <c r="B38" s="28" t="s">
        <v>417</v>
      </c>
      <c r="C38" s="27">
        <v>1400.9949</v>
      </c>
      <c r="D38" s="27">
        <v>2023.3805</v>
      </c>
      <c r="E38" s="27">
        <v>2228.4465</v>
      </c>
      <c r="F38" s="27">
        <v>2621.2351</v>
      </c>
      <c r="G38" s="27">
        <v>1753.1826</v>
      </c>
      <c r="H38" s="27">
        <v>1169.5851</v>
      </c>
      <c r="I38" s="27">
        <v>939.4538</v>
      </c>
      <c r="J38" s="27">
        <v>979.7175</v>
      </c>
      <c r="K38" s="27">
        <v>1487.0255</v>
      </c>
      <c r="L38" s="27">
        <v>2468.751</v>
      </c>
      <c r="M38" s="27">
        <v>1324.048</v>
      </c>
      <c r="N38" s="27">
        <v>861.7330000000001</v>
      </c>
    </row>
    <row r="39" spans="2:15">
      <c r="B39" s="28" t="s">
        <v>418</v>
      </c>
      <c r="C39" s="27">
        <v>2433.6238</v>
      </c>
      <c r="D39" s="27">
        <v>5025.1422</v>
      </c>
      <c r="E39" s="27">
        <v>2051.1556</v>
      </c>
      <c r="F39" s="27">
        <v>1881.5364</v>
      </c>
      <c r="G39" s="27">
        <v>940.6905</v>
      </c>
      <c r="H39" s="27">
        <v>1023.714</v>
      </c>
      <c r="I39" s="27">
        <v>1472.8685</v>
      </c>
      <c r="J39" s="27">
        <v>1211.9996</v>
      </c>
      <c r="K39" s="27">
        <v>1844.9944</v>
      </c>
      <c r="L39" s="27">
        <v>1940.158</v>
      </c>
      <c r="M39" s="27">
        <v>1047.007</v>
      </c>
      <c r="N39" s="27">
        <v>709.6768</v>
      </c>
    </row>
    <row r="41" spans="2:15" ht="19" customHeight="1">
      <c r="B41" s="19" t="s">
        <v>419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>
      <c r="B42" s="15" t="s">
        <v>413</v>
      </c>
      <c r="C42" s="16" t="s">
        <v>155</v>
      </c>
      <c r="D42" s="16" t="s">
        <v>156</v>
      </c>
      <c r="E42" s="16" t="s">
        <v>157</v>
      </c>
      <c r="F42" s="16" t="s">
        <v>158</v>
      </c>
      <c r="G42" s="16" t="s">
        <v>159</v>
      </c>
      <c r="H42" s="16" t="s">
        <v>160</v>
      </c>
      <c r="I42" s="16" t="s">
        <v>161</v>
      </c>
      <c r="J42" s="16" t="s">
        <v>162</v>
      </c>
      <c r="K42" s="16" t="s">
        <v>163</v>
      </c>
      <c r="L42" s="16" t="s">
        <v>164</v>
      </c>
      <c r="M42" s="16" t="s">
        <v>165</v>
      </c>
      <c r="N42" s="16" t="s">
        <v>166</v>
      </c>
      <c r="O42" s="16" t="s">
        <v>153</v>
      </c>
    </row>
    <row r="43" spans="2:15">
      <c r="B43" s="28" t="s">
        <v>420</v>
      </c>
      <c r="C43" s="27">
        <v>1826.08884</v>
      </c>
      <c r="D43" s="27">
        <v>2457.61348</v>
      </c>
      <c r="E43" s="27">
        <v>1850.78732</v>
      </c>
      <c r="F43" s="27">
        <v>1819.60626</v>
      </c>
      <c r="G43" s="27">
        <v>1271.6815</v>
      </c>
      <c r="H43" s="27">
        <v>1096.0414</v>
      </c>
      <c r="I43" s="27">
        <v>1045.14906</v>
      </c>
      <c r="J43" s="27">
        <v>996.5421000000001</v>
      </c>
      <c r="K43" s="27">
        <v>1210.81064</v>
      </c>
      <c r="L43" s="27">
        <v>1640.25414</v>
      </c>
      <c r="M43" s="27">
        <v>1075.82706</v>
      </c>
      <c r="N43" s="27">
        <v>1140.21588</v>
      </c>
      <c r="O43" s="35">
        <f>SUM(C43:N43)</f>
        <v>0</v>
      </c>
    </row>
    <row r="44" spans="2:15">
      <c r="B44" s="28" t="s">
        <v>421</v>
      </c>
      <c r="C44" s="27">
        <v>2282.61105</v>
      </c>
      <c r="D44" s="27">
        <v>3072.01685</v>
      </c>
      <c r="E44" s="27">
        <v>2313.48415</v>
      </c>
      <c r="F44" s="27">
        <v>2274.507825</v>
      </c>
      <c r="G44" s="27">
        <v>1589.601875</v>
      </c>
      <c r="H44" s="27">
        <v>1370.05175</v>
      </c>
      <c r="I44" s="27">
        <v>1306.436325</v>
      </c>
      <c r="J44" s="27">
        <v>1245.677625</v>
      </c>
      <c r="K44" s="27">
        <v>1513.5133</v>
      </c>
      <c r="L44" s="27">
        <v>2050.317675</v>
      </c>
      <c r="M44" s="27">
        <v>1344.783825</v>
      </c>
      <c r="N44" s="27">
        <v>1425.26985</v>
      </c>
      <c r="O44" s="35">
        <f>SUM(C44:N44)</f>
        <v>0</v>
      </c>
    </row>
    <row r="45" spans="2:15">
      <c r="B45" s="28" t="s">
        <v>422</v>
      </c>
      <c r="C45" s="27">
        <v>2967.394365</v>
      </c>
      <c r="D45" s="27">
        <v>3993.621905</v>
      </c>
      <c r="E45" s="27">
        <v>3007.529395</v>
      </c>
      <c r="F45" s="27">
        <v>2956.8601725</v>
      </c>
      <c r="G45" s="27">
        <v>2066.4824375</v>
      </c>
      <c r="H45" s="27">
        <v>1781.067275</v>
      </c>
      <c r="I45" s="27">
        <v>1698.3672225</v>
      </c>
      <c r="J45" s="27">
        <v>1619.3809125</v>
      </c>
      <c r="K45" s="27">
        <v>1967.56729</v>
      </c>
      <c r="L45" s="27">
        <v>2665.412977500001</v>
      </c>
      <c r="M45" s="27">
        <v>1748.2189725</v>
      </c>
      <c r="N45" s="27">
        <v>1852.850805</v>
      </c>
      <c r="O45" s="35">
        <f>SUM(C45:N45)</f>
        <v>0</v>
      </c>
    </row>
    <row r="46" spans="2:15">
      <c r="B46" s="28" t="s">
        <v>423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  <c r="O46" s="35">
        <f>SUM(C46:N46)</f>
        <v>0</v>
      </c>
    </row>
    <row r="47" spans="2:15" ht="30" customHeight="1">
      <c r="B47" s="4" t="s">
        <v>424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9" spans="2:14" ht="19" customHeight="1">
      <c r="B49" s="19" t="s">
        <v>425</v>
      </c>
      <c r="C49" s="19"/>
      <c r="D49" s="19"/>
      <c r="E49" s="19"/>
      <c r="F49" s="19"/>
      <c r="H49" s="19" t="s">
        <v>429</v>
      </c>
      <c r="I49" s="19"/>
      <c r="J49" s="19"/>
      <c r="K49" s="19"/>
      <c r="L49" s="19"/>
      <c r="M49" s="19"/>
      <c r="N49" s="19"/>
    </row>
    <row r="50" spans="2:14">
      <c r="B50" s="15" t="s">
        <v>413</v>
      </c>
      <c r="C50" s="16" t="s">
        <v>426</v>
      </c>
      <c r="D50" s="16" t="s">
        <v>3</v>
      </c>
      <c r="E50" s="16" t="s">
        <v>427</v>
      </c>
      <c r="F50" s="16" t="s">
        <v>428</v>
      </c>
      <c r="H50" s="61" t="s">
        <v>430</v>
      </c>
      <c r="I50" s="62">
        <v>0.7</v>
      </c>
      <c r="J50" s="62">
        <v>0.85</v>
      </c>
      <c r="K50" s="62">
        <v>1</v>
      </c>
      <c r="L50" s="62">
        <v>1.15</v>
      </c>
      <c r="M50" s="62">
        <v>1.3</v>
      </c>
      <c r="N50" s="62">
        <v>1.5</v>
      </c>
    </row>
    <row r="51" spans="2:14">
      <c r="B51" s="28" t="s">
        <v>420</v>
      </c>
      <c r="C51" s="63">
        <v>0.8</v>
      </c>
      <c r="D51" s="27">
        <v>17430.61768</v>
      </c>
      <c r="E51" s="27">
        <v>15923.1696</v>
      </c>
      <c r="F51" s="35">
        <f>D51+E51</f>
        <v>33353.78728</v>
      </c>
      <c r="H51" s="64">
        <v>-0.1</v>
      </c>
      <c r="I51" s="65">
        <f>$C$26*(1+$H51)*I$50</f>
        <v>0</v>
      </c>
      <c r="J51" s="65">
        <f>$C$26*(1+$H51)*J$50</f>
        <v>0</v>
      </c>
      <c r="K51" s="65">
        <f>$C$26*(1+$H51)*K$50</f>
        <v>0</v>
      </c>
      <c r="L51" s="65">
        <f>$C$26*(1+$H51)*L$50</f>
        <v>0</v>
      </c>
      <c r="M51" s="65">
        <f>$C$26*(1+$H51)*M$50</f>
        <v>0</v>
      </c>
      <c r="N51" s="65">
        <f>$C$26*(1+$H51)*N$50</f>
        <v>0</v>
      </c>
    </row>
    <row r="52" spans="2:14">
      <c r="B52" s="28" t="s">
        <v>421</v>
      </c>
      <c r="C52" s="63">
        <v>1</v>
      </c>
      <c r="D52" s="27">
        <v>21788.2721</v>
      </c>
      <c r="E52" s="27">
        <v>15923.1696</v>
      </c>
      <c r="F52" s="35">
        <f>D52+E52</f>
        <v>37711.441699999996</v>
      </c>
      <c r="H52" s="64">
        <v>-0.05</v>
      </c>
      <c r="I52" s="65">
        <f>$C$26*(1+$H52)*I$50</f>
        <v>0</v>
      </c>
      <c r="J52" s="65">
        <f>$C$26*(1+$H52)*J$50</f>
        <v>0</v>
      </c>
      <c r="K52" s="65">
        <f>$C$26*(1+$H52)*K$50</f>
        <v>0</v>
      </c>
      <c r="L52" s="65">
        <f>$C$26*(1+$H52)*L$50</f>
        <v>0</v>
      </c>
      <c r="M52" s="65">
        <f>$C$26*(1+$H52)*M$50</f>
        <v>0</v>
      </c>
      <c r="N52" s="65">
        <f>$C$26*(1+$H52)*N$50</f>
        <v>0</v>
      </c>
    </row>
    <row r="53" spans="2:14">
      <c r="B53" s="28" t="s">
        <v>422</v>
      </c>
      <c r="C53" s="63">
        <v>1.3</v>
      </c>
      <c r="D53" s="27">
        <v>28324.75373</v>
      </c>
      <c r="E53" s="27">
        <v>15923.1696</v>
      </c>
      <c r="F53" s="35">
        <f>D53+E53</f>
        <v>44247.92333</v>
      </c>
      <c r="H53" s="64">
        <v>0</v>
      </c>
      <c r="I53" s="65">
        <f>$C$26*(1+$H53)*I$50</f>
        <v>0</v>
      </c>
      <c r="J53" s="65">
        <f>$C$26*(1+$H53)*J$50</f>
        <v>0</v>
      </c>
      <c r="K53" s="66">
        <f>$C$26*(1+$H53)*K$50</f>
        <v>0</v>
      </c>
      <c r="L53" s="65">
        <f>$C$26*(1+$H53)*L$50</f>
        <v>0</v>
      </c>
      <c r="M53" s="65">
        <f>$C$26*(1+$H53)*M$50</f>
        <v>0</v>
      </c>
      <c r="N53" s="65">
        <f>$C$26*(1+$H53)*N$50</f>
        <v>0</v>
      </c>
    </row>
    <row r="54" spans="2:14">
      <c r="H54" s="64">
        <v>0.05</v>
      </c>
      <c r="I54" s="65">
        <f>$C$26*(1+$H54)*I$50</f>
        <v>0</v>
      </c>
      <c r="J54" s="65">
        <f>$C$26*(1+$H54)*J$50</f>
        <v>0</v>
      </c>
      <c r="K54" s="65">
        <f>$C$26*(1+$H54)*K$50</f>
        <v>0</v>
      </c>
      <c r="L54" s="65">
        <f>$C$26*(1+$H54)*L$50</f>
        <v>0</v>
      </c>
      <c r="M54" s="65">
        <f>$C$26*(1+$H54)*M$50</f>
        <v>0</v>
      </c>
      <c r="N54" s="65">
        <f>$C$26*(1+$H54)*N$50</f>
        <v>0</v>
      </c>
    </row>
    <row r="55" spans="2:14">
      <c r="H55" s="64">
        <v>0.1</v>
      </c>
      <c r="I55" s="65">
        <f>$C$26*(1+$H55)*I$50</f>
        <v>0</v>
      </c>
      <c r="J55" s="65">
        <f>$C$26*(1+$H55)*J$50</f>
        <v>0</v>
      </c>
      <c r="K55" s="65">
        <f>$C$26*(1+$H55)*K$50</f>
        <v>0</v>
      </c>
      <c r="L55" s="65">
        <f>$C$26*(1+$H55)*L$50</f>
        <v>0</v>
      </c>
      <c r="M55" s="65">
        <f>$C$26*(1+$H55)*M$50</f>
        <v>0</v>
      </c>
      <c r="N55" s="65">
        <f>$C$26*(1+$H55)*N$50</f>
        <v>0</v>
      </c>
    </row>
    <row r="56" spans="2:14">
      <c r="H56" s="64">
        <v>0.15</v>
      </c>
      <c r="I56" s="65">
        <f>$C$26*(1+$H56)*I$50</f>
        <v>0</v>
      </c>
      <c r="J56" s="65">
        <f>$C$26*(1+$H56)*J$50</f>
        <v>0</v>
      </c>
      <c r="K56" s="65">
        <f>$C$26*(1+$H56)*K$50</f>
        <v>0</v>
      </c>
      <c r="L56" s="65">
        <f>$C$26*(1+$H56)*L$50</f>
        <v>0</v>
      </c>
      <c r="M56" s="65">
        <f>$C$26*(1+$H56)*M$50</f>
        <v>0</v>
      </c>
      <c r="N56" s="65">
        <f>$C$26*(1+$H56)*N$50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G25:J25"/>
    <mergeCell ref="B34:N34"/>
    <mergeCell ref="B41:O41"/>
    <mergeCell ref="B47:N47"/>
    <mergeCell ref="B49:F49"/>
    <mergeCell ref="H49:N49"/>
  </mergeCells>
  <conditionalFormatting sqref="I51:N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2004.0124</v>
      </c>
      <c r="F161" s="67">
        <v>427.8607175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2004.0124</v>
      </c>
      <c r="N161" s="67">
        <v>427.8607175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901.152</v>
      </c>
      <c r="F162" s="67">
        <v>179.3469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901.152</v>
      </c>
      <c r="N162" s="67">
        <v>179.3469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2986.8719</v>
      </c>
      <c r="F166" s="67">
        <v>567.2165575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2986.8719</v>
      </c>
      <c r="N166" s="67">
        <v>567.2165575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2955.9469</v>
      </c>
      <c r="F167" s="67">
        <v>580.3807575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2955.9469</v>
      </c>
      <c r="N167" s="67">
        <v>580.3807575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2004.0124</v>
      </c>
      <c r="F329" s="67">
        <v>427.8607175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2004.0124</v>
      </c>
      <c r="N329" s="67">
        <v>427.8607175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901.152</v>
      </c>
      <c r="F330" s="67">
        <v>179.3469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901.152</v>
      </c>
      <c r="N330" s="67">
        <v>179.3469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2986.8719</v>
      </c>
      <c r="F334" s="67">
        <v>567.2165575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2986.8719</v>
      </c>
      <c r="N334" s="67">
        <v>567.2165575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2955.9469</v>
      </c>
      <c r="F335" s="67">
        <v>580.3807575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2955.9469</v>
      </c>
      <c r="N335" s="67">
        <v>580.3807575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1619.335</v>
      </c>
      <c r="N656" s="67">
        <v>283.383625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1744.215</v>
      </c>
      <c r="N657" s="67">
        <v>305.237625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1619.335</v>
      </c>
      <c r="N822" s="67">
        <v>283.383625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1744.215</v>
      </c>
      <c r="N823" s="67">
        <v>305.237625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961.0699999999999</v>
      </c>
      <c r="F1050" s="67">
        <v>186.9595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473.25</v>
      </c>
      <c r="F1051" s="67">
        <v>105.7875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1168.516</v>
      </c>
      <c r="F1052" s="67">
        <v>294.192125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583.63</v>
      </c>
      <c r="F1053" s="67">
        <v>186.155375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961.0699999999999</v>
      </c>
      <c r="F1198" s="67">
        <v>186.9595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473.25</v>
      </c>
      <c r="F1199" s="67">
        <v>105.7875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1168.516</v>
      </c>
      <c r="F1200" s="67">
        <v>294.192125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583.63</v>
      </c>
      <c r="F1201" s="67">
        <v>186.155375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245.515</v>
      </c>
      <c r="N1615" s="67">
        <v>159.58475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92.88</v>
      </c>
      <c r="N1616" s="67">
        <v>60.37200000000001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245.515</v>
      </c>
      <c r="N1774" s="67">
        <v>159.58475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92.88</v>
      </c>
      <c r="N1775" s="67">
        <v>60.37200000000001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2026-06-25T18:26:54Z</dcterms:created>
  <dcterms:modified xsi:type="dcterms:W3CDTF">2026-06-25T18:26:54Z</dcterms:modified>
</cp:coreProperties>
</file>