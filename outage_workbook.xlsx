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Dashboard" sheetId="2" r:id="rId2"/>
    <sheet name="Summary" sheetId="3" r:id="rId3"/>
    <sheet name="Monthly" sheetId="4" r:id="rId4"/>
    <sheet name="PADD Charts" sheetId="5" r:id="rId5"/>
    <sheet name="PADD Detail" sheetId="6" r:id="rId6"/>
    <sheet name="Units" sheetId="7" r:id="rId7"/>
    <sheet name="Refinery Detail" sheetId="8" r:id="rId8"/>
    <sheet name="Scenario 2027" sheetId="9" r:id="rId9"/>
    <sheet name="Sensitivity" sheetId="10" r:id="rId10"/>
    <sheet name="Mogas Overlay" sheetId="11" r:id="rId11"/>
    <sheet name="Notes" sheetId="12" r:id="rId12"/>
  </sheets>
  <calcPr calcId="124519" fullCalcOnLoad="1"/>
</workbook>
</file>

<file path=xl/sharedStrings.xml><?xml version="1.0" encoding="utf-8"?>
<sst xmlns="http://schemas.openxmlformats.org/spreadsheetml/2006/main" count="538" uniqueCount="267">
  <si>
    <t>REFINERY OUTAGE ANALYTICS</t>
  </si>
  <si>
    <t>Capacity Offline (kbd) - Planned &amp; Unplanned - 2027 Scenario &amp; Sensitivity</t>
  </si>
  <si>
    <t>Primary metric</t>
  </si>
  <si>
    <t>Capacity offline, thousand barrels/day (kbd) - CAP_OFFLINE_ADJUSTED_KBD</t>
  </si>
  <si>
    <t>Scope</t>
  </si>
  <si>
    <t>All US refining units &amp; products; mogas-equivalent shown as a secondary overlay</t>
  </si>
  <si>
    <t>Data vintage</t>
  </si>
  <si>
    <t>46,456 rows  |  2010-2038  |  PADD {'PAD_DIST': 46456}</t>
  </si>
  <si>
    <t>Event basis</t>
  </si>
  <si>
    <t>19,934 distinct outages (OUTAGE_ID); rows are unit-month slices</t>
  </si>
  <si>
    <t>Outage type</t>
  </si>
  <si>
    <t>Binary {PLANNED, UNPLANNED}; UNKNOWN folded into UNPLANNED (desk rule)</t>
  </si>
  <si>
    <t>Read-Before-Use Caveats</t>
  </si>
  <si>
    <t>-  2026 &amp; 2027 are PARTIAL / special years - shown grey italic everywhere and never presented as final.</t>
  </si>
  <si>
    <t>-  2027 is PLANNED-ONLY in the source. Unplanned-2027 is a MODELED scenario, not an actual.</t>
  </si>
  <si>
    <t>-  Comparison guardrail: any Plan+Unplanned or Unplanned comparison vs 2027 shows n/a; only Planned is valid vs 2027.</t>
  </si>
  <si>
    <t>-  2020-2021 are COVID / Winter-Storm-Uri outliers and are excluded from forecast baselines by default.</t>
  </si>
  <si>
    <t>Contents</t>
  </si>
  <si>
    <t>Dashboard</t>
  </si>
  <si>
    <t>At-a-glance KPIs and headline charts</t>
  </si>
  <si>
    <t>Summary</t>
  </si>
  <si>
    <t>Annual table 2016-2027 + targeted year comparisons</t>
  </si>
  <si>
    <t>Monthly</t>
  </si>
  <si>
    <t>Total / Planned / Unplanned month x year matrices + seasonality</t>
  </si>
  <si>
    <t>PADD Charts</t>
  </si>
  <si>
    <t>Per-PADD planned+unplanned combo charts vs prior years</t>
  </si>
  <si>
    <t>PADD Detail</t>
  </si>
  <si>
    <t>PADD x year matrices and unplanned-by-PADD</t>
  </si>
  <si>
    <t>Units</t>
  </si>
  <si>
    <t>Unit-category x year matrix + magnitude bars</t>
  </si>
  <si>
    <t>Refinery Detail</t>
  </si>
  <si>
    <t>Top refineries, operators and event scatter</t>
  </si>
  <si>
    <t>Scenario 2027</t>
  </si>
  <si>
    <t>Live driver-based 2027 unplanned forecast (dropdowns)</t>
  </si>
  <si>
    <t>Sensitivity</t>
  </si>
  <si>
    <t>Two-way heatmap and tornado of the scenario drivers</t>
  </si>
  <si>
    <t>Mogas Overlay</t>
  </si>
  <si>
    <t>Secondary mogas-equivalent view</t>
  </si>
  <si>
    <t>Notes</t>
  </si>
  <si>
    <t>Sources, methodology and color key</t>
  </si>
  <si>
    <t>Outage Dashboard</t>
  </si>
  <si>
    <t>Headline metrics - latest full year 2025</t>
  </si>
  <si>
    <t>Total Offline</t>
  </si>
  <si>
    <t>FY2025</t>
  </si>
  <si>
    <t>Unplanned</t>
  </si>
  <si>
    <t>Unplanned %</t>
  </si>
  <si>
    <t>of total offline</t>
  </si>
  <si>
    <t>Distinct Outages</t>
  </si>
  <si>
    <t>Top PADD</t>
  </si>
  <si>
    <t>PADD 5</t>
  </si>
  <si>
    <t>by unplanned kbd</t>
  </si>
  <si>
    <t>Chart data (capacity offline, kbd)</t>
  </si>
  <si>
    <t>Year</t>
  </si>
  <si>
    <t>Planned</t>
  </si>
  <si>
    <t>Unplanned by PADD (kbd)</t>
  </si>
  <si>
    <t>PADD</t>
  </si>
  <si>
    <t>PADD 1</t>
  </si>
  <si>
    <t>PADD 2</t>
  </si>
  <si>
    <t>PADD 3</t>
  </si>
  <si>
    <t>PADD 4</t>
  </si>
  <si>
    <t>Unplanned share by PADD (2025)</t>
  </si>
  <si>
    <t>Annual Summary &amp; Comparisons</t>
  </si>
  <si>
    <t>Capacity offline (kbd). 2026/27 grey italic; 2027 planned-only.</t>
  </si>
  <si>
    <t>Annual Capacity Offline (kbd)</t>
  </si>
  <si>
    <t>Total</t>
  </si>
  <si>
    <t>Events</t>
  </si>
  <si>
    <t>Unpl %</t>
  </si>
  <si>
    <t>YoY Δ</t>
  </si>
  <si>
    <t>YoY %</t>
  </si>
  <si>
    <t>Note</t>
  </si>
  <si>
    <t>2027 Unplanned = 0 by construction (planned-only year); see Scenario 2027.</t>
  </si>
  <si>
    <t>Targeted Comparisons (Δ% vs base year)</t>
  </si>
  <si>
    <t>2025 → 2026</t>
  </si>
  <si>
    <t>2025</t>
  </si>
  <si>
    <t>2026</t>
  </si>
  <si>
    <t>Δ kbd</t>
  </si>
  <si>
    <t>Δ %</t>
  </si>
  <si>
    <t>Plan + Unplanned</t>
  </si>
  <si>
    <t>2025 → 2027</t>
  </si>
  <si>
    <t>2027</t>
  </si>
  <si>
    <t>n/a</t>
  </si>
  <si>
    <t>2026 → 2027</t>
  </si>
  <si>
    <t>Guardrail: only Planned is comparable vs 2027 (no actual unplanned-2027 exists).</t>
  </si>
  <si>
    <t>Monthly Detail &amp; Seasonality</t>
  </si>
  <si>
    <t>Capacity offline (kbd) by month x year.</t>
  </si>
  <si>
    <t>Total Offline (kbd)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</si>
  <si>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</si>
  <si>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</si>
  <si>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</si>
  <si>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</si>
  <si>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</si>
  <si>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</si>
  <si>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</si>
  <si>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</si>
  <si>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</si>
  <si>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</si>
  <si>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</si>
  <si>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</si>
  <si>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Planned (kbd)</t>
  </si>
  <si>
    <t>Unplanned (kbd)</t>
  </si>
  <si>
    <t>PADD Planned &amp; Unplanned Offline (kbd)</t>
  </si>
  <si>
    <t>Columns = 2026 plan + unplanned (stacked). Lines = prior-year total offline; green = 2027 plan.</t>
  </si>
  <si>
    <t>PADD 1  -  2026 stack vs 2023-2025 totals &amp; 2027 plan</t>
  </si>
  <si>
    <t>Series</t>
  </si>
  <si>
    <t>2026 Planned</t>
  </si>
  <si>
    <t>2026 Unplanned</t>
  </si>
  <si>
    <t>2025 Total</t>
  </si>
  <si>
    <t>2024 Total</t>
  </si>
  <si>
    <t>2023 Total</t>
  </si>
  <si>
    <t>2027 Planned</t>
  </si>
  <si>
    <t>PADD 2  -  2026 stack vs 2023-2025 totals &amp; 2027 plan</t>
  </si>
  <si>
    <t>PADD 3  -  2026 stack vs 2023-2025 totals &amp; 2027 plan</t>
  </si>
  <si>
    <t>PADD 4  -  2026 stack vs 2023-2025 totals &amp; 2027 plan</t>
  </si>
  <si>
    <t>PADD 5  -  2026 stack vs 2023-2025 totals &amp; 2027 plan</t>
  </si>
  <si>
    <t>PADD Detail Matrices</t>
  </si>
  <si>
    <t>Capacity offline (kbd) by PADD x year, with Total US.</t>
  </si>
  <si>
    <t>Total US</t>
  </si>
  <si>
    <t>Unit-Category Detail</t>
  </si>
  <si>
    <t>Capacity offline (kbd) by unit category x year, sorted by total.</t>
  </si>
  <si>
    <t>Capacity Offline by Unit Category (kbd)</t>
  </si>
  <si>
    <t>Unit Category</t>
  </si>
  <si>
    <t>Atmos Distillation</t>
  </si>
  <si>
    <t>Hydrotreating</t>
  </si>
  <si>
    <t>Fluid Cat Cracking</t>
  </si>
  <si>
    <t>Vacuum Distillation</t>
  </si>
  <si>
    <t>Reforming</t>
  </si>
  <si>
    <t>Coking</t>
  </si>
  <si>
    <t>Hydrocracking</t>
  </si>
  <si>
    <t>Alkylation</t>
  </si>
  <si>
    <t>Isomerization</t>
  </si>
  <si>
    <t>Other</t>
  </si>
  <si>
    <t>Resid_Hydrocracking</t>
  </si>
  <si>
    <t>Asphalt</t>
  </si>
  <si>
    <t>Btx</t>
  </si>
  <si>
    <t>Aromatics</t>
  </si>
  <si>
    <t>Mtbe</t>
  </si>
  <si>
    <t>Therm Cracking, Visbreaking</t>
  </si>
  <si>
    <t>Gas Processing</t>
  </si>
  <si>
    <t>Refinery &amp; Operator Detail</t>
  </si>
  <si>
    <t>Top sites and operators by capacity offline (kbd), all years.</t>
  </si>
  <si>
    <t>Top 15 Refineries by Capacity Offline (kbd)</t>
  </si>
  <si>
    <t>Refinery</t>
  </si>
  <si>
    <t>Operator</t>
  </si>
  <si>
    <t>Alliance Refinery</t>
  </si>
  <si>
    <t>Phillips 66</t>
  </si>
  <si>
    <t>Galveston Bay Refinery (GBR)</t>
  </si>
  <si>
    <t>Marathon Petroleum Corporation</t>
  </si>
  <si>
    <t>Lake Charles Refinery (CITGO)</t>
  </si>
  <si>
    <t>Citgo Petroleum Corporation</t>
  </si>
  <si>
    <t>Port Arthur Refinery (Motiva)</t>
  </si>
  <si>
    <t>Motiva Enterprises Llc</t>
  </si>
  <si>
    <t>Whiting Refinery</t>
  </si>
  <si>
    <t>Bp Products North America Incorporated</t>
  </si>
  <si>
    <t>Port Arthur Refinery (Valero)</t>
  </si>
  <si>
    <t>Valero Refining Company</t>
  </si>
  <si>
    <t>Garyville Refinery</t>
  </si>
  <si>
    <t>Baytown Refinery</t>
  </si>
  <si>
    <t>Exxonmobil Corporation</t>
  </si>
  <si>
    <t>Beaumont Refinery</t>
  </si>
  <si>
    <t>Wood River Refinery</t>
  </si>
  <si>
    <t>Baton Rouge Refinery</t>
  </si>
  <si>
    <t>El Segundo Refinery</t>
  </si>
  <si>
    <t>Chevron Corporation</t>
  </si>
  <si>
    <t>Joliet Refinery</t>
  </si>
  <si>
    <t>Deer Park Refinery</t>
  </si>
  <si>
    <t>Deer Park Refining Lp</t>
  </si>
  <si>
    <t>Pascagoula Refinery</t>
  </si>
  <si>
    <t>Top 10 Operators x Year (kbd)</t>
  </si>
  <si>
    <t>Cenovus Energy Incorporated</t>
  </si>
  <si>
    <t>Shell Oil Products Us</t>
  </si>
  <si>
    <t>Unplanned Events: Capacity vs Monthly Intensity (2023-2025)</t>
  </si>
  <si>
    <t>Duration (days)</t>
  </si>
  <si>
    <t>Capacity (kbd)</t>
  </si>
  <si>
    <t>2027 Unplanned Scenario (Live Model)</t>
  </si>
  <si>
    <t>Edit the yellow inputs - the forecast, chart, PADD split and the Sensitivity sheet all recompute.</t>
  </si>
  <si>
    <t>Scenario Inputs</t>
  </si>
  <si>
    <t>Baseline window</t>
  </si>
  <si>
    <t>2022-2025</t>
  </si>
  <si>
    <t>Production growth %</t>
  </si>
  <si>
    <t>Unplanned rate multiplier</t>
  </si>
  <si>
    <t>One-off event (kbd)</t>
  </si>
  <si>
    <t>Stress month</t>
  </si>
  <si>
    <t>Lookup - Avg Unplanned Offline (kbd/month) by Baseline Window</t>
  </si>
  <si>
    <t>Window</t>
  </si>
  <si>
    <t>2023-2025</t>
  </si>
  <si>
    <t>2018-19 &amp; 22-25</t>
  </si>
  <si>
    <t>All ex-2020/21</t>
  </si>
  <si>
    <t>2027 Unplanned Forecast Cascade (live)</t>
  </si>
  <si>
    <t>Baseline (window)</t>
  </si>
  <si>
    <t>Forecast unplanned</t>
  </si>
  <si>
    <t>Scenario Outputs</t>
  </si>
  <si>
    <t>Baseline annual (pre-shock)</t>
  </si>
  <si>
    <t>2027 Unplanned forecast</t>
  </si>
  <si>
    <t>2027 Planned (booked)</t>
  </si>
  <si>
    <t>2027 Implied total offline</t>
  </si>
  <si>
    <t>Forecast vs Actuals (chart data)</t>
  </si>
  <si>
    <t>2027 Scenario (unplanned)</t>
  </si>
  <si>
    <t>2025 Unplanned (actual)</t>
  </si>
  <si>
    <t>2024 Unplanned (actual)</t>
  </si>
  <si>
    <t>2027 Scenario - PADD Allocation (by historical unplanned share)</t>
  </si>
  <si>
    <t>Share</t>
  </si>
  <si>
    <t>Scenario kbd</t>
  </si>
  <si>
    <t>Sensitivity &amp; Risk</t>
  </si>
  <si>
    <t>Two-way heatmap recomputes from the Scenario baseline window. Tornado ranks the drivers.</t>
  </si>
  <si>
    <t>2027 Unplanned (kbd): Growth (rows) x Multiplier (cols)</t>
  </si>
  <si>
    <t>Growth \ Mult</t>
  </si>
  <si>
    <t>Base case (0% / 1.0x) outlined; colors scale green→red across the grid.</t>
  </si>
  <si>
    <t>Tornado - 2027 Unplanned Sensitivity by Driver (kbd)</t>
  </si>
  <si>
    <t>Driver</t>
  </si>
  <si>
    <t>Low</t>
  </si>
  <si>
    <t>Base</t>
  </si>
  <si>
    <t>High</t>
  </si>
  <si>
    <t>Δ Low</t>
  </si>
  <si>
    <t>Δ High</t>
  </si>
  <si>
    <t>Unplanned rate multiplier (0.7x / 1.3x)</t>
  </si>
  <si>
    <t>Baseline window swing (+/-15%)</t>
  </si>
  <si>
    <t>Production growth (-10% / +10%)</t>
  </si>
  <si>
    <t>One-off event (+300 kbd)</t>
  </si>
  <si>
    <t>Mogas-Equivalent Overlay (Secondary)</t>
  </si>
  <si>
    <t>Gasoline-equivalent = capacity x unit yield factor. Secondary view; capacity is never discarded.</t>
  </si>
  <si>
    <t>Yield Map: Unit Bucket → Mogas Factor</t>
  </si>
  <si>
    <t>Bucket</t>
  </si>
  <si>
    <t>Factor</t>
  </si>
  <si>
    <t>Unit categories</t>
  </si>
  <si>
    <t>CDU</t>
  </si>
  <si>
    <t>Atmos Distillation, Vacuum Distillation</t>
  </si>
  <si>
    <t>FCC</t>
  </si>
  <si>
    <t>Ref</t>
  </si>
  <si>
    <t>HDC</t>
  </si>
  <si>
    <t>Hydrocracking, Resid_Hydrocracking</t>
  </si>
  <si>
    <t>Coker</t>
  </si>
  <si>
    <t>Coking, Therm Cracking, Visbreaking, Therm Cracking/Visbreaking</t>
  </si>
  <si>
    <t>Alkylation, Aromatics, Asphalt, Btx, Gas Processing, Hydrotreating, Isomerization, Mtbe, Other</t>
  </si>
  <si>
    <t>Mogas-Equivalent Offline by Year (kbd)</t>
  </si>
  <si>
    <t>Data Notes &amp; Methodology</t>
  </si>
  <si>
    <t>Source</t>
  </si>
  <si>
    <t>Snowflake export, sheet Query1. 46,456 rows, 2010-2038.</t>
  </si>
  <si>
    <t>CAP_OFFLINE_ADJUSTED_KBD - offline capacity, thousand bbl/day, all units.</t>
  </si>
  <si>
    <t>Event count</t>
  </si>
  <si>
    <t>19,934 distinct OUTAGE_IDs; rows are unit-month slices.</t>
  </si>
  <si>
    <t>Binary {PLANNED, UNPLANNED}; UNKNOWN folded into UNPLANNED (desk rule).</t>
  </si>
  <si>
    <t>Parsed from PAD_DIST Roman numerals (100% resolved); STATE map is fallback.</t>
  </si>
  <si>
    <t>Partial years</t>
  </si>
  <si>
    <t>2026 &amp; 2027 are incomplete/special - grey italic, never final.</t>
  </si>
  <si>
    <t>2027 guardrail</t>
  </si>
  <si>
    <t>2027 is planned-only; unplanned-2027 is a scenario. Non-planned comparisons vs 2027 show n/a.</t>
  </si>
  <si>
    <t>Duration caveat</t>
  </si>
  <si>
    <t>TOTAL_OUTAGE_DAYS is monthly-allocated intensity (caps ~31), not full event length.</t>
  </si>
  <si>
    <t>Outliers</t>
  </si>
  <si>
    <t>2020-2021 (COVID / Winter Storm Uri) excluded from forecast baselines by default.</t>
  </si>
  <si>
    <t>Scenario method</t>
  </si>
  <si>
    <t>Baseline(window) x (1+growth) x multiplier + one-off(stress month). All cells are live formulas off the yellow inputs.</t>
  </si>
  <si>
    <t>Sensitivity method</t>
  </si>
  <si>
    <t>Heatmap = anchor x (1+growth) x multiplier across a grid (recalcs from the scenario window). Tornado ranks driver swings.</t>
  </si>
  <si>
    <t>Mogas method</t>
  </si>
  <si>
    <t>Mogas-eq = capacity x bucket yield (CDU .175, FCC .65, Ref .85, HDC .05, Coker .20, else 0). Additive overlay; capacity never discarded.</t>
  </si>
  <si>
    <t>Refresh</t>
  </si>
  <si>
    <t>Set INPUT_PATH (or pass a path arg) and re-run build_workbook.py. Idempotent.</t>
  </si>
  <si>
    <t>Color Key (financial-model convention)</t>
  </si>
  <si>
    <t>Blue font</t>
  </si>
  <si>
    <t>Hard-coded input the user changes</t>
  </si>
  <si>
    <t>Black font</t>
  </si>
  <si>
    <t>Formula / calculation</t>
  </si>
  <si>
    <t>Green font</t>
  </si>
  <si>
    <t>Cross-sheet link</t>
  </si>
  <si>
    <t>Yellow fill</t>
  </si>
  <si>
    <t>Key assumption cell</t>
  </si>
</sst>
</file>

<file path=xl/styles.xml><?xml version="1.0" encoding="utf-8"?>
<styleSheet xmlns="http://schemas.openxmlformats.org/spreadsheetml/2006/main">
  <numFmts count="7">
    <numFmt numFmtId="164" formatCode="#,##0"/>
    <numFmt numFmtId="165" formatCode="0%"/>
    <numFmt numFmtId="166" formatCode="@"/>
    <numFmt numFmtId="167" formatCode="#,##0;(#,##0);&quot;-&quot;"/>
    <numFmt numFmtId="168" formatCode="0.0%"/>
    <numFmt numFmtId="169" formatCode="0.0&quot;x&quot;"/>
    <numFmt numFmtId="170" formatCode="0.000"/>
  </numFmts>
  <fonts count="23">
    <font>
      <sz val="11"/>
      <color theme="1"/>
      <name val="Calibri"/>
      <family val="2"/>
      <scheme val="minor"/>
    </font>
    <font>
      <b/>
      <sz val="18"/>
      <color rgb="FF1F3864"/>
      <name val="Arial"/>
      <family val="2"/>
    </font>
    <font>
      <i/>
      <sz val="11"/>
      <color rgb="FF595959"/>
      <name val="Arial"/>
      <family val="2"/>
    </font>
    <font>
      <b/>
      <sz val="10"/>
      <color rgb="FF1F3864"/>
      <name val="Arial"/>
      <family val="2"/>
    </font>
    <font>
      <sz val="10"/>
      <color rgb="FF404040"/>
      <name val="Arial"/>
      <family val="2"/>
    </font>
    <font>
      <b/>
      <sz val="11"/>
      <color rgb="FFFFFFFF"/>
      <name val="Arial"/>
      <family val="2"/>
    </font>
    <font>
      <b/>
      <sz val="10"/>
      <color rgb="FFC00000"/>
      <name val="Arial"/>
      <family val="2"/>
    </font>
    <font>
      <u/>
      <sz val="10"/>
      <color rgb="FF2E5496"/>
      <name val="Arial"/>
      <family val="2"/>
    </font>
    <font>
      <b/>
      <sz val="10"/>
      <color rgb="FFFFFFFF"/>
      <name val="Arial"/>
      <family val="2"/>
    </font>
    <font>
      <b/>
      <sz val="20"/>
      <color rgb="FF1F3864"/>
      <name val="Arial"/>
      <family val="2"/>
    </font>
    <font>
      <b/>
      <sz val="22"/>
      <color rgb="FF1F3864"/>
      <name val="Arial"/>
      <family val="2"/>
    </font>
    <font>
      <b/>
      <sz val="16"/>
      <color rgb="FF1F3864"/>
      <name val="Arial"/>
      <family val="2"/>
    </font>
    <font>
      <i/>
      <sz val="9"/>
      <color rgb="FF595959"/>
      <name val="Arial"/>
      <family val="2"/>
    </font>
    <font>
      <sz val="10"/>
      <color theme="1"/>
      <name val="Arial"/>
      <family val="2"/>
    </font>
    <font>
      <b/>
      <sz val="10"/>
      <color rgb="FFD9D9D9"/>
      <name val="Arial"/>
      <family val="2"/>
    </font>
    <font>
      <i/>
      <sz val="10"/>
      <color rgb="FF808080"/>
      <name val="Arial"/>
      <family val="2"/>
    </font>
    <font>
      <b/>
      <sz val="10"/>
      <color theme="1"/>
      <name val="Arial"/>
      <family val="2"/>
    </font>
    <font>
      <b/>
      <sz val="10"/>
      <color rgb="FF0000FF"/>
      <name val="Arial"/>
      <family val="2"/>
    </font>
    <font>
      <sz val="10"/>
      <color rgb="FF008000"/>
      <name val="Arial"/>
      <family val="2"/>
    </font>
    <font>
      <sz val="11"/>
      <color theme="1"/>
      <name val="Arial"/>
      <family val="2"/>
    </font>
    <font>
      <b/>
      <sz val="11"/>
      <color rgb="FF0000FF"/>
      <name val="Arial"/>
      <family val="2"/>
    </font>
    <font>
      <b/>
      <sz val="11"/>
      <color rgb="FF000000"/>
      <name val="Arial"/>
      <family val="2"/>
    </font>
    <font>
      <b/>
      <sz val="11"/>
      <color rgb="FF008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E5496"/>
        <bgColor indexed="64"/>
      </patternFill>
    </fill>
    <fill>
      <patternFill patternType="solid">
        <fgColor rgb="FFD6E0F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F8F00"/>
      </left>
      <right style="thin">
        <color rgb="FFBF8F00"/>
      </right>
      <top style="thin">
        <color rgb="FFBF8F00"/>
      </top>
      <bottom style="thin">
        <color rgb="FFBF8F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5" fillId="2" borderId="0" xfId="0" applyFont="1" applyFill="1" applyAlignment="1">
      <alignment horizontal="left" vertical="center" indent="1"/>
    </xf>
    <xf numFmtId="0" fontId="6" fillId="0" borderId="0" xfId="0" applyFont="1" applyAlignment="1">
      <alignment vertical="top" wrapText="1"/>
    </xf>
    <xf numFmtId="0" fontId="5" fillId="3" borderId="0" xfId="0" applyFont="1" applyFill="1" applyAlignment="1">
      <alignment horizontal="left" vertical="center" indent="1"/>
    </xf>
    <xf numFmtId="0" fontId="7" fillId="0" borderId="0" xfId="0" applyFont="1" applyAlignment="1">
      <alignment horizontal="left" indent="1"/>
    </xf>
    <xf numFmtId="0" fontId="8" fillId="4" borderId="0" xfId="0" applyFont="1" applyFill="1" applyAlignment="1">
      <alignment horizontal="center" vertical="center" wrapText="1"/>
    </xf>
    <xf numFmtId="164" fontId="9" fillId="5" borderId="0" xfId="0" applyNumberFormat="1" applyFont="1" applyFill="1" applyAlignment="1">
      <alignment horizontal="center" vertical="center"/>
    </xf>
    <xf numFmtId="165" fontId="10" fillId="5" borderId="0" xfId="0" applyNumberFormat="1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left" vertical="center" indent="1"/>
    </xf>
    <xf numFmtId="0" fontId="8" fillId="3" borderId="1" xfId="0" applyFont="1" applyFill="1" applyBorder="1" applyAlignment="1">
      <alignment horizontal="center" vertical="center"/>
    </xf>
    <xf numFmtId="166" fontId="8" fillId="3" borderId="1" xfId="0" applyNumberFormat="1" applyFont="1" applyFill="1" applyBorder="1" applyAlignment="1">
      <alignment horizontal="center" vertical="center"/>
    </xf>
    <xf numFmtId="167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left" vertical="center" indent="1"/>
    </xf>
    <xf numFmtId="168" fontId="13" fillId="0" borderId="0" xfId="0" applyNumberFormat="1" applyFont="1" applyAlignment="1">
      <alignment horizontal="right"/>
    </xf>
    <xf numFmtId="166" fontId="14" fillId="3" borderId="1" xfId="0" applyNumberFormat="1" applyFont="1" applyFill="1" applyBorder="1" applyAlignment="1">
      <alignment horizontal="center" vertical="center"/>
    </xf>
    <xf numFmtId="167" fontId="15" fillId="0" borderId="0" xfId="0" applyNumberFormat="1" applyFont="1" applyAlignment="1">
      <alignment horizontal="right"/>
    </xf>
    <xf numFmtId="168" fontId="15" fillId="0" borderId="0" xfId="0" applyNumberFormat="1" applyFont="1" applyAlignment="1">
      <alignment horizontal="right"/>
    </xf>
    <xf numFmtId="0" fontId="16" fillId="0" borderId="0" xfId="0" applyFont="1" applyAlignment="1">
      <alignment horizontal="left" vertical="center" indent="1"/>
    </xf>
    <xf numFmtId="0" fontId="15" fillId="0" borderId="0" xfId="0" applyFont="1" applyAlignment="1">
      <alignment horizontal="right"/>
    </xf>
    <xf numFmtId="167" fontId="16" fillId="0" borderId="0" xfId="0" applyNumberFormat="1" applyFont="1" applyAlignment="1">
      <alignment horizontal="right"/>
    </xf>
    <xf numFmtId="0" fontId="5" fillId="4" borderId="0" xfId="0" applyFont="1" applyFill="1" applyAlignment="1">
      <alignment horizontal="left" vertical="center" indent="1"/>
    </xf>
    <xf numFmtId="0" fontId="5" fillId="6" borderId="0" xfId="0" applyFont="1" applyFill="1" applyAlignment="1">
      <alignment horizontal="left" vertical="center" indent="1"/>
    </xf>
    <xf numFmtId="167" fontId="13" fillId="7" borderId="0" xfId="0" applyNumberFormat="1" applyFont="1" applyFill="1" applyAlignment="1">
      <alignment horizontal="right"/>
    </xf>
    <xf numFmtId="167" fontId="15" fillId="7" borderId="0" xfId="0" applyNumberFormat="1" applyFont="1" applyFill="1" applyAlignment="1">
      <alignment horizontal="right"/>
    </xf>
    <xf numFmtId="0" fontId="16" fillId="8" borderId="2" xfId="0" applyFont="1" applyFill="1" applyBorder="1" applyAlignment="1">
      <alignment horizontal="left" vertical="center" indent="1"/>
    </xf>
    <xf numFmtId="0" fontId="17" fillId="8" borderId="2" xfId="0" applyFont="1" applyFill="1" applyBorder="1" applyAlignment="1">
      <alignment horizontal="center" vertical="center"/>
    </xf>
    <xf numFmtId="168" fontId="17" fillId="8" borderId="2" xfId="0" applyNumberFormat="1" applyFont="1" applyFill="1" applyBorder="1" applyAlignment="1">
      <alignment horizontal="center" vertical="center"/>
    </xf>
    <xf numFmtId="169" fontId="17" fillId="8" borderId="2" xfId="0" applyNumberFormat="1" applyFont="1" applyFill="1" applyBorder="1" applyAlignment="1">
      <alignment horizontal="center" vertical="center"/>
    </xf>
    <xf numFmtId="167" fontId="17" fillId="8" borderId="2" xfId="0" applyNumberFormat="1" applyFont="1" applyFill="1" applyBorder="1" applyAlignment="1">
      <alignment horizontal="center" vertical="center"/>
    </xf>
    <xf numFmtId="167" fontId="16" fillId="5" borderId="0" xfId="0" applyNumberFormat="1" applyFont="1" applyFill="1" applyAlignment="1">
      <alignment horizontal="right"/>
    </xf>
    <xf numFmtId="167" fontId="18" fillId="0" borderId="0" xfId="0" applyNumberFormat="1" applyFont="1" applyAlignment="1">
      <alignment horizontal="right"/>
    </xf>
    <xf numFmtId="168" fontId="18" fillId="0" borderId="0" xfId="0" applyNumberFormat="1" applyFont="1" applyAlignment="1">
      <alignment horizontal="right"/>
    </xf>
    <xf numFmtId="0" fontId="5" fillId="9" borderId="0" xfId="0" applyFont="1" applyFill="1" applyAlignment="1">
      <alignment horizontal="left" vertical="center" indent="1"/>
    </xf>
    <xf numFmtId="0" fontId="8" fillId="3" borderId="3" xfId="0" applyFont="1" applyFill="1" applyBorder="1" applyAlignment="1">
      <alignment horizontal="center" vertical="center"/>
    </xf>
    <xf numFmtId="169" fontId="5" fillId="3" borderId="3" xfId="0" applyNumberFormat="1" applyFont="1" applyFill="1" applyBorder="1" applyAlignment="1">
      <alignment horizontal="center" vertical="center"/>
    </xf>
    <xf numFmtId="168" fontId="5" fillId="3" borderId="3" xfId="0" applyNumberFormat="1" applyFont="1" applyFill="1" applyBorder="1" applyAlignment="1">
      <alignment horizontal="center" vertical="center"/>
    </xf>
    <xf numFmtId="164" fontId="13" fillId="0" borderId="4" xfId="0" applyNumberFormat="1" applyFont="1" applyBorder="1" applyAlignment="1">
      <alignment horizontal="center" vertical="center"/>
    </xf>
    <xf numFmtId="164" fontId="16" fillId="0" borderId="5" xfId="0" applyNumberFormat="1" applyFont="1" applyBorder="1" applyAlignment="1">
      <alignment horizontal="center" vertical="center"/>
    </xf>
    <xf numFmtId="170" fontId="19" fillId="0" borderId="0" xfId="0" applyNumberFormat="1" applyFont="1" applyAlignment="1">
      <alignment horizontal="center"/>
    </xf>
    <xf numFmtId="0" fontId="20" fillId="10" borderId="0" xfId="0" applyFont="1" applyFill="1"/>
    <xf numFmtId="0" fontId="21" fillId="10" borderId="0" xfId="0" applyFont="1" applyFill="1"/>
    <xf numFmtId="0" fontId="22" fillId="10" borderId="0" xfId="0" applyFont="1" applyFill="1"/>
    <xf numFmtId="0" fontId="21" fillId="8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Capacity Offline by Year (Planned + Unplanned)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Dashboard!$C$41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1F3864"/>
            </a:solidFill>
          </c:spPr>
          <c:cat>
            <c:numRef>
              <c:f>Dashboard!$B$42:$B$51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Dashboard!$C$42:$C$51</c:f>
              <c:numCache>
                <c:formatCode>General</c:formatCode>
                <c:ptCount val="10"/>
                <c:pt idx="0">
                  <c:v>20666.8937</c:v>
                </c:pt>
                <c:pt idx="1">
                  <c:v>24322.1946</c:v>
                </c:pt>
                <c:pt idx="2">
                  <c:v>25471.7365</c:v>
                </c:pt>
                <c:pt idx="3">
                  <c:v>25740.7337</c:v>
                </c:pt>
                <c:pt idx="4">
                  <c:v>24430.7107</c:v>
                </c:pt>
                <c:pt idx="5">
                  <c:v>26140.2458</c:v>
                </c:pt>
                <c:pt idx="6">
                  <c:v>20382.4957</c:v>
                </c:pt>
                <c:pt idx="7">
                  <c:v>19416.5201</c:v>
                </c:pt>
                <c:pt idx="8">
                  <c:v>12029.062</c:v>
                </c:pt>
                <c:pt idx="9">
                  <c:v>15923.1696</c:v>
                </c:pt>
              </c:numCache>
            </c:numRef>
          </c:val>
        </c:ser>
        <c:ser>
          <c:idx val="1"/>
          <c:order val="1"/>
          <c:tx>
            <c:strRef>
              <c:f>Dashboard!$D$41</c:f>
              <c:strCache>
                <c:ptCount val="1"/>
                <c:pt idx="0">
                  <c:v>Unplanned</c:v>
                </c:pt>
              </c:strCache>
            </c:strRef>
          </c:tx>
          <c:spPr>
            <a:solidFill>
              <a:srgbClr val="C00000"/>
            </a:solidFill>
          </c:spPr>
          <c:cat>
            <c:numRef>
              <c:f>Dashboard!$B$42:$B$51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Dashboard!$D$42:$D$51</c:f>
              <c:numCache>
                <c:formatCode>General</c:formatCode>
                <c:ptCount val="10"/>
                <c:pt idx="0">
                  <c:v>11368.5909</c:v>
                </c:pt>
                <c:pt idx="1">
                  <c:v>18335.4043</c:v>
                </c:pt>
                <c:pt idx="2">
                  <c:v>124780.2455</c:v>
                </c:pt>
                <c:pt idx="3">
                  <c:v>67571.4237</c:v>
                </c:pt>
                <c:pt idx="4">
                  <c:v>22628.5092</c:v>
                </c:pt>
                <c:pt idx="5">
                  <c:v>23692.1589</c:v>
                </c:pt>
                <c:pt idx="6">
                  <c:v>21582.5668</c:v>
                </c:pt>
                <c:pt idx="7">
                  <c:v>19257.5535</c:v>
                </c:pt>
                <c:pt idx="8">
                  <c:v>8249.7958</c:v>
                </c:pt>
                <c:pt idx="9">
                  <c:v>0</c:v>
                </c:pt>
              </c:numCache>
            </c:numRef>
          </c:val>
        </c:ser>
        <c:gapWidth val="6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0" sourceLinked="0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kbd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Unplanned Offline by PADD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Dashboard!$C$54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2E5496"/>
            </a:solidFill>
          </c:spPr>
          <c:cat>
            <c:strRef>
              <c:f>Dashboard!$B$55:$B$59</c:f>
              <c:strCache>
                <c:ptCount val="5"/>
                <c:pt idx="0">
                  <c:v>PADD 1</c:v>
                </c:pt>
                <c:pt idx="1">
                  <c:v>PADD 2</c:v>
                </c:pt>
                <c:pt idx="2">
                  <c:v>PADD 3</c:v>
                </c:pt>
                <c:pt idx="3">
                  <c:v>PADD 4</c:v>
                </c:pt>
                <c:pt idx="4">
                  <c:v>PADD 5</c:v>
                </c:pt>
              </c:strCache>
            </c:strRef>
          </c:cat>
          <c:val>
            <c:numRef>
              <c:f>Dashboard!$C$55:$C$59</c:f>
              <c:numCache>
                <c:formatCode>General</c:formatCode>
                <c:ptCount val="5"/>
                <c:pt idx="0">
                  <c:v>838.49</c:v>
                </c:pt>
                <c:pt idx="1">
                  <c:v>6764.0168</c:v>
                </c:pt>
                <c:pt idx="2">
                  <c:v>11315.8739</c:v>
                </c:pt>
                <c:pt idx="3">
                  <c:v>693.9537</c:v>
                </c:pt>
                <c:pt idx="4">
                  <c:v>3016.1748</c:v>
                </c:pt>
              </c:numCache>
            </c:numRef>
          </c:val>
        </c:ser>
        <c:ser>
          <c:idx val="1"/>
          <c:order val="1"/>
          <c:tx>
            <c:strRef>
              <c:f>Dashboard!$D$54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BF9000"/>
            </a:solidFill>
          </c:spPr>
          <c:cat>
            <c:strRef>
              <c:f>Dashboard!$B$55:$B$59</c:f>
              <c:strCache>
                <c:ptCount val="5"/>
                <c:pt idx="0">
                  <c:v>PADD 1</c:v>
                </c:pt>
                <c:pt idx="1">
                  <c:v>PADD 2</c:v>
                </c:pt>
                <c:pt idx="2">
                  <c:v>PADD 3</c:v>
                </c:pt>
                <c:pt idx="3">
                  <c:v>PADD 4</c:v>
                </c:pt>
                <c:pt idx="4">
                  <c:v>PADD 5</c:v>
                </c:pt>
              </c:strCache>
            </c:strRef>
          </c:cat>
          <c:val>
            <c:numRef>
              <c:f>Dashboard!$D$55:$D$59</c:f>
              <c:numCache>
                <c:formatCode>General</c:formatCode>
                <c:ptCount val="5"/>
                <c:pt idx="0">
                  <c:v>879.2184999999999</c:v>
                </c:pt>
                <c:pt idx="1">
                  <c:v>6640.3387</c:v>
                </c:pt>
                <c:pt idx="2">
                  <c:v>11829.2618</c:v>
                </c:pt>
                <c:pt idx="3">
                  <c:v>1470.7124</c:v>
                </c:pt>
                <c:pt idx="4">
                  <c:v>2872.6275</c:v>
                </c:pt>
              </c:numCache>
            </c:numRef>
          </c:val>
        </c:ser>
        <c:ser>
          <c:idx val="2"/>
          <c:order val="2"/>
          <c:tx>
            <c:strRef>
              <c:f>Dashboard!$E$54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548235"/>
            </a:solidFill>
          </c:spPr>
          <c:cat>
            <c:strRef>
              <c:f>Dashboard!$B$55:$B$59</c:f>
              <c:strCache>
                <c:ptCount val="5"/>
                <c:pt idx="0">
                  <c:v>PADD 1</c:v>
                </c:pt>
                <c:pt idx="1">
                  <c:v>PADD 2</c:v>
                </c:pt>
                <c:pt idx="2">
                  <c:v>PADD 3</c:v>
                </c:pt>
                <c:pt idx="3">
                  <c:v>PADD 4</c:v>
                </c:pt>
                <c:pt idx="4">
                  <c:v>PADD 5</c:v>
                </c:pt>
              </c:strCache>
            </c:strRef>
          </c:cat>
          <c:val>
            <c:numRef>
              <c:f>Dashboard!$E$55:$E$59</c:f>
              <c:numCache>
                <c:formatCode>General</c:formatCode>
                <c:ptCount val="5"/>
                <c:pt idx="0">
                  <c:v>758.0088</c:v>
                </c:pt>
                <c:pt idx="1">
                  <c:v>5602.5239</c:v>
                </c:pt>
                <c:pt idx="2">
                  <c:v>11810.3492</c:v>
                </c:pt>
                <c:pt idx="3">
                  <c:v>401.7754</c:v>
                </c:pt>
                <c:pt idx="4">
                  <c:v>3009.9095</c:v>
                </c:pt>
              </c:numCache>
            </c:numRef>
          </c:val>
        </c:ser>
        <c:ser>
          <c:idx val="3"/>
          <c:order val="3"/>
          <c:tx>
            <c:strRef>
              <c:f>Dashboard!$F$54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C00000"/>
            </a:solidFill>
          </c:spPr>
          <c:cat>
            <c:strRef>
              <c:f>Dashboard!$B$55:$B$59</c:f>
              <c:strCache>
                <c:ptCount val="5"/>
                <c:pt idx="0">
                  <c:v>PADD 1</c:v>
                </c:pt>
                <c:pt idx="1">
                  <c:v>PADD 2</c:v>
                </c:pt>
                <c:pt idx="2">
                  <c:v>PADD 3</c:v>
                </c:pt>
                <c:pt idx="3">
                  <c:v>PADD 4</c:v>
                </c:pt>
                <c:pt idx="4">
                  <c:v>PADD 5</c:v>
                </c:pt>
              </c:strCache>
            </c:strRef>
          </c:cat>
          <c:val>
            <c:numRef>
              <c:f>Dashboard!$F$55:$F$59</c:f>
              <c:numCache>
                <c:formatCode>General</c:formatCode>
                <c:ptCount val="5"/>
                <c:pt idx="0">
                  <c:v>1524.7432</c:v>
                </c:pt>
                <c:pt idx="1">
                  <c:v>2837.6686</c:v>
                </c:pt>
                <c:pt idx="2">
                  <c:v>6051.7432</c:v>
                </c:pt>
                <c:pt idx="3">
                  <c:v>381.1887</c:v>
                </c:pt>
                <c:pt idx="4">
                  <c:v>8462.209800000001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kbd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Unplanned Share by PADD (2025)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Unplanned share 2025</c:v>
          </c:tx>
          <c:dPt>
            <c:idx val="0"/>
            <c:spPr>
              <a:solidFill>
                <a:srgbClr val="1F3864"/>
              </a:solidFill>
            </c:spPr>
          </c:dPt>
          <c:dPt>
            <c:idx val="1"/>
            <c:spPr>
              <a:solidFill>
                <a:srgbClr val="2E5496"/>
              </a:solidFill>
            </c:spPr>
          </c:dPt>
          <c:dPt>
            <c:idx val="2"/>
            <c:spPr>
              <a:solidFill>
                <a:srgbClr val="BF9000"/>
              </a:solidFill>
            </c:spPr>
          </c:dPt>
          <c:dPt>
            <c:idx val="3"/>
            <c:spPr>
              <a:solidFill>
                <a:srgbClr val="548235"/>
              </a:solidFill>
            </c:spPr>
          </c:dPt>
          <c:dPt>
            <c:idx val="4"/>
            <c:spPr>
              <a:solidFill>
                <a:srgbClr val="ED7D31"/>
              </a:solidFill>
            </c:spPr>
          </c:dPt>
          <c:cat>
            <c:strRef>
              <c:f>Dashboard!$B$62:$B$66</c:f>
              <c:strCache>
                <c:ptCount val="5"/>
                <c:pt idx="0">
                  <c:v>PADD 1</c:v>
                </c:pt>
                <c:pt idx="1">
                  <c:v>PADD 2</c:v>
                </c:pt>
                <c:pt idx="2">
                  <c:v>PADD 3</c:v>
                </c:pt>
                <c:pt idx="3">
                  <c:v>PADD 4</c:v>
                </c:pt>
                <c:pt idx="4">
                  <c:v>PADD 5</c:v>
                </c:pt>
              </c:strCache>
            </c:strRef>
          </c:cat>
          <c:val>
            <c:numRef>
              <c:f>Dashboard!$C$62:$C$66</c:f>
              <c:numCache>
                <c:formatCode>General</c:formatCode>
                <c:ptCount val="5"/>
                <c:pt idx="0">
                  <c:v>1524.7432</c:v>
                </c:pt>
                <c:pt idx="1">
                  <c:v>2837.6686</c:v>
                </c:pt>
                <c:pt idx="2">
                  <c:v>6051.7432</c:v>
                </c:pt>
                <c:pt idx="3">
                  <c:v>381.1887</c:v>
                </c:pt>
                <c:pt idx="4">
                  <c:v>8462.209800000001</c:v>
                </c:pt>
              </c:numCache>
            </c:numRef>
          </c:val>
        </c:ser>
        <c:firstSliceAng val="0"/>
        <c:holeSize val="55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Unplanned Offline Seasonality (kbd by month)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2022</c:v>
          </c:tx>
          <c:spPr>
            <a:ln w="25400">
              <a:solidFill>
                <a:srgbClr val="808080"/>
              </a:solidFill>
              <a:prstDash val="solid"/>
            </a:ln>
          </c:spPr>
          <c:marker>
            <c:symbol val="none"/>
          </c:marker>
          <c:cat>
            <c:strRef>
              <c:f>Monthly!$C$33:$N$33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Monthly!$C$38:$N$38</c:f>
              <c:numCache>
                <c:formatCode>General</c:formatCode>
                <c:ptCount val="12"/>
                <c:pt idx="0">
                  <c:v>2136.4074</c:v>
                </c:pt>
                <c:pt idx="1">
                  <c:v>2560.138</c:v>
                </c:pt>
                <c:pt idx="2">
                  <c:v>1897.7965</c:v>
                </c:pt>
                <c:pt idx="3">
                  <c:v>2126.5569</c:v>
                </c:pt>
                <c:pt idx="4">
                  <c:v>1915.8068</c:v>
                </c:pt>
                <c:pt idx="5">
                  <c:v>1365.4118</c:v>
                </c:pt>
                <c:pt idx="6">
                  <c:v>1338.2962</c:v>
                </c:pt>
                <c:pt idx="7">
                  <c:v>1346.9824</c:v>
                </c:pt>
                <c:pt idx="8">
                  <c:v>1198.2113</c:v>
                </c:pt>
                <c:pt idx="9">
                  <c:v>1803.6182</c:v>
                </c:pt>
                <c:pt idx="10">
                  <c:v>1657.1564</c:v>
                </c:pt>
                <c:pt idx="11">
                  <c:v>3282.1273</c:v>
                </c:pt>
              </c:numCache>
            </c:numRef>
          </c:val>
        </c:ser>
        <c:ser>
          <c:idx val="1"/>
          <c:order val="1"/>
          <c:tx>
            <c:v>2023</c:v>
          </c:tx>
          <c:spPr>
            <a:ln w="25400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Monthly!$C$33:$N$33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Monthly!$C$39:$N$39</c:f>
              <c:numCache>
                <c:formatCode>General</c:formatCode>
                <c:ptCount val="12"/>
                <c:pt idx="0">
                  <c:v>3159.4181</c:v>
                </c:pt>
                <c:pt idx="1">
                  <c:v>2679.4067</c:v>
                </c:pt>
                <c:pt idx="2">
                  <c:v>3076.538</c:v>
                </c:pt>
                <c:pt idx="3">
                  <c:v>2468.7029</c:v>
                </c:pt>
                <c:pt idx="4">
                  <c:v>1748.7276</c:v>
                </c:pt>
                <c:pt idx="5">
                  <c:v>1921.4961</c:v>
                </c:pt>
                <c:pt idx="6">
                  <c:v>1475.1268</c:v>
                </c:pt>
                <c:pt idx="7">
                  <c:v>1444.011</c:v>
                </c:pt>
                <c:pt idx="8">
                  <c:v>1531.522</c:v>
                </c:pt>
                <c:pt idx="9">
                  <c:v>1988.7435</c:v>
                </c:pt>
                <c:pt idx="10">
                  <c:v>1350.9239</c:v>
                </c:pt>
                <c:pt idx="11">
                  <c:v>847.5423</c:v>
                </c:pt>
              </c:numCache>
            </c:numRef>
          </c:val>
        </c:ser>
        <c:ser>
          <c:idx val="2"/>
          <c:order val="2"/>
          <c:tx>
            <c:v>2024</c:v>
          </c:tx>
          <c:spPr>
            <a:ln w="25400">
              <a:solidFill>
                <a:srgbClr val="2E5496"/>
              </a:solidFill>
              <a:prstDash val="solid"/>
            </a:ln>
          </c:spPr>
          <c:marker>
            <c:symbol val="none"/>
          </c:marker>
          <c:cat>
            <c:strRef>
              <c:f>Monthly!$C$33:$N$33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Monthly!$C$40:$N$40</c:f>
              <c:numCache>
                <c:formatCode>General</c:formatCode>
                <c:ptCount val="12"/>
                <c:pt idx="0">
                  <c:v>2433.6238</c:v>
                </c:pt>
                <c:pt idx="1">
                  <c:v>5025.1422</c:v>
                </c:pt>
                <c:pt idx="2">
                  <c:v>2051.1556</c:v>
                </c:pt>
                <c:pt idx="3">
                  <c:v>1881.5364</c:v>
                </c:pt>
                <c:pt idx="4">
                  <c:v>940.6905</c:v>
                </c:pt>
                <c:pt idx="5">
                  <c:v>1023.714</c:v>
                </c:pt>
                <c:pt idx="6">
                  <c:v>1472.8685</c:v>
                </c:pt>
                <c:pt idx="7">
                  <c:v>1211.9996</c:v>
                </c:pt>
                <c:pt idx="8">
                  <c:v>1844.9944</c:v>
                </c:pt>
                <c:pt idx="9">
                  <c:v>1940.158</c:v>
                </c:pt>
                <c:pt idx="10">
                  <c:v>1047.007</c:v>
                </c:pt>
                <c:pt idx="11">
                  <c:v>709.6768</c:v>
                </c:pt>
              </c:numCache>
            </c:numRef>
          </c:val>
        </c:ser>
        <c:ser>
          <c:idx val="3"/>
          <c:order val="3"/>
          <c:tx>
            <c:v>2025</c:v>
          </c:tx>
          <c:spPr>
            <a:ln w="254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strRef>
              <c:f>Monthly!$C$33:$N$33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Monthly!$C$41:$N$41</c:f>
              <c:numCache>
                <c:formatCode>General</c:formatCode>
                <c:ptCount val="12"/>
                <c:pt idx="0">
                  <c:v>1400.9949</c:v>
                </c:pt>
                <c:pt idx="1">
                  <c:v>2023.3805</c:v>
                </c:pt>
                <c:pt idx="2">
                  <c:v>2228.4465</c:v>
                </c:pt>
                <c:pt idx="3">
                  <c:v>2621.2351</c:v>
                </c:pt>
                <c:pt idx="4">
                  <c:v>1753.1826</c:v>
                </c:pt>
                <c:pt idx="5">
                  <c:v>1169.5851</c:v>
                </c:pt>
                <c:pt idx="6">
                  <c:v>939.4538</c:v>
                </c:pt>
                <c:pt idx="7">
                  <c:v>979.7175</c:v>
                </c:pt>
                <c:pt idx="8">
                  <c:v>1487.0255</c:v>
                </c:pt>
                <c:pt idx="9">
                  <c:v>2468.751</c:v>
                </c:pt>
                <c:pt idx="10">
                  <c:v>1324.048</c:v>
                </c:pt>
                <c:pt idx="11">
                  <c:v>861.7330000000001</c:v>
                </c:pt>
              </c:numCache>
            </c:numRef>
          </c:val>
        </c:ser>
        <c:ser>
          <c:idx val="4"/>
          <c:order val="4"/>
          <c:tx>
            <c:v>2026</c:v>
          </c:tx>
          <c:spPr>
            <a:ln w="25400">
              <a:solidFill>
                <a:srgbClr val="BF9000"/>
              </a:solidFill>
              <a:prstDash val="dash"/>
            </a:ln>
          </c:spPr>
          <c:marker>
            <c:symbol val="none"/>
          </c:marker>
          <c:cat>
            <c:strRef>
              <c:f>Monthly!$C$33:$N$33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Monthly!$C$42:$N$42</c:f>
              <c:numCache>
                <c:formatCode>General</c:formatCode>
                <c:ptCount val="12"/>
                <c:pt idx="0">
                  <c:v>786.9865</c:v>
                </c:pt>
                <c:pt idx="1">
                  <c:v>1792.968</c:v>
                </c:pt>
                <c:pt idx="2">
                  <c:v>1118.4157</c:v>
                </c:pt>
                <c:pt idx="3">
                  <c:v>2043.992</c:v>
                </c:pt>
                <c:pt idx="4">
                  <c:v>1202.4129</c:v>
                </c:pt>
                <c:pt idx="5">
                  <c:v>979.7867</c:v>
                </c:pt>
                <c:pt idx="6">
                  <c:v>141.934</c:v>
                </c:pt>
                <c:pt idx="7">
                  <c:v>47</c:v>
                </c:pt>
                <c:pt idx="8">
                  <c:v>47</c:v>
                </c:pt>
                <c:pt idx="9">
                  <c:v>47</c:v>
                </c:pt>
                <c:pt idx="10">
                  <c:v>42.3</c:v>
                </c:pt>
                <c:pt idx="11">
                  <c:v>0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kbd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PADD 1 Planned &amp; Unplanned Offline (kbd)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'PADD Charts'!$B$8</c:f>
              <c:strCache>
                <c:ptCount val="1"/>
                <c:pt idx="0">
                  <c:v>2026 Planned</c:v>
                </c:pt>
              </c:strCache>
            </c:strRef>
          </c:tx>
          <c:spPr>
            <a:solidFill>
              <a:srgbClr val="BF9000"/>
            </a:solidFill>
          </c:spPr>
          <c:cat>
            <c:strRef>
              <c:f>'PADD Charts'!$C$7:$N$7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'PADD Charts'!$C$8:$N$8</c:f>
              <c:numCache>
                <c:formatCode>General</c:formatCode>
                <c:ptCount val="12"/>
                <c:pt idx="0">
                  <c:v>3.22</c:v>
                </c:pt>
                <c:pt idx="1">
                  <c:v>12.04</c:v>
                </c:pt>
                <c:pt idx="2">
                  <c:v>12.48</c:v>
                </c:pt>
                <c:pt idx="3">
                  <c:v>3.78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71.8939</c:v>
                </c:pt>
                <c:pt idx="9">
                  <c:v>82.5856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'PADD Charts'!$B$9</c:f>
              <c:strCache>
                <c:ptCount val="1"/>
                <c:pt idx="0">
                  <c:v>2026 Unplanned</c:v>
                </c:pt>
              </c:strCache>
            </c:strRef>
          </c:tx>
          <c:spPr>
            <a:solidFill>
              <a:srgbClr val="ED7D31"/>
            </a:solidFill>
          </c:spPr>
          <c:cat>
            <c:strRef>
              <c:f>'PADD Charts'!$C$7:$N$7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'PADD Charts'!$C$9:$N$9</c:f>
              <c:numCache>
                <c:formatCode>General</c:formatCode>
                <c:ptCount val="12"/>
                <c:pt idx="0">
                  <c:v>29.58</c:v>
                </c:pt>
                <c:pt idx="1">
                  <c:v>25.1</c:v>
                </c:pt>
                <c:pt idx="2">
                  <c:v>38.548</c:v>
                </c:pt>
                <c:pt idx="3">
                  <c:v>2.2</c:v>
                </c:pt>
                <c:pt idx="4">
                  <c:v>21.2</c:v>
                </c:pt>
                <c:pt idx="5">
                  <c:v>224.3867</c:v>
                </c:pt>
                <c:pt idx="6">
                  <c:v>0.704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overlap val="100"/>
        <c:axId val="50050001"/>
        <c:axId val="50050002"/>
      </c:barChart>
      <c:lineChart>
        <c:grouping val="standard"/>
        <c:ser>
          <c:idx val="2"/>
          <c:order val="2"/>
          <c:tx>
            <c:strRef>
              <c:f>'PADD Charts'!$B$10</c:f>
              <c:strCache>
                <c:ptCount val="1"/>
                <c:pt idx="0">
                  <c:v>2025 Total</c:v>
                </c:pt>
              </c:strCache>
            </c:strRef>
          </c:tx>
          <c:spPr>
            <a:ln w="28575">
              <a:solidFill>
                <a:srgbClr val="C00000"/>
              </a:solidFill>
            </a:ln>
          </c:spPr>
          <c:marker>
            <c:symbol val="none"/>
          </c:marker>
          <c:cat>
            <c:strRef>
              <c:f>'PADD Charts'!$C$7:$N$7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'PADD Charts'!$C$10:$N$10</c:f>
              <c:numCache>
                <c:formatCode>General</c:formatCode>
                <c:ptCount val="12"/>
                <c:pt idx="0">
                  <c:v>240.51</c:v>
                </c:pt>
                <c:pt idx="1">
                  <c:v>486.744</c:v>
                </c:pt>
                <c:pt idx="2">
                  <c:v>667.28</c:v>
                </c:pt>
                <c:pt idx="3">
                  <c:v>363.0836</c:v>
                </c:pt>
                <c:pt idx="4">
                  <c:v>265.68</c:v>
                </c:pt>
                <c:pt idx="5">
                  <c:v>191.7042</c:v>
                </c:pt>
                <c:pt idx="6">
                  <c:v>175.9952</c:v>
                </c:pt>
                <c:pt idx="7">
                  <c:v>4.58</c:v>
                </c:pt>
                <c:pt idx="8">
                  <c:v>7.8</c:v>
                </c:pt>
                <c:pt idx="9">
                  <c:v>10.24</c:v>
                </c:pt>
                <c:pt idx="10">
                  <c:v>2.04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strRef>
              <c:f>'PADD Charts'!$B$11</c:f>
              <c:strCache>
                <c:ptCount val="1"/>
                <c:pt idx="0">
                  <c:v>2024 Total</c:v>
                </c:pt>
              </c:strCache>
            </c:strRef>
          </c:tx>
          <c:spPr>
            <a:ln w="28575">
              <a:solidFill>
                <a:srgbClr val="2E5496"/>
              </a:solidFill>
            </a:ln>
          </c:spPr>
          <c:marker>
            <c:symbol val="none"/>
          </c:marker>
          <c:cat>
            <c:strRef>
              <c:f>'PADD Charts'!$C$7:$N$7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'PADD Charts'!$C$11:$N$11</c:f>
              <c:numCache>
                <c:formatCode>General</c:formatCode>
                <c:ptCount val="12"/>
                <c:pt idx="0">
                  <c:v>99.0698</c:v>
                </c:pt>
                <c:pt idx="1">
                  <c:v>62.445</c:v>
                </c:pt>
                <c:pt idx="2">
                  <c:v>236.6964</c:v>
                </c:pt>
                <c:pt idx="3">
                  <c:v>214.8537</c:v>
                </c:pt>
                <c:pt idx="4">
                  <c:v>23.4</c:v>
                </c:pt>
                <c:pt idx="5">
                  <c:v>1.82</c:v>
                </c:pt>
                <c:pt idx="6">
                  <c:v>75.05</c:v>
                </c:pt>
                <c:pt idx="7">
                  <c:v>10.9</c:v>
                </c:pt>
                <c:pt idx="8">
                  <c:v>87.26389999999999</c:v>
                </c:pt>
                <c:pt idx="9">
                  <c:v>154.0685</c:v>
                </c:pt>
                <c:pt idx="10">
                  <c:v>159.3301</c:v>
                </c:pt>
                <c:pt idx="11">
                  <c:v>197.87</c:v>
                </c:pt>
              </c:numCache>
            </c:numRef>
          </c:val>
        </c:ser>
        <c:ser>
          <c:idx val="4"/>
          <c:order val="4"/>
          <c:tx>
            <c:strRef>
              <c:f>'PADD Charts'!$B$12</c:f>
              <c:strCache>
                <c:ptCount val="1"/>
                <c:pt idx="0">
                  <c:v>2023 Total</c:v>
                </c:pt>
              </c:strCache>
            </c:strRef>
          </c:tx>
          <c:spPr>
            <a:ln w="28575">
              <a:solidFill>
                <a:srgbClr val="808080"/>
              </a:solidFill>
            </a:ln>
          </c:spPr>
          <c:marker>
            <c:symbol val="none"/>
          </c:marker>
          <c:cat>
            <c:strRef>
              <c:f>'PADD Charts'!$C$7:$N$7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'PADD Charts'!$C$12:$N$12</c:f>
              <c:numCache>
                <c:formatCode>General</c:formatCode>
                <c:ptCount val="12"/>
                <c:pt idx="0">
                  <c:v>126.05</c:v>
                </c:pt>
                <c:pt idx="1">
                  <c:v>440</c:v>
                </c:pt>
                <c:pt idx="2">
                  <c:v>473.92</c:v>
                </c:pt>
                <c:pt idx="3">
                  <c:v>110.08</c:v>
                </c:pt>
                <c:pt idx="4">
                  <c:v>46.16</c:v>
                </c:pt>
                <c:pt idx="5">
                  <c:v>316.8375</c:v>
                </c:pt>
                <c:pt idx="6">
                  <c:v>283.35</c:v>
                </c:pt>
                <c:pt idx="7">
                  <c:v>2.6</c:v>
                </c:pt>
                <c:pt idx="8">
                  <c:v>391.5052</c:v>
                </c:pt>
                <c:pt idx="9">
                  <c:v>695.6900000000001</c:v>
                </c:pt>
                <c:pt idx="10">
                  <c:v>256.507</c:v>
                </c:pt>
                <c:pt idx="11">
                  <c:v>30.79</c:v>
                </c:pt>
              </c:numCache>
            </c:numRef>
          </c:val>
        </c:ser>
        <c:ser>
          <c:idx val="5"/>
          <c:order val="5"/>
          <c:tx>
            <c:strRef>
              <c:f>'PADD Charts'!$B$13</c:f>
              <c:strCache>
                <c:ptCount val="1"/>
                <c:pt idx="0">
                  <c:v>2027 Planned</c:v>
                </c:pt>
              </c:strCache>
            </c:strRef>
          </c:tx>
          <c:spPr>
            <a:ln w="28575">
              <a:solidFill>
                <a:srgbClr val="548235"/>
              </a:solidFill>
            </a:ln>
          </c:spPr>
          <c:marker>
            <c:symbol val="none"/>
          </c:marker>
          <c:cat>
            <c:strRef>
              <c:f>'PADD Charts'!$C$7:$N$7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'PADD Charts'!$C$13:$N$13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236.8488</c:v>
                </c:pt>
                <c:pt idx="3">
                  <c:v>108.2632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38.7069</c:v>
                </c:pt>
                <c:pt idx="9">
                  <c:v>5.5959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kbd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t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PADD 2 Planned &amp; Unplanned Offline (kbd)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'PADD Charts'!$B$30</c:f>
              <c:strCache>
                <c:ptCount val="1"/>
                <c:pt idx="0">
                  <c:v>2026 Planned</c:v>
                </c:pt>
              </c:strCache>
            </c:strRef>
          </c:tx>
          <c:spPr>
            <a:solidFill>
              <a:srgbClr val="BF9000"/>
            </a:solidFill>
          </c:spPr>
          <c:cat>
            <c:strRef>
              <c:f>'PADD Charts'!$C$29:$N$29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'PADD Charts'!$C$30:$N$30</c:f>
              <c:numCache>
                <c:formatCode>General</c:formatCode>
                <c:ptCount val="12"/>
                <c:pt idx="0">
                  <c:v>0</c:v>
                </c:pt>
                <c:pt idx="1">
                  <c:v>152.32</c:v>
                </c:pt>
                <c:pt idx="2">
                  <c:v>1116.623</c:v>
                </c:pt>
                <c:pt idx="3">
                  <c:v>1226.99</c:v>
                </c:pt>
                <c:pt idx="4">
                  <c:v>454.127</c:v>
                </c:pt>
                <c:pt idx="5">
                  <c:v>0</c:v>
                </c:pt>
                <c:pt idx="6">
                  <c:v>8</c:v>
                </c:pt>
                <c:pt idx="7">
                  <c:v>0</c:v>
                </c:pt>
                <c:pt idx="8">
                  <c:v>572.9400000000001</c:v>
                </c:pt>
                <c:pt idx="9">
                  <c:v>705.146</c:v>
                </c:pt>
                <c:pt idx="10">
                  <c:v>397.5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'PADD Charts'!$B$31</c:f>
              <c:strCache>
                <c:ptCount val="1"/>
                <c:pt idx="0">
                  <c:v>2026 Unplanned</c:v>
                </c:pt>
              </c:strCache>
            </c:strRef>
          </c:tx>
          <c:spPr>
            <a:solidFill>
              <a:srgbClr val="ED7D31"/>
            </a:solidFill>
          </c:spPr>
          <c:cat>
            <c:strRef>
              <c:f>'PADD Charts'!$C$29:$N$29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'PADD Charts'!$C$31:$N$31</c:f>
              <c:numCache>
                <c:formatCode>General</c:formatCode>
                <c:ptCount val="12"/>
                <c:pt idx="0">
                  <c:v>161.3505</c:v>
                </c:pt>
                <c:pt idx="1">
                  <c:v>568.1735</c:v>
                </c:pt>
                <c:pt idx="2">
                  <c:v>119.4167</c:v>
                </c:pt>
                <c:pt idx="3">
                  <c:v>287.843</c:v>
                </c:pt>
                <c:pt idx="4">
                  <c:v>375.833</c:v>
                </c:pt>
                <c:pt idx="5">
                  <c:v>163.075</c:v>
                </c:pt>
                <c:pt idx="6">
                  <c:v>13.715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overlap val="100"/>
        <c:axId val="50060001"/>
        <c:axId val="50060002"/>
      </c:barChart>
      <c:lineChart>
        <c:grouping val="standard"/>
        <c:ser>
          <c:idx val="2"/>
          <c:order val="2"/>
          <c:tx>
            <c:strRef>
              <c:f>'PADD Charts'!$B$32</c:f>
              <c:strCache>
                <c:ptCount val="1"/>
                <c:pt idx="0">
                  <c:v>2025 Total</c:v>
                </c:pt>
              </c:strCache>
            </c:strRef>
          </c:tx>
          <c:spPr>
            <a:ln w="28575">
              <a:solidFill>
                <a:srgbClr val="C00000"/>
              </a:solidFill>
            </a:ln>
          </c:spPr>
          <c:marker>
            <c:symbol val="none"/>
          </c:marker>
          <c:cat>
            <c:strRef>
              <c:f>'PADD Charts'!$C$29:$N$29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'PADD Charts'!$C$32:$N$32</c:f>
              <c:numCache>
                <c:formatCode>General</c:formatCode>
                <c:ptCount val="12"/>
                <c:pt idx="0">
                  <c:v>194.6489</c:v>
                </c:pt>
                <c:pt idx="1">
                  <c:v>601.5409</c:v>
                </c:pt>
                <c:pt idx="2">
                  <c:v>1263.025</c:v>
                </c:pt>
                <c:pt idx="3">
                  <c:v>2161.4255</c:v>
                </c:pt>
                <c:pt idx="4">
                  <c:v>919.8905999999999</c:v>
                </c:pt>
                <c:pt idx="5">
                  <c:v>326.2495</c:v>
                </c:pt>
                <c:pt idx="6">
                  <c:v>260.566</c:v>
                </c:pt>
                <c:pt idx="7">
                  <c:v>603.6235</c:v>
                </c:pt>
                <c:pt idx="8">
                  <c:v>773.2645</c:v>
                </c:pt>
                <c:pt idx="9">
                  <c:v>1204.6989</c:v>
                </c:pt>
                <c:pt idx="10">
                  <c:v>328.8481</c:v>
                </c:pt>
                <c:pt idx="11">
                  <c:v>129.87</c:v>
                </c:pt>
              </c:numCache>
            </c:numRef>
          </c:val>
        </c:ser>
        <c:ser>
          <c:idx val="3"/>
          <c:order val="3"/>
          <c:tx>
            <c:strRef>
              <c:f>'PADD Charts'!$B$33</c:f>
              <c:strCache>
                <c:ptCount val="1"/>
                <c:pt idx="0">
                  <c:v>2024 Total</c:v>
                </c:pt>
              </c:strCache>
            </c:strRef>
          </c:tx>
          <c:spPr>
            <a:ln w="28575">
              <a:solidFill>
                <a:srgbClr val="2E5496"/>
              </a:solidFill>
            </a:ln>
          </c:spPr>
          <c:marker>
            <c:symbol val="none"/>
          </c:marker>
          <c:cat>
            <c:strRef>
              <c:f>'PADD Charts'!$C$29:$N$29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'PADD Charts'!$C$33:$N$33</c:f>
              <c:numCache>
                <c:formatCode>General</c:formatCode>
                <c:ptCount val="12"/>
                <c:pt idx="0">
                  <c:v>82.622</c:v>
                </c:pt>
                <c:pt idx="1">
                  <c:v>1893.1044</c:v>
                </c:pt>
                <c:pt idx="2">
                  <c:v>1347.1691</c:v>
                </c:pt>
                <c:pt idx="3">
                  <c:v>1456.5636</c:v>
                </c:pt>
                <c:pt idx="4">
                  <c:v>670.5625</c:v>
                </c:pt>
                <c:pt idx="5">
                  <c:v>364.397</c:v>
                </c:pt>
                <c:pt idx="6">
                  <c:v>802.508</c:v>
                </c:pt>
                <c:pt idx="7">
                  <c:v>516.3492</c:v>
                </c:pt>
                <c:pt idx="8">
                  <c:v>1029.2768</c:v>
                </c:pt>
                <c:pt idx="9">
                  <c:v>1512.466</c:v>
                </c:pt>
                <c:pt idx="10">
                  <c:v>525.778</c:v>
                </c:pt>
                <c:pt idx="11">
                  <c:v>41.1286</c:v>
                </c:pt>
              </c:numCache>
            </c:numRef>
          </c:val>
        </c:ser>
        <c:ser>
          <c:idx val="4"/>
          <c:order val="4"/>
          <c:tx>
            <c:strRef>
              <c:f>'PADD Charts'!$B$34</c:f>
              <c:strCache>
                <c:ptCount val="1"/>
                <c:pt idx="0">
                  <c:v>2023 Total</c:v>
                </c:pt>
              </c:strCache>
            </c:strRef>
          </c:tx>
          <c:spPr>
            <a:ln w="28575">
              <a:solidFill>
                <a:srgbClr val="808080"/>
              </a:solidFill>
            </a:ln>
          </c:spPr>
          <c:marker>
            <c:symbol val="none"/>
          </c:marker>
          <c:cat>
            <c:strRef>
              <c:f>'PADD Charts'!$C$29:$N$29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'PADD Charts'!$C$34:$N$34</c:f>
              <c:numCache>
                <c:formatCode>General</c:formatCode>
                <c:ptCount val="12"/>
                <c:pt idx="0">
                  <c:v>1256.5976</c:v>
                </c:pt>
                <c:pt idx="1">
                  <c:v>1088.065</c:v>
                </c:pt>
                <c:pt idx="2">
                  <c:v>1877.395</c:v>
                </c:pt>
                <c:pt idx="3">
                  <c:v>2007.8074</c:v>
                </c:pt>
                <c:pt idx="4">
                  <c:v>1042.2436</c:v>
                </c:pt>
                <c:pt idx="5">
                  <c:v>511.95</c:v>
                </c:pt>
                <c:pt idx="6">
                  <c:v>453.487</c:v>
                </c:pt>
                <c:pt idx="7">
                  <c:v>182.999</c:v>
                </c:pt>
                <c:pt idx="8">
                  <c:v>1481.1244</c:v>
                </c:pt>
                <c:pt idx="9">
                  <c:v>1816.5088</c:v>
                </c:pt>
                <c:pt idx="10">
                  <c:v>326.1729</c:v>
                </c:pt>
                <c:pt idx="11">
                  <c:v>60.5386</c:v>
                </c:pt>
              </c:numCache>
            </c:numRef>
          </c:val>
        </c:ser>
        <c:ser>
          <c:idx val="5"/>
          <c:order val="5"/>
          <c:tx>
            <c:strRef>
              <c:f>'PADD Charts'!$B$35</c:f>
              <c:strCache>
                <c:ptCount val="1"/>
                <c:pt idx="0">
                  <c:v>2027 Planned</c:v>
                </c:pt>
              </c:strCache>
            </c:strRef>
          </c:tx>
          <c:spPr>
            <a:ln w="28575">
              <a:solidFill>
                <a:srgbClr val="548235"/>
              </a:solidFill>
            </a:ln>
          </c:spPr>
          <c:marker>
            <c:symbol val="none"/>
          </c:marker>
          <c:cat>
            <c:strRef>
              <c:f>'PADD Charts'!$C$29:$N$29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'PADD Charts'!$C$35:$N$35</c:f>
              <c:numCache>
                <c:formatCode>General</c:formatCode>
                <c:ptCount val="12"/>
                <c:pt idx="0">
                  <c:v>0</c:v>
                </c:pt>
                <c:pt idx="1">
                  <c:v>192.48</c:v>
                </c:pt>
                <c:pt idx="2">
                  <c:v>614.741</c:v>
                </c:pt>
                <c:pt idx="3">
                  <c:v>961.0699999999999</c:v>
                </c:pt>
                <c:pt idx="4">
                  <c:v>473.25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1168.516</c:v>
                </c:pt>
                <c:pt idx="9">
                  <c:v>583.63</c:v>
                </c:pt>
                <c:pt idx="10">
                  <c:v>1.8</c:v>
                </c:pt>
                <c:pt idx="11">
                  <c:v>0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kbd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t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PADD 3 Planned &amp; Unplanned Offline (kbd)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'PADD Charts'!$B$52</c:f>
              <c:strCache>
                <c:ptCount val="1"/>
                <c:pt idx="0">
                  <c:v>2026 Planned</c:v>
                </c:pt>
              </c:strCache>
            </c:strRef>
          </c:tx>
          <c:spPr>
            <a:solidFill>
              <a:srgbClr val="BF9000"/>
            </a:solidFill>
          </c:spPr>
          <c:cat>
            <c:strRef>
              <c:f>'PADD Charts'!$C$51:$N$51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'PADD Charts'!$C$52:$N$52</c:f>
              <c:numCache>
                <c:formatCode>General</c:formatCode>
                <c:ptCount val="12"/>
                <c:pt idx="0">
                  <c:v>879.5774</c:v>
                </c:pt>
                <c:pt idx="1">
                  <c:v>1498.1345</c:v>
                </c:pt>
                <c:pt idx="2">
                  <c:v>645.745</c:v>
                </c:pt>
                <c:pt idx="3">
                  <c:v>229.32</c:v>
                </c:pt>
                <c:pt idx="4">
                  <c:v>221.335</c:v>
                </c:pt>
                <c:pt idx="5">
                  <c:v>55.65</c:v>
                </c:pt>
                <c:pt idx="6">
                  <c:v>115.992</c:v>
                </c:pt>
                <c:pt idx="7">
                  <c:v>156.58</c:v>
                </c:pt>
                <c:pt idx="8">
                  <c:v>416.941</c:v>
                </c:pt>
                <c:pt idx="9">
                  <c:v>587.8024</c:v>
                </c:pt>
                <c:pt idx="10">
                  <c:v>121.48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'PADD Charts'!$B$53</c:f>
              <c:strCache>
                <c:ptCount val="1"/>
                <c:pt idx="0">
                  <c:v>2026 Unplanned</c:v>
                </c:pt>
              </c:strCache>
            </c:strRef>
          </c:tx>
          <c:spPr>
            <a:solidFill>
              <a:srgbClr val="ED7D31"/>
            </a:solidFill>
          </c:spPr>
          <c:cat>
            <c:strRef>
              <c:f>'PADD Charts'!$C$51:$N$51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'PADD Charts'!$C$53:$N$53</c:f>
              <c:numCache>
                <c:formatCode>General</c:formatCode>
                <c:ptCount val="12"/>
                <c:pt idx="0">
                  <c:v>275.676</c:v>
                </c:pt>
                <c:pt idx="1">
                  <c:v>807.2025</c:v>
                </c:pt>
                <c:pt idx="2">
                  <c:v>652.611</c:v>
                </c:pt>
                <c:pt idx="3">
                  <c:v>1045.263</c:v>
                </c:pt>
                <c:pt idx="4">
                  <c:v>531.2234999999999</c:v>
                </c:pt>
                <c:pt idx="5">
                  <c:v>582.155</c:v>
                </c:pt>
                <c:pt idx="6">
                  <c:v>122.685</c:v>
                </c:pt>
                <c:pt idx="7">
                  <c:v>47</c:v>
                </c:pt>
                <c:pt idx="8">
                  <c:v>47</c:v>
                </c:pt>
                <c:pt idx="9">
                  <c:v>47</c:v>
                </c:pt>
                <c:pt idx="10">
                  <c:v>42.3</c:v>
                </c:pt>
                <c:pt idx="11">
                  <c:v>0</c:v>
                </c:pt>
              </c:numCache>
            </c:numRef>
          </c:val>
        </c:ser>
        <c:overlap val="100"/>
        <c:axId val="50070001"/>
        <c:axId val="50070002"/>
      </c:barChart>
      <c:lineChart>
        <c:grouping val="standard"/>
        <c:ser>
          <c:idx val="2"/>
          <c:order val="2"/>
          <c:tx>
            <c:strRef>
              <c:f>'PADD Charts'!$B$54</c:f>
              <c:strCache>
                <c:ptCount val="1"/>
                <c:pt idx="0">
                  <c:v>2025 Total</c:v>
                </c:pt>
              </c:strCache>
            </c:strRef>
          </c:tx>
          <c:spPr>
            <a:ln w="28575">
              <a:solidFill>
                <a:srgbClr val="C00000"/>
              </a:solidFill>
            </a:ln>
          </c:spPr>
          <c:marker>
            <c:symbol val="none"/>
          </c:marker>
          <c:cat>
            <c:strRef>
              <c:f>'PADD Charts'!$C$51:$N$51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'PADD Charts'!$C$54:$N$54</c:f>
              <c:numCache>
                <c:formatCode>General</c:formatCode>
                <c:ptCount val="12"/>
                <c:pt idx="0">
                  <c:v>2513.4756</c:v>
                </c:pt>
                <c:pt idx="1">
                  <c:v>2916.5111</c:v>
                </c:pt>
                <c:pt idx="2">
                  <c:v>1164.668</c:v>
                </c:pt>
                <c:pt idx="3">
                  <c:v>951.206</c:v>
                </c:pt>
                <c:pt idx="4">
                  <c:v>451.324</c:v>
                </c:pt>
                <c:pt idx="5">
                  <c:v>382.749</c:v>
                </c:pt>
                <c:pt idx="6">
                  <c:v>296.0898</c:v>
                </c:pt>
                <c:pt idx="7">
                  <c:v>608.524</c:v>
                </c:pt>
                <c:pt idx="8">
                  <c:v>2193.196</c:v>
                </c:pt>
                <c:pt idx="9">
                  <c:v>3093.4153</c:v>
                </c:pt>
                <c:pt idx="10">
                  <c:v>1683.7699</c:v>
                </c:pt>
                <c:pt idx="11">
                  <c:v>172.694</c:v>
                </c:pt>
              </c:numCache>
            </c:numRef>
          </c:val>
        </c:ser>
        <c:ser>
          <c:idx val="3"/>
          <c:order val="3"/>
          <c:tx>
            <c:strRef>
              <c:f>'PADD Charts'!$B$55</c:f>
              <c:strCache>
                <c:ptCount val="1"/>
                <c:pt idx="0">
                  <c:v>2024 Total</c:v>
                </c:pt>
              </c:strCache>
            </c:strRef>
          </c:tx>
          <c:spPr>
            <a:ln w="28575">
              <a:solidFill>
                <a:srgbClr val="2E5496"/>
              </a:solidFill>
            </a:ln>
          </c:spPr>
          <c:marker>
            <c:symbol val="none"/>
          </c:marker>
          <c:cat>
            <c:strRef>
              <c:f>'PADD Charts'!$C$51:$N$51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'PADD Charts'!$C$55:$N$55</c:f>
              <c:numCache>
                <c:formatCode>General</c:formatCode>
                <c:ptCount val="12"/>
                <c:pt idx="0">
                  <c:v>3897.7506</c:v>
                </c:pt>
                <c:pt idx="1">
                  <c:v>5540.9283</c:v>
                </c:pt>
                <c:pt idx="2">
                  <c:v>2248.1637</c:v>
                </c:pt>
                <c:pt idx="3">
                  <c:v>2012.658</c:v>
                </c:pt>
                <c:pt idx="4">
                  <c:v>1141.365</c:v>
                </c:pt>
                <c:pt idx="5">
                  <c:v>1180.7915</c:v>
                </c:pt>
                <c:pt idx="6">
                  <c:v>1019.787</c:v>
                </c:pt>
                <c:pt idx="7">
                  <c:v>1019.9182</c:v>
                </c:pt>
                <c:pt idx="8">
                  <c:v>1784.1745</c:v>
                </c:pt>
                <c:pt idx="9">
                  <c:v>2036.786</c:v>
                </c:pt>
                <c:pt idx="10">
                  <c:v>1212.9515</c:v>
                </c:pt>
                <c:pt idx="11">
                  <c:v>324.6714</c:v>
                </c:pt>
              </c:numCache>
            </c:numRef>
          </c:val>
        </c:ser>
        <c:ser>
          <c:idx val="4"/>
          <c:order val="4"/>
          <c:tx>
            <c:strRef>
              <c:f>'PADD Charts'!$B$56</c:f>
              <c:strCache>
                <c:ptCount val="1"/>
                <c:pt idx="0">
                  <c:v>2023 Total</c:v>
                </c:pt>
              </c:strCache>
            </c:strRef>
          </c:tx>
          <c:spPr>
            <a:ln w="28575">
              <a:solidFill>
                <a:srgbClr val="808080"/>
              </a:solidFill>
            </a:ln>
          </c:spPr>
          <c:marker>
            <c:symbol val="none"/>
          </c:marker>
          <c:cat>
            <c:strRef>
              <c:f>'PADD Charts'!$C$51:$N$51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'PADD Charts'!$C$56:$N$56</c:f>
              <c:numCache>
                <c:formatCode>General</c:formatCode>
                <c:ptCount val="12"/>
                <c:pt idx="0">
                  <c:v>3219.0812</c:v>
                </c:pt>
                <c:pt idx="1">
                  <c:v>3622.339</c:v>
                </c:pt>
                <c:pt idx="2">
                  <c:v>3305.26</c:v>
                </c:pt>
                <c:pt idx="3">
                  <c:v>2929.6089</c:v>
                </c:pt>
                <c:pt idx="4">
                  <c:v>2020.7778</c:v>
                </c:pt>
                <c:pt idx="5">
                  <c:v>1367.2069</c:v>
                </c:pt>
                <c:pt idx="6">
                  <c:v>772.8094</c:v>
                </c:pt>
                <c:pt idx="7">
                  <c:v>1367.907</c:v>
                </c:pt>
                <c:pt idx="8">
                  <c:v>1980.1739</c:v>
                </c:pt>
                <c:pt idx="9">
                  <c:v>3552.627</c:v>
                </c:pt>
                <c:pt idx="10">
                  <c:v>1809.522</c:v>
                </c:pt>
                <c:pt idx="11">
                  <c:v>541.6272</c:v>
                </c:pt>
              </c:numCache>
            </c:numRef>
          </c:val>
        </c:ser>
        <c:ser>
          <c:idx val="5"/>
          <c:order val="5"/>
          <c:tx>
            <c:strRef>
              <c:f>'PADD Charts'!$B$57</c:f>
              <c:strCache>
                <c:ptCount val="1"/>
                <c:pt idx="0">
                  <c:v>2027 Planned</c:v>
                </c:pt>
              </c:strCache>
            </c:strRef>
          </c:tx>
          <c:spPr>
            <a:ln w="28575">
              <a:solidFill>
                <a:srgbClr val="548235"/>
              </a:solidFill>
            </a:ln>
          </c:spPr>
          <c:marker>
            <c:symbol val="none"/>
          </c:marker>
          <c:cat>
            <c:strRef>
              <c:f>'PADD Charts'!$C$51:$N$51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'PADD Charts'!$C$57:$N$57</c:f>
              <c:numCache>
                <c:formatCode>General</c:formatCode>
                <c:ptCount val="12"/>
                <c:pt idx="0">
                  <c:v>692.313</c:v>
                </c:pt>
                <c:pt idx="1">
                  <c:v>1256.1221</c:v>
                </c:pt>
                <c:pt idx="2">
                  <c:v>1565.6915</c:v>
                </c:pt>
                <c:pt idx="3">
                  <c:v>664.0222</c:v>
                </c:pt>
                <c:pt idx="4">
                  <c:v>134.4</c:v>
                </c:pt>
                <c:pt idx="5">
                  <c:v>210.95</c:v>
                </c:pt>
                <c:pt idx="6">
                  <c:v>164</c:v>
                </c:pt>
                <c:pt idx="7">
                  <c:v>47.56</c:v>
                </c:pt>
                <c:pt idx="8">
                  <c:v>1545.905</c:v>
                </c:pt>
                <c:pt idx="9">
                  <c:v>1819.237</c:v>
                </c:pt>
                <c:pt idx="10">
                  <c:v>446.133</c:v>
                </c:pt>
                <c:pt idx="11">
                  <c:v>0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kbd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t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PADD 4 Planned &amp; Unplanned Offline (kbd)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'PADD Charts'!$B$74</c:f>
              <c:strCache>
                <c:ptCount val="1"/>
                <c:pt idx="0">
                  <c:v>2026 Planned</c:v>
                </c:pt>
              </c:strCache>
            </c:strRef>
          </c:tx>
          <c:spPr>
            <a:solidFill>
              <a:srgbClr val="BF9000"/>
            </a:solidFill>
          </c:spPr>
          <c:cat>
            <c:strRef>
              <c:f>'PADD Charts'!$C$73:$N$73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'PADD Charts'!$C$74:$N$74</c:f>
              <c:numCache>
                <c:formatCode>General</c:formatCode>
                <c:ptCount val="12"/>
                <c:pt idx="0">
                  <c:v>0</c:v>
                </c:pt>
                <c:pt idx="1">
                  <c:v>7.79</c:v>
                </c:pt>
                <c:pt idx="2">
                  <c:v>173.293</c:v>
                </c:pt>
                <c:pt idx="3">
                  <c:v>263.53</c:v>
                </c:pt>
                <c:pt idx="4">
                  <c:v>52.988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19.62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'PADD Charts'!$B$75</c:f>
              <c:strCache>
                <c:ptCount val="1"/>
                <c:pt idx="0">
                  <c:v>2026 Unplanned</c:v>
                </c:pt>
              </c:strCache>
            </c:strRef>
          </c:tx>
          <c:spPr>
            <a:solidFill>
              <a:srgbClr val="ED7D31"/>
            </a:solidFill>
          </c:spPr>
          <c:cat>
            <c:strRef>
              <c:f>'PADD Charts'!$C$73:$N$73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'PADD Charts'!$C$75:$N$75</c:f>
              <c:numCache>
                <c:formatCode>General</c:formatCode>
                <c:ptCount val="12"/>
                <c:pt idx="0">
                  <c:v>0</c:v>
                </c:pt>
                <c:pt idx="1">
                  <c:v>27.512</c:v>
                </c:pt>
                <c:pt idx="2">
                  <c:v>20.374</c:v>
                </c:pt>
                <c:pt idx="3">
                  <c:v>34.52500000000001</c:v>
                </c:pt>
                <c:pt idx="4">
                  <c:v>75.6664</c:v>
                </c:pt>
                <c:pt idx="5">
                  <c:v>10.17</c:v>
                </c:pt>
                <c:pt idx="6">
                  <c:v>4.83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overlap val="100"/>
        <c:axId val="50080001"/>
        <c:axId val="50080002"/>
      </c:barChart>
      <c:lineChart>
        <c:grouping val="standard"/>
        <c:ser>
          <c:idx val="2"/>
          <c:order val="2"/>
          <c:tx>
            <c:strRef>
              <c:f>'PADD Charts'!$B$76</c:f>
              <c:strCache>
                <c:ptCount val="1"/>
                <c:pt idx="0">
                  <c:v>2025 Total</c:v>
                </c:pt>
              </c:strCache>
            </c:strRef>
          </c:tx>
          <c:spPr>
            <a:ln w="28575">
              <a:solidFill>
                <a:srgbClr val="C00000"/>
              </a:solidFill>
            </a:ln>
          </c:spPr>
          <c:marker>
            <c:symbol val="none"/>
          </c:marker>
          <c:cat>
            <c:strRef>
              <c:f>'PADD Charts'!$C$73:$N$73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'PADD Charts'!$C$76:$N$76</c:f>
              <c:numCache>
                <c:formatCode>General</c:formatCode>
                <c:ptCount val="12"/>
                <c:pt idx="0">
                  <c:v>63.17959999999999</c:v>
                </c:pt>
                <c:pt idx="1">
                  <c:v>36.9436</c:v>
                </c:pt>
                <c:pt idx="2">
                  <c:v>72.16249999999999</c:v>
                </c:pt>
                <c:pt idx="3">
                  <c:v>127.706</c:v>
                </c:pt>
                <c:pt idx="4">
                  <c:v>75.15000000000001</c:v>
                </c:pt>
                <c:pt idx="5">
                  <c:v>8.223000000000001</c:v>
                </c:pt>
                <c:pt idx="6">
                  <c:v>92.11199999999999</c:v>
                </c:pt>
                <c:pt idx="7">
                  <c:v>4.779999999999999</c:v>
                </c:pt>
                <c:pt idx="8">
                  <c:v>6.365</c:v>
                </c:pt>
                <c:pt idx="9">
                  <c:v>54.195</c:v>
                </c:pt>
                <c:pt idx="10">
                  <c:v>16.895</c:v>
                </c:pt>
                <c:pt idx="11">
                  <c:v>14.089</c:v>
                </c:pt>
              </c:numCache>
            </c:numRef>
          </c:val>
        </c:ser>
        <c:ser>
          <c:idx val="3"/>
          <c:order val="3"/>
          <c:tx>
            <c:strRef>
              <c:f>'PADD Charts'!$B$77</c:f>
              <c:strCache>
                <c:ptCount val="1"/>
                <c:pt idx="0">
                  <c:v>2024 Total</c:v>
                </c:pt>
              </c:strCache>
            </c:strRef>
          </c:tx>
          <c:spPr>
            <a:ln w="28575">
              <a:solidFill>
                <a:srgbClr val="2E5496"/>
              </a:solidFill>
            </a:ln>
          </c:spPr>
          <c:marker>
            <c:symbol val="none"/>
          </c:marker>
          <c:cat>
            <c:strRef>
              <c:f>'PADD Charts'!$C$73:$N$73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'PADD Charts'!$C$77:$N$77</c:f>
              <c:numCache>
                <c:formatCode>General</c:formatCode>
                <c:ptCount val="12"/>
                <c:pt idx="0">
                  <c:v>71.7204</c:v>
                </c:pt>
                <c:pt idx="1">
                  <c:v>226.08</c:v>
                </c:pt>
                <c:pt idx="2">
                  <c:v>244.3878</c:v>
                </c:pt>
                <c:pt idx="3">
                  <c:v>138.769</c:v>
                </c:pt>
                <c:pt idx="4">
                  <c:v>31.459</c:v>
                </c:pt>
                <c:pt idx="5">
                  <c:v>17.778</c:v>
                </c:pt>
                <c:pt idx="6">
                  <c:v>23.131</c:v>
                </c:pt>
                <c:pt idx="7">
                  <c:v>38.4844</c:v>
                </c:pt>
                <c:pt idx="8">
                  <c:v>131.881</c:v>
                </c:pt>
                <c:pt idx="9">
                  <c:v>58.955</c:v>
                </c:pt>
                <c:pt idx="10">
                  <c:v>6.975</c:v>
                </c:pt>
                <c:pt idx="11">
                  <c:v>44.4628</c:v>
                </c:pt>
              </c:numCache>
            </c:numRef>
          </c:val>
        </c:ser>
        <c:ser>
          <c:idx val="4"/>
          <c:order val="4"/>
          <c:tx>
            <c:strRef>
              <c:f>'PADD Charts'!$B$78</c:f>
              <c:strCache>
                <c:ptCount val="1"/>
                <c:pt idx="0">
                  <c:v>2023 Total</c:v>
                </c:pt>
              </c:strCache>
            </c:strRef>
          </c:tx>
          <c:spPr>
            <a:ln w="28575">
              <a:solidFill>
                <a:srgbClr val="808080"/>
              </a:solidFill>
            </a:ln>
          </c:spPr>
          <c:marker>
            <c:symbol val="none"/>
          </c:marker>
          <c:cat>
            <c:strRef>
              <c:f>'PADD Charts'!$C$73:$N$73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'PADD Charts'!$C$78:$N$78</c:f>
              <c:numCache>
                <c:formatCode>General</c:formatCode>
                <c:ptCount val="12"/>
                <c:pt idx="0">
                  <c:v>493.348</c:v>
                </c:pt>
                <c:pt idx="1">
                  <c:v>408.143</c:v>
                </c:pt>
                <c:pt idx="2">
                  <c:v>357.3731</c:v>
                </c:pt>
                <c:pt idx="3">
                  <c:v>344.0876</c:v>
                </c:pt>
                <c:pt idx="4">
                  <c:v>228.289</c:v>
                </c:pt>
                <c:pt idx="5">
                  <c:v>53.3175</c:v>
                </c:pt>
                <c:pt idx="6">
                  <c:v>40.651</c:v>
                </c:pt>
                <c:pt idx="7">
                  <c:v>76.8</c:v>
                </c:pt>
                <c:pt idx="8">
                  <c:v>0</c:v>
                </c:pt>
                <c:pt idx="9">
                  <c:v>2.726</c:v>
                </c:pt>
                <c:pt idx="10">
                  <c:v>18.951</c:v>
                </c:pt>
                <c:pt idx="11">
                  <c:v>111.2157</c:v>
                </c:pt>
              </c:numCache>
            </c:numRef>
          </c:val>
        </c:ser>
        <c:ser>
          <c:idx val="5"/>
          <c:order val="5"/>
          <c:tx>
            <c:strRef>
              <c:f>'PADD Charts'!$B$79</c:f>
              <c:strCache>
                <c:ptCount val="1"/>
                <c:pt idx="0">
                  <c:v>2027 Planned</c:v>
                </c:pt>
              </c:strCache>
            </c:strRef>
          </c:tx>
          <c:spPr>
            <a:ln w="28575">
              <a:solidFill>
                <a:srgbClr val="548235"/>
              </a:solidFill>
            </a:ln>
          </c:spPr>
          <c:marker>
            <c:symbol val="none"/>
          </c:marker>
          <c:cat>
            <c:strRef>
              <c:f>'PADD Charts'!$C$73:$N$73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'PADD Charts'!$C$79:$N$79</c:f>
              <c:numCache>
                <c:formatCode>General</c:formatCode>
                <c:ptCount val="12"/>
                <c:pt idx="0">
                  <c:v>0</c:v>
                </c:pt>
                <c:pt idx="1">
                  <c:v>139.68</c:v>
                </c:pt>
                <c:pt idx="2">
                  <c:v>251.725</c:v>
                </c:pt>
                <c:pt idx="3">
                  <c:v>257.098</c:v>
                </c:pt>
                <c:pt idx="4">
                  <c:v>242.162</c:v>
                </c:pt>
                <c:pt idx="5">
                  <c:v>0.855</c:v>
                </c:pt>
                <c:pt idx="6">
                  <c:v>0</c:v>
                </c:pt>
                <c:pt idx="7">
                  <c:v>0</c:v>
                </c:pt>
                <c:pt idx="8">
                  <c:v>42.994</c:v>
                </c:pt>
                <c:pt idx="9">
                  <c:v>34.444</c:v>
                </c:pt>
                <c:pt idx="10">
                  <c:v>4.753</c:v>
                </c:pt>
                <c:pt idx="11">
                  <c:v>0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kbd</a:t>
                </a:r>
              </a:p>
            </c:rich>
          </c:tx>
          <c:layout/>
        </c:title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t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PADD 5 Planned &amp; Unplanned Offline (kbd)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'PADD Charts'!$B$96</c:f>
              <c:strCache>
                <c:ptCount val="1"/>
                <c:pt idx="0">
                  <c:v>2026 Planned</c:v>
                </c:pt>
              </c:strCache>
            </c:strRef>
          </c:tx>
          <c:spPr>
            <a:solidFill>
              <a:srgbClr val="BF9000"/>
            </a:solidFill>
          </c:spPr>
          <c:cat>
            <c:strRef>
              <c:f>'PADD Charts'!$C$95:$N$95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'PADD Charts'!$C$96:$N$96</c:f>
              <c:numCache>
                <c:formatCode>General</c:formatCode>
                <c:ptCount val="12"/>
                <c:pt idx="0">
                  <c:v>179.8849</c:v>
                </c:pt>
                <c:pt idx="1">
                  <c:v>275.9716</c:v>
                </c:pt>
                <c:pt idx="2">
                  <c:v>85.6249</c:v>
                </c:pt>
                <c:pt idx="3">
                  <c:v>214.89</c:v>
                </c:pt>
                <c:pt idx="4">
                  <c:v>272.8808</c:v>
                </c:pt>
                <c:pt idx="5">
                  <c:v>123.38</c:v>
                </c:pt>
                <c:pt idx="6">
                  <c:v>109.58</c:v>
                </c:pt>
                <c:pt idx="7">
                  <c:v>47.53</c:v>
                </c:pt>
                <c:pt idx="8">
                  <c:v>110.06</c:v>
                </c:pt>
                <c:pt idx="9">
                  <c:v>198.14</c:v>
                </c:pt>
                <c:pt idx="10">
                  <c:v>136.196</c:v>
                </c:pt>
                <c:pt idx="11">
                  <c:v>9.5</c:v>
                </c:pt>
              </c:numCache>
            </c:numRef>
          </c:val>
        </c:ser>
        <c:ser>
          <c:idx val="1"/>
          <c:order val="1"/>
          <c:tx>
            <c:strRef>
              <c:f>'PADD Charts'!$B$97</c:f>
              <c:strCache>
                <c:ptCount val="1"/>
                <c:pt idx="0">
                  <c:v>2026 Unplanned</c:v>
                </c:pt>
              </c:strCache>
            </c:strRef>
          </c:tx>
          <c:spPr>
            <a:solidFill>
              <a:srgbClr val="ED7D31"/>
            </a:solidFill>
          </c:spPr>
          <c:cat>
            <c:strRef>
              <c:f>'PADD Charts'!$C$95:$N$95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'PADD Charts'!$C$97:$N$97</c:f>
              <c:numCache>
                <c:formatCode>General</c:formatCode>
                <c:ptCount val="12"/>
                <c:pt idx="0">
                  <c:v>320.38</c:v>
                </c:pt>
                <c:pt idx="1">
                  <c:v>364.98</c:v>
                </c:pt>
                <c:pt idx="2">
                  <c:v>287.466</c:v>
                </c:pt>
                <c:pt idx="3">
                  <c:v>674.1609999999999</c:v>
                </c:pt>
                <c:pt idx="4">
                  <c:v>198.49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overlap val="100"/>
        <c:axId val="50090001"/>
        <c:axId val="50090002"/>
      </c:barChart>
      <c:lineChart>
        <c:grouping val="standard"/>
        <c:ser>
          <c:idx val="2"/>
          <c:order val="2"/>
          <c:tx>
            <c:strRef>
              <c:f>'PADD Charts'!$B$98</c:f>
              <c:strCache>
                <c:ptCount val="1"/>
                <c:pt idx="0">
                  <c:v>2025 Total</c:v>
                </c:pt>
              </c:strCache>
            </c:strRef>
          </c:tx>
          <c:spPr>
            <a:ln w="28575">
              <a:solidFill>
                <a:srgbClr val="C00000"/>
              </a:solidFill>
            </a:ln>
          </c:spPr>
          <c:marker>
            <c:symbol val="none"/>
          </c:marker>
          <c:cat>
            <c:strRef>
              <c:f>'PADD Charts'!$C$95:$N$95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'PADD Charts'!$C$98:$N$98</c:f>
              <c:numCache>
                <c:formatCode>General</c:formatCode>
                <c:ptCount val="12"/>
                <c:pt idx="0">
                  <c:v>509.283</c:v>
                </c:pt>
                <c:pt idx="1">
                  <c:v>985.422</c:v>
                </c:pt>
                <c:pt idx="2">
                  <c:v>1263.928</c:v>
                </c:pt>
                <c:pt idx="3">
                  <c:v>1698.66</c:v>
                </c:pt>
                <c:pt idx="4">
                  <c:v>942.048</c:v>
                </c:pt>
                <c:pt idx="5">
                  <c:v>631.49</c:v>
                </c:pt>
                <c:pt idx="6">
                  <c:v>370.407</c:v>
                </c:pt>
                <c:pt idx="7">
                  <c:v>387.615</c:v>
                </c:pt>
                <c:pt idx="8">
                  <c:v>563.551</c:v>
                </c:pt>
                <c:pt idx="9">
                  <c:v>1485.9288</c:v>
                </c:pt>
                <c:pt idx="10">
                  <c:v>1026.309</c:v>
                </c:pt>
                <c:pt idx="11">
                  <c:v>626.7</c:v>
                </c:pt>
              </c:numCache>
            </c:numRef>
          </c:val>
        </c:ser>
        <c:ser>
          <c:idx val="3"/>
          <c:order val="3"/>
          <c:tx>
            <c:strRef>
              <c:f>'PADD Charts'!$B$99</c:f>
              <c:strCache>
                <c:ptCount val="1"/>
                <c:pt idx="0">
                  <c:v>2024 Total</c:v>
                </c:pt>
              </c:strCache>
            </c:strRef>
          </c:tx>
          <c:spPr>
            <a:ln w="28575">
              <a:solidFill>
                <a:srgbClr val="2E5496"/>
              </a:solidFill>
            </a:ln>
          </c:spPr>
          <c:marker>
            <c:symbol val="none"/>
          </c:marker>
          <c:cat>
            <c:strRef>
              <c:f>'PADD Charts'!$C$95:$N$95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'PADD Charts'!$C$99:$N$99</c:f>
              <c:numCache>
                <c:formatCode>General</c:formatCode>
                <c:ptCount val="12"/>
                <c:pt idx="0">
                  <c:v>533.6799999999999</c:v>
                </c:pt>
                <c:pt idx="1">
                  <c:v>1069.4633</c:v>
                </c:pt>
                <c:pt idx="2">
                  <c:v>618.688</c:v>
                </c:pt>
                <c:pt idx="3">
                  <c:v>709.707</c:v>
                </c:pt>
                <c:pt idx="4">
                  <c:v>615.076</c:v>
                </c:pt>
                <c:pt idx="5">
                  <c:v>544.169</c:v>
                </c:pt>
                <c:pt idx="6">
                  <c:v>65.27200000000001</c:v>
                </c:pt>
                <c:pt idx="7">
                  <c:v>112.765</c:v>
                </c:pt>
                <c:pt idx="8">
                  <c:v>533.729</c:v>
                </c:pt>
                <c:pt idx="9">
                  <c:v>647.6950000000001</c:v>
                </c:pt>
                <c:pt idx="10">
                  <c:v>325.03</c:v>
                </c:pt>
                <c:pt idx="11">
                  <c:v>171.0665</c:v>
                </c:pt>
              </c:numCache>
            </c:numRef>
          </c:val>
        </c:ser>
        <c:ser>
          <c:idx val="4"/>
          <c:order val="4"/>
          <c:tx>
            <c:strRef>
              <c:f>'PADD Charts'!$B$100</c:f>
              <c:strCache>
                <c:ptCount val="1"/>
                <c:pt idx="0">
                  <c:v>2023 Total</c:v>
                </c:pt>
              </c:strCache>
            </c:strRef>
          </c:tx>
          <c:spPr>
            <a:ln w="28575">
              <a:solidFill>
                <a:srgbClr val="808080"/>
              </a:solidFill>
            </a:ln>
          </c:spPr>
          <c:marker>
            <c:symbol val="none"/>
          </c:marker>
          <c:cat>
            <c:strRef>
              <c:f>'PADD Charts'!$C$95:$N$95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'PADD Charts'!$C$100:$N$100</c:f>
              <c:numCache>
                <c:formatCode>General</c:formatCode>
                <c:ptCount val="12"/>
                <c:pt idx="0">
                  <c:v>617.2497999999999</c:v>
                </c:pt>
                <c:pt idx="1">
                  <c:v>1255.1687</c:v>
                </c:pt>
                <c:pt idx="2">
                  <c:v>727.2744</c:v>
                </c:pt>
                <c:pt idx="3">
                  <c:v>724.665</c:v>
                </c:pt>
                <c:pt idx="4">
                  <c:v>482.509</c:v>
                </c:pt>
                <c:pt idx="5">
                  <c:v>40.6612</c:v>
                </c:pt>
                <c:pt idx="6">
                  <c:v>96.7664</c:v>
                </c:pt>
                <c:pt idx="7">
                  <c:v>129.265</c:v>
                </c:pt>
                <c:pt idx="8">
                  <c:v>102.055</c:v>
                </c:pt>
                <c:pt idx="9">
                  <c:v>864.36</c:v>
                </c:pt>
                <c:pt idx="10">
                  <c:v>658.28</c:v>
                </c:pt>
                <c:pt idx="11">
                  <c:v>231.929</c:v>
                </c:pt>
              </c:numCache>
            </c:numRef>
          </c:val>
        </c:ser>
        <c:ser>
          <c:idx val="5"/>
          <c:order val="5"/>
          <c:tx>
            <c:strRef>
              <c:f>'PADD Charts'!$B$101</c:f>
              <c:strCache>
                <c:ptCount val="1"/>
                <c:pt idx="0">
                  <c:v>2027 Planned</c:v>
                </c:pt>
              </c:strCache>
            </c:strRef>
          </c:tx>
          <c:spPr>
            <a:ln w="28575">
              <a:solidFill>
                <a:srgbClr val="548235"/>
              </a:solidFill>
            </a:ln>
          </c:spPr>
          <c:marker>
            <c:symbol val="none"/>
          </c:marker>
          <c:cat>
            <c:strRef>
              <c:f>'PADD Charts'!$C$95:$N$95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'PADD Charts'!$C$101:$N$101</c:f>
              <c:numCache>
                <c:formatCode>General</c:formatCode>
                <c:ptCount val="12"/>
                <c:pt idx="0">
                  <c:v>396.02</c:v>
                </c:pt>
                <c:pt idx="1">
                  <c:v>504.118</c:v>
                </c:pt>
                <c:pt idx="2">
                  <c:v>241.146</c:v>
                </c:pt>
                <c:pt idx="3">
                  <c:v>13.559</c:v>
                </c:pt>
                <c:pt idx="4">
                  <c:v>51.34</c:v>
                </c:pt>
                <c:pt idx="5">
                  <c:v>3.5</c:v>
                </c:pt>
                <c:pt idx="6">
                  <c:v>3.5</c:v>
                </c:pt>
                <c:pt idx="7">
                  <c:v>3.5</c:v>
                </c:pt>
                <c:pt idx="8">
                  <c:v>190.75</c:v>
                </c:pt>
                <c:pt idx="9">
                  <c:v>513.04</c:v>
                </c:pt>
                <c:pt idx="10">
                  <c:v>94.25</c:v>
                </c:pt>
                <c:pt idx="11">
                  <c:v>3.5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kbd</a:t>
                </a:r>
              </a:p>
            </c:rich>
          </c:tx>
          <c:layout/>
        </c:title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t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Unplanned Offline by PADD (kbd)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'PADD Detail'!$B$17</c:f>
              <c:strCache>
                <c:ptCount val="1"/>
                <c:pt idx="0">
                  <c:v>PADD 1</c:v>
                </c:pt>
              </c:strCache>
            </c:strRef>
          </c:tx>
          <c:cat>
            <c:numRef>
              <c:f>'PADD Detail'!$C$16:$K$16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numCache>
            </c:numRef>
          </c:cat>
          <c:val>
            <c:numRef>
              <c:f>'PADD Detail'!$C$17:$K$17</c:f>
              <c:numCache>
                <c:formatCode>General</c:formatCode>
                <c:ptCount val="9"/>
                <c:pt idx="0">
                  <c:v>686.5771999999999</c:v>
                </c:pt>
                <c:pt idx="1">
                  <c:v>1134.9774</c:v>
                </c:pt>
                <c:pt idx="2">
                  <c:v>6639.4917</c:v>
                </c:pt>
                <c:pt idx="3">
                  <c:v>3499.3643</c:v>
                </c:pt>
                <c:pt idx="4">
                  <c:v>838.49</c:v>
                </c:pt>
                <c:pt idx="5">
                  <c:v>879.2184999999999</c:v>
                </c:pt>
                <c:pt idx="6">
                  <c:v>758.0088</c:v>
                </c:pt>
                <c:pt idx="7">
                  <c:v>1524.7432</c:v>
                </c:pt>
                <c:pt idx="8">
                  <c:v>341.7187</c:v>
                </c:pt>
              </c:numCache>
            </c:numRef>
          </c:val>
        </c:ser>
        <c:ser>
          <c:idx val="1"/>
          <c:order val="1"/>
          <c:tx>
            <c:strRef>
              <c:f>'PADD Detail'!$B$18</c:f>
              <c:strCache>
                <c:ptCount val="1"/>
                <c:pt idx="0">
                  <c:v>PADD 2</c:v>
                </c:pt>
              </c:strCache>
            </c:strRef>
          </c:tx>
          <c:cat>
            <c:numRef>
              <c:f>'PADD Detail'!$C$16:$K$16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numCache>
            </c:numRef>
          </c:cat>
          <c:val>
            <c:numRef>
              <c:f>'PADD Detail'!$C$18:$K$18</c:f>
              <c:numCache>
                <c:formatCode>General</c:formatCode>
                <c:ptCount val="9"/>
                <c:pt idx="0">
                  <c:v>2968.9009</c:v>
                </c:pt>
                <c:pt idx="1">
                  <c:v>4280.2866</c:v>
                </c:pt>
                <c:pt idx="2">
                  <c:v>27603.1455</c:v>
                </c:pt>
                <c:pt idx="3">
                  <c:v>11298.4568</c:v>
                </c:pt>
                <c:pt idx="4">
                  <c:v>6764.0168</c:v>
                </c:pt>
                <c:pt idx="5">
                  <c:v>6640.3387</c:v>
                </c:pt>
                <c:pt idx="6">
                  <c:v>5602.5239</c:v>
                </c:pt>
                <c:pt idx="7">
                  <c:v>2837.6686</c:v>
                </c:pt>
                <c:pt idx="8">
                  <c:v>1689.4067</c:v>
                </c:pt>
              </c:numCache>
            </c:numRef>
          </c:val>
        </c:ser>
        <c:ser>
          <c:idx val="2"/>
          <c:order val="2"/>
          <c:tx>
            <c:strRef>
              <c:f>'PADD Detail'!$B$19</c:f>
              <c:strCache>
                <c:ptCount val="1"/>
                <c:pt idx="0">
                  <c:v>PADD 3</c:v>
                </c:pt>
              </c:strCache>
            </c:strRef>
          </c:tx>
          <c:cat>
            <c:numRef>
              <c:f>'PADD Detail'!$C$16:$K$16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numCache>
            </c:numRef>
          </c:cat>
          <c:val>
            <c:numRef>
              <c:f>'PADD Detail'!$C$19:$K$19</c:f>
              <c:numCache>
                <c:formatCode>General</c:formatCode>
                <c:ptCount val="9"/>
                <c:pt idx="0">
                  <c:v>6130.7373</c:v>
                </c:pt>
                <c:pt idx="1">
                  <c:v>9871.7996</c:v>
                </c:pt>
                <c:pt idx="2">
                  <c:v>66183.2975</c:v>
                </c:pt>
                <c:pt idx="3">
                  <c:v>40953.2259</c:v>
                </c:pt>
                <c:pt idx="4">
                  <c:v>11315.8739</c:v>
                </c:pt>
                <c:pt idx="5">
                  <c:v>11829.2618</c:v>
                </c:pt>
                <c:pt idx="6">
                  <c:v>11810.3492</c:v>
                </c:pt>
                <c:pt idx="7">
                  <c:v>6051.7432</c:v>
                </c:pt>
                <c:pt idx="8">
                  <c:v>4200.116</c:v>
                </c:pt>
              </c:numCache>
            </c:numRef>
          </c:val>
        </c:ser>
        <c:ser>
          <c:idx val="3"/>
          <c:order val="3"/>
          <c:tx>
            <c:strRef>
              <c:f>'PADD Detail'!$B$20</c:f>
              <c:strCache>
                <c:ptCount val="1"/>
                <c:pt idx="0">
                  <c:v>PADD 4</c:v>
                </c:pt>
              </c:strCache>
            </c:strRef>
          </c:tx>
          <c:cat>
            <c:numRef>
              <c:f>'PADD Detail'!$C$16:$K$16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numCache>
            </c:numRef>
          </c:cat>
          <c:val>
            <c:numRef>
              <c:f>'PADD Detail'!$C$20:$K$20</c:f>
              <c:numCache>
                <c:formatCode>General</c:formatCode>
                <c:ptCount val="9"/>
                <c:pt idx="0">
                  <c:v>397.564</c:v>
                </c:pt>
                <c:pt idx="1">
                  <c:v>40.13650000000001</c:v>
                </c:pt>
                <c:pt idx="2">
                  <c:v>2735.7326</c:v>
                </c:pt>
                <c:pt idx="3">
                  <c:v>1627.5056</c:v>
                </c:pt>
                <c:pt idx="4">
                  <c:v>693.9537</c:v>
                </c:pt>
                <c:pt idx="5">
                  <c:v>1470.7124</c:v>
                </c:pt>
                <c:pt idx="6">
                  <c:v>401.7754</c:v>
                </c:pt>
                <c:pt idx="7">
                  <c:v>381.1887</c:v>
                </c:pt>
                <c:pt idx="8">
                  <c:v>173.0774</c:v>
                </c:pt>
              </c:numCache>
            </c:numRef>
          </c:val>
        </c:ser>
        <c:ser>
          <c:idx val="4"/>
          <c:order val="4"/>
          <c:tx>
            <c:strRef>
              <c:f>'PADD Detail'!$B$21</c:f>
              <c:strCache>
                <c:ptCount val="1"/>
                <c:pt idx="0">
                  <c:v>PADD 5</c:v>
                </c:pt>
              </c:strCache>
            </c:strRef>
          </c:tx>
          <c:cat>
            <c:numRef>
              <c:f>'PADD Detail'!$C$16:$K$16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numCache>
            </c:numRef>
          </c:cat>
          <c:val>
            <c:numRef>
              <c:f>'PADD Detail'!$C$21:$K$21</c:f>
              <c:numCache>
                <c:formatCode>General</c:formatCode>
                <c:ptCount val="9"/>
                <c:pt idx="0">
                  <c:v>1184.8115</c:v>
                </c:pt>
                <c:pt idx="1">
                  <c:v>3008.2042</c:v>
                </c:pt>
                <c:pt idx="2">
                  <c:v>21618.5782</c:v>
                </c:pt>
                <c:pt idx="3">
                  <c:v>9056.141100000001</c:v>
                </c:pt>
                <c:pt idx="4">
                  <c:v>3016.1748</c:v>
                </c:pt>
                <c:pt idx="5">
                  <c:v>2872.6275</c:v>
                </c:pt>
                <c:pt idx="6">
                  <c:v>3009.9095</c:v>
                </c:pt>
                <c:pt idx="7">
                  <c:v>8462.209800000001</c:v>
                </c:pt>
                <c:pt idx="8">
                  <c:v>1845.477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numFmt formatCode="General" sourceLinked="1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kbd</a:t>
                </a:r>
              </a:p>
            </c:rich>
          </c:tx>
          <c:layout/>
        </c:title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10 Unit Categories by Capacity Offline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Total offline (kbd)</c:v>
          </c:tx>
          <c:spPr>
            <a:solidFill>
              <a:srgbClr val="BF9000"/>
            </a:solidFill>
          </c:spPr>
          <c:dLbls>
            <c:numFmt formatCode="#,##0" sourceLinked="0"/>
            <c:showVal val="1"/>
          </c:dLbls>
          <c:cat>
            <c:strRef>
              <c:f>Units!$B$8:$B$17</c:f>
              <c:strCache>
                <c:ptCount val="10"/>
                <c:pt idx="0">
                  <c:v>Atmos Distillation</c:v>
                </c:pt>
                <c:pt idx="1">
                  <c:v>Hydrotreating</c:v>
                </c:pt>
                <c:pt idx="2">
                  <c:v>Fluid Cat Cracking</c:v>
                </c:pt>
                <c:pt idx="3">
                  <c:v>Vacuum Distillation</c:v>
                </c:pt>
                <c:pt idx="4">
                  <c:v>Reforming</c:v>
                </c:pt>
                <c:pt idx="5">
                  <c:v>Coking</c:v>
                </c:pt>
                <c:pt idx="6">
                  <c:v>Hydrocracking</c:v>
                </c:pt>
                <c:pt idx="7">
                  <c:v>Alkylation</c:v>
                </c:pt>
                <c:pt idx="8">
                  <c:v>Isomerization</c:v>
                </c:pt>
                <c:pt idx="9">
                  <c:v>Other</c:v>
                </c:pt>
              </c:strCache>
            </c:strRef>
          </c:cat>
          <c:val>
            <c:numRef>
              <c:f>Units!$K$8:$K$17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110001"/>
        <c:axId val="50110002"/>
      </c:barChart>
      <c:catAx>
        <c:axId val="50110001"/>
        <c:scaling>
          <c:orientation val="minMax"/>
        </c:scaling>
        <c:axPos val="l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kbd</a:t>
                </a:r>
              </a:p>
            </c:rich>
          </c:tx>
          <c:layout/>
        </c:title>
        <c:numFmt formatCode="General" sourceLinked="1"/>
        <c:tickLblPos val="nextTo"/>
        <c:crossAx val="50110001"/>
        <c:crosses val="autoZero"/>
        <c:crossBetween val="between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Unplanned Events - Capacity (kbd) vs Duration (days)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7030A0"/>
              </a:solidFill>
              <a:ln>
                <a:noFill/>
              </a:ln>
            </c:spPr>
          </c:marker>
          <c:xVal>
            <c:numRef>
              <c:f>'Refinery Detail'!$B$41:$B$440</c:f>
              <c:numCache>
                <c:formatCode>General</c:formatCode>
                <c:ptCount val="400"/>
                <c:pt idx="0">
                  <c:v>29</c:v>
                </c:pt>
                <c:pt idx="1">
                  <c:v>31</c:v>
                </c:pt>
                <c:pt idx="2">
                  <c:v>24</c:v>
                </c:pt>
                <c:pt idx="3">
                  <c:v>29</c:v>
                </c:pt>
                <c:pt idx="4">
                  <c:v>22</c:v>
                </c:pt>
                <c:pt idx="5">
                  <c:v>31</c:v>
                </c:pt>
                <c:pt idx="6">
                  <c:v>29</c:v>
                </c:pt>
                <c:pt idx="7">
                  <c:v>17</c:v>
                </c:pt>
                <c:pt idx="8">
                  <c:v>30</c:v>
                </c:pt>
                <c:pt idx="9">
                  <c:v>31</c:v>
                </c:pt>
                <c:pt idx="10">
                  <c:v>18</c:v>
                </c:pt>
                <c:pt idx="11">
                  <c:v>27</c:v>
                </c:pt>
                <c:pt idx="12">
                  <c:v>30</c:v>
                </c:pt>
                <c:pt idx="13">
                  <c:v>24</c:v>
                </c:pt>
                <c:pt idx="14">
                  <c:v>17</c:v>
                </c:pt>
                <c:pt idx="15">
                  <c:v>20</c:v>
                </c:pt>
                <c:pt idx="16">
                  <c:v>26</c:v>
                </c:pt>
                <c:pt idx="17">
                  <c:v>15</c:v>
                </c:pt>
                <c:pt idx="18">
                  <c:v>24</c:v>
                </c:pt>
                <c:pt idx="19">
                  <c:v>30</c:v>
                </c:pt>
                <c:pt idx="20">
                  <c:v>31</c:v>
                </c:pt>
                <c:pt idx="21">
                  <c:v>29</c:v>
                </c:pt>
                <c:pt idx="22">
                  <c:v>29</c:v>
                </c:pt>
                <c:pt idx="23">
                  <c:v>20</c:v>
                </c:pt>
                <c:pt idx="24">
                  <c:v>28</c:v>
                </c:pt>
                <c:pt idx="25">
                  <c:v>31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31</c:v>
                </c:pt>
                <c:pt idx="30">
                  <c:v>29</c:v>
                </c:pt>
                <c:pt idx="31">
                  <c:v>24</c:v>
                </c:pt>
                <c:pt idx="32">
                  <c:v>31</c:v>
                </c:pt>
                <c:pt idx="33">
                  <c:v>30</c:v>
                </c:pt>
                <c:pt idx="34">
                  <c:v>31</c:v>
                </c:pt>
                <c:pt idx="35">
                  <c:v>28</c:v>
                </c:pt>
                <c:pt idx="36">
                  <c:v>31</c:v>
                </c:pt>
                <c:pt idx="37">
                  <c:v>29</c:v>
                </c:pt>
                <c:pt idx="38">
                  <c:v>28</c:v>
                </c:pt>
                <c:pt idx="39">
                  <c:v>30</c:v>
                </c:pt>
                <c:pt idx="40">
                  <c:v>31</c:v>
                </c:pt>
                <c:pt idx="41">
                  <c:v>29</c:v>
                </c:pt>
                <c:pt idx="42">
                  <c:v>29</c:v>
                </c:pt>
                <c:pt idx="43">
                  <c:v>11</c:v>
                </c:pt>
                <c:pt idx="44">
                  <c:v>30</c:v>
                </c:pt>
                <c:pt idx="45">
                  <c:v>21</c:v>
                </c:pt>
                <c:pt idx="46">
                  <c:v>12</c:v>
                </c:pt>
                <c:pt idx="47">
                  <c:v>19</c:v>
                </c:pt>
                <c:pt idx="48">
                  <c:v>28</c:v>
                </c:pt>
                <c:pt idx="49">
                  <c:v>17</c:v>
                </c:pt>
                <c:pt idx="50">
                  <c:v>31</c:v>
                </c:pt>
                <c:pt idx="51">
                  <c:v>30</c:v>
                </c:pt>
                <c:pt idx="52">
                  <c:v>31</c:v>
                </c:pt>
                <c:pt idx="53">
                  <c:v>30</c:v>
                </c:pt>
                <c:pt idx="54">
                  <c:v>18</c:v>
                </c:pt>
                <c:pt idx="55">
                  <c:v>11</c:v>
                </c:pt>
                <c:pt idx="56">
                  <c:v>31</c:v>
                </c:pt>
                <c:pt idx="57">
                  <c:v>18</c:v>
                </c:pt>
                <c:pt idx="58">
                  <c:v>27</c:v>
                </c:pt>
                <c:pt idx="59">
                  <c:v>16</c:v>
                </c:pt>
                <c:pt idx="60">
                  <c:v>29</c:v>
                </c:pt>
                <c:pt idx="61">
                  <c:v>30</c:v>
                </c:pt>
                <c:pt idx="62">
                  <c:v>23</c:v>
                </c:pt>
                <c:pt idx="63">
                  <c:v>10</c:v>
                </c:pt>
                <c:pt idx="64">
                  <c:v>31</c:v>
                </c:pt>
                <c:pt idx="65">
                  <c:v>30</c:v>
                </c:pt>
                <c:pt idx="66">
                  <c:v>30</c:v>
                </c:pt>
                <c:pt idx="67">
                  <c:v>31</c:v>
                </c:pt>
                <c:pt idx="68">
                  <c:v>29</c:v>
                </c:pt>
                <c:pt idx="69">
                  <c:v>15</c:v>
                </c:pt>
                <c:pt idx="70">
                  <c:v>16</c:v>
                </c:pt>
                <c:pt idx="71">
                  <c:v>20</c:v>
                </c:pt>
                <c:pt idx="72">
                  <c:v>24</c:v>
                </c:pt>
                <c:pt idx="73">
                  <c:v>9</c:v>
                </c:pt>
                <c:pt idx="74">
                  <c:v>26</c:v>
                </c:pt>
                <c:pt idx="75">
                  <c:v>26</c:v>
                </c:pt>
                <c:pt idx="76">
                  <c:v>31</c:v>
                </c:pt>
                <c:pt idx="77">
                  <c:v>31</c:v>
                </c:pt>
                <c:pt idx="78">
                  <c:v>28</c:v>
                </c:pt>
                <c:pt idx="79">
                  <c:v>30</c:v>
                </c:pt>
                <c:pt idx="80">
                  <c:v>31</c:v>
                </c:pt>
                <c:pt idx="81">
                  <c:v>31</c:v>
                </c:pt>
                <c:pt idx="82">
                  <c:v>31</c:v>
                </c:pt>
                <c:pt idx="83">
                  <c:v>31</c:v>
                </c:pt>
                <c:pt idx="84">
                  <c:v>31</c:v>
                </c:pt>
                <c:pt idx="85">
                  <c:v>30</c:v>
                </c:pt>
                <c:pt idx="86">
                  <c:v>30</c:v>
                </c:pt>
                <c:pt idx="87">
                  <c:v>31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31</c:v>
                </c:pt>
                <c:pt idx="92">
                  <c:v>31</c:v>
                </c:pt>
                <c:pt idx="93">
                  <c:v>11</c:v>
                </c:pt>
                <c:pt idx="94">
                  <c:v>14</c:v>
                </c:pt>
                <c:pt idx="95">
                  <c:v>29</c:v>
                </c:pt>
                <c:pt idx="96">
                  <c:v>30</c:v>
                </c:pt>
                <c:pt idx="97">
                  <c:v>22</c:v>
                </c:pt>
                <c:pt idx="98">
                  <c:v>28</c:v>
                </c:pt>
                <c:pt idx="99">
                  <c:v>15</c:v>
                </c:pt>
                <c:pt idx="100">
                  <c:v>15</c:v>
                </c:pt>
                <c:pt idx="101">
                  <c:v>14</c:v>
                </c:pt>
                <c:pt idx="102">
                  <c:v>24</c:v>
                </c:pt>
                <c:pt idx="103">
                  <c:v>31</c:v>
                </c:pt>
                <c:pt idx="104">
                  <c:v>31</c:v>
                </c:pt>
                <c:pt idx="105">
                  <c:v>20</c:v>
                </c:pt>
                <c:pt idx="106">
                  <c:v>8</c:v>
                </c:pt>
                <c:pt idx="107">
                  <c:v>20</c:v>
                </c:pt>
                <c:pt idx="108">
                  <c:v>22</c:v>
                </c:pt>
                <c:pt idx="109">
                  <c:v>31</c:v>
                </c:pt>
                <c:pt idx="110">
                  <c:v>31</c:v>
                </c:pt>
                <c:pt idx="111">
                  <c:v>28</c:v>
                </c:pt>
                <c:pt idx="112">
                  <c:v>29</c:v>
                </c:pt>
                <c:pt idx="113">
                  <c:v>31</c:v>
                </c:pt>
                <c:pt idx="114">
                  <c:v>31</c:v>
                </c:pt>
                <c:pt idx="115">
                  <c:v>31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31</c:v>
                </c:pt>
                <c:pt idx="121">
                  <c:v>29</c:v>
                </c:pt>
                <c:pt idx="122">
                  <c:v>30</c:v>
                </c:pt>
                <c:pt idx="123">
                  <c:v>31</c:v>
                </c:pt>
                <c:pt idx="124">
                  <c:v>31</c:v>
                </c:pt>
                <c:pt idx="125">
                  <c:v>31</c:v>
                </c:pt>
                <c:pt idx="126">
                  <c:v>17</c:v>
                </c:pt>
                <c:pt idx="127">
                  <c:v>24</c:v>
                </c:pt>
                <c:pt idx="128">
                  <c:v>20</c:v>
                </c:pt>
                <c:pt idx="129">
                  <c:v>12</c:v>
                </c:pt>
                <c:pt idx="130">
                  <c:v>24</c:v>
                </c:pt>
                <c:pt idx="131">
                  <c:v>28</c:v>
                </c:pt>
                <c:pt idx="132">
                  <c:v>14</c:v>
                </c:pt>
                <c:pt idx="133">
                  <c:v>14</c:v>
                </c:pt>
                <c:pt idx="134">
                  <c:v>30</c:v>
                </c:pt>
                <c:pt idx="135">
                  <c:v>27</c:v>
                </c:pt>
                <c:pt idx="136">
                  <c:v>19</c:v>
                </c:pt>
                <c:pt idx="137">
                  <c:v>10</c:v>
                </c:pt>
                <c:pt idx="138">
                  <c:v>31</c:v>
                </c:pt>
                <c:pt idx="139">
                  <c:v>29</c:v>
                </c:pt>
                <c:pt idx="140">
                  <c:v>31</c:v>
                </c:pt>
                <c:pt idx="141">
                  <c:v>24</c:v>
                </c:pt>
                <c:pt idx="142">
                  <c:v>18</c:v>
                </c:pt>
                <c:pt idx="143">
                  <c:v>11</c:v>
                </c:pt>
                <c:pt idx="144">
                  <c:v>26</c:v>
                </c:pt>
                <c:pt idx="145">
                  <c:v>25</c:v>
                </c:pt>
                <c:pt idx="146">
                  <c:v>14</c:v>
                </c:pt>
                <c:pt idx="147">
                  <c:v>21</c:v>
                </c:pt>
                <c:pt idx="148">
                  <c:v>26</c:v>
                </c:pt>
                <c:pt idx="149">
                  <c:v>30</c:v>
                </c:pt>
                <c:pt idx="150">
                  <c:v>21</c:v>
                </c:pt>
                <c:pt idx="151">
                  <c:v>13</c:v>
                </c:pt>
                <c:pt idx="152">
                  <c:v>7</c:v>
                </c:pt>
                <c:pt idx="153">
                  <c:v>16</c:v>
                </c:pt>
                <c:pt idx="154">
                  <c:v>21</c:v>
                </c:pt>
                <c:pt idx="155">
                  <c:v>25</c:v>
                </c:pt>
                <c:pt idx="156">
                  <c:v>19</c:v>
                </c:pt>
                <c:pt idx="157">
                  <c:v>19</c:v>
                </c:pt>
                <c:pt idx="158">
                  <c:v>18</c:v>
                </c:pt>
                <c:pt idx="159">
                  <c:v>28</c:v>
                </c:pt>
                <c:pt idx="160">
                  <c:v>28</c:v>
                </c:pt>
                <c:pt idx="161">
                  <c:v>31</c:v>
                </c:pt>
                <c:pt idx="162">
                  <c:v>31</c:v>
                </c:pt>
                <c:pt idx="163">
                  <c:v>29</c:v>
                </c:pt>
                <c:pt idx="164">
                  <c:v>31</c:v>
                </c:pt>
                <c:pt idx="165">
                  <c:v>31</c:v>
                </c:pt>
                <c:pt idx="166">
                  <c:v>29</c:v>
                </c:pt>
                <c:pt idx="167">
                  <c:v>15</c:v>
                </c:pt>
                <c:pt idx="168">
                  <c:v>15</c:v>
                </c:pt>
                <c:pt idx="169">
                  <c:v>21</c:v>
                </c:pt>
                <c:pt idx="170">
                  <c:v>12</c:v>
                </c:pt>
                <c:pt idx="171">
                  <c:v>16</c:v>
                </c:pt>
                <c:pt idx="172">
                  <c:v>31</c:v>
                </c:pt>
                <c:pt idx="173">
                  <c:v>17</c:v>
                </c:pt>
                <c:pt idx="174">
                  <c:v>21</c:v>
                </c:pt>
                <c:pt idx="175">
                  <c:v>8</c:v>
                </c:pt>
                <c:pt idx="176">
                  <c:v>16</c:v>
                </c:pt>
                <c:pt idx="177">
                  <c:v>31</c:v>
                </c:pt>
                <c:pt idx="178">
                  <c:v>17</c:v>
                </c:pt>
                <c:pt idx="179">
                  <c:v>30</c:v>
                </c:pt>
                <c:pt idx="180">
                  <c:v>18</c:v>
                </c:pt>
                <c:pt idx="181">
                  <c:v>29</c:v>
                </c:pt>
                <c:pt idx="182">
                  <c:v>31</c:v>
                </c:pt>
                <c:pt idx="183">
                  <c:v>22</c:v>
                </c:pt>
                <c:pt idx="184">
                  <c:v>31</c:v>
                </c:pt>
                <c:pt idx="185">
                  <c:v>28</c:v>
                </c:pt>
                <c:pt idx="186">
                  <c:v>31</c:v>
                </c:pt>
                <c:pt idx="187">
                  <c:v>30</c:v>
                </c:pt>
                <c:pt idx="188">
                  <c:v>31</c:v>
                </c:pt>
                <c:pt idx="189">
                  <c:v>24</c:v>
                </c:pt>
                <c:pt idx="190">
                  <c:v>30</c:v>
                </c:pt>
                <c:pt idx="191">
                  <c:v>31</c:v>
                </c:pt>
                <c:pt idx="192">
                  <c:v>31</c:v>
                </c:pt>
                <c:pt idx="193">
                  <c:v>11</c:v>
                </c:pt>
                <c:pt idx="194">
                  <c:v>31</c:v>
                </c:pt>
                <c:pt idx="195">
                  <c:v>28</c:v>
                </c:pt>
                <c:pt idx="196">
                  <c:v>28</c:v>
                </c:pt>
                <c:pt idx="197">
                  <c:v>16</c:v>
                </c:pt>
                <c:pt idx="198">
                  <c:v>31</c:v>
                </c:pt>
                <c:pt idx="199">
                  <c:v>29</c:v>
                </c:pt>
                <c:pt idx="200">
                  <c:v>22</c:v>
                </c:pt>
                <c:pt idx="201">
                  <c:v>20</c:v>
                </c:pt>
                <c:pt idx="202">
                  <c:v>31</c:v>
                </c:pt>
                <c:pt idx="203">
                  <c:v>28</c:v>
                </c:pt>
                <c:pt idx="204">
                  <c:v>30</c:v>
                </c:pt>
                <c:pt idx="205">
                  <c:v>31</c:v>
                </c:pt>
                <c:pt idx="206">
                  <c:v>31</c:v>
                </c:pt>
                <c:pt idx="207">
                  <c:v>28</c:v>
                </c:pt>
                <c:pt idx="208">
                  <c:v>31</c:v>
                </c:pt>
                <c:pt idx="209">
                  <c:v>31</c:v>
                </c:pt>
                <c:pt idx="210">
                  <c:v>16</c:v>
                </c:pt>
                <c:pt idx="211">
                  <c:v>31</c:v>
                </c:pt>
                <c:pt idx="212">
                  <c:v>31</c:v>
                </c:pt>
                <c:pt idx="213">
                  <c:v>17</c:v>
                </c:pt>
                <c:pt idx="214">
                  <c:v>30</c:v>
                </c:pt>
                <c:pt idx="215">
                  <c:v>25</c:v>
                </c:pt>
                <c:pt idx="216">
                  <c:v>30</c:v>
                </c:pt>
                <c:pt idx="217">
                  <c:v>31</c:v>
                </c:pt>
                <c:pt idx="218">
                  <c:v>31</c:v>
                </c:pt>
                <c:pt idx="219">
                  <c:v>30</c:v>
                </c:pt>
                <c:pt idx="220">
                  <c:v>31</c:v>
                </c:pt>
                <c:pt idx="221">
                  <c:v>30</c:v>
                </c:pt>
                <c:pt idx="222">
                  <c:v>31</c:v>
                </c:pt>
                <c:pt idx="223">
                  <c:v>18</c:v>
                </c:pt>
                <c:pt idx="224">
                  <c:v>25</c:v>
                </c:pt>
                <c:pt idx="225">
                  <c:v>17</c:v>
                </c:pt>
                <c:pt idx="226">
                  <c:v>20</c:v>
                </c:pt>
                <c:pt idx="227">
                  <c:v>24</c:v>
                </c:pt>
                <c:pt idx="228">
                  <c:v>22</c:v>
                </c:pt>
                <c:pt idx="229">
                  <c:v>15</c:v>
                </c:pt>
                <c:pt idx="230">
                  <c:v>28</c:v>
                </c:pt>
                <c:pt idx="231">
                  <c:v>29</c:v>
                </c:pt>
                <c:pt idx="232">
                  <c:v>16</c:v>
                </c:pt>
                <c:pt idx="233">
                  <c:v>11</c:v>
                </c:pt>
                <c:pt idx="234">
                  <c:v>6</c:v>
                </c:pt>
                <c:pt idx="235">
                  <c:v>31</c:v>
                </c:pt>
                <c:pt idx="236">
                  <c:v>30</c:v>
                </c:pt>
                <c:pt idx="237">
                  <c:v>31</c:v>
                </c:pt>
                <c:pt idx="238">
                  <c:v>30</c:v>
                </c:pt>
                <c:pt idx="239">
                  <c:v>29</c:v>
                </c:pt>
                <c:pt idx="240">
                  <c:v>26</c:v>
                </c:pt>
                <c:pt idx="241">
                  <c:v>17</c:v>
                </c:pt>
                <c:pt idx="242">
                  <c:v>15</c:v>
                </c:pt>
                <c:pt idx="243">
                  <c:v>15</c:v>
                </c:pt>
                <c:pt idx="244">
                  <c:v>30</c:v>
                </c:pt>
                <c:pt idx="245">
                  <c:v>28</c:v>
                </c:pt>
                <c:pt idx="246">
                  <c:v>31</c:v>
                </c:pt>
                <c:pt idx="247">
                  <c:v>30</c:v>
                </c:pt>
                <c:pt idx="248">
                  <c:v>31</c:v>
                </c:pt>
                <c:pt idx="249">
                  <c:v>31</c:v>
                </c:pt>
                <c:pt idx="250">
                  <c:v>30</c:v>
                </c:pt>
                <c:pt idx="251">
                  <c:v>31</c:v>
                </c:pt>
                <c:pt idx="252">
                  <c:v>31</c:v>
                </c:pt>
                <c:pt idx="253">
                  <c:v>31</c:v>
                </c:pt>
                <c:pt idx="254">
                  <c:v>31</c:v>
                </c:pt>
                <c:pt idx="255">
                  <c:v>6</c:v>
                </c:pt>
                <c:pt idx="256">
                  <c:v>28</c:v>
                </c:pt>
                <c:pt idx="257">
                  <c:v>31</c:v>
                </c:pt>
                <c:pt idx="258">
                  <c:v>28</c:v>
                </c:pt>
                <c:pt idx="259">
                  <c:v>30</c:v>
                </c:pt>
                <c:pt idx="260">
                  <c:v>31</c:v>
                </c:pt>
                <c:pt idx="261">
                  <c:v>30</c:v>
                </c:pt>
                <c:pt idx="262">
                  <c:v>31</c:v>
                </c:pt>
                <c:pt idx="263">
                  <c:v>31</c:v>
                </c:pt>
                <c:pt idx="264">
                  <c:v>30</c:v>
                </c:pt>
                <c:pt idx="265">
                  <c:v>31</c:v>
                </c:pt>
                <c:pt idx="266">
                  <c:v>31</c:v>
                </c:pt>
                <c:pt idx="267">
                  <c:v>31</c:v>
                </c:pt>
                <c:pt idx="268">
                  <c:v>30</c:v>
                </c:pt>
                <c:pt idx="269">
                  <c:v>31</c:v>
                </c:pt>
                <c:pt idx="270">
                  <c:v>31</c:v>
                </c:pt>
                <c:pt idx="271">
                  <c:v>30</c:v>
                </c:pt>
                <c:pt idx="272">
                  <c:v>30</c:v>
                </c:pt>
                <c:pt idx="273">
                  <c:v>30</c:v>
                </c:pt>
                <c:pt idx="274">
                  <c:v>28</c:v>
                </c:pt>
                <c:pt idx="275">
                  <c:v>23</c:v>
                </c:pt>
                <c:pt idx="276">
                  <c:v>25</c:v>
                </c:pt>
                <c:pt idx="277">
                  <c:v>23</c:v>
                </c:pt>
                <c:pt idx="278">
                  <c:v>23</c:v>
                </c:pt>
                <c:pt idx="279">
                  <c:v>17</c:v>
                </c:pt>
                <c:pt idx="280">
                  <c:v>31</c:v>
                </c:pt>
                <c:pt idx="281">
                  <c:v>28</c:v>
                </c:pt>
                <c:pt idx="282">
                  <c:v>26</c:v>
                </c:pt>
                <c:pt idx="283">
                  <c:v>15</c:v>
                </c:pt>
                <c:pt idx="284">
                  <c:v>29</c:v>
                </c:pt>
                <c:pt idx="285">
                  <c:v>19</c:v>
                </c:pt>
                <c:pt idx="286">
                  <c:v>19</c:v>
                </c:pt>
                <c:pt idx="287">
                  <c:v>28</c:v>
                </c:pt>
                <c:pt idx="288">
                  <c:v>18</c:v>
                </c:pt>
                <c:pt idx="289">
                  <c:v>31</c:v>
                </c:pt>
                <c:pt idx="290">
                  <c:v>24</c:v>
                </c:pt>
                <c:pt idx="291">
                  <c:v>23</c:v>
                </c:pt>
                <c:pt idx="292">
                  <c:v>27</c:v>
                </c:pt>
                <c:pt idx="293">
                  <c:v>22</c:v>
                </c:pt>
                <c:pt idx="294">
                  <c:v>11</c:v>
                </c:pt>
                <c:pt idx="295">
                  <c:v>22</c:v>
                </c:pt>
                <c:pt idx="296">
                  <c:v>24</c:v>
                </c:pt>
                <c:pt idx="297">
                  <c:v>12</c:v>
                </c:pt>
                <c:pt idx="298">
                  <c:v>14</c:v>
                </c:pt>
                <c:pt idx="299">
                  <c:v>29</c:v>
                </c:pt>
                <c:pt idx="300">
                  <c:v>25</c:v>
                </c:pt>
                <c:pt idx="301">
                  <c:v>16</c:v>
                </c:pt>
                <c:pt idx="302">
                  <c:v>18</c:v>
                </c:pt>
                <c:pt idx="303">
                  <c:v>23</c:v>
                </c:pt>
                <c:pt idx="304">
                  <c:v>18</c:v>
                </c:pt>
                <c:pt idx="305">
                  <c:v>25</c:v>
                </c:pt>
                <c:pt idx="306">
                  <c:v>22</c:v>
                </c:pt>
                <c:pt idx="307">
                  <c:v>22</c:v>
                </c:pt>
                <c:pt idx="308">
                  <c:v>16</c:v>
                </c:pt>
                <c:pt idx="309">
                  <c:v>30</c:v>
                </c:pt>
                <c:pt idx="310">
                  <c:v>27</c:v>
                </c:pt>
                <c:pt idx="311">
                  <c:v>31</c:v>
                </c:pt>
                <c:pt idx="312">
                  <c:v>30</c:v>
                </c:pt>
                <c:pt idx="313">
                  <c:v>31</c:v>
                </c:pt>
                <c:pt idx="314">
                  <c:v>31</c:v>
                </c:pt>
                <c:pt idx="315">
                  <c:v>31</c:v>
                </c:pt>
                <c:pt idx="316">
                  <c:v>30</c:v>
                </c:pt>
                <c:pt idx="317">
                  <c:v>31</c:v>
                </c:pt>
                <c:pt idx="318">
                  <c:v>14</c:v>
                </c:pt>
                <c:pt idx="319">
                  <c:v>31</c:v>
                </c:pt>
                <c:pt idx="320">
                  <c:v>24</c:v>
                </c:pt>
                <c:pt idx="321">
                  <c:v>8</c:v>
                </c:pt>
                <c:pt idx="322">
                  <c:v>13</c:v>
                </c:pt>
                <c:pt idx="323">
                  <c:v>25</c:v>
                </c:pt>
                <c:pt idx="324">
                  <c:v>11</c:v>
                </c:pt>
                <c:pt idx="325">
                  <c:v>16</c:v>
                </c:pt>
                <c:pt idx="326">
                  <c:v>16</c:v>
                </c:pt>
                <c:pt idx="327">
                  <c:v>21</c:v>
                </c:pt>
                <c:pt idx="328">
                  <c:v>17</c:v>
                </c:pt>
                <c:pt idx="329">
                  <c:v>30</c:v>
                </c:pt>
                <c:pt idx="330">
                  <c:v>16</c:v>
                </c:pt>
                <c:pt idx="331">
                  <c:v>16</c:v>
                </c:pt>
                <c:pt idx="332">
                  <c:v>21</c:v>
                </c:pt>
                <c:pt idx="333">
                  <c:v>22</c:v>
                </c:pt>
                <c:pt idx="334">
                  <c:v>20</c:v>
                </c:pt>
                <c:pt idx="335">
                  <c:v>9</c:v>
                </c:pt>
                <c:pt idx="336">
                  <c:v>15</c:v>
                </c:pt>
                <c:pt idx="337">
                  <c:v>5</c:v>
                </c:pt>
                <c:pt idx="338">
                  <c:v>12</c:v>
                </c:pt>
                <c:pt idx="339">
                  <c:v>8</c:v>
                </c:pt>
                <c:pt idx="340">
                  <c:v>12</c:v>
                </c:pt>
                <c:pt idx="341">
                  <c:v>19</c:v>
                </c:pt>
                <c:pt idx="342">
                  <c:v>30</c:v>
                </c:pt>
                <c:pt idx="343">
                  <c:v>16</c:v>
                </c:pt>
                <c:pt idx="344">
                  <c:v>17</c:v>
                </c:pt>
                <c:pt idx="345">
                  <c:v>20</c:v>
                </c:pt>
                <c:pt idx="346">
                  <c:v>21</c:v>
                </c:pt>
                <c:pt idx="347">
                  <c:v>31</c:v>
                </c:pt>
                <c:pt idx="348">
                  <c:v>31</c:v>
                </c:pt>
                <c:pt idx="349">
                  <c:v>28</c:v>
                </c:pt>
                <c:pt idx="350">
                  <c:v>30</c:v>
                </c:pt>
                <c:pt idx="351">
                  <c:v>31</c:v>
                </c:pt>
                <c:pt idx="352">
                  <c:v>30</c:v>
                </c:pt>
                <c:pt idx="353">
                  <c:v>31</c:v>
                </c:pt>
                <c:pt idx="354">
                  <c:v>31</c:v>
                </c:pt>
                <c:pt idx="355">
                  <c:v>31</c:v>
                </c:pt>
                <c:pt idx="356">
                  <c:v>31</c:v>
                </c:pt>
                <c:pt idx="357">
                  <c:v>31</c:v>
                </c:pt>
                <c:pt idx="358">
                  <c:v>28</c:v>
                </c:pt>
                <c:pt idx="359">
                  <c:v>28</c:v>
                </c:pt>
                <c:pt idx="360">
                  <c:v>31</c:v>
                </c:pt>
                <c:pt idx="361">
                  <c:v>31</c:v>
                </c:pt>
                <c:pt idx="362">
                  <c:v>30</c:v>
                </c:pt>
                <c:pt idx="363">
                  <c:v>28</c:v>
                </c:pt>
                <c:pt idx="364">
                  <c:v>31</c:v>
                </c:pt>
                <c:pt idx="365">
                  <c:v>30</c:v>
                </c:pt>
                <c:pt idx="366">
                  <c:v>30</c:v>
                </c:pt>
                <c:pt idx="367">
                  <c:v>30</c:v>
                </c:pt>
                <c:pt idx="368">
                  <c:v>31</c:v>
                </c:pt>
                <c:pt idx="369">
                  <c:v>31</c:v>
                </c:pt>
                <c:pt idx="370">
                  <c:v>13</c:v>
                </c:pt>
                <c:pt idx="371">
                  <c:v>31</c:v>
                </c:pt>
                <c:pt idx="372">
                  <c:v>13</c:v>
                </c:pt>
                <c:pt idx="373">
                  <c:v>9</c:v>
                </c:pt>
                <c:pt idx="374">
                  <c:v>31</c:v>
                </c:pt>
                <c:pt idx="375">
                  <c:v>26</c:v>
                </c:pt>
                <c:pt idx="376">
                  <c:v>17</c:v>
                </c:pt>
                <c:pt idx="377">
                  <c:v>16</c:v>
                </c:pt>
                <c:pt idx="378">
                  <c:v>8</c:v>
                </c:pt>
                <c:pt idx="379">
                  <c:v>24</c:v>
                </c:pt>
                <c:pt idx="380">
                  <c:v>16</c:v>
                </c:pt>
                <c:pt idx="381">
                  <c:v>25</c:v>
                </c:pt>
                <c:pt idx="382">
                  <c:v>19</c:v>
                </c:pt>
                <c:pt idx="383">
                  <c:v>30</c:v>
                </c:pt>
                <c:pt idx="384">
                  <c:v>30</c:v>
                </c:pt>
                <c:pt idx="385">
                  <c:v>31</c:v>
                </c:pt>
                <c:pt idx="386">
                  <c:v>31</c:v>
                </c:pt>
                <c:pt idx="387">
                  <c:v>31</c:v>
                </c:pt>
                <c:pt idx="388">
                  <c:v>24</c:v>
                </c:pt>
                <c:pt idx="389">
                  <c:v>19</c:v>
                </c:pt>
                <c:pt idx="390">
                  <c:v>19</c:v>
                </c:pt>
                <c:pt idx="391">
                  <c:v>28</c:v>
                </c:pt>
                <c:pt idx="392">
                  <c:v>31</c:v>
                </c:pt>
                <c:pt idx="393">
                  <c:v>30</c:v>
                </c:pt>
                <c:pt idx="394">
                  <c:v>5</c:v>
                </c:pt>
                <c:pt idx="395">
                  <c:v>18</c:v>
                </c:pt>
                <c:pt idx="396">
                  <c:v>5</c:v>
                </c:pt>
                <c:pt idx="397">
                  <c:v>12</c:v>
                </c:pt>
                <c:pt idx="398">
                  <c:v>30</c:v>
                </c:pt>
                <c:pt idx="399">
                  <c:v>18</c:v>
                </c:pt>
              </c:numCache>
            </c:numRef>
          </c:xVal>
          <c:yVal>
            <c:numRef>
              <c:f>'Refinery Detail'!$C$41:$C$440</c:f>
              <c:numCache>
                <c:formatCode>General</c:formatCode>
                <c:ptCount val="400"/>
                <c:pt idx="0">
                  <c:v>255</c:v>
                </c:pt>
                <c:pt idx="1">
                  <c:v>251</c:v>
                </c:pt>
                <c:pt idx="2">
                  <c:v>234.89</c:v>
                </c:pt>
                <c:pt idx="3">
                  <c:v>220</c:v>
                </c:pt>
                <c:pt idx="4">
                  <c:v>162.74</c:v>
                </c:pt>
                <c:pt idx="5">
                  <c:v>161</c:v>
                </c:pt>
                <c:pt idx="6">
                  <c:v>160</c:v>
                </c:pt>
                <c:pt idx="7">
                  <c:v>155.65</c:v>
                </c:pt>
                <c:pt idx="8">
                  <c:v>155</c:v>
                </c:pt>
                <c:pt idx="9">
                  <c:v>155</c:v>
                </c:pt>
                <c:pt idx="10">
                  <c:v>150.6</c:v>
                </c:pt>
                <c:pt idx="11">
                  <c:v>148.8</c:v>
                </c:pt>
                <c:pt idx="12">
                  <c:v>140</c:v>
                </c:pt>
                <c:pt idx="13">
                  <c:v>139.2</c:v>
                </c:pt>
                <c:pt idx="14">
                  <c:v>137.5</c:v>
                </c:pt>
                <c:pt idx="15">
                  <c:v>136.5</c:v>
                </c:pt>
                <c:pt idx="16">
                  <c:v>134.85</c:v>
                </c:pt>
                <c:pt idx="17">
                  <c:v>125.5</c:v>
                </c:pt>
                <c:pt idx="18">
                  <c:v>123.2</c:v>
                </c:pt>
                <c:pt idx="19">
                  <c:v>120</c:v>
                </c:pt>
                <c:pt idx="20">
                  <c:v>120</c:v>
                </c:pt>
                <c:pt idx="21">
                  <c:v>114</c:v>
                </c:pt>
                <c:pt idx="22">
                  <c:v>112.8</c:v>
                </c:pt>
                <c:pt idx="23">
                  <c:v>111.8</c:v>
                </c:pt>
                <c:pt idx="24">
                  <c:v>110</c:v>
                </c:pt>
                <c:pt idx="25">
                  <c:v>110</c:v>
                </c:pt>
                <c:pt idx="26">
                  <c:v>110</c:v>
                </c:pt>
                <c:pt idx="27">
                  <c:v>110</c:v>
                </c:pt>
                <c:pt idx="28">
                  <c:v>110</c:v>
                </c:pt>
                <c:pt idx="29">
                  <c:v>110</c:v>
                </c:pt>
                <c:pt idx="30">
                  <c:v>110</c:v>
                </c:pt>
                <c:pt idx="31">
                  <c:v>107.8</c:v>
                </c:pt>
                <c:pt idx="32">
                  <c:v>105</c:v>
                </c:pt>
                <c:pt idx="33">
                  <c:v>105</c:v>
                </c:pt>
                <c:pt idx="34">
                  <c:v>105</c:v>
                </c:pt>
                <c:pt idx="35">
                  <c:v>103</c:v>
                </c:pt>
                <c:pt idx="36">
                  <c:v>102</c:v>
                </c:pt>
                <c:pt idx="37">
                  <c:v>102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98.05</c:v>
                </c:pt>
                <c:pt idx="44">
                  <c:v>98</c:v>
                </c:pt>
                <c:pt idx="45">
                  <c:v>98</c:v>
                </c:pt>
                <c:pt idx="46">
                  <c:v>97.5</c:v>
                </c:pt>
                <c:pt idx="47">
                  <c:v>94.5</c:v>
                </c:pt>
                <c:pt idx="48">
                  <c:v>92.15000000000001</c:v>
                </c:pt>
                <c:pt idx="49">
                  <c:v>91.77</c:v>
                </c:pt>
                <c:pt idx="50">
                  <c:v>90</c:v>
                </c:pt>
                <c:pt idx="51">
                  <c:v>90</c:v>
                </c:pt>
                <c:pt idx="52">
                  <c:v>90</c:v>
                </c:pt>
                <c:pt idx="53">
                  <c:v>90</c:v>
                </c:pt>
                <c:pt idx="54">
                  <c:v>89.90000000000001</c:v>
                </c:pt>
                <c:pt idx="55">
                  <c:v>89.25</c:v>
                </c:pt>
                <c:pt idx="56">
                  <c:v>88</c:v>
                </c:pt>
                <c:pt idx="57">
                  <c:v>87</c:v>
                </c:pt>
                <c:pt idx="58">
                  <c:v>86.40000000000001</c:v>
                </c:pt>
                <c:pt idx="59">
                  <c:v>85.8</c:v>
                </c:pt>
                <c:pt idx="60">
                  <c:v>85</c:v>
                </c:pt>
                <c:pt idx="61">
                  <c:v>83.5</c:v>
                </c:pt>
                <c:pt idx="62">
                  <c:v>80.84999999999999</c:v>
                </c:pt>
                <c:pt idx="63">
                  <c:v>80</c:v>
                </c:pt>
                <c:pt idx="64">
                  <c:v>80</c:v>
                </c:pt>
                <c:pt idx="65">
                  <c:v>80</c:v>
                </c:pt>
                <c:pt idx="66">
                  <c:v>80</c:v>
                </c:pt>
                <c:pt idx="67">
                  <c:v>80</c:v>
                </c:pt>
                <c:pt idx="68">
                  <c:v>80</c:v>
                </c:pt>
                <c:pt idx="69">
                  <c:v>79.776</c:v>
                </c:pt>
                <c:pt idx="70">
                  <c:v>79.5</c:v>
                </c:pt>
                <c:pt idx="71">
                  <c:v>79.34999999999999</c:v>
                </c:pt>
                <c:pt idx="72">
                  <c:v>78.54000000000001</c:v>
                </c:pt>
                <c:pt idx="73">
                  <c:v>78.3</c:v>
                </c:pt>
                <c:pt idx="74">
                  <c:v>78.3</c:v>
                </c:pt>
                <c:pt idx="75">
                  <c:v>78.12</c:v>
                </c:pt>
                <c:pt idx="76">
                  <c:v>78</c:v>
                </c:pt>
                <c:pt idx="77">
                  <c:v>77.5</c:v>
                </c:pt>
                <c:pt idx="78">
                  <c:v>77.5</c:v>
                </c:pt>
                <c:pt idx="79">
                  <c:v>77.5</c:v>
                </c:pt>
                <c:pt idx="80">
                  <c:v>77.5</c:v>
                </c:pt>
                <c:pt idx="81">
                  <c:v>77.5</c:v>
                </c:pt>
                <c:pt idx="82">
                  <c:v>77.5</c:v>
                </c:pt>
                <c:pt idx="83">
                  <c:v>77.5</c:v>
                </c:pt>
                <c:pt idx="84">
                  <c:v>77.5</c:v>
                </c:pt>
                <c:pt idx="85">
                  <c:v>77.5</c:v>
                </c:pt>
                <c:pt idx="86">
                  <c:v>77.5</c:v>
                </c:pt>
                <c:pt idx="87">
                  <c:v>77.5</c:v>
                </c:pt>
                <c:pt idx="88">
                  <c:v>77.5</c:v>
                </c:pt>
                <c:pt idx="89">
                  <c:v>77.5</c:v>
                </c:pt>
                <c:pt idx="90">
                  <c:v>77.5</c:v>
                </c:pt>
                <c:pt idx="91">
                  <c:v>77.5</c:v>
                </c:pt>
                <c:pt idx="92">
                  <c:v>77.5</c:v>
                </c:pt>
                <c:pt idx="93">
                  <c:v>77</c:v>
                </c:pt>
                <c:pt idx="94">
                  <c:v>76.8</c:v>
                </c:pt>
                <c:pt idx="95">
                  <c:v>75.2</c:v>
                </c:pt>
                <c:pt idx="96">
                  <c:v>75</c:v>
                </c:pt>
                <c:pt idx="97">
                  <c:v>74.45999999999999</c:v>
                </c:pt>
                <c:pt idx="98">
                  <c:v>74.40000000000001</c:v>
                </c:pt>
                <c:pt idx="99">
                  <c:v>74.25</c:v>
                </c:pt>
                <c:pt idx="100">
                  <c:v>74.25</c:v>
                </c:pt>
                <c:pt idx="101">
                  <c:v>73.79000000000001</c:v>
                </c:pt>
                <c:pt idx="102">
                  <c:v>73.15000000000001</c:v>
                </c:pt>
                <c:pt idx="103">
                  <c:v>73</c:v>
                </c:pt>
                <c:pt idx="104">
                  <c:v>73</c:v>
                </c:pt>
                <c:pt idx="105">
                  <c:v>72.8</c:v>
                </c:pt>
                <c:pt idx="106">
                  <c:v>72.8</c:v>
                </c:pt>
                <c:pt idx="107">
                  <c:v>71.5</c:v>
                </c:pt>
                <c:pt idx="108">
                  <c:v>71</c:v>
                </c:pt>
                <c:pt idx="109">
                  <c:v>70</c:v>
                </c:pt>
                <c:pt idx="110">
                  <c:v>70</c:v>
                </c:pt>
                <c:pt idx="111">
                  <c:v>70</c:v>
                </c:pt>
                <c:pt idx="112">
                  <c:v>70</c:v>
                </c:pt>
                <c:pt idx="113">
                  <c:v>70</c:v>
                </c:pt>
                <c:pt idx="114">
                  <c:v>70</c:v>
                </c:pt>
                <c:pt idx="115">
                  <c:v>70</c:v>
                </c:pt>
                <c:pt idx="116">
                  <c:v>70</c:v>
                </c:pt>
                <c:pt idx="117">
                  <c:v>70</c:v>
                </c:pt>
                <c:pt idx="118">
                  <c:v>70</c:v>
                </c:pt>
                <c:pt idx="119">
                  <c:v>70</c:v>
                </c:pt>
                <c:pt idx="120">
                  <c:v>70</c:v>
                </c:pt>
                <c:pt idx="121">
                  <c:v>70</c:v>
                </c:pt>
                <c:pt idx="122">
                  <c:v>70</c:v>
                </c:pt>
                <c:pt idx="123">
                  <c:v>70</c:v>
                </c:pt>
                <c:pt idx="124">
                  <c:v>70</c:v>
                </c:pt>
                <c:pt idx="125">
                  <c:v>70</c:v>
                </c:pt>
                <c:pt idx="126">
                  <c:v>69.84999999999999</c:v>
                </c:pt>
                <c:pt idx="127">
                  <c:v>69.3</c:v>
                </c:pt>
                <c:pt idx="128">
                  <c:v>69</c:v>
                </c:pt>
                <c:pt idx="129">
                  <c:v>68.25</c:v>
                </c:pt>
                <c:pt idx="130">
                  <c:v>68.23999999999999</c:v>
                </c:pt>
                <c:pt idx="131">
                  <c:v>67.89</c:v>
                </c:pt>
                <c:pt idx="132">
                  <c:v>67.5</c:v>
                </c:pt>
                <c:pt idx="133">
                  <c:v>67.5</c:v>
                </c:pt>
                <c:pt idx="134">
                  <c:v>67</c:v>
                </c:pt>
                <c:pt idx="135">
                  <c:v>66.98999999999999</c:v>
                </c:pt>
                <c:pt idx="136">
                  <c:v>66.78</c:v>
                </c:pt>
                <c:pt idx="137">
                  <c:v>65.92</c:v>
                </c:pt>
                <c:pt idx="138">
                  <c:v>65</c:v>
                </c:pt>
                <c:pt idx="139">
                  <c:v>65</c:v>
                </c:pt>
                <c:pt idx="140">
                  <c:v>65</c:v>
                </c:pt>
                <c:pt idx="141">
                  <c:v>64</c:v>
                </c:pt>
                <c:pt idx="142">
                  <c:v>63.8</c:v>
                </c:pt>
                <c:pt idx="143">
                  <c:v>63.64</c:v>
                </c:pt>
                <c:pt idx="144">
                  <c:v>63.51</c:v>
                </c:pt>
                <c:pt idx="145">
                  <c:v>63.101</c:v>
                </c:pt>
                <c:pt idx="146">
                  <c:v>63</c:v>
                </c:pt>
                <c:pt idx="147">
                  <c:v>63</c:v>
                </c:pt>
                <c:pt idx="148">
                  <c:v>63</c:v>
                </c:pt>
                <c:pt idx="149">
                  <c:v>62.856</c:v>
                </c:pt>
                <c:pt idx="150">
                  <c:v>62.56</c:v>
                </c:pt>
                <c:pt idx="151">
                  <c:v>62.37</c:v>
                </c:pt>
                <c:pt idx="152">
                  <c:v>62.1</c:v>
                </c:pt>
                <c:pt idx="153">
                  <c:v>61.6</c:v>
                </c:pt>
                <c:pt idx="154">
                  <c:v>61.2</c:v>
                </c:pt>
                <c:pt idx="155">
                  <c:v>61.155</c:v>
                </c:pt>
                <c:pt idx="156">
                  <c:v>61</c:v>
                </c:pt>
                <c:pt idx="157">
                  <c:v>61</c:v>
                </c:pt>
                <c:pt idx="158">
                  <c:v>60.9</c:v>
                </c:pt>
                <c:pt idx="159">
                  <c:v>60.45</c:v>
                </c:pt>
                <c:pt idx="160">
                  <c:v>60.45</c:v>
                </c:pt>
                <c:pt idx="161">
                  <c:v>60.33</c:v>
                </c:pt>
                <c:pt idx="162">
                  <c:v>60.33</c:v>
                </c:pt>
                <c:pt idx="163">
                  <c:v>60.33</c:v>
                </c:pt>
                <c:pt idx="164">
                  <c:v>60</c:v>
                </c:pt>
                <c:pt idx="165">
                  <c:v>60</c:v>
                </c:pt>
                <c:pt idx="166">
                  <c:v>60</c:v>
                </c:pt>
                <c:pt idx="167">
                  <c:v>60</c:v>
                </c:pt>
                <c:pt idx="168">
                  <c:v>59.8</c:v>
                </c:pt>
                <c:pt idx="169">
                  <c:v>59.654</c:v>
                </c:pt>
                <c:pt idx="170">
                  <c:v>59.4</c:v>
                </c:pt>
                <c:pt idx="171">
                  <c:v>59.28</c:v>
                </c:pt>
                <c:pt idx="172">
                  <c:v>58.5</c:v>
                </c:pt>
                <c:pt idx="173">
                  <c:v>58.3</c:v>
                </c:pt>
                <c:pt idx="174">
                  <c:v>57.8</c:v>
                </c:pt>
                <c:pt idx="175">
                  <c:v>57.2</c:v>
                </c:pt>
                <c:pt idx="176">
                  <c:v>57.2</c:v>
                </c:pt>
                <c:pt idx="177">
                  <c:v>57</c:v>
                </c:pt>
                <c:pt idx="178">
                  <c:v>57</c:v>
                </c:pt>
                <c:pt idx="179">
                  <c:v>57</c:v>
                </c:pt>
                <c:pt idx="180">
                  <c:v>56.84</c:v>
                </c:pt>
                <c:pt idx="181">
                  <c:v>56.4</c:v>
                </c:pt>
                <c:pt idx="182">
                  <c:v>56.35</c:v>
                </c:pt>
                <c:pt idx="183">
                  <c:v>56.21</c:v>
                </c:pt>
                <c:pt idx="184">
                  <c:v>56</c:v>
                </c:pt>
                <c:pt idx="185">
                  <c:v>56</c:v>
                </c:pt>
                <c:pt idx="186">
                  <c:v>56</c:v>
                </c:pt>
                <c:pt idx="187">
                  <c:v>56</c:v>
                </c:pt>
                <c:pt idx="188">
                  <c:v>56</c:v>
                </c:pt>
                <c:pt idx="189">
                  <c:v>56</c:v>
                </c:pt>
                <c:pt idx="190">
                  <c:v>56</c:v>
                </c:pt>
                <c:pt idx="191">
                  <c:v>56</c:v>
                </c:pt>
                <c:pt idx="192">
                  <c:v>56</c:v>
                </c:pt>
                <c:pt idx="193">
                  <c:v>56</c:v>
                </c:pt>
                <c:pt idx="194">
                  <c:v>56</c:v>
                </c:pt>
                <c:pt idx="195">
                  <c:v>56</c:v>
                </c:pt>
                <c:pt idx="196">
                  <c:v>55.8</c:v>
                </c:pt>
                <c:pt idx="197">
                  <c:v>55.65</c:v>
                </c:pt>
                <c:pt idx="198">
                  <c:v>55.5</c:v>
                </c:pt>
                <c:pt idx="199">
                  <c:v>55.5</c:v>
                </c:pt>
                <c:pt idx="200">
                  <c:v>55.3</c:v>
                </c:pt>
                <c:pt idx="201">
                  <c:v>55.2</c:v>
                </c:pt>
                <c:pt idx="202">
                  <c:v>55</c:v>
                </c:pt>
                <c:pt idx="203">
                  <c:v>55</c:v>
                </c:pt>
                <c:pt idx="204">
                  <c:v>55</c:v>
                </c:pt>
                <c:pt idx="205">
                  <c:v>55</c:v>
                </c:pt>
                <c:pt idx="206">
                  <c:v>55</c:v>
                </c:pt>
                <c:pt idx="207">
                  <c:v>55</c:v>
                </c:pt>
                <c:pt idx="208">
                  <c:v>55</c:v>
                </c:pt>
                <c:pt idx="209">
                  <c:v>55</c:v>
                </c:pt>
                <c:pt idx="210">
                  <c:v>55</c:v>
                </c:pt>
                <c:pt idx="211">
                  <c:v>55</c:v>
                </c:pt>
                <c:pt idx="212">
                  <c:v>55</c:v>
                </c:pt>
                <c:pt idx="213">
                  <c:v>55</c:v>
                </c:pt>
                <c:pt idx="214">
                  <c:v>55</c:v>
                </c:pt>
                <c:pt idx="215">
                  <c:v>54.78</c:v>
                </c:pt>
                <c:pt idx="216">
                  <c:v>54.25</c:v>
                </c:pt>
                <c:pt idx="217">
                  <c:v>54.25</c:v>
                </c:pt>
                <c:pt idx="218">
                  <c:v>54.25</c:v>
                </c:pt>
                <c:pt idx="219">
                  <c:v>54.25</c:v>
                </c:pt>
                <c:pt idx="220">
                  <c:v>54.25</c:v>
                </c:pt>
                <c:pt idx="221">
                  <c:v>54.25</c:v>
                </c:pt>
                <c:pt idx="222">
                  <c:v>54.25</c:v>
                </c:pt>
                <c:pt idx="223">
                  <c:v>54</c:v>
                </c:pt>
                <c:pt idx="224">
                  <c:v>53.95</c:v>
                </c:pt>
                <c:pt idx="225">
                  <c:v>53.9</c:v>
                </c:pt>
                <c:pt idx="226">
                  <c:v>53.6</c:v>
                </c:pt>
                <c:pt idx="227">
                  <c:v>53.32</c:v>
                </c:pt>
                <c:pt idx="228">
                  <c:v>53.29</c:v>
                </c:pt>
                <c:pt idx="229">
                  <c:v>53.04</c:v>
                </c:pt>
                <c:pt idx="230">
                  <c:v>53.01</c:v>
                </c:pt>
                <c:pt idx="231">
                  <c:v>53</c:v>
                </c:pt>
                <c:pt idx="232">
                  <c:v>53</c:v>
                </c:pt>
                <c:pt idx="233">
                  <c:v>52.5</c:v>
                </c:pt>
                <c:pt idx="234">
                  <c:v>52.25</c:v>
                </c:pt>
                <c:pt idx="235">
                  <c:v>52</c:v>
                </c:pt>
                <c:pt idx="236">
                  <c:v>52</c:v>
                </c:pt>
                <c:pt idx="237">
                  <c:v>52</c:v>
                </c:pt>
                <c:pt idx="238">
                  <c:v>52</c:v>
                </c:pt>
                <c:pt idx="239">
                  <c:v>51.7</c:v>
                </c:pt>
                <c:pt idx="240">
                  <c:v>51.3</c:v>
                </c:pt>
                <c:pt idx="241">
                  <c:v>51.3</c:v>
                </c:pt>
                <c:pt idx="242">
                  <c:v>50.88</c:v>
                </c:pt>
                <c:pt idx="243">
                  <c:v>50.4</c:v>
                </c:pt>
                <c:pt idx="244">
                  <c:v>50.2</c:v>
                </c:pt>
                <c:pt idx="245">
                  <c:v>50.2</c:v>
                </c:pt>
                <c:pt idx="246">
                  <c:v>50.2</c:v>
                </c:pt>
                <c:pt idx="247">
                  <c:v>50</c:v>
                </c:pt>
                <c:pt idx="248">
                  <c:v>50</c:v>
                </c:pt>
                <c:pt idx="249">
                  <c:v>50</c:v>
                </c:pt>
                <c:pt idx="250">
                  <c:v>50</c:v>
                </c:pt>
                <c:pt idx="251">
                  <c:v>50</c:v>
                </c:pt>
                <c:pt idx="252">
                  <c:v>50</c:v>
                </c:pt>
                <c:pt idx="253">
                  <c:v>50</c:v>
                </c:pt>
                <c:pt idx="254">
                  <c:v>50</c:v>
                </c:pt>
                <c:pt idx="255">
                  <c:v>50</c:v>
                </c:pt>
                <c:pt idx="256">
                  <c:v>50</c:v>
                </c:pt>
                <c:pt idx="257">
                  <c:v>50</c:v>
                </c:pt>
                <c:pt idx="258">
                  <c:v>50</c:v>
                </c:pt>
                <c:pt idx="259">
                  <c:v>50</c:v>
                </c:pt>
                <c:pt idx="260">
                  <c:v>50</c:v>
                </c:pt>
                <c:pt idx="261">
                  <c:v>50</c:v>
                </c:pt>
                <c:pt idx="262">
                  <c:v>50</c:v>
                </c:pt>
                <c:pt idx="263">
                  <c:v>50</c:v>
                </c:pt>
                <c:pt idx="264">
                  <c:v>50</c:v>
                </c:pt>
                <c:pt idx="265">
                  <c:v>50</c:v>
                </c:pt>
                <c:pt idx="266">
                  <c:v>50</c:v>
                </c:pt>
                <c:pt idx="267">
                  <c:v>50</c:v>
                </c:pt>
                <c:pt idx="268">
                  <c:v>50</c:v>
                </c:pt>
                <c:pt idx="269">
                  <c:v>50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49.8575</c:v>
                </c:pt>
                <c:pt idx="276">
                  <c:v>49.815</c:v>
                </c:pt>
                <c:pt idx="277">
                  <c:v>49.665</c:v>
                </c:pt>
                <c:pt idx="278">
                  <c:v>49.58</c:v>
                </c:pt>
                <c:pt idx="279">
                  <c:v>49.5</c:v>
                </c:pt>
                <c:pt idx="280">
                  <c:v>49.5</c:v>
                </c:pt>
                <c:pt idx="281">
                  <c:v>49.5</c:v>
                </c:pt>
                <c:pt idx="282">
                  <c:v>49.5</c:v>
                </c:pt>
                <c:pt idx="283">
                  <c:v>49.44</c:v>
                </c:pt>
                <c:pt idx="284">
                  <c:v>48.88</c:v>
                </c:pt>
                <c:pt idx="285">
                  <c:v>48.825</c:v>
                </c:pt>
                <c:pt idx="286">
                  <c:v>48.8</c:v>
                </c:pt>
                <c:pt idx="287">
                  <c:v>48.36</c:v>
                </c:pt>
                <c:pt idx="288">
                  <c:v>48.36</c:v>
                </c:pt>
                <c:pt idx="289">
                  <c:v>48</c:v>
                </c:pt>
                <c:pt idx="290">
                  <c:v>48</c:v>
                </c:pt>
                <c:pt idx="291">
                  <c:v>47.971</c:v>
                </c:pt>
                <c:pt idx="292">
                  <c:v>47.85</c:v>
                </c:pt>
                <c:pt idx="293">
                  <c:v>47.815</c:v>
                </c:pt>
                <c:pt idx="294">
                  <c:v>47.6</c:v>
                </c:pt>
                <c:pt idx="295">
                  <c:v>47.304</c:v>
                </c:pt>
                <c:pt idx="296">
                  <c:v>47.3</c:v>
                </c:pt>
                <c:pt idx="297">
                  <c:v>47.3</c:v>
                </c:pt>
                <c:pt idx="298">
                  <c:v>47</c:v>
                </c:pt>
                <c:pt idx="299">
                  <c:v>47</c:v>
                </c:pt>
                <c:pt idx="300">
                  <c:v>46.98</c:v>
                </c:pt>
                <c:pt idx="301">
                  <c:v>46.75</c:v>
                </c:pt>
                <c:pt idx="302">
                  <c:v>46.4</c:v>
                </c:pt>
                <c:pt idx="303">
                  <c:v>46.2</c:v>
                </c:pt>
                <c:pt idx="304">
                  <c:v>46.2</c:v>
                </c:pt>
                <c:pt idx="305">
                  <c:v>46.17</c:v>
                </c:pt>
                <c:pt idx="306">
                  <c:v>46.15</c:v>
                </c:pt>
                <c:pt idx="307">
                  <c:v>46.15</c:v>
                </c:pt>
                <c:pt idx="308">
                  <c:v>45.6</c:v>
                </c:pt>
                <c:pt idx="309">
                  <c:v>45.5</c:v>
                </c:pt>
                <c:pt idx="310">
                  <c:v>45.414</c:v>
                </c:pt>
                <c:pt idx="311">
                  <c:v>45</c:v>
                </c:pt>
                <c:pt idx="312">
                  <c:v>45</c:v>
                </c:pt>
                <c:pt idx="313">
                  <c:v>45</c:v>
                </c:pt>
                <c:pt idx="314">
                  <c:v>45</c:v>
                </c:pt>
                <c:pt idx="315">
                  <c:v>45</c:v>
                </c:pt>
                <c:pt idx="316">
                  <c:v>45</c:v>
                </c:pt>
                <c:pt idx="317">
                  <c:v>45</c:v>
                </c:pt>
                <c:pt idx="318">
                  <c:v>45</c:v>
                </c:pt>
                <c:pt idx="319">
                  <c:v>45</c:v>
                </c:pt>
                <c:pt idx="320">
                  <c:v>44.8</c:v>
                </c:pt>
                <c:pt idx="321">
                  <c:v>44.8</c:v>
                </c:pt>
                <c:pt idx="322">
                  <c:v>44.52</c:v>
                </c:pt>
                <c:pt idx="323">
                  <c:v>44.5</c:v>
                </c:pt>
                <c:pt idx="324">
                  <c:v>44.45</c:v>
                </c:pt>
                <c:pt idx="325">
                  <c:v>44.356</c:v>
                </c:pt>
                <c:pt idx="326">
                  <c:v>44.3144</c:v>
                </c:pt>
                <c:pt idx="327">
                  <c:v>44.03</c:v>
                </c:pt>
                <c:pt idx="328">
                  <c:v>44</c:v>
                </c:pt>
                <c:pt idx="329">
                  <c:v>44</c:v>
                </c:pt>
                <c:pt idx="330">
                  <c:v>44</c:v>
                </c:pt>
                <c:pt idx="331">
                  <c:v>44</c:v>
                </c:pt>
                <c:pt idx="332">
                  <c:v>43.86</c:v>
                </c:pt>
                <c:pt idx="333">
                  <c:v>43.8</c:v>
                </c:pt>
                <c:pt idx="334">
                  <c:v>43.55</c:v>
                </c:pt>
                <c:pt idx="335">
                  <c:v>43.5</c:v>
                </c:pt>
                <c:pt idx="336">
                  <c:v>43.2</c:v>
                </c:pt>
                <c:pt idx="337">
                  <c:v>43.2</c:v>
                </c:pt>
                <c:pt idx="338">
                  <c:v>42.9</c:v>
                </c:pt>
                <c:pt idx="339">
                  <c:v>42.9</c:v>
                </c:pt>
                <c:pt idx="340">
                  <c:v>42.9</c:v>
                </c:pt>
                <c:pt idx="341">
                  <c:v>42.7</c:v>
                </c:pt>
                <c:pt idx="342">
                  <c:v>42.68</c:v>
                </c:pt>
                <c:pt idx="343">
                  <c:v>42.625</c:v>
                </c:pt>
                <c:pt idx="344">
                  <c:v>42.625</c:v>
                </c:pt>
                <c:pt idx="345">
                  <c:v>42.25</c:v>
                </c:pt>
                <c:pt idx="346">
                  <c:v>42.231</c:v>
                </c:pt>
                <c:pt idx="347">
                  <c:v>42</c:v>
                </c:pt>
                <c:pt idx="348">
                  <c:v>42</c:v>
                </c:pt>
                <c:pt idx="349">
                  <c:v>42</c:v>
                </c:pt>
                <c:pt idx="350">
                  <c:v>42</c:v>
                </c:pt>
                <c:pt idx="351">
                  <c:v>42</c:v>
                </c:pt>
                <c:pt idx="352">
                  <c:v>42</c:v>
                </c:pt>
                <c:pt idx="353">
                  <c:v>42</c:v>
                </c:pt>
                <c:pt idx="354">
                  <c:v>42</c:v>
                </c:pt>
                <c:pt idx="355">
                  <c:v>42</c:v>
                </c:pt>
                <c:pt idx="356">
                  <c:v>42</c:v>
                </c:pt>
                <c:pt idx="357">
                  <c:v>42</c:v>
                </c:pt>
                <c:pt idx="358">
                  <c:v>42</c:v>
                </c:pt>
                <c:pt idx="359">
                  <c:v>42</c:v>
                </c:pt>
                <c:pt idx="360">
                  <c:v>42</c:v>
                </c:pt>
                <c:pt idx="361">
                  <c:v>42</c:v>
                </c:pt>
                <c:pt idx="362">
                  <c:v>42</c:v>
                </c:pt>
                <c:pt idx="363">
                  <c:v>42</c:v>
                </c:pt>
                <c:pt idx="364">
                  <c:v>42</c:v>
                </c:pt>
                <c:pt idx="365">
                  <c:v>42</c:v>
                </c:pt>
                <c:pt idx="366">
                  <c:v>42</c:v>
                </c:pt>
                <c:pt idx="367">
                  <c:v>42</c:v>
                </c:pt>
                <c:pt idx="368">
                  <c:v>42</c:v>
                </c:pt>
                <c:pt idx="369">
                  <c:v>42</c:v>
                </c:pt>
                <c:pt idx="370">
                  <c:v>42</c:v>
                </c:pt>
                <c:pt idx="371">
                  <c:v>42</c:v>
                </c:pt>
                <c:pt idx="372">
                  <c:v>42</c:v>
                </c:pt>
                <c:pt idx="373">
                  <c:v>42</c:v>
                </c:pt>
                <c:pt idx="374">
                  <c:v>42</c:v>
                </c:pt>
                <c:pt idx="375">
                  <c:v>41.85</c:v>
                </c:pt>
                <c:pt idx="376">
                  <c:v>41.8</c:v>
                </c:pt>
                <c:pt idx="377">
                  <c:v>41.6</c:v>
                </c:pt>
                <c:pt idx="378">
                  <c:v>41.6</c:v>
                </c:pt>
                <c:pt idx="379">
                  <c:v>41.6</c:v>
                </c:pt>
                <c:pt idx="380">
                  <c:v>41.6</c:v>
                </c:pt>
                <c:pt idx="381">
                  <c:v>41.5</c:v>
                </c:pt>
                <c:pt idx="382">
                  <c:v>41.48</c:v>
                </c:pt>
                <c:pt idx="383">
                  <c:v>41</c:v>
                </c:pt>
                <c:pt idx="384">
                  <c:v>41</c:v>
                </c:pt>
                <c:pt idx="385">
                  <c:v>41</c:v>
                </c:pt>
                <c:pt idx="386">
                  <c:v>41</c:v>
                </c:pt>
                <c:pt idx="387">
                  <c:v>41</c:v>
                </c:pt>
                <c:pt idx="388">
                  <c:v>40.964</c:v>
                </c:pt>
                <c:pt idx="389">
                  <c:v>40.95</c:v>
                </c:pt>
                <c:pt idx="390">
                  <c:v>40.95</c:v>
                </c:pt>
                <c:pt idx="391">
                  <c:v>40.92</c:v>
                </c:pt>
                <c:pt idx="392">
                  <c:v>40.9</c:v>
                </c:pt>
                <c:pt idx="393">
                  <c:v>40.9</c:v>
                </c:pt>
                <c:pt idx="394">
                  <c:v>40.8</c:v>
                </c:pt>
                <c:pt idx="395">
                  <c:v>40.8</c:v>
                </c:pt>
                <c:pt idx="396">
                  <c:v>40.8</c:v>
                </c:pt>
                <c:pt idx="397">
                  <c:v>40.8</c:v>
                </c:pt>
                <c:pt idx="398">
                  <c:v>40.7</c:v>
                </c:pt>
                <c:pt idx="399">
                  <c:v>40.6</c:v>
                </c:pt>
              </c:numCache>
            </c:numRef>
          </c:yVal>
        </c:ser>
        <c:axId val="50120001"/>
        <c:axId val="50120002"/>
      </c:scatterChart>
      <c:valAx>
        <c:axId val="50120001"/>
        <c:scaling>
          <c:orientation val="minMax"/>
          <c:min val="0"/>
        </c:scaling>
        <c:axPos val="b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Monthly intensity / duration (days)</a:t>
                </a:r>
              </a:p>
            </c:rich>
          </c:tx>
          <c:layout/>
        </c:title>
        <c:numFmt formatCode="General" sourceLinked="1"/>
        <c:tickLblPos val="nextTo"/>
        <c:crossAx val="50120002"/>
        <c:crosses val="autoZero"/>
        <c:crossBetween val="midCat"/>
      </c:valAx>
      <c:valAx>
        <c:axId val="5012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Capacity offline (kbd)</a:t>
                </a:r>
              </a:p>
            </c:rich>
          </c:tx>
          <c:layout/>
        </c:title>
        <c:numFmt formatCode="General" sourceLinked="1"/>
        <c:tickLblPos val="nextTo"/>
        <c:crossAx val="50120001"/>
        <c:crosses val="autoZero"/>
        <c:crossBetween val="midCat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2027 Scenario vs Planned vs Recent Actual Unplanned (kbd)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'Scenario 2027'!$B$33</c:f>
              <c:strCache>
                <c:ptCount val="1"/>
                <c:pt idx="0">
                  <c:v>2027 Scenario (unplanned)</c:v>
                </c:pt>
              </c:strCache>
            </c:strRef>
          </c:tx>
          <c:spPr>
            <a:ln w="381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strRef>
              <c:f>'Scenario 2027'!$C$32:$N$32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'Scenario 2027'!$C$33:$N$33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'Scenario 2027'!$B$34</c:f>
              <c:strCache>
                <c:ptCount val="1"/>
                <c:pt idx="0">
                  <c:v>2027 Planned</c:v>
                </c:pt>
              </c:strCache>
            </c:strRef>
          </c:tx>
          <c:spPr>
            <a:ln w="25400">
              <a:solidFill>
                <a:srgbClr val="BF9000"/>
              </a:solidFill>
              <a:prstDash val="dash"/>
            </a:ln>
          </c:spPr>
          <c:marker>
            <c:symbol val="none"/>
          </c:marker>
          <c:cat>
            <c:strRef>
              <c:f>'Scenario 2027'!$C$32:$N$32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'Scenario 2027'!$C$34:$N$34</c:f>
              <c:numCache>
                <c:formatCode>General</c:formatCode>
                <c:ptCount val="12"/>
                <c:pt idx="0">
                  <c:v>1088.333</c:v>
                </c:pt>
                <c:pt idx="1">
                  <c:v>2092.4001</c:v>
                </c:pt>
                <c:pt idx="2">
                  <c:v>2910.1523</c:v>
                </c:pt>
                <c:pt idx="3">
                  <c:v>2004.0124</c:v>
                </c:pt>
                <c:pt idx="4">
                  <c:v>901.152</c:v>
                </c:pt>
                <c:pt idx="5">
                  <c:v>215.305</c:v>
                </c:pt>
                <c:pt idx="6">
                  <c:v>167.5</c:v>
                </c:pt>
                <c:pt idx="7">
                  <c:v>51.06</c:v>
                </c:pt>
                <c:pt idx="8">
                  <c:v>2986.8719</c:v>
                </c:pt>
                <c:pt idx="9">
                  <c:v>2955.9469</c:v>
                </c:pt>
                <c:pt idx="10">
                  <c:v>546.936</c:v>
                </c:pt>
                <c:pt idx="11">
                  <c:v>3.5</c:v>
                </c:pt>
              </c:numCache>
            </c:numRef>
          </c:val>
        </c:ser>
        <c:ser>
          <c:idx val="2"/>
          <c:order val="2"/>
          <c:tx>
            <c:strRef>
              <c:f>'Scenario 2027'!$B$35</c:f>
              <c:strCache>
                <c:ptCount val="1"/>
                <c:pt idx="0">
                  <c:v>2025 Unplanned (actual)</c:v>
                </c:pt>
              </c:strCache>
            </c:strRef>
          </c:tx>
          <c:spPr>
            <a:ln w="19050">
              <a:solidFill>
                <a:srgbClr val="2E5496"/>
              </a:solidFill>
              <a:prstDash val="solid"/>
            </a:ln>
          </c:spPr>
          <c:marker>
            <c:symbol val="none"/>
          </c:marker>
          <c:cat>
            <c:strRef>
              <c:f>'Scenario 2027'!$C$32:$N$32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'Scenario 2027'!$C$35:$N$35</c:f>
              <c:numCache>
                <c:formatCode>General</c:formatCode>
                <c:ptCount val="12"/>
                <c:pt idx="0">
                  <c:v>1400.9949</c:v>
                </c:pt>
                <c:pt idx="1">
                  <c:v>2023.3805</c:v>
                </c:pt>
                <c:pt idx="2">
                  <c:v>2228.4465</c:v>
                </c:pt>
                <c:pt idx="3">
                  <c:v>2621.2351</c:v>
                </c:pt>
                <c:pt idx="4">
                  <c:v>1753.1826</c:v>
                </c:pt>
                <c:pt idx="5">
                  <c:v>1169.5851</c:v>
                </c:pt>
                <c:pt idx="6">
                  <c:v>939.4538</c:v>
                </c:pt>
                <c:pt idx="7">
                  <c:v>979.7175</c:v>
                </c:pt>
                <c:pt idx="8">
                  <c:v>1487.0255</c:v>
                </c:pt>
                <c:pt idx="9">
                  <c:v>2468.751</c:v>
                </c:pt>
                <c:pt idx="10">
                  <c:v>1324.048</c:v>
                </c:pt>
                <c:pt idx="11">
                  <c:v>861.7330000000001</c:v>
                </c:pt>
              </c:numCache>
            </c:numRef>
          </c:val>
        </c:ser>
        <c:ser>
          <c:idx val="3"/>
          <c:order val="3"/>
          <c:tx>
            <c:strRef>
              <c:f>'Scenario 2027'!$B$36</c:f>
              <c:strCache>
                <c:ptCount val="1"/>
                <c:pt idx="0">
                  <c:v>2024 Unplanned (actual)</c:v>
                </c:pt>
              </c:strCache>
            </c:strRef>
          </c:tx>
          <c:spPr>
            <a:ln w="19050">
              <a:solidFill>
                <a:srgbClr val="808080"/>
              </a:solidFill>
              <a:prstDash val="solid"/>
            </a:ln>
          </c:spPr>
          <c:marker>
            <c:symbol val="none"/>
          </c:marker>
          <c:cat>
            <c:strRef>
              <c:f>'Scenario 2027'!$C$32:$N$32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'Scenario 2027'!$C$36:$N$36</c:f>
              <c:numCache>
                <c:formatCode>General</c:formatCode>
                <c:ptCount val="12"/>
                <c:pt idx="0">
                  <c:v>2433.6238</c:v>
                </c:pt>
                <c:pt idx="1">
                  <c:v>5025.1422</c:v>
                </c:pt>
                <c:pt idx="2">
                  <c:v>2051.1556</c:v>
                </c:pt>
                <c:pt idx="3">
                  <c:v>1881.5364</c:v>
                </c:pt>
                <c:pt idx="4">
                  <c:v>940.6905</c:v>
                </c:pt>
                <c:pt idx="5">
                  <c:v>1023.714</c:v>
                </c:pt>
                <c:pt idx="6">
                  <c:v>1472.8685</c:v>
                </c:pt>
                <c:pt idx="7">
                  <c:v>1211.9996</c:v>
                </c:pt>
                <c:pt idx="8">
                  <c:v>1844.9944</c:v>
                </c:pt>
                <c:pt idx="9">
                  <c:v>1940.158</c:v>
                </c:pt>
                <c:pt idx="10">
                  <c:v>1047.007</c:v>
                </c:pt>
                <c:pt idx="11">
                  <c:v>709.6768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kbd</a:t>
                </a:r>
              </a:p>
            </c:rich>
          </c:tx>
          <c:layout/>
        </c:title>
        <c:numFmt formatCode="General" sourceLinked="1"/>
        <c:tickLblPos val="nextTo"/>
        <c:crossAx val="501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Tornado - Swing in 2027 Unplanned (kbd vs base)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Downside</c:v>
          </c:tx>
          <c:spPr>
            <a:solidFill>
              <a:srgbClr val="2E5496"/>
            </a:solidFill>
          </c:spPr>
          <c:cat>
            <c:strRef>
              <c:f>Sensitivity!$B$19:$B$22</c:f>
              <c:strCache>
                <c:ptCount val="4"/>
                <c:pt idx="0">
                  <c:v>Unplanned rate multiplier (0.7x / 1.3x)</c:v>
                </c:pt>
                <c:pt idx="1">
                  <c:v>Baseline window swing (+/-15%)</c:v>
                </c:pt>
                <c:pt idx="2">
                  <c:v>Production growth (-10% / +10%)</c:v>
                </c:pt>
                <c:pt idx="3">
                  <c:v>One-off event (+300 kbd)</c:v>
                </c:pt>
              </c:strCache>
            </c:strRef>
          </c:cat>
          <c:val>
            <c:numRef>
              <c:f>Sensitivity!$F$19:$F$22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v>Upside</c:v>
          </c:tx>
          <c:spPr>
            <a:solidFill>
              <a:srgbClr val="ED7D31"/>
            </a:solidFill>
          </c:spPr>
          <c:cat>
            <c:strRef>
              <c:f>Sensitivity!$B$19:$B$22</c:f>
              <c:strCache>
                <c:ptCount val="4"/>
                <c:pt idx="0">
                  <c:v>Unplanned rate multiplier (0.7x / 1.3x)</c:v>
                </c:pt>
                <c:pt idx="1">
                  <c:v>Baseline window swing (+/-15%)</c:v>
                </c:pt>
                <c:pt idx="2">
                  <c:v>Production growth (-10% / +10%)</c:v>
                </c:pt>
                <c:pt idx="3">
                  <c:v>One-off event (+300 kbd)</c:v>
                </c:pt>
              </c:strCache>
            </c:strRef>
          </c:cat>
          <c:val>
            <c:numRef>
              <c:f>Sensitivity!$G$19:$G$22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overlap val="100"/>
        <c:axId val="50140001"/>
        <c:axId val="50140002"/>
      </c:barChart>
      <c:catAx>
        <c:axId val="50140001"/>
        <c:scaling>
          <c:orientation val="minMax"/>
        </c:scaling>
        <c:axPos val="l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kbd vs base case</a:t>
                </a:r>
              </a:p>
            </c:rich>
          </c:tx>
          <c:layout/>
        </c:title>
        <c:numFmt formatCode="General" sourceLinked="1"/>
        <c:tickLblPos val="nextTo"/>
        <c:crossAx val="5014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Mogas-Equivalent Offline (kbd)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Planned</c:v>
          </c:tx>
          <c:spPr>
            <a:solidFill>
              <a:srgbClr val="1F3864"/>
            </a:solidFill>
          </c:spPr>
          <c:cat>
            <c:numRef>
              <c:f>'Mogas Overlay'!$B$18:$B$29</c:f>
              <c:numCache>
                <c:formatCode>General</c:formatCode>
                <c:ptCount val="12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</c:numCache>
            </c:numRef>
          </c:cat>
          <c:val>
            <c:numRef>
              <c:f>'Mogas Overlay'!$C$18:$C$29</c:f>
              <c:numCache>
                <c:formatCode>General</c:formatCode>
                <c:ptCount val="12"/>
                <c:pt idx="0">
                  <c:v>4238.876805</c:v>
                </c:pt>
                <c:pt idx="1">
                  <c:v>4222.0921375</c:v>
                </c:pt>
                <c:pt idx="2">
                  <c:v>4733.922434999999</c:v>
                </c:pt>
                <c:pt idx="3">
                  <c:v>5354.9320875</c:v>
                </c:pt>
                <c:pt idx="4">
                  <c:v>6404.1064625</c:v>
                </c:pt>
                <c:pt idx="5">
                  <c:v>6499.106255</c:v>
                </c:pt>
                <c:pt idx="6">
                  <c:v>5682.3477375</c:v>
                </c:pt>
                <c:pt idx="7">
                  <c:v>5999.8846225</c:v>
                </c:pt>
                <c:pt idx="8">
                  <c:v>4916.37182</c:v>
                </c:pt>
                <c:pt idx="9">
                  <c:v>4228.280385</c:v>
                </c:pt>
                <c:pt idx="10">
                  <c:v>2585.9664675</c:v>
                </c:pt>
                <c:pt idx="11">
                  <c:v>3507.6762475</c:v>
                </c:pt>
              </c:numCache>
            </c:numRef>
          </c:val>
        </c:ser>
        <c:ser>
          <c:idx val="1"/>
          <c:order val="1"/>
          <c:tx>
            <c:v>Unplanned</c:v>
          </c:tx>
          <c:spPr>
            <a:solidFill>
              <a:srgbClr val="548235"/>
            </a:solidFill>
          </c:spPr>
          <c:cat>
            <c:numRef>
              <c:f>'Mogas Overlay'!$B$18:$B$29</c:f>
              <c:numCache>
                <c:formatCode>General</c:formatCode>
                <c:ptCount val="12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</c:numCache>
            </c:numRef>
          </c:cat>
          <c:val>
            <c:numRef>
              <c:f>'Mogas Overlay'!$D$18:$D$29</c:f>
              <c:numCache>
                <c:formatCode>General</c:formatCode>
                <c:ptCount val="12"/>
                <c:pt idx="0">
                  <c:v>2843.4441975</c:v>
                </c:pt>
                <c:pt idx="1">
                  <c:v>4400.7561725</c:v>
                </c:pt>
                <c:pt idx="2">
                  <c:v>2804.2227625</c:v>
                </c:pt>
                <c:pt idx="3">
                  <c:v>4765.7607075</c:v>
                </c:pt>
                <c:pt idx="4">
                  <c:v>28239.093225</c:v>
                </c:pt>
                <c:pt idx="5">
                  <c:v>15875.9128175</c:v>
                </c:pt>
                <c:pt idx="6">
                  <c:v>5520.3298425</c:v>
                </c:pt>
                <c:pt idx="7">
                  <c:v>5903.8741425</c:v>
                </c:pt>
                <c:pt idx="8">
                  <c:v>5721.66524</c:v>
                </c:pt>
                <c:pt idx="9">
                  <c:v>4216.2302825</c:v>
                </c:pt>
                <c:pt idx="10">
                  <c:v>2136.9807025</c:v>
                </c:pt>
                <c:pt idx="11">
                  <c:v>0</c:v>
                </c:pt>
              </c:numCache>
            </c:numRef>
          </c:val>
        </c:ser>
        <c:overlap val="100"/>
        <c:axId val="50150001"/>
        <c:axId val="50150002"/>
      </c:barChart>
      <c:catAx>
        <c:axId val="50150001"/>
        <c:scaling>
          <c:orientation val="minMax"/>
        </c:scaling>
        <c:axPos val="b"/>
        <c:numFmt formatCode="General" sourceLinked="1"/>
        <c:tickLblPos val="nextTo"/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kbd (mogas-eq)</a:t>
                </a:r>
              </a:p>
            </c:rich>
          </c:tx>
          <c:layout/>
        </c:title>
        <c:numFmt formatCode="General" sourceLinked="1"/>
        <c:tickLblPos val="nextTo"/>
        <c:crossAx val="5015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5" Type="http://schemas.openxmlformats.org/officeDocument/2006/relationships/chart" Target="../charts/chart9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647700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8</xdr:row>
      <xdr:rowOff>0</xdr:rowOff>
    </xdr:from>
    <xdr:to>
      <xdr:col>14</xdr:col>
      <xdr:colOff>38100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24</xdr:row>
      <xdr:rowOff>0</xdr:rowOff>
    </xdr:from>
    <xdr:to>
      <xdr:col>5</xdr:col>
      <xdr:colOff>495300</xdr:colOff>
      <xdr:row>39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44</xdr:row>
      <xdr:rowOff>0</xdr:rowOff>
    </xdr:from>
    <xdr:to>
      <xdr:col>14</xdr:col>
      <xdr:colOff>600075</xdr:colOff>
      <xdr:row>60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7</xdr:row>
      <xdr:rowOff>0</xdr:rowOff>
    </xdr:from>
    <xdr:to>
      <xdr:col>26</xdr:col>
      <xdr:colOff>533400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29</xdr:row>
      <xdr:rowOff>0</xdr:rowOff>
    </xdr:from>
    <xdr:to>
      <xdr:col>26</xdr:col>
      <xdr:colOff>533400</xdr:colOff>
      <xdr:row>47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51</xdr:row>
      <xdr:rowOff>0</xdr:rowOff>
    </xdr:from>
    <xdr:to>
      <xdr:col>26</xdr:col>
      <xdr:colOff>533400</xdr:colOff>
      <xdr:row>69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73</xdr:row>
      <xdr:rowOff>0</xdr:rowOff>
    </xdr:from>
    <xdr:to>
      <xdr:col>26</xdr:col>
      <xdr:colOff>533400</xdr:colOff>
      <xdr:row>91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0</xdr:colOff>
      <xdr:row>95</xdr:row>
      <xdr:rowOff>0</xdr:rowOff>
    </xdr:from>
    <xdr:to>
      <xdr:col>26</xdr:col>
      <xdr:colOff>533400</xdr:colOff>
      <xdr:row>113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32</xdr:row>
      <xdr:rowOff>0</xdr:rowOff>
    </xdr:from>
    <xdr:to>
      <xdr:col>12</xdr:col>
      <xdr:colOff>485775</xdr:colOff>
      <xdr:row>48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7</xdr:row>
      <xdr:rowOff>0</xdr:rowOff>
    </xdr:from>
    <xdr:to>
      <xdr:col>20</xdr:col>
      <xdr:colOff>457200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40</xdr:row>
      <xdr:rowOff>0</xdr:rowOff>
    </xdr:from>
    <xdr:to>
      <xdr:col>11</xdr:col>
      <xdr:colOff>381000</xdr:colOff>
      <xdr:row>58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37</xdr:row>
      <xdr:rowOff>0</xdr:rowOff>
    </xdr:from>
    <xdr:to>
      <xdr:col>11</xdr:col>
      <xdr:colOff>200025</xdr:colOff>
      <xdr:row>53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18</xdr:row>
      <xdr:rowOff>0</xdr:rowOff>
    </xdr:from>
    <xdr:to>
      <xdr:col>18</xdr:col>
      <xdr:colOff>247650</xdr:colOff>
      <xdr:row>34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17</xdr:row>
      <xdr:rowOff>0</xdr:rowOff>
    </xdr:from>
    <xdr:to>
      <xdr:col>13</xdr:col>
      <xdr:colOff>161925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3864"/>
  </sheetPr>
  <dimension ref="A2:H30"/>
  <sheetViews>
    <sheetView showGridLines="0" tabSelected="1" workbookViewId="0"/>
  </sheetViews>
  <sheetFormatPr defaultRowHeight="15"/>
  <cols>
    <col min="1" max="1" width="2.7109375" customWidth="1"/>
    <col min="2" max="2" width="32.7109375" customWidth="1"/>
    <col min="3" max="8" width="13.7109375" customWidth="1"/>
  </cols>
  <sheetData>
    <row r="2" spans="2:8" ht="8" customHeight="1"/>
    <row r="3" spans="2:8">
      <c r="B3" s="1" t="s">
        <v>0</v>
      </c>
      <c r="C3" s="1"/>
      <c r="D3" s="1"/>
      <c r="E3" s="1"/>
      <c r="F3" s="1"/>
      <c r="G3" s="1"/>
      <c r="H3" s="1"/>
    </row>
    <row r="4" spans="2:8">
      <c r="B4" s="2" t="s">
        <v>1</v>
      </c>
      <c r="C4" s="2"/>
      <c r="D4" s="2"/>
      <c r="E4" s="2"/>
      <c r="F4" s="2"/>
      <c r="G4" s="2"/>
      <c r="H4" s="2"/>
    </row>
    <row r="7" spans="2:8">
      <c r="B7" s="3" t="s">
        <v>2</v>
      </c>
      <c r="C7" s="4" t="s">
        <v>3</v>
      </c>
      <c r="D7" s="4"/>
      <c r="E7" s="4"/>
      <c r="F7" s="4"/>
      <c r="G7" s="4"/>
      <c r="H7" s="4"/>
    </row>
    <row r="8" spans="2:8">
      <c r="B8" s="3" t="s">
        <v>4</v>
      </c>
      <c r="C8" s="4" t="s">
        <v>5</v>
      </c>
      <c r="D8" s="4"/>
      <c r="E8" s="4"/>
      <c r="F8" s="4"/>
      <c r="G8" s="4"/>
      <c r="H8" s="4"/>
    </row>
    <row r="9" spans="2:8">
      <c r="B9" s="3" t="s">
        <v>6</v>
      </c>
      <c r="C9" s="4" t="s">
        <v>7</v>
      </c>
      <c r="D9" s="4"/>
      <c r="E9" s="4"/>
      <c r="F9" s="4"/>
      <c r="G9" s="4"/>
      <c r="H9" s="4"/>
    </row>
    <row r="10" spans="2:8">
      <c r="B10" s="3" t="s">
        <v>8</v>
      </c>
      <c r="C10" s="4" t="s">
        <v>9</v>
      </c>
      <c r="D10" s="4"/>
      <c r="E10" s="4"/>
      <c r="F10" s="4"/>
      <c r="G10" s="4"/>
      <c r="H10" s="4"/>
    </row>
    <row r="11" spans="2:8">
      <c r="B11" s="3" t="s">
        <v>10</v>
      </c>
      <c r="C11" s="4" t="s">
        <v>11</v>
      </c>
      <c r="D11" s="4"/>
      <c r="E11" s="4"/>
      <c r="F11" s="4"/>
      <c r="G11" s="4"/>
      <c r="H11" s="4"/>
    </row>
    <row r="13" spans="2:8" ht="20" customHeight="1">
      <c r="B13" s="5" t="s">
        <v>12</v>
      </c>
      <c r="C13" s="5"/>
      <c r="D13" s="5"/>
      <c r="E13" s="5"/>
      <c r="F13" s="5"/>
      <c r="G13" s="5"/>
      <c r="H13" s="5"/>
    </row>
    <row r="14" spans="2:8" ht="26" customHeight="1">
      <c r="B14" s="6" t="s">
        <v>13</v>
      </c>
      <c r="C14" s="6"/>
      <c r="D14" s="6"/>
      <c r="E14" s="6"/>
      <c r="F14" s="6"/>
      <c r="G14" s="6"/>
      <c r="H14" s="6"/>
    </row>
    <row r="15" spans="2:8" ht="26" customHeight="1">
      <c r="B15" s="6" t="s">
        <v>14</v>
      </c>
      <c r="C15" s="6"/>
      <c r="D15" s="6"/>
      <c r="E15" s="6"/>
      <c r="F15" s="6"/>
      <c r="G15" s="6"/>
      <c r="H15" s="6"/>
    </row>
    <row r="16" spans="2:8" ht="26" customHeight="1">
      <c r="B16" s="6" t="s">
        <v>15</v>
      </c>
      <c r="C16" s="6"/>
      <c r="D16" s="6"/>
      <c r="E16" s="6"/>
      <c r="F16" s="6"/>
      <c r="G16" s="6"/>
      <c r="H16" s="6"/>
    </row>
    <row r="17" spans="2:8" ht="26" customHeight="1">
      <c r="B17" s="6" t="s">
        <v>16</v>
      </c>
      <c r="C17" s="6"/>
      <c r="D17" s="6"/>
      <c r="E17" s="6"/>
      <c r="F17" s="6"/>
      <c r="G17" s="6"/>
      <c r="H17" s="6"/>
    </row>
    <row r="19" spans="2:8" ht="20" customHeight="1">
      <c r="B19" s="7" t="s">
        <v>17</v>
      </c>
      <c r="C19" s="7"/>
      <c r="D19" s="7"/>
      <c r="E19" s="7"/>
      <c r="F19" s="7"/>
      <c r="G19" s="7"/>
      <c r="H19" s="7"/>
    </row>
    <row r="20" spans="2:8">
      <c r="B20" s="8" t="s">
        <v>18</v>
      </c>
      <c r="C20" s="4" t="s">
        <v>19</v>
      </c>
      <c r="D20" s="4"/>
      <c r="E20" s="4"/>
      <c r="F20" s="4"/>
      <c r="G20" s="4"/>
      <c r="H20" s="4"/>
    </row>
    <row r="21" spans="2:8">
      <c r="B21" s="8" t="s">
        <v>20</v>
      </c>
      <c r="C21" s="4" t="s">
        <v>21</v>
      </c>
      <c r="D21" s="4"/>
      <c r="E21" s="4"/>
      <c r="F21" s="4"/>
      <c r="G21" s="4"/>
      <c r="H21" s="4"/>
    </row>
    <row r="22" spans="2:8">
      <c r="B22" s="8" t="s">
        <v>22</v>
      </c>
      <c r="C22" s="4" t="s">
        <v>23</v>
      </c>
      <c r="D22" s="4"/>
      <c r="E22" s="4"/>
      <c r="F22" s="4"/>
      <c r="G22" s="4"/>
      <c r="H22" s="4"/>
    </row>
    <row r="23" spans="2:8">
      <c r="B23" s="8" t="s">
        <v>24</v>
      </c>
      <c r="C23" s="4" t="s">
        <v>25</v>
      </c>
      <c r="D23" s="4"/>
      <c r="E23" s="4"/>
      <c r="F23" s="4"/>
      <c r="G23" s="4"/>
      <c r="H23" s="4"/>
    </row>
    <row r="24" spans="2:8">
      <c r="B24" s="8" t="s">
        <v>26</v>
      </c>
      <c r="C24" s="4" t="s">
        <v>27</v>
      </c>
      <c r="D24" s="4"/>
      <c r="E24" s="4"/>
      <c r="F24" s="4"/>
      <c r="G24" s="4"/>
      <c r="H24" s="4"/>
    </row>
    <row r="25" spans="2:8">
      <c r="B25" s="8" t="s">
        <v>28</v>
      </c>
      <c r="C25" s="4" t="s">
        <v>29</v>
      </c>
      <c r="D25" s="4"/>
      <c r="E25" s="4"/>
      <c r="F25" s="4"/>
      <c r="G25" s="4"/>
      <c r="H25" s="4"/>
    </row>
    <row r="26" spans="2:8">
      <c r="B26" s="8" t="s">
        <v>30</v>
      </c>
      <c r="C26" s="4" t="s">
        <v>31</v>
      </c>
      <c r="D26" s="4"/>
      <c r="E26" s="4"/>
      <c r="F26" s="4"/>
      <c r="G26" s="4"/>
      <c r="H26" s="4"/>
    </row>
    <row r="27" spans="2:8">
      <c r="B27" s="8" t="s">
        <v>32</v>
      </c>
      <c r="C27" s="4" t="s">
        <v>33</v>
      </c>
      <c r="D27" s="4"/>
      <c r="E27" s="4"/>
      <c r="F27" s="4"/>
      <c r="G27" s="4"/>
      <c r="H27" s="4"/>
    </row>
    <row r="28" spans="2:8">
      <c r="B28" s="8" t="s">
        <v>34</v>
      </c>
      <c r="C28" s="4" t="s">
        <v>35</v>
      </c>
      <c r="D28" s="4"/>
      <c r="E28" s="4"/>
      <c r="F28" s="4"/>
      <c r="G28" s="4"/>
      <c r="H28" s="4"/>
    </row>
    <row r="29" spans="2:8">
      <c r="B29" s="8" t="s">
        <v>36</v>
      </c>
      <c r="C29" s="4" t="s">
        <v>37</v>
      </c>
      <c r="D29" s="4"/>
      <c r="E29" s="4"/>
      <c r="F29" s="4"/>
      <c r="G29" s="4"/>
      <c r="H29" s="4"/>
    </row>
    <row r="30" spans="2:8">
      <c r="B30" s="8" t="s">
        <v>38</v>
      </c>
      <c r="C30" s="4" t="s">
        <v>39</v>
      </c>
      <c r="D30" s="4"/>
      <c r="E30" s="4"/>
      <c r="F30" s="4"/>
      <c r="G30" s="4"/>
      <c r="H30" s="4"/>
    </row>
  </sheetData>
  <mergeCells count="24">
    <mergeCell ref="B3:H3"/>
    <mergeCell ref="B4:H4"/>
    <mergeCell ref="C7:H7"/>
    <mergeCell ref="C8:H8"/>
    <mergeCell ref="C9:H9"/>
    <mergeCell ref="C10:H10"/>
    <mergeCell ref="C11:H11"/>
    <mergeCell ref="B13:H13"/>
    <mergeCell ref="B14:H14"/>
    <mergeCell ref="B15:H15"/>
    <mergeCell ref="B16:H16"/>
    <mergeCell ref="B17:H17"/>
    <mergeCell ref="B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</mergeCells>
  <hyperlinks>
    <hyperlink ref="B20" location="'Dashboard'!A1" display="Dashboard"/>
    <hyperlink ref="B21" location="'Summary'!A1" display="Summary"/>
    <hyperlink ref="B22" location="'Monthly'!A1" display="Monthly"/>
    <hyperlink ref="B23" location="'PADD Charts'!A1" display="PADD Charts"/>
    <hyperlink ref="B24" location="'PADD Detail'!A1" display="PADD Detail"/>
    <hyperlink ref="B25" location="'Units'!A1" display="Units"/>
    <hyperlink ref="B26" location="'Refinery Detail'!A1" display="Refinery Detail"/>
    <hyperlink ref="B27" location="'Scenario 2027'!A1" display="Scenario 2027"/>
    <hyperlink ref="B28" location="'Sensitivity'!A1" display="Sensitivity"/>
    <hyperlink ref="B29" location="'Mogas Overlay'!A1" display="Mogas Overlay"/>
    <hyperlink ref="B30" location="'Notes'!A1" display="Notes"/>
  </hyperlinks>
  <pageMargins left="0.3" right="0.3" top="0.4" bottom="0.4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00000"/>
    <pageSetUpPr fitToPage="1"/>
  </sheetPr>
  <dimension ref="B2:M66"/>
  <sheetViews>
    <sheetView showGridLines="0" workbookViewId="0">
      <pane ySplit="8" topLeftCell="A9" activePane="bottomLeft" state="frozen"/>
      <selection pane="bottomLeft"/>
    </sheetView>
  </sheetViews>
  <sheetFormatPr defaultRowHeight="15"/>
  <cols>
    <col min="1" max="1" width="2.7109375" customWidth="1"/>
    <col min="2" max="13" width="11.7109375" customWidth="1"/>
  </cols>
  <sheetData>
    <row r="2" spans="2:13">
      <c r="B2" s="1" t="s">
        <v>40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2:13">
      <c r="B3" s="2" t="s">
        <v>41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spans="2:13">
      <c r="B5" s="9" t="s">
        <v>42</v>
      </c>
      <c r="C5" s="9"/>
      <c r="D5" s="9" t="s">
        <v>44</v>
      </c>
      <c r="E5" s="9"/>
      <c r="F5" s="9" t="s">
        <v>45</v>
      </c>
      <c r="G5" s="9"/>
      <c r="H5" s="9" t="s">
        <v>47</v>
      </c>
      <c r="I5" s="9"/>
      <c r="J5" s="9" t="s">
        <v>48</v>
      </c>
      <c r="K5" s="9"/>
    </row>
    <row r="6" spans="2:13" ht="26" customHeight="1">
      <c r="B6" s="10">
        <v>38674.0736</v>
      </c>
      <c r="C6" s="10"/>
      <c r="D6" s="10">
        <v>19257.5535</v>
      </c>
      <c r="E6" s="10"/>
      <c r="F6" s="11">
        <v>0.4979447911067738</v>
      </c>
      <c r="G6" s="11"/>
      <c r="H6" s="10">
        <v>1213</v>
      </c>
      <c r="I6" s="10"/>
      <c r="J6" s="12" t="s">
        <v>49</v>
      </c>
      <c r="K6" s="12"/>
    </row>
    <row r="7" spans="2:13" ht="12" customHeight="1">
      <c r="B7" s="10"/>
      <c r="C7" s="10"/>
      <c r="D7" s="10"/>
      <c r="E7" s="10"/>
      <c r="F7" s="11"/>
      <c r="G7" s="11"/>
      <c r="H7" s="10"/>
      <c r="I7" s="10"/>
      <c r="J7" s="12"/>
      <c r="K7" s="12"/>
    </row>
    <row r="8" spans="2:13">
      <c r="B8" s="13" t="s">
        <v>43</v>
      </c>
      <c r="C8" s="13"/>
      <c r="D8" s="13" t="s">
        <v>43</v>
      </c>
      <c r="E8" s="13"/>
      <c r="F8" s="13" t="s">
        <v>46</v>
      </c>
      <c r="G8" s="13"/>
      <c r="H8" s="13" t="s">
        <v>43</v>
      </c>
      <c r="I8" s="13"/>
      <c r="J8" s="13" t="s">
        <v>50</v>
      </c>
      <c r="K8" s="13"/>
    </row>
    <row r="40" spans="2:4">
      <c r="B40" s="3" t="s">
        <v>51</v>
      </c>
    </row>
    <row r="41" spans="2:4">
      <c r="B41" s="14" t="s">
        <v>52</v>
      </c>
      <c r="C41" s="15" t="s">
        <v>53</v>
      </c>
      <c r="D41" s="15" t="s">
        <v>44</v>
      </c>
    </row>
    <row r="42" spans="2:4">
      <c r="B42" s="16">
        <v>2018</v>
      </c>
      <c r="C42" s="17">
        <v>20666.8937</v>
      </c>
      <c r="D42" s="17">
        <v>11368.5909</v>
      </c>
    </row>
    <row r="43" spans="2:4">
      <c r="B43" s="16">
        <v>2019</v>
      </c>
      <c r="C43" s="17">
        <v>24322.1946</v>
      </c>
      <c r="D43" s="17">
        <v>18335.4043</v>
      </c>
    </row>
    <row r="44" spans="2:4">
      <c r="B44" s="16">
        <v>2020</v>
      </c>
      <c r="C44" s="17">
        <v>25471.7365</v>
      </c>
      <c r="D44" s="17">
        <v>124780.2455</v>
      </c>
    </row>
    <row r="45" spans="2:4">
      <c r="B45" s="16">
        <v>2021</v>
      </c>
      <c r="C45" s="17">
        <v>25740.7337</v>
      </c>
      <c r="D45" s="17">
        <v>67571.4237</v>
      </c>
    </row>
    <row r="46" spans="2:4">
      <c r="B46" s="16">
        <v>2022</v>
      </c>
      <c r="C46" s="17">
        <v>24430.7107</v>
      </c>
      <c r="D46" s="17">
        <v>22628.5092</v>
      </c>
    </row>
    <row r="47" spans="2:4">
      <c r="B47" s="16">
        <v>2023</v>
      </c>
      <c r="C47" s="17">
        <v>26140.2458</v>
      </c>
      <c r="D47" s="17">
        <v>23692.1589</v>
      </c>
    </row>
    <row r="48" spans="2:4">
      <c r="B48" s="16">
        <v>2024</v>
      </c>
      <c r="C48" s="17">
        <v>20382.4957</v>
      </c>
      <c r="D48" s="17">
        <v>21582.5668</v>
      </c>
    </row>
    <row r="49" spans="2:6">
      <c r="B49" s="16">
        <v>2025</v>
      </c>
      <c r="C49" s="17">
        <v>19416.5201</v>
      </c>
      <c r="D49" s="17">
        <v>19257.5535</v>
      </c>
    </row>
    <row r="50" spans="2:6">
      <c r="B50" s="16">
        <v>2026</v>
      </c>
      <c r="C50" s="17">
        <v>12029.062</v>
      </c>
      <c r="D50" s="17">
        <v>8249.7958</v>
      </c>
    </row>
    <row r="51" spans="2:6">
      <c r="B51" s="16">
        <v>2027</v>
      </c>
      <c r="C51" s="17">
        <v>15923.1696</v>
      </c>
      <c r="D51" s="17">
        <v>0</v>
      </c>
    </row>
    <row r="53" spans="2:6">
      <c r="B53" s="3" t="s">
        <v>54</v>
      </c>
    </row>
    <row r="54" spans="2:6">
      <c r="B54" s="14" t="s">
        <v>55</v>
      </c>
      <c r="C54" s="16">
        <v>2022</v>
      </c>
      <c r="D54" s="16">
        <v>2023</v>
      </c>
      <c r="E54" s="16">
        <v>2024</v>
      </c>
      <c r="F54" s="16">
        <v>2025</v>
      </c>
    </row>
    <row r="55" spans="2:6">
      <c r="B55" s="18" t="s">
        <v>56</v>
      </c>
      <c r="C55" s="17">
        <v>838.49</v>
      </c>
      <c r="D55" s="17">
        <v>879.2184999999999</v>
      </c>
      <c r="E55" s="17">
        <v>758.0088</v>
      </c>
      <c r="F55" s="17">
        <v>1524.7432</v>
      </c>
    </row>
    <row r="56" spans="2:6">
      <c r="B56" s="18" t="s">
        <v>57</v>
      </c>
      <c r="C56" s="17">
        <v>6764.0168</v>
      </c>
      <c r="D56" s="17">
        <v>6640.3387</v>
      </c>
      <c r="E56" s="17">
        <v>5602.5239</v>
      </c>
      <c r="F56" s="17">
        <v>2837.6686</v>
      </c>
    </row>
    <row r="57" spans="2:6">
      <c r="B57" s="18" t="s">
        <v>58</v>
      </c>
      <c r="C57" s="17">
        <v>11315.8739</v>
      </c>
      <c r="D57" s="17">
        <v>11829.2618</v>
      </c>
      <c r="E57" s="17">
        <v>11810.3492</v>
      </c>
      <c r="F57" s="17">
        <v>6051.7432</v>
      </c>
    </row>
    <row r="58" spans="2:6">
      <c r="B58" s="18" t="s">
        <v>59</v>
      </c>
      <c r="C58" s="17">
        <v>693.9537</v>
      </c>
      <c r="D58" s="17">
        <v>1470.7124</v>
      </c>
      <c r="E58" s="17">
        <v>401.7754</v>
      </c>
      <c r="F58" s="17">
        <v>381.1887</v>
      </c>
    </row>
    <row r="59" spans="2:6">
      <c r="B59" s="18" t="s">
        <v>49</v>
      </c>
      <c r="C59" s="17">
        <v>3016.1748</v>
      </c>
      <c r="D59" s="17">
        <v>2872.6275</v>
      </c>
      <c r="E59" s="17">
        <v>3009.9095</v>
      </c>
      <c r="F59" s="17">
        <v>8462.209800000001</v>
      </c>
    </row>
    <row r="61" spans="2:6">
      <c r="B61" s="3" t="s">
        <v>60</v>
      </c>
    </row>
    <row r="62" spans="2:6">
      <c r="B62" s="18" t="s">
        <v>56</v>
      </c>
      <c r="C62" s="17">
        <v>1524.7432</v>
      </c>
    </row>
    <row r="63" spans="2:6">
      <c r="B63" s="18" t="s">
        <v>57</v>
      </c>
      <c r="C63" s="17">
        <v>2837.6686</v>
      </c>
    </row>
    <row r="64" spans="2:6">
      <c r="B64" s="18" t="s">
        <v>58</v>
      </c>
      <c r="C64" s="17">
        <v>6051.7432</v>
      </c>
    </row>
    <row r="65" spans="2:3">
      <c r="B65" s="18" t="s">
        <v>59</v>
      </c>
      <c r="C65" s="17">
        <v>381.1887</v>
      </c>
    </row>
    <row r="66" spans="2:3">
      <c r="B66" s="18" t="s">
        <v>49</v>
      </c>
      <c r="C66" s="17">
        <v>8462.209800000001</v>
      </c>
    </row>
  </sheetData>
  <mergeCells count="17">
    <mergeCell ref="B2:M2"/>
    <mergeCell ref="B3:M3"/>
    <mergeCell ref="B5:C5"/>
    <mergeCell ref="B6:C7"/>
    <mergeCell ref="B8:C8"/>
    <mergeCell ref="D5:E5"/>
    <mergeCell ref="D6:E7"/>
    <mergeCell ref="D8:E8"/>
    <mergeCell ref="F5:G5"/>
    <mergeCell ref="F6:G7"/>
    <mergeCell ref="F8:G8"/>
    <mergeCell ref="H5:I5"/>
    <mergeCell ref="H6:I7"/>
    <mergeCell ref="H8:I8"/>
    <mergeCell ref="J5:K5"/>
    <mergeCell ref="J6:K7"/>
    <mergeCell ref="J8:K8"/>
  </mergeCells>
  <pageMargins left="0.3" right="0.3" top="0.4" bottom="0.4" header="0.3" footer="0.3"/>
  <pageSetup paperSize="1"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E5496"/>
    <pageSetUpPr fitToPage="1"/>
  </sheetPr>
  <dimension ref="B2:I39"/>
  <sheetViews>
    <sheetView showGridLines="0" workbookViewId="0">
      <pane ySplit="7" topLeftCell="A8" activePane="bottomLeft" state="frozen"/>
      <selection pane="bottomLeft"/>
    </sheetView>
  </sheetViews>
  <sheetFormatPr defaultRowHeight="15"/>
  <cols>
    <col min="1" max="1" width="2.7109375" customWidth="1"/>
    <col min="2" max="2" width="10.7109375" customWidth="1"/>
    <col min="3" max="9" width="12.7109375" customWidth="1"/>
  </cols>
  <sheetData>
    <row r="2" spans="2:9">
      <c r="B2" s="1" t="s">
        <v>61</v>
      </c>
      <c r="C2" s="1"/>
      <c r="D2" s="1"/>
      <c r="E2" s="1"/>
      <c r="F2" s="1"/>
      <c r="G2" s="1"/>
      <c r="H2" s="1"/>
      <c r="I2" s="1"/>
    </row>
    <row r="3" spans="2:9">
      <c r="B3" s="2" t="s">
        <v>62</v>
      </c>
      <c r="C3" s="2"/>
      <c r="D3" s="2"/>
      <c r="E3" s="2"/>
      <c r="F3" s="2"/>
      <c r="G3" s="2"/>
      <c r="H3" s="2"/>
      <c r="I3" s="2"/>
    </row>
    <row r="6" spans="2:9" ht="20" customHeight="1">
      <c r="B6" s="7" t="s">
        <v>63</v>
      </c>
      <c r="C6" s="7"/>
      <c r="D6" s="7"/>
      <c r="E6" s="7"/>
      <c r="F6" s="7"/>
      <c r="G6" s="7"/>
      <c r="H6" s="7"/>
      <c r="I6" s="7"/>
    </row>
    <row r="7" spans="2:9">
      <c r="B7" s="14" t="s">
        <v>52</v>
      </c>
      <c r="C7" s="15" t="s">
        <v>53</v>
      </c>
      <c r="D7" s="15" t="s">
        <v>44</v>
      </c>
      <c r="E7" s="15" t="s">
        <v>64</v>
      </c>
      <c r="F7" s="15" t="s">
        <v>65</v>
      </c>
      <c r="G7" s="15" t="s">
        <v>66</v>
      </c>
      <c r="H7" s="15" t="s">
        <v>67</v>
      </c>
      <c r="I7" s="15" t="s">
        <v>68</v>
      </c>
    </row>
    <row r="8" spans="2:9">
      <c r="B8" s="16">
        <v>2016</v>
      </c>
      <c r="C8" s="17">
        <v>18970.5414</v>
      </c>
      <c r="D8" s="17">
        <v>10026.5576</v>
      </c>
      <c r="E8" s="17">
        <f>C8+D8</f>
        <v>0</v>
      </c>
      <c r="F8" s="17">
        <v>1027</v>
      </c>
      <c r="G8" s="19">
        <f>IF(E8=0,0,D8/E8)</f>
        <v>0</v>
      </c>
      <c r="H8" s="17"/>
      <c r="I8" s="19"/>
    </row>
    <row r="9" spans="2:9">
      <c r="B9" s="16">
        <v>2017</v>
      </c>
      <c r="C9" s="17">
        <v>19379.438</v>
      </c>
      <c r="D9" s="17">
        <v>17806.1563</v>
      </c>
      <c r="E9" s="17">
        <f>C9+D9</f>
        <v>0</v>
      </c>
      <c r="F9" s="17">
        <v>1482</v>
      </c>
      <c r="G9" s="19">
        <f>IF(E9=0,0,D9/E9)</f>
        <v>0</v>
      </c>
      <c r="H9" s="17">
        <f>E9-E8</f>
        <v>0</v>
      </c>
      <c r="I9" s="19">
        <f>IF(E8=0,0,H9/E8)</f>
        <v>0</v>
      </c>
    </row>
    <row r="10" spans="2:9">
      <c r="B10" s="16">
        <v>2018</v>
      </c>
      <c r="C10" s="17">
        <v>20666.8937</v>
      </c>
      <c r="D10" s="17">
        <v>11368.5909</v>
      </c>
      <c r="E10" s="17">
        <f>C10+D10</f>
        <v>0</v>
      </c>
      <c r="F10" s="17">
        <v>1360</v>
      </c>
      <c r="G10" s="19">
        <f>IF(E10=0,0,D10/E10)</f>
        <v>0</v>
      </c>
      <c r="H10" s="17">
        <f>E10-E9</f>
        <v>0</v>
      </c>
      <c r="I10" s="19">
        <f>IF(E9=0,0,H10/E9)</f>
        <v>0</v>
      </c>
    </row>
    <row r="11" spans="2:9">
      <c r="B11" s="16">
        <v>2019</v>
      </c>
      <c r="C11" s="17">
        <v>24322.1946</v>
      </c>
      <c r="D11" s="17">
        <v>18335.4043</v>
      </c>
      <c r="E11" s="17">
        <f>C11+D11</f>
        <v>0</v>
      </c>
      <c r="F11" s="17">
        <v>1432</v>
      </c>
      <c r="G11" s="19">
        <f>IF(E11=0,0,D11/E11)</f>
        <v>0</v>
      </c>
      <c r="H11" s="17">
        <f>E11-E10</f>
        <v>0</v>
      </c>
      <c r="I11" s="19">
        <f>IF(E10=0,0,H11/E10)</f>
        <v>0</v>
      </c>
    </row>
    <row r="12" spans="2:9">
      <c r="B12" s="16">
        <v>2020</v>
      </c>
      <c r="C12" s="17">
        <v>25471.7365</v>
      </c>
      <c r="D12" s="17">
        <v>124780.2455</v>
      </c>
      <c r="E12" s="17">
        <f>C12+D12</f>
        <v>0</v>
      </c>
      <c r="F12" s="17">
        <v>3177</v>
      </c>
      <c r="G12" s="19">
        <f>IF(E12=0,0,D12/E12)</f>
        <v>0</v>
      </c>
      <c r="H12" s="17">
        <f>E12-E11</f>
        <v>0</v>
      </c>
      <c r="I12" s="19">
        <f>IF(E11=0,0,H12/E11)</f>
        <v>0</v>
      </c>
    </row>
    <row r="13" spans="2:9">
      <c r="B13" s="16">
        <v>2021</v>
      </c>
      <c r="C13" s="17">
        <v>25740.7337</v>
      </c>
      <c r="D13" s="17">
        <v>67571.4237</v>
      </c>
      <c r="E13" s="17">
        <f>C13+D13</f>
        <v>0</v>
      </c>
      <c r="F13" s="17">
        <v>3060</v>
      </c>
      <c r="G13" s="19">
        <f>IF(E13=0,0,D13/E13)</f>
        <v>0</v>
      </c>
      <c r="H13" s="17">
        <f>E13-E12</f>
        <v>0</v>
      </c>
      <c r="I13" s="19">
        <f>IF(E12=0,0,H13/E12)</f>
        <v>0</v>
      </c>
    </row>
    <row r="14" spans="2:9">
      <c r="B14" s="16">
        <v>2022</v>
      </c>
      <c r="C14" s="17">
        <v>24430.7107</v>
      </c>
      <c r="D14" s="17">
        <v>22628.5092</v>
      </c>
      <c r="E14" s="17">
        <f>C14+D14</f>
        <v>0</v>
      </c>
      <c r="F14" s="17">
        <v>1407</v>
      </c>
      <c r="G14" s="19">
        <f>IF(E14=0,0,D14/E14)</f>
        <v>0</v>
      </c>
      <c r="H14" s="17">
        <f>E14-E13</f>
        <v>0</v>
      </c>
      <c r="I14" s="19">
        <f>IF(E13=0,0,H14/E13)</f>
        <v>0</v>
      </c>
    </row>
    <row r="15" spans="2:9">
      <c r="B15" s="16">
        <v>2023</v>
      </c>
      <c r="C15" s="17">
        <v>26140.2458</v>
      </c>
      <c r="D15" s="17">
        <v>23692.1589</v>
      </c>
      <c r="E15" s="17">
        <f>C15+D15</f>
        <v>0</v>
      </c>
      <c r="F15" s="17">
        <v>1442</v>
      </c>
      <c r="G15" s="19">
        <f>IF(E15=0,0,D15/E15)</f>
        <v>0</v>
      </c>
      <c r="H15" s="17">
        <f>E15-E14</f>
        <v>0</v>
      </c>
      <c r="I15" s="19">
        <f>IF(E14=0,0,H15/E14)</f>
        <v>0</v>
      </c>
    </row>
    <row r="16" spans="2:9">
      <c r="B16" s="16">
        <v>2024</v>
      </c>
      <c r="C16" s="17">
        <v>20382.4957</v>
      </c>
      <c r="D16" s="17">
        <v>21582.5668</v>
      </c>
      <c r="E16" s="17">
        <f>C16+D16</f>
        <v>0</v>
      </c>
      <c r="F16" s="17">
        <v>1529</v>
      </c>
      <c r="G16" s="19">
        <f>IF(E16=0,0,D16/E16)</f>
        <v>0</v>
      </c>
      <c r="H16" s="17">
        <f>E16-E15</f>
        <v>0</v>
      </c>
      <c r="I16" s="19">
        <f>IF(E15=0,0,H16/E15)</f>
        <v>0</v>
      </c>
    </row>
    <row r="17" spans="2:9">
      <c r="B17" s="16">
        <v>2025</v>
      </c>
      <c r="C17" s="17">
        <v>19416.5201</v>
      </c>
      <c r="D17" s="17">
        <v>19257.5535</v>
      </c>
      <c r="E17" s="17">
        <f>C17+D17</f>
        <v>0</v>
      </c>
      <c r="F17" s="17">
        <v>1213</v>
      </c>
      <c r="G17" s="19">
        <f>IF(E17=0,0,D17/E17)</f>
        <v>0</v>
      </c>
      <c r="H17" s="17">
        <f>E17-E16</f>
        <v>0</v>
      </c>
      <c r="I17" s="19">
        <f>IF(E16=0,0,H17/E16)</f>
        <v>0</v>
      </c>
    </row>
    <row r="18" spans="2:9">
      <c r="B18" s="20">
        <v>2026</v>
      </c>
      <c r="C18" s="21">
        <v>12029.062</v>
      </c>
      <c r="D18" s="21">
        <v>8249.7958</v>
      </c>
      <c r="E18" s="21">
        <f>C18+D18</f>
        <v>0</v>
      </c>
      <c r="F18" s="21">
        <v>762</v>
      </c>
      <c r="G18" s="22">
        <f>IF(E18=0,0,D18/E18)</f>
        <v>0</v>
      </c>
      <c r="H18" s="21">
        <f>E18-E17</f>
        <v>0</v>
      </c>
      <c r="I18" s="22">
        <f>IF(E17=0,0,H18/E17)</f>
        <v>0</v>
      </c>
    </row>
    <row r="19" spans="2:9">
      <c r="B19" s="20">
        <v>2027</v>
      </c>
      <c r="C19" s="21">
        <v>15923.1696</v>
      </c>
      <c r="D19" s="21">
        <v>0</v>
      </c>
      <c r="E19" s="21">
        <f>C19+D19</f>
        <v>0</v>
      </c>
      <c r="F19" s="21">
        <v>295</v>
      </c>
      <c r="G19" s="22">
        <f>IF(E19=0,0,D19/E19)</f>
        <v>0</v>
      </c>
      <c r="H19" s="21">
        <f>E19-E18</f>
        <v>0</v>
      </c>
      <c r="I19" s="22">
        <f>IF(E18=0,0,H19/E18)</f>
        <v>0</v>
      </c>
    </row>
    <row r="20" spans="2:9">
      <c r="B20" s="18" t="s">
        <v>69</v>
      </c>
      <c r="C20" s="2" t="s">
        <v>70</v>
      </c>
      <c r="D20" s="2"/>
      <c r="E20" s="2"/>
      <c r="F20" s="2"/>
      <c r="G20" s="2"/>
      <c r="H20" s="2"/>
      <c r="I20" s="2"/>
    </row>
    <row r="23" spans="2:9" ht="20" customHeight="1">
      <c r="B23" s="7" t="s">
        <v>71</v>
      </c>
      <c r="C23" s="7"/>
      <c r="D23" s="7"/>
      <c r="E23" s="7"/>
      <c r="F23" s="7"/>
      <c r="G23" s="7"/>
      <c r="H23" s="7"/>
      <c r="I23" s="7"/>
    </row>
    <row r="24" spans="2:9">
      <c r="B24" s="23" t="s">
        <v>72</v>
      </c>
      <c r="C24" s="15" t="s">
        <v>73</v>
      </c>
      <c r="D24" s="15" t="s">
        <v>74</v>
      </c>
      <c r="E24" s="15" t="s">
        <v>75</v>
      </c>
      <c r="F24" s="15" t="s">
        <v>76</v>
      </c>
    </row>
    <row r="25" spans="2:9">
      <c r="B25" s="18" t="s">
        <v>77</v>
      </c>
      <c r="C25" s="17">
        <v>38674.0736</v>
      </c>
      <c r="D25" s="17">
        <v>20278.8578</v>
      </c>
      <c r="E25" s="17">
        <f>D25-C25</f>
        <v>0</v>
      </c>
      <c r="F25" s="19">
        <f>IF(C25=0,0,E25/C25)</f>
        <v>0</v>
      </c>
    </row>
    <row r="26" spans="2:9">
      <c r="B26" s="18" t="s">
        <v>53</v>
      </c>
      <c r="C26" s="17">
        <v>19416.5201</v>
      </c>
      <c r="D26" s="17">
        <v>12029.062</v>
      </c>
      <c r="E26" s="17">
        <f>D26-C26</f>
        <v>0</v>
      </c>
      <c r="F26" s="19">
        <f>IF(C26=0,0,E26/C26)</f>
        <v>0</v>
      </c>
    </row>
    <row r="27" spans="2:9">
      <c r="B27" s="18" t="s">
        <v>44</v>
      </c>
      <c r="C27" s="17">
        <v>19257.5535</v>
      </c>
      <c r="D27" s="17">
        <v>8249.7958</v>
      </c>
      <c r="E27" s="17">
        <f>D27-C27</f>
        <v>0</v>
      </c>
      <c r="F27" s="19">
        <f>IF(C27=0,0,E27/C27)</f>
        <v>0</v>
      </c>
    </row>
    <row r="29" spans="2:9">
      <c r="B29" s="23" t="s">
        <v>78</v>
      </c>
      <c r="C29" s="15" t="s">
        <v>73</v>
      </c>
      <c r="D29" s="15" t="s">
        <v>79</v>
      </c>
      <c r="E29" s="15" t="s">
        <v>75</v>
      </c>
      <c r="F29" s="15" t="s">
        <v>76</v>
      </c>
    </row>
    <row r="30" spans="2:9">
      <c r="B30" s="18" t="s">
        <v>77</v>
      </c>
      <c r="C30" s="17">
        <v>38674.0736</v>
      </c>
      <c r="D30" s="24" t="s">
        <v>80</v>
      </c>
      <c r="E30" s="24" t="s">
        <v>80</v>
      </c>
      <c r="F30" s="24" t="s">
        <v>80</v>
      </c>
    </row>
    <row r="31" spans="2:9">
      <c r="B31" s="18" t="s">
        <v>53</v>
      </c>
      <c r="C31" s="17">
        <v>19416.5201</v>
      </c>
      <c r="D31" s="17">
        <v>15923.1696</v>
      </c>
      <c r="E31" s="17">
        <f>D31-C31</f>
        <v>0</v>
      </c>
      <c r="F31" s="19">
        <f>IF(C31=0,0,E31/C31)</f>
        <v>0</v>
      </c>
    </row>
    <row r="32" spans="2:9">
      <c r="B32" s="18" t="s">
        <v>44</v>
      </c>
      <c r="C32" s="17">
        <v>19257.5535</v>
      </c>
      <c r="D32" s="24" t="s">
        <v>80</v>
      </c>
      <c r="E32" s="24" t="s">
        <v>80</v>
      </c>
      <c r="F32" s="24" t="s">
        <v>80</v>
      </c>
    </row>
    <row r="34" spans="2:6">
      <c r="B34" s="23" t="s">
        <v>81</v>
      </c>
      <c r="C34" s="15" t="s">
        <v>74</v>
      </c>
      <c r="D34" s="15" t="s">
        <v>79</v>
      </c>
      <c r="E34" s="15" t="s">
        <v>75</v>
      </c>
      <c r="F34" s="15" t="s">
        <v>76</v>
      </c>
    </row>
    <row r="35" spans="2:6">
      <c r="B35" s="18" t="s">
        <v>77</v>
      </c>
      <c r="C35" s="17">
        <v>20278.8578</v>
      </c>
      <c r="D35" s="24" t="s">
        <v>80</v>
      </c>
      <c r="E35" s="24" t="s">
        <v>80</v>
      </c>
      <c r="F35" s="24" t="s">
        <v>80</v>
      </c>
    </row>
    <row r="36" spans="2:6">
      <c r="B36" s="18" t="s">
        <v>53</v>
      </c>
      <c r="C36" s="17">
        <v>12029.062</v>
      </c>
      <c r="D36" s="17">
        <v>15923.1696</v>
      </c>
      <c r="E36" s="17">
        <f>D36-C36</f>
        <v>0</v>
      </c>
      <c r="F36" s="19">
        <f>IF(C36=0,0,E36/C36)</f>
        <v>0</v>
      </c>
    </row>
    <row r="37" spans="2:6">
      <c r="B37" s="18" t="s">
        <v>44</v>
      </c>
      <c r="C37" s="17">
        <v>8249.7958</v>
      </c>
      <c r="D37" s="24" t="s">
        <v>80</v>
      </c>
      <c r="E37" s="24" t="s">
        <v>80</v>
      </c>
      <c r="F37" s="24" t="s">
        <v>80</v>
      </c>
    </row>
    <row r="39" spans="2:6">
      <c r="B39" s="2" t="s">
        <v>82</v>
      </c>
    </row>
  </sheetData>
  <mergeCells count="5">
    <mergeCell ref="B2:I2"/>
    <mergeCell ref="B3:I3"/>
    <mergeCell ref="B6:I6"/>
    <mergeCell ref="C20:I20"/>
    <mergeCell ref="B23:I23"/>
  </mergeCells>
  <pageMargins left="0.3" right="0.3" top="0.4" bottom="0.4" header="0.3" footer="0.3"/>
  <pageSetup paperSize="1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E5496"/>
    <pageSetUpPr fitToPage="1"/>
  </sheetPr>
  <dimension ref="B2:O42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2.7109375" customWidth="1"/>
    <col min="2" max="2" width="8.7109375" customWidth="1"/>
    <col min="3" max="14" width="8.28515625" customWidth="1"/>
    <col min="15" max="15" width="9.7109375" customWidth="1"/>
  </cols>
  <sheetData>
    <row r="2" spans="2:15">
      <c r="B2" s="1" t="s">
        <v>83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2:15">
      <c r="B3" s="2" t="s">
        <v>84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6" spans="2:15" ht="20" customHeight="1">
      <c r="B6" s="7" t="s">
        <v>85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2:15">
      <c r="B7" s="14" t="s">
        <v>52</v>
      </c>
      <c r="C7" s="15" t="s">
        <v>86</v>
      </c>
      <c r="D7" s="15" t="s">
        <v>87</v>
      </c>
      <c r="E7" s="15" t="s">
        <v>88</v>
      </c>
      <c r="F7" s="15" t="s">
        <v>89</v>
      </c>
      <c r="G7" s="15" t="s">
        <v>90</v>
      </c>
      <c r="H7" s="15" t="s">
        <v>91</v>
      </c>
      <c r="I7" s="15" t="s">
        <v>92</v>
      </c>
      <c r="J7" s="15" t="s">
        <v>93</v>
      </c>
      <c r="K7" s="15" t="s">
        <v>94</v>
      </c>
      <c r="L7" s="15" t="s">
        <v>95</v>
      </c>
      <c r="M7" s="15" t="s">
        <v>96</v>
      </c>
      <c r="N7" s="15" t="s">
        <v>97</v>
      </c>
      <c r="O7" s="15" t="s">
        <v>64</v>
      </c>
    </row>
    <row r="8" spans="2:15">
      <c r="B8" s="16">
        <v>2018</v>
      </c>
      <c r="C8" s="17">
        <v>1861.8575</v>
      </c>
      <c r="D8" s="17">
        <v>4385.2274</v>
      </c>
      <c r="E8" s="17">
        <v>3891.1352</v>
      </c>
      <c r="F8" s="17">
        <v>3200.5971</v>
      </c>
      <c r="G8" s="17">
        <v>2830.4237</v>
      </c>
      <c r="H8" s="17">
        <v>1361.831</v>
      </c>
      <c r="I8" s="17">
        <v>2025.8086</v>
      </c>
      <c r="J8" s="17">
        <v>1681.6739</v>
      </c>
      <c r="K8" s="17">
        <v>2841.9706</v>
      </c>
      <c r="L8" s="17">
        <v>4856.704</v>
      </c>
      <c r="M8" s="17">
        <v>2295.9006</v>
      </c>
      <c r="N8" s="17">
        <v>802.355</v>
      </c>
      <c r="O8" s="25">
        <f>SUM(C8:N8)</f>
        <v>0</v>
      </c>
    </row>
    <row r="9" spans="2:15">
      <c r="B9" s="16">
        <v>2019</v>
      </c>
      <c r="C9" s="17">
        <v>2650.7318</v>
      </c>
      <c r="D9" s="17">
        <v>4505.4825</v>
      </c>
      <c r="E9" s="17">
        <v>4628.2857</v>
      </c>
      <c r="F9" s="17">
        <v>5013.3596</v>
      </c>
      <c r="G9" s="17">
        <v>3580.2703</v>
      </c>
      <c r="H9" s="17">
        <v>2407.915</v>
      </c>
      <c r="I9" s="17">
        <v>1950.0196</v>
      </c>
      <c r="J9" s="17">
        <v>1652.1333</v>
      </c>
      <c r="K9" s="17">
        <v>4505.1194</v>
      </c>
      <c r="L9" s="17">
        <v>6169.3255</v>
      </c>
      <c r="M9" s="17">
        <v>4039.216</v>
      </c>
      <c r="N9" s="17">
        <v>1555.7402</v>
      </c>
      <c r="O9" s="25">
        <f>SUM(C9:N9)</f>
        <v>0</v>
      </c>
    </row>
    <row r="10" spans="2:15">
      <c r="B10" s="16">
        <v>2020</v>
      </c>
      <c r="C10" s="17">
        <v>2838.8157</v>
      </c>
      <c r="D10" s="17">
        <v>4560.7311</v>
      </c>
      <c r="E10" s="17">
        <v>5991.9393</v>
      </c>
      <c r="F10" s="17">
        <v>15337.4971</v>
      </c>
      <c r="G10" s="17">
        <v>15952.9304</v>
      </c>
      <c r="H10" s="17">
        <v>15478.4185</v>
      </c>
      <c r="I10" s="17">
        <v>14921.496</v>
      </c>
      <c r="J10" s="17">
        <v>14559.4961</v>
      </c>
      <c r="K10" s="17">
        <v>16522.4</v>
      </c>
      <c r="L10" s="17">
        <v>15931.9618</v>
      </c>
      <c r="M10" s="17">
        <v>13964.7123</v>
      </c>
      <c r="N10" s="17">
        <v>14191.5837</v>
      </c>
      <c r="O10" s="25">
        <f>SUM(C10:N10)</f>
        <v>0</v>
      </c>
    </row>
    <row r="11" spans="2:15">
      <c r="B11" s="16">
        <v>2021</v>
      </c>
      <c r="C11" s="17">
        <v>14117.8485</v>
      </c>
      <c r="D11" s="17">
        <v>19542.5115</v>
      </c>
      <c r="E11" s="17">
        <v>14144.8712</v>
      </c>
      <c r="F11" s="17">
        <v>8194.8163</v>
      </c>
      <c r="G11" s="17">
        <v>4675.9324</v>
      </c>
      <c r="H11" s="17">
        <v>3726.4132</v>
      </c>
      <c r="I11" s="17">
        <v>3463.5479</v>
      </c>
      <c r="J11" s="17">
        <v>3911.2804</v>
      </c>
      <c r="K11" s="17">
        <v>7484.5812</v>
      </c>
      <c r="L11" s="17">
        <v>7180.2097</v>
      </c>
      <c r="M11" s="17">
        <v>4198.3709</v>
      </c>
      <c r="N11" s="17">
        <v>2671.7742</v>
      </c>
      <c r="O11" s="25">
        <f>SUM(C11:N11)</f>
        <v>0</v>
      </c>
    </row>
    <row r="12" spans="2:15">
      <c r="B12" s="16">
        <v>2022</v>
      </c>
      <c r="C12" s="17">
        <v>3778.1429</v>
      </c>
      <c r="D12" s="17">
        <v>4947.385</v>
      </c>
      <c r="E12" s="17">
        <v>4010.1805</v>
      </c>
      <c r="F12" s="17">
        <v>4468.467</v>
      </c>
      <c r="G12" s="17">
        <v>4077.0188</v>
      </c>
      <c r="H12" s="17">
        <v>3033.2868</v>
      </c>
      <c r="I12" s="17">
        <v>3119.4187</v>
      </c>
      <c r="J12" s="17">
        <v>3037.9164</v>
      </c>
      <c r="K12" s="17">
        <v>3377.7149</v>
      </c>
      <c r="L12" s="17">
        <v>5566.1522</v>
      </c>
      <c r="M12" s="17">
        <v>3205.2054</v>
      </c>
      <c r="N12" s="17">
        <v>4438.3313</v>
      </c>
      <c r="O12" s="25">
        <f>SUM(C12:N12)</f>
        <v>0</v>
      </c>
    </row>
    <row r="13" spans="2:15">
      <c r="B13" s="16">
        <v>2023</v>
      </c>
      <c r="C13" s="17">
        <v>5712.3266</v>
      </c>
      <c r="D13" s="17">
        <v>6813.7157</v>
      </c>
      <c r="E13" s="17">
        <v>6741.2225</v>
      </c>
      <c r="F13" s="17">
        <v>6116.2489</v>
      </c>
      <c r="G13" s="17">
        <v>3819.9794</v>
      </c>
      <c r="H13" s="17">
        <v>2289.9731</v>
      </c>
      <c r="I13" s="17">
        <v>1647.0638</v>
      </c>
      <c r="J13" s="17">
        <v>1759.571</v>
      </c>
      <c r="K13" s="17">
        <v>3954.8585</v>
      </c>
      <c r="L13" s="17">
        <v>6931.9118</v>
      </c>
      <c r="M13" s="17">
        <v>3069.4329</v>
      </c>
      <c r="N13" s="17">
        <v>976.1005</v>
      </c>
      <c r="O13" s="25">
        <f>SUM(C13:N13)</f>
        <v>0</v>
      </c>
    </row>
    <row r="14" spans="2:15">
      <c r="B14" s="16">
        <v>2024</v>
      </c>
      <c r="C14" s="17">
        <v>4684.8428</v>
      </c>
      <c r="D14" s="17">
        <v>8792.021000000001</v>
      </c>
      <c r="E14" s="17">
        <v>4695.105</v>
      </c>
      <c r="F14" s="17">
        <v>4532.5513</v>
      </c>
      <c r="G14" s="17">
        <v>2481.8625</v>
      </c>
      <c r="H14" s="17">
        <v>2108.9555</v>
      </c>
      <c r="I14" s="17">
        <v>1985.748</v>
      </c>
      <c r="J14" s="17">
        <v>1698.4168</v>
      </c>
      <c r="K14" s="17">
        <v>3566.3252</v>
      </c>
      <c r="L14" s="17">
        <v>4409.9705</v>
      </c>
      <c r="M14" s="17">
        <v>2230.0646</v>
      </c>
      <c r="N14" s="17">
        <v>779.1993</v>
      </c>
      <c r="O14" s="25">
        <f>SUM(C14:N14)</f>
        <v>0</v>
      </c>
    </row>
    <row r="15" spans="2:15">
      <c r="B15" s="16">
        <v>2025</v>
      </c>
      <c r="C15" s="17">
        <v>3521.0971</v>
      </c>
      <c r="D15" s="17">
        <v>5027.1616</v>
      </c>
      <c r="E15" s="17">
        <v>4431.0635</v>
      </c>
      <c r="F15" s="17">
        <v>5302.0811</v>
      </c>
      <c r="G15" s="17">
        <v>2654.0926</v>
      </c>
      <c r="H15" s="17">
        <v>1540.4157</v>
      </c>
      <c r="I15" s="17">
        <v>1195.17</v>
      </c>
      <c r="J15" s="17">
        <v>1609.1225</v>
      </c>
      <c r="K15" s="17">
        <v>3544.1765</v>
      </c>
      <c r="L15" s="17">
        <v>5848.478</v>
      </c>
      <c r="M15" s="17">
        <v>3057.862</v>
      </c>
      <c r="N15" s="17">
        <v>943.3530000000001</v>
      </c>
      <c r="O15" s="25">
        <f>SUM(C15:N15)</f>
        <v>0</v>
      </c>
    </row>
    <row r="16" spans="2:15">
      <c r="B16" s="20">
        <v>2026</v>
      </c>
      <c r="C16" s="21">
        <v>1849.6688</v>
      </c>
      <c r="D16" s="21">
        <v>3739.2241</v>
      </c>
      <c r="E16" s="21">
        <v>3152.1816</v>
      </c>
      <c r="F16" s="21">
        <v>3982.502</v>
      </c>
      <c r="G16" s="21">
        <v>2203.7437</v>
      </c>
      <c r="H16" s="21">
        <v>1158.8167</v>
      </c>
      <c r="I16" s="21">
        <v>375.506</v>
      </c>
      <c r="J16" s="21">
        <v>251.11</v>
      </c>
      <c r="K16" s="21">
        <v>1218.8349</v>
      </c>
      <c r="L16" s="21">
        <v>1640.294</v>
      </c>
      <c r="M16" s="21">
        <v>697.476</v>
      </c>
      <c r="N16" s="21">
        <v>9.5</v>
      </c>
      <c r="O16" s="21">
        <f>SUM(C16:N16)</f>
        <v>0</v>
      </c>
    </row>
    <row r="17" spans="2:15">
      <c r="B17" s="20">
        <v>2027</v>
      </c>
      <c r="C17" s="21">
        <v>1088.333</v>
      </c>
      <c r="D17" s="21">
        <v>2092.4001</v>
      </c>
      <c r="E17" s="21">
        <v>2910.1523</v>
      </c>
      <c r="F17" s="21">
        <v>2004.0124</v>
      </c>
      <c r="G17" s="21">
        <v>901.152</v>
      </c>
      <c r="H17" s="21">
        <v>215.305</v>
      </c>
      <c r="I17" s="21">
        <v>167.5</v>
      </c>
      <c r="J17" s="21">
        <v>51.06</v>
      </c>
      <c r="K17" s="21">
        <v>2986.8719</v>
      </c>
      <c r="L17" s="21">
        <v>2955.9469</v>
      </c>
      <c r="M17" s="21">
        <v>546.936</v>
      </c>
      <c r="N17" s="21">
        <v>3.5</v>
      </c>
      <c r="O17" s="21">
        <f>SUM(C17:N17)</f>
        <v>0</v>
      </c>
    </row>
    <row r="19" spans="2:15" ht="20" customHeight="1">
      <c r="B19" s="26" t="s">
        <v>98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</row>
    <row r="20" spans="2:15">
      <c r="B20" s="14" t="s">
        <v>52</v>
      </c>
      <c r="C20" s="15" t="s">
        <v>86</v>
      </c>
      <c r="D20" s="15" t="s">
        <v>87</v>
      </c>
      <c r="E20" s="15" t="s">
        <v>88</v>
      </c>
      <c r="F20" s="15" t="s">
        <v>89</v>
      </c>
      <c r="G20" s="15" t="s">
        <v>90</v>
      </c>
      <c r="H20" s="15" t="s">
        <v>91</v>
      </c>
      <c r="I20" s="15" t="s">
        <v>92</v>
      </c>
      <c r="J20" s="15" t="s">
        <v>93</v>
      </c>
      <c r="K20" s="15" t="s">
        <v>94</v>
      </c>
      <c r="L20" s="15" t="s">
        <v>95</v>
      </c>
      <c r="M20" s="15" t="s">
        <v>96</v>
      </c>
      <c r="N20" s="15" t="s">
        <v>97</v>
      </c>
      <c r="O20" s="15" t="s">
        <v>64</v>
      </c>
    </row>
    <row r="21" spans="2:15">
      <c r="B21" s="16">
        <v>2018</v>
      </c>
      <c r="C21" s="17">
        <v>1009.223</v>
      </c>
      <c r="D21" s="17">
        <v>2931.315</v>
      </c>
      <c r="E21" s="17">
        <v>2998.0815</v>
      </c>
      <c r="F21" s="17">
        <v>2219.0596</v>
      </c>
      <c r="G21" s="17">
        <v>1972.1564</v>
      </c>
      <c r="H21" s="17">
        <v>735.282</v>
      </c>
      <c r="I21" s="17">
        <v>780.6709999999999</v>
      </c>
      <c r="J21" s="17">
        <v>608.745</v>
      </c>
      <c r="K21" s="17">
        <v>1625.1402</v>
      </c>
      <c r="L21" s="17">
        <v>3857.713</v>
      </c>
      <c r="M21" s="17">
        <v>1616.16</v>
      </c>
      <c r="N21" s="17">
        <v>313.347</v>
      </c>
      <c r="O21" s="25">
        <f>SUM(C21:N21)</f>
        <v>0</v>
      </c>
    </row>
    <row r="22" spans="2:15">
      <c r="B22" s="16">
        <v>2019</v>
      </c>
      <c r="C22" s="17">
        <v>1032.795</v>
      </c>
      <c r="D22" s="17">
        <v>1639.525</v>
      </c>
      <c r="E22" s="17">
        <v>2278.0599</v>
      </c>
      <c r="F22" s="17">
        <v>2767.0536</v>
      </c>
      <c r="G22" s="17">
        <v>2038.469</v>
      </c>
      <c r="H22" s="17">
        <v>1165.339</v>
      </c>
      <c r="I22" s="17">
        <v>867.252</v>
      </c>
      <c r="J22" s="17">
        <v>1015.743</v>
      </c>
      <c r="K22" s="17">
        <v>3000.6745</v>
      </c>
      <c r="L22" s="17">
        <v>4596.3532</v>
      </c>
      <c r="M22" s="17">
        <v>2940.571</v>
      </c>
      <c r="N22" s="17">
        <v>980.3593999999999</v>
      </c>
      <c r="O22" s="25">
        <f>SUM(C22:N22)</f>
        <v>0</v>
      </c>
    </row>
    <row r="23" spans="2:15">
      <c r="B23" s="16">
        <v>2020</v>
      </c>
      <c r="C23" s="17">
        <v>1606.7775</v>
      </c>
      <c r="D23" s="17">
        <v>2668.176</v>
      </c>
      <c r="E23" s="17">
        <v>2867.6665</v>
      </c>
      <c r="F23" s="17">
        <v>2237.0325</v>
      </c>
      <c r="G23" s="17">
        <v>2650.3255</v>
      </c>
      <c r="H23" s="17">
        <v>2469.553</v>
      </c>
      <c r="I23" s="17">
        <v>2067.135</v>
      </c>
      <c r="J23" s="17">
        <v>988.502</v>
      </c>
      <c r="K23" s="17">
        <v>1794.3145</v>
      </c>
      <c r="L23" s="17">
        <v>2196.246</v>
      </c>
      <c r="M23" s="17">
        <v>1840.298</v>
      </c>
      <c r="N23" s="17">
        <v>2085.71</v>
      </c>
      <c r="O23" s="25">
        <f>SUM(C23:N23)</f>
        <v>0</v>
      </c>
    </row>
    <row r="24" spans="2:15">
      <c r="B24" s="16">
        <v>2021</v>
      </c>
      <c r="C24" s="17">
        <v>2121.436</v>
      </c>
      <c r="D24" s="17">
        <v>2520.3674</v>
      </c>
      <c r="E24" s="17">
        <v>2787.1875</v>
      </c>
      <c r="F24" s="17">
        <v>2794.8713</v>
      </c>
      <c r="G24" s="17">
        <v>2380.9854</v>
      </c>
      <c r="H24" s="17">
        <v>1469.715</v>
      </c>
      <c r="I24" s="17">
        <v>1742.8955</v>
      </c>
      <c r="J24" s="17">
        <v>1674.8782</v>
      </c>
      <c r="K24" s="17">
        <v>2474.59</v>
      </c>
      <c r="L24" s="17">
        <v>3247.2525</v>
      </c>
      <c r="M24" s="17">
        <v>1662.6349</v>
      </c>
      <c r="N24" s="17">
        <v>863.92</v>
      </c>
      <c r="O24" s="25">
        <f>SUM(C24:N24)</f>
        <v>0</v>
      </c>
    </row>
    <row r="25" spans="2:15">
      <c r="B25" s="16">
        <v>2022</v>
      </c>
      <c r="C25" s="17">
        <v>1641.7355</v>
      </c>
      <c r="D25" s="17">
        <v>2387.247</v>
      </c>
      <c r="E25" s="17">
        <v>2112.384</v>
      </c>
      <c r="F25" s="17">
        <v>2341.9101</v>
      </c>
      <c r="G25" s="17">
        <v>2161.212</v>
      </c>
      <c r="H25" s="17">
        <v>1667.875</v>
      </c>
      <c r="I25" s="17">
        <v>1781.1225</v>
      </c>
      <c r="J25" s="17">
        <v>1690.934</v>
      </c>
      <c r="K25" s="17">
        <v>2179.5036</v>
      </c>
      <c r="L25" s="17">
        <v>3762.534</v>
      </c>
      <c r="M25" s="17">
        <v>1548.049</v>
      </c>
      <c r="N25" s="17">
        <v>1156.204</v>
      </c>
      <c r="O25" s="25">
        <f>SUM(C25:N25)</f>
        <v>0</v>
      </c>
    </row>
    <row r="26" spans="2:15">
      <c r="B26" s="16">
        <v>2023</v>
      </c>
      <c r="C26" s="17">
        <v>2552.9085</v>
      </c>
      <c r="D26" s="17">
        <v>4134.309</v>
      </c>
      <c r="E26" s="17">
        <v>3664.6845</v>
      </c>
      <c r="F26" s="17">
        <v>3647.546</v>
      </c>
      <c r="G26" s="17">
        <v>2071.2518</v>
      </c>
      <c r="H26" s="17">
        <v>368.477</v>
      </c>
      <c r="I26" s="17">
        <v>171.937</v>
      </c>
      <c r="J26" s="17">
        <v>315.56</v>
      </c>
      <c r="K26" s="17">
        <v>2423.3365</v>
      </c>
      <c r="L26" s="17">
        <v>4943.1683</v>
      </c>
      <c r="M26" s="17">
        <v>1718.509</v>
      </c>
      <c r="N26" s="17">
        <v>128.5582</v>
      </c>
      <c r="O26" s="25">
        <f>SUM(C26:N26)</f>
        <v>0</v>
      </c>
    </row>
    <row r="27" spans="2:15">
      <c r="B27" s="16">
        <v>2024</v>
      </c>
      <c r="C27" s="17">
        <v>2251.219</v>
      </c>
      <c r="D27" s="17">
        <v>3766.8788</v>
      </c>
      <c r="E27" s="17">
        <v>2643.9494</v>
      </c>
      <c r="F27" s="17">
        <v>2651.0149</v>
      </c>
      <c r="G27" s="17">
        <v>1541.172</v>
      </c>
      <c r="H27" s="17">
        <v>1085.2415</v>
      </c>
      <c r="I27" s="17">
        <v>512.8795</v>
      </c>
      <c r="J27" s="17">
        <v>486.4172</v>
      </c>
      <c r="K27" s="17">
        <v>1721.3308</v>
      </c>
      <c r="L27" s="17">
        <v>2469.8125</v>
      </c>
      <c r="M27" s="17">
        <v>1183.0576</v>
      </c>
      <c r="N27" s="17">
        <v>69.52250000000001</v>
      </c>
      <c r="O27" s="25">
        <f>SUM(C27:N27)</f>
        <v>0</v>
      </c>
    </row>
    <row r="28" spans="2:15">
      <c r="B28" s="16">
        <v>2025</v>
      </c>
      <c r="C28" s="17">
        <v>2120.1022</v>
      </c>
      <c r="D28" s="17">
        <v>3003.7811</v>
      </c>
      <c r="E28" s="17">
        <v>2202.617</v>
      </c>
      <c r="F28" s="17">
        <v>2680.846</v>
      </c>
      <c r="G28" s="17">
        <v>900.91</v>
      </c>
      <c r="H28" s="17">
        <v>370.8306</v>
      </c>
      <c r="I28" s="17">
        <v>255.7162</v>
      </c>
      <c r="J28" s="17">
        <v>629.405</v>
      </c>
      <c r="K28" s="17">
        <v>2057.151</v>
      </c>
      <c r="L28" s="17">
        <v>3379.727</v>
      </c>
      <c r="M28" s="17">
        <v>1733.814</v>
      </c>
      <c r="N28" s="17">
        <v>81.62</v>
      </c>
      <c r="O28" s="25">
        <f>SUM(C28:N28)</f>
        <v>0</v>
      </c>
    </row>
    <row r="29" spans="2:15">
      <c r="B29" s="20">
        <v>2026</v>
      </c>
      <c r="C29" s="21">
        <v>1062.6823</v>
      </c>
      <c r="D29" s="21">
        <v>1946.2561</v>
      </c>
      <c r="E29" s="21">
        <v>2033.7659</v>
      </c>
      <c r="F29" s="21">
        <v>1938.51</v>
      </c>
      <c r="G29" s="21">
        <v>1001.3308</v>
      </c>
      <c r="H29" s="21">
        <v>179.03</v>
      </c>
      <c r="I29" s="21">
        <v>233.572</v>
      </c>
      <c r="J29" s="21">
        <v>204.11</v>
      </c>
      <c r="K29" s="21">
        <v>1171.8349</v>
      </c>
      <c r="L29" s="21">
        <v>1593.294</v>
      </c>
      <c r="M29" s="21">
        <v>655.176</v>
      </c>
      <c r="N29" s="21">
        <v>9.5</v>
      </c>
      <c r="O29" s="21">
        <f>SUM(C29:N29)</f>
        <v>0</v>
      </c>
    </row>
    <row r="30" spans="2:15">
      <c r="B30" s="20">
        <v>2027</v>
      </c>
      <c r="C30" s="21">
        <v>1088.333</v>
      </c>
      <c r="D30" s="21">
        <v>2092.4001</v>
      </c>
      <c r="E30" s="21">
        <v>2910.1523</v>
      </c>
      <c r="F30" s="21">
        <v>2004.0124</v>
      </c>
      <c r="G30" s="21">
        <v>901.152</v>
      </c>
      <c r="H30" s="21">
        <v>215.305</v>
      </c>
      <c r="I30" s="21">
        <v>167.5</v>
      </c>
      <c r="J30" s="21">
        <v>51.06</v>
      </c>
      <c r="K30" s="21">
        <v>2986.8719</v>
      </c>
      <c r="L30" s="21">
        <v>2955.9469</v>
      </c>
      <c r="M30" s="21">
        <v>546.936</v>
      </c>
      <c r="N30" s="21">
        <v>3.5</v>
      </c>
      <c r="O30" s="21">
        <f>SUM(C30:N30)</f>
        <v>0</v>
      </c>
    </row>
    <row r="32" spans="2:15" ht="20" customHeight="1">
      <c r="B32" s="5" t="s">
        <v>99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 spans="2:15">
      <c r="B33" s="14" t="s">
        <v>52</v>
      </c>
      <c r="C33" s="15" t="s">
        <v>86</v>
      </c>
      <c r="D33" s="15" t="s">
        <v>87</v>
      </c>
      <c r="E33" s="15" t="s">
        <v>88</v>
      </c>
      <c r="F33" s="15" t="s">
        <v>89</v>
      </c>
      <c r="G33" s="15" t="s">
        <v>90</v>
      </c>
      <c r="H33" s="15" t="s">
        <v>91</v>
      </c>
      <c r="I33" s="15" t="s">
        <v>92</v>
      </c>
      <c r="J33" s="15" t="s">
        <v>93</v>
      </c>
      <c r="K33" s="15" t="s">
        <v>94</v>
      </c>
      <c r="L33" s="15" t="s">
        <v>95</v>
      </c>
      <c r="M33" s="15" t="s">
        <v>96</v>
      </c>
      <c r="N33" s="15" t="s">
        <v>97</v>
      </c>
      <c r="O33" s="15" t="s">
        <v>64</v>
      </c>
    </row>
    <row r="34" spans="2:15">
      <c r="B34" s="16">
        <v>2018</v>
      </c>
      <c r="C34" s="17">
        <v>852.6345</v>
      </c>
      <c r="D34" s="17">
        <v>1453.9124</v>
      </c>
      <c r="E34" s="17">
        <v>893.0537</v>
      </c>
      <c r="F34" s="17">
        <v>981.5375</v>
      </c>
      <c r="G34" s="17">
        <v>858.2673</v>
      </c>
      <c r="H34" s="17">
        <v>626.549</v>
      </c>
      <c r="I34" s="17">
        <v>1245.1376</v>
      </c>
      <c r="J34" s="17">
        <v>1072.9289</v>
      </c>
      <c r="K34" s="17">
        <v>1216.8304</v>
      </c>
      <c r="L34" s="17">
        <v>998.991</v>
      </c>
      <c r="M34" s="17">
        <v>679.7406</v>
      </c>
      <c r="N34" s="17">
        <v>489.008</v>
      </c>
      <c r="O34" s="25">
        <f>SUM(C34:N34)</f>
        <v>0</v>
      </c>
    </row>
    <row r="35" spans="2:15">
      <c r="B35" s="16">
        <v>2019</v>
      </c>
      <c r="C35" s="17">
        <v>1617.9368</v>
      </c>
      <c r="D35" s="17">
        <v>2865.9575</v>
      </c>
      <c r="E35" s="17">
        <v>2350.2258</v>
      </c>
      <c r="F35" s="17">
        <v>2246.306</v>
      </c>
      <c r="G35" s="17">
        <v>1541.8013</v>
      </c>
      <c r="H35" s="17">
        <v>1242.576</v>
      </c>
      <c r="I35" s="17">
        <v>1082.7676</v>
      </c>
      <c r="J35" s="17">
        <v>636.3903</v>
      </c>
      <c r="K35" s="17">
        <v>1504.4449</v>
      </c>
      <c r="L35" s="17">
        <v>1572.9723</v>
      </c>
      <c r="M35" s="17">
        <v>1098.645</v>
      </c>
      <c r="N35" s="17">
        <v>575.3808</v>
      </c>
      <c r="O35" s="25">
        <f>SUM(C35:N35)</f>
        <v>0</v>
      </c>
    </row>
    <row r="36" spans="2:15">
      <c r="B36" s="16">
        <v>2020</v>
      </c>
      <c r="C36" s="17">
        <v>1232.0382</v>
      </c>
      <c r="D36" s="17">
        <v>1892.5551</v>
      </c>
      <c r="E36" s="17">
        <v>3124.2728</v>
      </c>
      <c r="F36" s="17">
        <v>13100.4646</v>
      </c>
      <c r="G36" s="17">
        <v>13302.6049</v>
      </c>
      <c r="H36" s="17">
        <v>13008.8655</v>
      </c>
      <c r="I36" s="17">
        <v>12854.361</v>
      </c>
      <c r="J36" s="17">
        <v>13570.9941</v>
      </c>
      <c r="K36" s="17">
        <v>14728.0855</v>
      </c>
      <c r="L36" s="17">
        <v>13735.7158</v>
      </c>
      <c r="M36" s="17">
        <v>12124.4143</v>
      </c>
      <c r="N36" s="17">
        <v>12105.8737</v>
      </c>
      <c r="O36" s="25">
        <f>SUM(C36:N36)</f>
        <v>0</v>
      </c>
    </row>
    <row r="37" spans="2:15">
      <c r="B37" s="16">
        <v>2021</v>
      </c>
      <c r="C37" s="17">
        <v>11996.4125</v>
      </c>
      <c r="D37" s="17">
        <v>17022.1441</v>
      </c>
      <c r="E37" s="17">
        <v>11357.6837</v>
      </c>
      <c r="F37" s="17">
        <v>5399.945</v>
      </c>
      <c r="G37" s="17">
        <v>2294.947</v>
      </c>
      <c r="H37" s="17">
        <v>2256.6982</v>
      </c>
      <c r="I37" s="17">
        <v>1720.6524</v>
      </c>
      <c r="J37" s="17">
        <v>2236.4022</v>
      </c>
      <c r="K37" s="17">
        <v>5009.9912</v>
      </c>
      <c r="L37" s="17">
        <v>3932.9572</v>
      </c>
      <c r="M37" s="17">
        <v>2535.736</v>
      </c>
      <c r="N37" s="17">
        <v>1807.8542</v>
      </c>
      <c r="O37" s="25">
        <f>SUM(C37:N37)</f>
        <v>0</v>
      </c>
    </row>
    <row r="38" spans="2:15">
      <c r="B38" s="16">
        <v>2022</v>
      </c>
      <c r="C38" s="17">
        <v>2136.4074</v>
      </c>
      <c r="D38" s="17">
        <v>2560.138</v>
      </c>
      <c r="E38" s="17">
        <v>1897.7965</v>
      </c>
      <c r="F38" s="17">
        <v>2126.5569</v>
      </c>
      <c r="G38" s="17">
        <v>1915.8068</v>
      </c>
      <c r="H38" s="17">
        <v>1365.4118</v>
      </c>
      <c r="I38" s="17">
        <v>1338.2962</v>
      </c>
      <c r="J38" s="17">
        <v>1346.9824</v>
      </c>
      <c r="K38" s="17">
        <v>1198.2113</v>
      </c>
      <c r="L38" s="17">
        <v>1803.6182</v>
      </c>
      <c r="M38" s="17">
        <v>1657.1564</v>
      </c>
      <c r="N38" s="17">
        <v>3282.1273</v>
      </c>
      <c r="O38" s="25">
        <f>SUM(C38:N38)</f>
        <v>0</v>
      </c>
    </row>
    <row r="39" spans="2:15">
      <c r="B39" s="16">
        <v>2023</v>
      </c>
      <c r="C39" s="17">
        <v>3159.4181</v>
      </c>
      <c r="D39" s="17">
        <v>2679.4067</v>
      </c>
      <c r="E39" s="17">
        <v>3076.538</v>
      </c>
      <c r="F39" s="17">
        <v>2468.7029</v>
      </c>
      <c r="G39" s="17">
        <v>1748.7276</v>
      </c>
      <c r="H39" s="17">
        <v>1921.4961</v>
      </c>
      <c r="I39" s="17">
        <v>1475.1268</v>
      </c>
      <c r="J39" s="17">
        <v>1444.011</v>
      </c>
      <c r="K39" s="17">
        <v>1531.522</v>
      </c>
      <c r="L39" s="17">
        <v>1988.7435</v>
      </c>
      <c r="M39" s="17">
        <v>1350.9239</v>
      </c>
      <c r="N39" s="17">
        <v>847.5423</v>
      </c>
      <c r="O39" s="25">
        <f>SUM(C39:N39)</f>
        <v>0</v>
      </c>
    </row>
    <row r="40" spans="2:15">
      <c r="B40" s="16">
        <v>2024</v>
      </c>
      <c r="C40" s="17">
        <v>2433.6238</v>
      </c>
      <c r="D40" s="17">
        <v>5025.1422</v>
      </c>
      <c r="E40" s="17">
        <v>2051.1556</v>
      </c>
      <c r="F40" s="17">
        <v>1881.5364</v>
      </c>
      <c r="G40" s="17">
        <v>940.6905</v>
      </c>
      <c r="H40" s="17">
        <v>1023.714</v>
      </c>
      <c r="I40" s="17">
        <v>1472.8685</v>
      </c>
      <c r="J40" s="17">
        <v>1211.9996</v>
      </c>
      <c r="K40" s="17">
        <v>1844.9944</v>
      </c>
      <c r="L40" s="17">
        <v>1940.158</v>
      </c>
      <c r="M40" s="17">
        <v>1047.007</v>
      </c>
      <c r="N40" s="17">
        <v>709.6768</v>
      </c>
      <c r="O40" s="25">
        <f>SUM(C40:N40)</f>
        <v>0</v>
      </c>
    </row>
    <row r="41" spans="2:15">
      <c r="B41" s="16">
        <v>2025</v>
      </c>
      <c r="C41" s="17">
        <v>1400.9949</v>
      </c>
      <c r="D41" s="17">
        <v>2023.3805</v>
      </c>
      <c r="E41" s="17">
        <v>2228.4465</v>
      </c>
      <c r="F41" s="17">
        <v>2621.2351</v>
      </c>
      <c r="G41" s="17">
        <v>1753.1826</v>
      </c>
      <c r="H41" s="17">
        <v>1169.5851</v>
      </c>
      <c r="I41" s="17">
        <v>939.4538</v>
      </c>
      <c r="J41" s="17">
        <v>979.7175</v>
      </c>
      <c r="K41" s="17">
        <v>1487.0255</v>
      </c>
      <c r="L41" s="17">
        <v>2468.751</v>
      </c>
      <c r="M41" s="17">
        <v>1324.048</v>
      </c>
      <c r="N41" s="17">
        <v>861.7330000000001</v>
      </c>
      <c r="O41" s="25">
        <f>SUM(C41:N41)</f>
        <v>0</v>
      </c>
    </row>
    <row r="42" spans="2:15">
      <c r="B42" s="20">
        <v>2026</v>
      </c>
      <c r="C42" s="21">
        <v>786.9865</v>
      </c>
      <c r="D42" s="21">
        <v>1792.968</v>
      </c>
      <c r="E42" s="21">
        <v>1118.4157</v>
      </c>
      <c r="F42" s="21">
        <v>2043.992</v>
      </c>
      <c r="G42" s="21">
        <v>1202.4129</v>
      </c>
      <c r="H42" s="21">
        <v>979.7867</v>
      </c>
      <c r="I42" s="21">
        <v>141.934</v>
      </c>
      <c r="J42" s="21">
        <v>47</v>
      </c>
      <c r="K42" s="21">
        <v>47</v>
      </c>
      <c r="L42" s="21">
        <v>47</v>
      </c>
      <c r="M42" s="21">
        <v>42.3</v>
      </c>
      <c r="N42" s="21">
        <v>0</v>
      </c>
      <c r="O42" s="21">
        <f>SUM(C42:N42)</f>
        <v>0</v>
      </c>
    </row>
  </sheetData>
  <mergeCells count="5">
    <mergeCell ref="B2:O2"/>
    <mergeCell ref="B3:O3"/>
    <mergeCell ref="B6:O6"/>
    <mergeCell ref="B19:O19"/>
    <mergeCell ref="B32:O32"/>
  </mergeCells>
  <pageMargins left="0.3" right="0.3" top="0.4" bottom="0.4" header="0.3" footer="0.3"/>
  <pageSetup paperSize="1"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548235"/>
    <pageSetUpPr fitToPage="1"/>
  </sheetPr>
  <dimension ref="B2:N101"/>
  <sheetViews>
    <sheetView showGridLines="0" workbookViewId="0"/>
  </sheetViews>
  <sheetFormatPr defaultRowHeight="15"/>
  <cols>
    <col min="1" max="1" width="2.7109375" customWidth="1"/>
    <col min="2" max="2" width="18.7109375" customWidth="1"/>
    <col min="3" max="14" width="8.7109375" customWidth="1"/>
  </cols>
  <sheetData>
    <row r="2" spans="2:14">
      <c r="B2" s="1" t="s">
        <v>100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2:14">
      <c r="B3" s="2" t="s">
        <v>101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6" spans="2:14" ht="20" customHeight="1">
      <c r="B6" s="27" t="s">
        <v>102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</row>
    <row r="7" spans="2:14">
      <c r="B7" s="14" t="s">
        <v>103</v>
      </c>
      <c r="C7" s="15" t="s">
        <v>86</v>
      </c>
      <c r="D7" s="15" t="s">
        <v>87</v>
      </c>
      <c r="E7" s="15" t="s">
        <v>88</v>
      </c>
      <c r="F7" s="15" t="s">
        <v>89</v>
      </c>
      <c r="G7" s="15" t="s">
        <v>90</v>
      </c>
      <c r="H7" s="15" t="s">
        <v>91</v>
      </c>
      <c r="I7" s="15" t="s">
        <v>92</v>
      </c>
      <c r="J7" s="15" t="s">
        <v>93</v>
      </c>
      <c r="K7" s="15" t="s">
        <v>94</v>
      </c>
      <c r="L7" s="15" t="s">
        <v>95</v>
      </c>
      <c r="M7" s="15" t="s">
        <v>96</v>
      </c>
      <c r="N7" s="15" t="s">
        <v>97</v>
      </c>
    </row>
    <row r="8" spans="2:14">
      <c r="B8" s="18" t="s">
        <v>104</v>
      </c>
      <c r="C8" s="17">
        <v>3.22</v>
      </c>
      <c r="D8" s="17">
        <v>12.04</v>
      </c>
      <c r="E8" s="17">
        <v>12.48</v>
      </c>
      <c r="F8" s="17">
        <v>3.78</v>
      </c>
      <c r="G8" s="17">
        <v>0</v>
      </c>
      <c r="H8" s="17">
        <v>0</v>
      </c>
      <c r="I8" s="17">
        <v>0</v>
      </c>
      <c r="J8" s="17">
        <v>0</v>
      </c>
      <c r="K8" s="17">
        <v>71.8939</v>
      </c>
      <c r="L8" s="17">
        <v>82.5856</v>
      </c>
      <c r="M8" s="17">
        <v>0</v>
      </c>
      <c r="N8" s="17">
        <v>0</v>
      </c>
    </row>
    <row r="9" spans="2:14">
      <c r="B9" s="18" t="s">
        <v>105</v>
      </c>
      <c r="C9" s="17">
        <v>29.58</v>
      </c>
      <c r="D9" s="17">
        <v>25.1</v>
      </c>
      <c r="E9" s="17">
        <v>38.548</v>
      </c>
      <c r="F9" s="17">
        <v>2.2</v>
      </c>
      <c r="G9" s="17">
        <v>21.2</v>
      </c>
      <c r="H9" s="17">
        <v>224.3867</v>
      </c>
      <c r="I9" s="17">
        <v>0.704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</row>
    <row r="10" spans="2:14">
      <c r="B10" s="18" t="s">
        <v>106</v>
      </c>
      <c r="C10" s="17">
        <v>240.51</v>
      </c>
      <c r="D10" s="17">
        <v>486.744</v>
      </c>
      <c r="E10" s="17">
        <v>667.28</v>
      </c>
      <c r="F10" s="17">
        <v>363.0836</v>
      </c>
      <c r="G10" s="17">
        <v>265.68</v>
      </c>
      <c r="H10" s="17">
        <v>191.7042</v>
      </c>
      <c r="I10" s="17">
        <v>175.9952</v>
      </c>
      <c r="J10" s="17">
        <v>4.58</v>
      </c>
      <c r="K10" s="17">
        <v>7.8</v>
      </c>
      <c r="L10" s="17">
        <v>10.24</v>
      </c>
      <c r="M10" s="17">
        <v>2.04</v>
      </c>
      <c r="N10" s="17">
        <v>0</v>
      </c>
    </row>
    <row r="11" spans="2:14">
      <c r="B11" s="18" t="s">
        <v>107</v>
      </c>
      <c r="C11" s="17">
        <v>99.0698</v>
      </c>
      <c r="D11" s="17">
        <v>62.445</v>
      </c>
      <c r="E11" s="17">
        <v>236.6964</v>
      </c>
      <c r="F11" s="17">
        <v>214.8537</v>
      </c>
      <c r="G11" s="17">
        <v>23.4</v>
      </c>
      <c r="H11" s="17">
        <v>1.82</v>
      </c>
      <c r="I11" s="17">
        <v>75.05</v>
      </c>
      <c r="J11" s="17">
        <v>10.9</v>
      </c>
      <c r="K11" s="17">
        <v>87.26389999999999</v>
      </c>
      <c r="L11" s="17">
        <v>154.0685</v>
      </c>
      <c r="M11" s="17">
        <v>159.3301</v>
      </c>
      <c r="N11" s="17">
        <v>197.87</v>
      </c>
    </row>
    <row r="12" spans="2:14">
      <c r="B12" s="18" t="s">
        <v>108</v>
      </c>
      <c r="C12" s="17">
        <v>126.05</v>
      </c>
      <c r="D12" s="17">
        <v>440</v>
      </c>
      <c r="E12" s="17">
        <v>473.92</v>
      </c>
      <c r="F12" s="17">
        <v>110.08</v>
      </c>
      <c r="G12" s="17">
        <v>46.16</v>
      </c>
      <c r="H12" s="17">
        <v>316.8375</v>
      </c>
      <c r="I12" s="17">
        <v>283.35</v>
      </c>
      <c r="J12" s="17">
        <v>2.6</v>
      </c>
      <c r="K12" s="17">
        <v>391.5052</v>
      </c>
      <c r="L12" s="17">
        <v>695.6900000000001</v>
      </c>
      <c r="M12" s="17">
        <v>256.507</v>
      </c>
      <c r="N12" s="17">
        <v>30.79</v>
      </c>
    </row>
    <row r="13" spans="2:14">
      <c r="B13" s="18" t="s">
        <v>109</v>
      </c>
      <c r="C13" s="17">
        <v>0</v>
      </c>
      <c r="D13" s="17">
        <v>0</v>
      </c>
      <c r="E13" s="17">
        <v>236.8488</v>
      </c>
      <c r="F13" s="17">
        <v>108.2632</v>
      </c>
      <c r="G13" s="17">
        <v>0</v>
      </c>
      <c r="H13" s="17">
        <v>0</v>
      </c>
      <c r="I13" s="17">
        <v>0</v>
      </c>
      <c r="J13" s="17">
        <v>0</v>
      </c>
      <c r="K13" s="17">
        <v>38.7069</v>
      </c>
      <c r="L13" s="17">
        <v>5.5959</v>
      </c>
      <c r="M13" s="17">
        <v>0</v>
      </c>
      <c r="N13" s="17">
        <v>0</v>
      </c>
    </row>
    <row r="28" spans="2:14" ht="20" customHeight="1">
      <c r="B28" s="27" t="s">
        <v>110</v>
      </c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</row>
    <row r="29" spans="2:14">
      <c r="B29" s="14" t="s">
        <v>103</v>
      </c>
      <c r="C29" s="15" t="s">
        <v>86</v>
      </c>
      <c r="D29" s="15" t="s">
        <v>87</v>
      </c>
      <c r="E29" s="15" t="s">
        <v>88</v>
      </c>
      <c r="F29" s="15" t="s">
        <v>89</v>
      </c>
      <c r="G29" s="15" t="s">
        <v>90</v>
      </c>
      <c r="H29" s="15" t="s">
        <v>91</v>
      </c>
      <c r="I29" s="15" t="s">
        <v>92</v>
      </c>
      <c r="J29" s="15" t="s">
        <v>93</v>
      </c>
      <c r="K29" s="15" t="s">
        <v>94</v>
      </c>
      <c r="L29" s="15" t="s">
        <v>95</v>
      </c>
      <c r="M29" s="15" t="s">
        <v>96</v>
      </c>
      <c r="N29" s="15" t="s">
        <v>97</v>
      </c>
    </row>
    <row r="30" spans="2:14">
      <c r="B30" s="18" t="s">
        <v>104</v>
      </c>
      <c r="C30" s="17">
        <v>0</v>
      </c>
      <c r="D30" s="17">
        <v>152.32</v>
      </c>
      <c r="E30" s="17">
        <v>1116.623</v>
      </c>
      <c r="F30" s="17">
        <v>1226.99</v>
      </c>
      <c r="G30" s="17">
        <v>454.127</v>
      </c>
      <c r="H30" s="17">
        <v>0</v>
      </c>
      <c r="I30" s="17">
        <v>8</v>
      </c>
      <c r="J30" s="17">
        <v>0</v>
      </c>
      <c r="K30" s="17">
        <v>572.9400000000001</v>
      </c>
      <c r="L30" s="17">
        <v>705.146</v>
      </c>
      <c r="M30" s="17">
        <v>397.5</v>
      </c>
      <c r="N30" s="17">
        <v>0</v>
      </c>
    </row>
    <row r="31" spans="2:14">
      <c r="B31" s="18" t="s">
        <v>105</v>
      </c>
      <c r="C31" s="17">
        <v>161.3505</v>
      </c>
      <c r="D31" s="17">
        <v>568.1735</v>
      </c>
      <c r="E31" s="17">
        <v>119.4167</v>
      </c>
      <c r="F31" s="17">
        <v>287.843</v>
      </c>
      <c r="G31" s="17">
        <v>375.833</v>
      </c>
      <c r="H31" s="17">
        <v>163.075</v>
      </c>
      <c r="I31" s="17">
        <v>13.715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</row>
    <row r="32" spans="2:14">
      <c r="B32" s="18" t="s">
        <v>106</v>
      </c>
      <c r="C32" s="17">
        <v>194.6489</v>
      </c>
      <c r="D32" s="17">
        <v>601.5409</v>
      </c>
      <c r="E32" s="17">
        <v>1263.025</v>
      </c>
      <c r="F32" s="17">
        <v>2161.4255</v>
      </c>
      <c r="G32" s="17">
        <v>919.8905999999999</v>
      </c>
      <c r="H32" s="17">
        <v>326.2495</v>
      </c>
      <c r="I32" s="17">
        <v>260.566</v>
      </c>
      <c r="J32" s="17">
        <v>603.6235</v>
      </c>
      <c r="K32" s="17">
        <v>773.2645</v>
      </c>
      <c r="L32" s="17">
        <v>1204.6989</v>
      </c>
      <c r="M32" s="17">
        <v>328.8481</v>
      </c>
      <c r="N32" s="17">
        <v>129.87</v>
      </c>
    </row>
    <row r="33" spans="2:14">
      <c r="B33" s="18" t="s">
        <v>107</v>
      </c>
      <c r="C33" s="17">
        <v>82.622</v>
      </c>
      <c r="D33" s="17">
        <v>1893.1044</v>
      </c>
      <c r="E33" s="17">
        <v>1347.1691</v>
      </c>
      <c r="F33" s="17">
        <v>1456.5636</v>
      </c>
      <c r="G33" s="17">
        <v>670.5625</v>
      </c>
      <c r="H33" s="17">
        <v>364.397</v>
      </c>
      <c r="I33" s="17">
        <v>802.508</v>
      </c>
      <c r="J33" s="17">
        <v>516.3492</v>
      </c>
      <c r="K33" s="17">
        <v>1029.2768</v>
      </c>
      <c r="L33" s="17">
        <v>1512.466</v>
      </c>
      <c r="M33" s="17">
        <v>525.778</v>
      </c>
      <c r="N33" s="17">
        <v>41.1286</v>
      </c>
    </row>
    <row r="34" spans="2:14">
      <c r="B34" s="18" t="s">
        <v>108</v>
      </c>
      <c r="C34" s="17">
        <v>1256.5976</v>
      </c>
      <c r="D34" s="17">
        <v>1088.065</v>
      </c>
      <c r="E34" s="17">
        <v>1877.395</v>
      </c>
      <c r="F34" s="17">
        <v>2007.8074</v>
      </c>
      <c r="G34" s="17">
        <v>1042.2436</v>
      </c>
      <c r="H34" s="17">
        <v>511.95</v>
      </c>
      <c r="I34" s="17">
        <v>453.487</v>
      </c>
      <c r="J34" s="17">
        <v>182.999</v>
      </c>
      <c r="K34" s="17">
        <v>1481.1244</v>
      </c>
      <c r="L34" s="17">
        <v>1816.5088</v>
      </c>
      <c r="M34" s="17">
        <v>326.1729</v>
      </c>
      <c r="N34" s="17">
        <v>60.5386</v>
      </c>
    </row>
    <row r="35" spans="2:14">
      <c r="B35" s="18" t="s">
        <v>109</v>
      </c>
      <c r="C35" s="17">
        <v>0</v>
      </c>
      <c r="D35" s="17">
        <v>192.48</v>
      </c>
      <c r="E35" s="17">
        <v>614.741</v>
      </c>
      <c r="F35" s="17">
        <v>961.0699999999999</v>
      </c>
      <c r="G35" s="17">
        <v>473.25</v>
      </c>
      <c r="H35" s="17">
        <v>0</v>
      </c>
      <c r="I35" s="17">
        <v>0</v>
      </c>
      <c r="J35" s="17">
        <v>0</v>
      </c>
      <c r="K35" s="17">
        <v>1168.516</v>
      </c>
      <c r="L35" s="17">
        <v>583.63</v>
      </c>
      <c r="M35" s="17">
        <v>1.8</v>
      </c>
      <c r="N35" s="17">
        <v>0</v>
      </c>
    </row>
    <row r="50" spans="2:14" ht="20" customHeight="1">
      <c r="B50" s="27" t="s">
        <v>111</v>
      </c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</row>
    <row r="51" spans="2:14">
      <c r="B51" s="14" t="s">
        <v>103</v>
      </c>
      <c r="C51" s="15" t="s">
        <v>86</v>
      </c>
      <c r="D51" s="15" t="s">
        <v>87</v>
      </c>
      <c r="E51" s="15" t="s">
        <v>88</v>
      </c>
      <c r="F51" s="15" t="s">
        <v>89</v>
      </c>
      <c r="G51" s="15" t="s">
        <v>90</v>
      </c>
      <c r="H51" s="15" t="s">
        <v>91</v>
      </c>
      <c r="I51" s="15" t="s">
        <v>92</v>
      </c>
      <c r="J51" s="15" t="s">
        <v>93</v>
      </c>
      <c r="K51" s="15" t="s">
        <v>94</v>
      </c>
      <c r="L51" s="15" t="s">
        <v>95</v>
      </c>
      <c r="M51" s="15" t="s">
        <v>96</v>
      </c>
      <c r="N51" s="15" t="s">
        <v>97</v>
      </c>
    </row>
    <row r="52" spans="2:14">
      <c r="B52" s="18" t="s">
        <v>104</v>
      </c>
      <c r="C52" s="17">
        <v>879.5774</v>
      </c>
      <c r="D52" s="17">
        <v>1498.1345</v>
      </c>
      <c r="E52" s="17">
        <v>645.745</v>
      </c>
      <c r="F52" s="17">
        <v>229.32</v>
      </c>
      <c r="G52" s="17">
        <v>221.335</v>
      </c>
      <c r="H52" s="17">
        <v>55.65</v>
      </c>
      <c r="I52" s="17">
        <v>115.992</v>
      </c>
      <c r="J52" s="17">
        <v>156.58</v>
      </c>
      <c r="K52" s="17">
        <v>416.941</v>
      </c>
      <c r="L52" s="17">
        <v>587.8024</v>
      </c>
      <c r="M52" s="17">
        <v>121.48</v>
      </c>
      <c r="N52" s="17">
        <v>0</v>
      </c>
    </row>
    <row r="53" spans="2:14">
      <c r="B53" s="18" t="s">
        <v>105</v>
      </c>
      <c r="C53" s="17">
        <v>275.676</v>
      </c>
      <c r="D53" s="17">
        <v>807.2025</v>
      </c>
      <c r="E53" s="17">
        <v>652.611</v>
      </c>
      <c r="F53" s="17">
        <v>1045.263</v>
      </c>
      <c r="G53" s="17">
        <v>531.2234999999999</v>
      </c>
      <c r="H53" s="17">
        <v>582.155</v>
      </c>
      <c r="I53" s="17">
        <v>122.685</v>
      </c>
      <c r="J53" s="17">
        <v>47</v>
      </c>
      <c r="K53" s="17">
        <v>47</v>
      </c>
      <c r="L53" s="17">
        <v>47</v>
      </c>
      <c r="M53" s="17">
        <v>42.3</v>
      </c>
      <c r="N53" s="17">
        <v>0</v>
      </c>
    </row>
    <row r="54" spans="2:14">
      <c r="B54" s="18" t="s">
        <v>106</v>
      </c>
      <c r="C54" s="17">
        <v>2513.4756</v>
      </c>
      <c r="D54" s="17">
        <v>2916.5111</v>
      </c>
      <c r="E54" s="17">
        <v>1164.668</v>
      </c>
      <c r="F54" s="17">
        <v>951.206</v>
      </c>
      <c r="G54" s="17">
        <v>451.324</v>
      </c>
      <c r="H54" s="17">
        <v>382.749</v>
      </c>
      <c r="I54" s="17">
        <v>296.0898</v>
      </c>
      <c r="J54" s="17">
        <v>608.524</v>
      </c>
      <c r="K54" s="17">
        <v>2193.196</v>
      </c>
      <c r="L54" s="17">
        <v>3093.4153</v>
      </c>
      <c r="M54" s="17">
        <v>1683.7699</v>
      </c>
      <c r="N54" s="17">
        <v>172.694</v>
      </c>
    </row>
    <row r="55" spans="2:14">
      <c r="B55" s="18" t="s">
        <v>107</v>
      </c>
      <c r="C55" s="17">
        <v>3897.7506</v>
      </c>
      <c r="D55" s="17">
        <v>5540.9283</v>
      </c>
      <c r="E55" s="17">
        <v>2248.1637</v>
      </c>
      <c r="F55" s="17">
        <v>2012.658</v>
      </c>
      <c r="G55" s="17">
        <v>1141.365</v>
      </c>
      <c r="H55" s="17">
        <v>1180.7915</v>
      </c>
      <c r="I55" s="17">
        <v>1019.787</v>
      </c>
      <c r="J55" s="17">
        <v>1019.9182</v>
      </c>
      <c r="K55" s="17">
        <v>1784.1745</v>
      </c>
      <c r="L55" s="17">
        <v>2036.786</v>
      </c>
      <c r="M55" s="17">
        <v>1212.9515</v>
      </c>
      <c r="N55" s="17">
        <v>324.6714</v>
      </c>
    </row>
    <row r="56" spans="2:14">
      <c r="B56" s="18" t="s">
        <v>108</v>
      </c>
      <c r="C56" s="17">
        <v>3219.0812</v>
      </c>
      <c r="D56" s="17">
        <v>3622.339</v>
      </c>
      <c r="E56" s="17">
        <v>3305.26</v>
      </c>
      <c r="F56" s="17">
        <v>2929.6089</v>
      </c>
      <c r="G56" s="17">
        <v>2020.7778</v>
      </c>
      <c r="H56" s="17">
        <v>1367.2069</v>
      </c>
      <c r="I56" s="17">
        <v>772.8094</v>
      </c>
      <c r="J56" s="17">
        <v>1367.907</v>
      </c>
      <c r="K56" s="17">
        <v>1980.1739</v>
      </c>
      <c r="L56" s="17">
        <v>3552.627</v>
      </c>
      <c r="M56" s="17">
        <v>1809.522</v>
      </c>
      <c r="N56" s="17">
        <v>541.6272</v>
      </c>
    </row>
    <row r="57" spans="2:14">
      <c r="B57" s="18" t="s">
        <v>109</v>
      </c>
      <c r="C57" s="17">
        <v>692.313</v>
      </c>
      <c r="D57" s="17">
        <v>1256.1221</v>
      </c>
      <c r="E57" s="17">
        <v>1565.6915</v>
      </c>
      <c r="F57" s="17">
        <v>664.0222</v>
      </c>
      <c r="G57" s="17">
        <v>134.4</v>
      </c>
      <c r="H57" s="17">
        <v>210.95</v>
      </c>
      <c r="I57" s="17">
        <v>164</v>
      </c>
      <c r="J57" s="17">
        <v>47.56</v>
      </c>
      <c r="K57" s="17">
        <v>1545.905</v>
      </c>
      <c r="L57" s="17">
        <v>1819.237</v>
      </c>
      <c r="M57" s="17">
        <v>446.133</v>
      </c>
      <c r="N57" s="17">
        <v>0</v>
      </c>
    </row>
    <row r="72" spans="2:14" ht="20" customHeight="1">
      <c r="B72" s="27" t="s">
        <v>112</v>
      </c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</row>
    <row r="73" spans="2:14">
      <c r="B73" s="14" t="s">
        <v>103</v>
      </c>
      <c r="C73" s="15" t="s">
        <v>86</v>
      </c>
      <c r="D73" s="15" t="s">
        <v>87</v>
      </c>
      <c r="E73" s="15" t="s">
        <v>88</v>
      </c>
      <c r="F73" s="15" t="s">
        <v>89</v>
      </c>
      <c r="G73" s="15" t="s">
        <v>90</v>
      </c>
      <c r="H73" s="15" t="s">
        <v>91</v>
      </c>
      <c r="I73" s="15" t="s">
        <v>92</v>
      </c>
      <c r="J73" s="15" t="s">
        <v>93</v>
      </c>
      <c r="K73" s="15" t="s">
        <v>94</v>
      </c>
      <c r="L73" s="15" t="s">
        <v>95</v>
      </c>
      <c r="M73" s="15" t="s">
        <v>96</v>
      </c>
      <c r="N73" s="15" t="s">
        <v>97</v>
      </c>
    </row>
    <row r="74" spans="2:14">
      <c r="B74" s="18" t="s">
        <v>104</v>
      </c>
      <c r="C74" s="17">
        <v>0</v>
      </c>
      <c r="D74" s="17">
        <v>7.79</v>
      </c>
      <c r="E74" s="17">
        <v>173.293</v>
      </c>
      <c r="F74" s="17">
        <v>263.53</v>
      </c>
      <c r="G74" s="17">
        <v>52.988</v>
      </c>
      <c r="H74" s="17">
        <v>0</v>
      </c>
      <c r="I74" s="17">
        <v>0</v>
      </c>
      <c r="J74" s="17">
        <v>0</v>
      </c>
      <c r="K74" s="17">
        <v>0</v>
      </c>
      <c r="L74" s="17">
        <v>19.62</v>
      </c>
      <c r="M74" s="17">
        <v>0</v>
      </c>
      <c r="N74" s="17">
        <v>0</v>
      </c>
    </row>
    <row r="75" spans="2:14">
      <c r="B75" s="18" t="s">
        <v>105</v>
      </c>
      <c r="C75" s="17">
        <v>0</v>
      </c>
      <c r="D75" s="17">
        <v>27.512</v>
      </c>
      <c r="E75" s="17">
        <v>20.374</v>
      </c>
      <c r="F75" s="17">
        <v>34.52500000000001</v>
      </c>
      <c r="G75" s="17">
        <v>75.6664</v>
      </c>
      <c r="H75" s="17">
        <v>10.17</v>
      </c>
      <c r="I75" s="17">
        <v>4.83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</row>
    <row r="76" spans="2:14">
      <c r="B76" s="18" t="s">
        <v>106</v>
      </c>
      <c r="C76" s="17">
        <v>63.17959999999999</v>
      </c>
      <c r="D76" s="17">
        <v>36.9436</v>
      </c>
      <c r="E76" s="17">
        <v>72.16249999999999</v>
      </c>
      <c r="F76" s="17">
        <v>127.706</v>
      </c>
      <c r="G76" s="17">
        <v>75.15000000000001</v>
      </c>
      <c r="H76" s="17">
        <v>8.223000000000001</v>
      </c>
      <c r="I76" s="17">
        <v>92.11199999999999</v>
      </c>
      <c r="J76" s="17">
        <v>4.779999999999999</v>
      </c>
      <c r="K76" s="17">
        <v>6.365</v>
      </c>
      <c r="L76" s="17">
        <v>54.195</v>
      </c>
      <c r="M76" s="17">
        <v>16.895</v>
      </c>
      <c r="N76" s="17">
        <v>14.089</v>
      </c>
    </row>
    <row r="77" spans="2:14">
      <c r="B77" s="18" t="s">
        <v>107</v>
      </c>
      <c r="C77" s="17">
        <v>71.7204</v>
      </c>
      <c r="D77" s="17">
        <v>226.08</v>
      </c>
      <c r="E77" s="17">
        <v>244.3878</v>
      </c>
      <c r="F77" s="17">
        <v>138.769</v>
      </c>
      <c r="G77" s="17">
        <v>31.459</v>
      </c>
      <c r="H77" s="17">
        <v>17.778</v>
      </c>
      <c r="I77" s="17">
        <v>23.131</v>
      </c>
      <c r="J77" s="17">
        <v>38.4844</v>
      </c>
      <c r="K77" s="17">
        <v>131.881</v>
      </c>
      <c r="L77" s="17">
        <v>58.955</v>
      </c>
      <c r="M77" s="17">
        <v>6.975</v>
      </c>
      <c r="N77" s="17">
        <v>44.4628</v>
      </c>
    </row>
    <row r="78" spans="2:14">
      <c r="B78" s="18" t="s">
        <v>108</v>
      </c>
      <c r="C78" s="17">
        <v>493.348</v>
      </c>
      <c r="D78" s="17">
        <v>408.143</v>
      </c>
      <c r="E78" s="17">
        <v>357.3731</v>
      </c>
      <c r="F78" s="17">
        <v>344.0876</v>
      </c>
      <c r="G78" s="17">
        <v>228.289</v>
      </c>
      <c r="H78" s="17">
        <v>53.3175</v>
      </c>
      <c r="I78" s="17">
        <v>40.651</v>
      </c>
      <c r="J78" s="17">
        <v>76.8</v>
      </c>
      <c r="K78" s="17">
        <v>0</v>
      </c>
      <c r="L78" s="17">
        <v>2.726</v>
      </c>
      <c r="M78" s="17">
        <v>18.951</v>
      </c>
      <c r="N78" s="17">
        <v>111.2157</v>
      </c>
    </row>
    <row r="79" spans="2:14">
      <c r="B79" s="18" t="s">
        <v>109</v>
      </c>
      <c r="C79" s="17">
        <v>0</v>
      </c>
      <c r="D79" s="17">
        <v>139.68</v>
      </c>
      <c r="E79" s="17">
        <v>251.725</v>
      </c>
      <c r="F79" s="17">
        <v>257.098</v>
      </c>
      <c r="G79" s="17">
        <v>242.162</v>
      </c>
      <c r="H79" s="17">
        <v>0.855</v>
      </c>
      <c r="I79" s="17">
        <v>0</v>
      </c>
      <c r="J79" s="17">
        <v>0</v>
      </c>
      <c r="K79" s="17">
        <v>42.994</v>
      </c>
      <c r="L79" s="17">
        <v>34.444</v>
      </c>
      <c r="M79" s="17">
        <v>4.753</v>
      </c>
      <c r="N79" s="17">
        <v>0</v>
      </c>
    </row>
    <row r="94" spans="2:14" ht="20" customHeight="1">
      <c r="B94" s="27" t="s">
        <v>113</v>
      </c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</row>
    <row r="95" spans="2:14">
      <c r="B95" s="14" t="s">
        <v>103</v>
      </c>
      <c r="C95" s="15" t="s">
        <v>86</v>
      </c>
      <c r="D95" s="15" t="s">
        <v>87</v>
      </c>
      <c r="E95" s="15" t="s">
        <v>88</v>
      </c>
      <c r="F95" s="15" t="s">
        <v>89</v>
      </c>
      <c r="G95" s="15" t="s">
        <v>90</v>
      </c>
      <c r="H95" s="15" t="s">
        <v>91</v>
      </c>
      <c r="I95" s="15" t="s">
        <v>92</v>
      </c>
      <c r="J95" s="15" t="s">
        <v>93</v>
      </c>
      <c r="K95" s="15" t="s">
        <v>94</v>
      </c>
      <c r="L95" s="15" t="s">
        <v>95</v>
      </c>
      <c r="M95" s="15" t="s">
        <v>96</v>
      </c>
      <c r="N95" s="15" t="s">
        <v>97</v>
      </c>
    </row>
    <row r="96" spans="2:14">
      <c r="B96" s="18" t="s">
        <v>104</v>
      </c>
      <c r="C96" s="17">
        <v>179.8849</v>
      </c>
      <c r="D96" s="17">
        <v>275.9716</v>
      </c>
      <c r="E96" s="17">
        <v>85.6249</v>
      </c>
      <c r="F96" s="17">
        <v>214.89</v>
      </c>
      <c r="G96" s="17">
        <v>272.8808</v>
      </c>
      <c r="H96" s="17">
        <v>123.38</v>
      </c>
      <c r="I96" s="17">
        <v>109.58</v>
      </c>
      <c r="J96" s="17">
        <v>47.53</v>
      </c>
      <c r="K96" s="17">
        <v>110.06</v>
      </c>
      <c r="L96" s="17">
        <v>198.14</v>
      </c>
      <c r="M96" s="17">
        <v>136.196</v>
      </c>
      <c r="N96" s="17">
        <v>9.5</v>
      </c>
    </row>
    <row r="97" spans="2:14">
      <c r="B97" s="18" t="s">
        <v>105</v>
      </c>
      <c r="C97" s="17">
        <v>320.38</v>
      </c>
      <c r="D97" s="17">
        <v>364.98</v>
      </c>
      <c r="E97" s="17">
        <v>287.466</v>
      </c>
      <c r="F97" s="17">
        <v>674.1609999999999</v>
      </c>
      <c r="G97" s="17">
        <v>198.49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</row>
    <row r="98" spans="2:14">
      <c r="B98" s="18" t="s">
        <v>106</v>
      </c>
      <c r="C98" s="17">
        <v>509.283</v>
      </c>
      <c r="D98" s="17">
        <v>985.422</v>
      </c>
      <c r="E98" s="17">
        <v>1263.928</v>
      </c>
      <c r="F98" s="17">
        <v>1698.66</v>
      </c>
      <c r="G98" s="17">
        <v>942.048</v>
      </c>
      <c r="H98" s="17">
        <v>631.49</v>
      </c>
      <c r="I98" s="17">
        <v>370.407</v>
      </c>
      <c r="J98" s="17">
        <v>387.615</v>
      </c>
      <c r="K98" s="17">
        <v>563.551</v>
      </c>
      <c r="L98" s="17">
        <v>1485.9288</v>
      </c>
      <c r="M98" s="17">
        <v>1026.309</v>
      </c>
      <c r="N98" s="17">
        <v>626.7</v>
      </c>
    </row>
    <row r="99" spans="2:14">
      <c r="B99" s="18" t="s">
        <v>107</v>
      </c>
      <c r="C99" s="17">
        <v>533.6799999999999</v>
      </c>
      <c r="D99" s="17">
        <v>1069.4633</v>
      </c>
      <c r="E99" s="17">
        <v>618.688</v>
      </c>
      <c r="F99" s="17">
        <v>709.707</v>
      </c>
      <c r="G99" s="17">
        <v>615.076</v>
      </c>
      <c r="H99" s="17">
        <v>544.169</v>
      </c>
      <c r="I99" s="17">
        <v>65.27200000000001</v>
      </c>
      <c r="J99" s="17">
        <v>112.765</v>
      </c>
      <c r="K99" s="17">
        <v>533.729</v>
      </c>
      <c r="L99" s="17">
        <v>647.6950000000001</v>
      </c>
      <c r="M99" s="17">
        <v>325.03</v>
      </c>
      <c r="N99" s="17">
        <v>171.0665</v>
      </c>
    </row>
    <row r="100" spans="2:14">
      <c r="B100" s="18" t="s">
        <v>108</v>
      </c>
      <c r="C100" s="17">
        <v>617.2497999999999</v>
      </c>
      <c r="D100" s="17">
        <v>1255.1687</v>
      </c>
      <c r="E100" s="17">
        <v>727.2744</v>
      </c>
      <c r="F100" s="17">
        <v>724.665</v>
      </c>
      <c r="G100" s="17">
        <v>482.509</v>
      </c>
      <c r="H100" s="17">
        <v>40.6612</v>
      </c>
      <c r="I100" s="17">
        <v>96.7664</v>
      </c>
      <c r="J100" s="17">
        <v>129.265</v>
      </c>
      <c r="K100" s="17">
        <v>102.055</v>
      </c>
      <c r="L100" s="17">
        <v>864.36</v>
      </c>
      <c r="M100" s="17">
        <v>658.28</v>
      </c>
      <c r="N100" s="17">
        <v>231.929</v>
      </c>
    </row>
    <row r="101" spans="2:14">
      <c r="B101" s="18" t="s">
        <v>109</v>
      </c>
      <c r="C101" s="17">
        <v>396.02</v>
      </c>
      <c r="D101" s="17">
        <v>504.118</v>
      </c>
      <c r="E101" s="17">
        <v>241.146</v>
      </c>
      <c r="F101" s="17">
        <v>13.559</v>
      </c>
      <c r="G101" s="17">
        <v>51.34</v>
      </c>
      <c r="H101" s="17">
        <v>3.5</v>
      </c>
      <c r="I101" s="17">
        <v>3.5</v>
      </c>
      <c r="J101" s="17">
        <v>3.5</v>
      </c>
      <c r="K101" s="17">
        <v>190.75</v>
      </c>
      <c r="L101" s="17">
        <v>513.04</v>
      </c>
      <c r="M101" s="17">
        <v>94.25</v>
      </c>
      <c r="N101" s="17">
        <v>3.5</v>
      </c>
    </row>
  </sheetData>
  <mergeCells count="7">
    <mergeCell ref="B2:N2"/>
    <mergeCell ref="B3:N3"/>
    <mergeCell ref="B6:N6"/>
    <mergeCell ref="B28:N28"/>
    <mergeCell ref="B50:N50"/>
    <mergeCell ref="B72:N72"/>
    <mergeCell ref="B94:N94"/>
  </mergeCells>
  <pageMargins left="0.3" right="0.3" top="0.4" bottom="0.4" header="0.3" footer="0.3"/>
  <pageSetup paperSize="1"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548235"/>
    <pageSetUpPr fitToPage="1"/>
  </sheetPr>
  <dimension ref="B2:N31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2.7109375" customWidth="1"/>
    <col min="2" max="2" width="12.7109375" customWidth="1"/>
    <col min="3" max="14" width="9.7109375" customWidth="1"/>
  </cols>
  <sheetData>
    <row r="2" spans="2:14">
      <c r="B2" s="1" t="s">
        <v>114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2:14">
      <c r="B3" s="2" t="s">
        <v>115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6" spans="2:14" ht="20" customHeight="1">
      <c r="B6" s="7" t="s">
        <v>85</v>
      </c>
      <c r="C6" s="7"/>
      <c r="D6" s="7"/>
      <c r="E6" s="7"/>
      <c r="F6" s="7"/>
      <c r="G6" s="7"/>
      <c r="H6" s="7"/>
      <c r="I6" s="7"/>
      <c r="J6" s="7"/>
      <c r="K6" s="7"/>
      <c r="L6" s="7"/>
    </row>
    <row r="7" spans="2:14">
      <c r="B7" s="14" t="s">
        <v>55</v>
      </c>
      <c r="C7" s="16">
        <v>2018</v>
      </c>
      <c r="D7" s="16">
        <v>2019</v>
      </c>
      <c r="E7" s="16">
        <v>2020</v>
      </c>
      <c r="F7" s="16">
        <v>2021</v>
      </c>
      <c r="G7" s="16">
        <v>2022</v>
      </c>
      <c r="H7" s="16">
        <v>2023</v>
      </c>
      <c r="I7" s="16">
        <v>2024</v>
      </c>
      <c r="J7" s="16">
        <v>2025</v>
      </c>
      <c r="K7" s="20">
        <v>2026</v>
      </c>
      <c r="L7" s="20">
        <v>2027</v>
      </c>
    </row>
    <row r="8" spans="2:14">
      <c r="B8" s="18" t="s">
        <v>56</v>
      </c>
      <c r="C8" s="17">
        <v>2893.3769</v>
      </c>
      <c r="D8" s="17">
        <v>3939.7629</v>
      </c>
      <c r="E8" s="17">
        <v>9251.751700000001</v>
      </c>
      <c r="F8" s="17">
        <v>3805.4693</v>
      </c>
      <c r="G8" s="17">
        <v>1555.1216</v>
      </c>
      <c r="H8" s="17">
        <v>3173.4897</v>
      </c>
      <c r="I8" s="17">
        <v>1322.7674</v>
      </c>
      <c r="J8" s="17">
        <v>2415.657</v>
      </c>
      <c r="K8" s="21">
        <v>527.7182</v>
      </c>
      <c r="L8" s="21">
        <v>389.4148</v>
      </c>
    </row>
    <row r="9" spans="2:14">
      <c r="B9" s="18" t="s">
        <v>57</v>
      </c>
      <c r="C9" s="17">
        <v>8081.7244</v>
      </c>
      <c r="D9" s="17">
        <v>10058.3026</v>
      </c>
      <c r="E9" s="17">
        <v>29889.079</v>
      </c>
      <c r="F9" s="17">
        <v>15977.2302</v>
      </c>
      <c r="G9" s="17">
        <v>10595.2604</v>
      </c>
      <c r="H9" s="17">
        <v>12104.8893</v>
      </c>
      <c r="I9" s="17">
        <v>10241.9252</v>
      </c>
      <c r="J9" s="17">
        <v>8767.651400000001</v>
      </c>
      <c r="K9" s="21">
        <v>6323.0527</v>
      </c>
      <c r="L9" s="21">
        <v>3995.487</v>
      </c>
    </row>
    <row r="10" spans="2:14">
      <c r="B10" s="18" t="s">
        <v>58</v>
      </c>
      <c r="C10" s="17">
        <v>14797.2328</v>
      </c>
      <c r="D10" s="17">
        <v>22644.4881</v>
      </c>
      <c r="E10" s="17">
        <v>80030.66650000001</v>
      </c>
      <c r="F10" s="17">
        <v>55571.7062</v>
      </c>
      <c r="G10" s="17">
        <v>26369.1344</v>
      </c>
      <c r="H10" s="17">
        <v>26488.9403</v>
      </c>
      <c r="I10" s="17">
        <v>23419.9457</v>
      </c>
      <c r="J10" s="17">
        <v>16427.6227</v>
      </c>
      <c r="K10" s="21">
        <v>9128.6733</v>
      </c>
      <c r="L10" s="21">
        <v>8546.3338</v>
      </c>
    </row>
    <row r="11" spans="2:14">
      <c r="B11" s="18" t="s">
        <v>59</v>
      </c>
      <c r="C11" s="17">
        <v>1578.74</v>
      </c>
      <c r="D11" s="17">
        <v>573.6105</v>
      </c>
      <c r="E11" s="17">
        <v>3098.1596</v>
      </c>
      <c r="F11" s="17">
        <v>2489.7791</v>
      </c>
      <c r="G11" s="17">
        <v>1648.2037</v>
      </c>
      <c r="H11" s="17">
        <v>2134.9019</v>
      </c>
      <c r="I11" s="17">
        <v>1034.0834</v>
      </c>
      <c r="J11" s="17">
        <v>571.8007</v>
      </c>
      <c r="K11" s="21">
        <v>690.2984</v>
      </c>
      <c r="L11" s="21">
        <v>973.711</v>
      </c>
    </row>
    <row r="12" spans="2:14">
      <c r="B12" s="18" t="s">
        <v>49</v>
      </c>
      <c r="C12" s="17">
        <v>4684.4105</v>
      </c>
      <c r="D12" s="17">
        <v>5441.4348</v>
      </c>
      <c r="E12" s="17">
        <v>27982.3252</v>
      </c>
      <c r="F12" s="17">
        <v>14331.2426</v>
      </c>
      <c r="G12" s="17">
        <v>6891.4998</v>
      </c>
      <c r="H12" s="17">
        <v>5930.1835</v>
      </c>
      <c r="I12" s="17">
        <v>5946.3408</v>
      </c>
      <c r="J12" s="17">
        <v>10491.3418</v>
      </c>
      <c r="K12" s="21">
        <v>3609.1152</v>
      </c>
      <c r="L12" s="21">
        <v>2018.223</v>
      </c>
    </row>
    <row r="13" spans="2:14">
      <c r="B13" s="23" t="s">
        <v>116</v>
      </c>
      <c r="C13" s="25">
        <f>SUM(C8:C12)</f>
        <v>0</v>
      </c>
      <c r="D13" s="25">
        <f>SUM(D8:D12)</f>
        <v>0</v>
      </c>
      <c r="E13" s="25">
        <f>SUM(E8:E12)</f>
        <v>0</v>
      </c>
      <c r="F13" s="25">
        <f>SUM(F8:F12)</f>
        <v>0</v>
      </c>
      <c r="G13" s="25">
        <f>SUM(G8:G12)</f>
        <v>0</v>
      </c>
      <c r="H13" s="25">
        <f>SUM(H8:H12)</f>
        <v>0</v>
      </c>
      <c r="I13" s="25">
        <f>SUM(I8:I12)</f>
        <v>0</v>
      </c>
      <c r="J13" s="25">
        <f>SUM(J8:J12)</f>
        <v>0</v>
      </c>
      <c r="K13" s="21">
        <f>SUM(K8:K12)</f>
        <v>0</v>
      </c>
      <c r="L13" s="21">
        <f>SUM(L8:L12)</f>
        <v>0</v>
      </c>
    </row>
    <row r="15" spans="2:14" ht="20" customHeight="1">
      <c r="B15" s="5" t="s">
        <v>99</v>
      </c>
      <c r="C15" s="5"/>
      <c r="D15" s="5"/>
      <c r="E15" s="5"/>
      <c r="F15" s="5"/>
      <c r="G15" s="5"/>
      <c r="H15" s="5"/>
      <c r="I15" s="5"/>
      <c r="J15" s="5"/>
      <c r="K15" s="5"/>
    </row>
    <row r="16" spans="2:14">
      <c r="B16" s="14" t="s">
        <v>55</v>
      </c>
      <c r="C16" s="16">
        <v>2018</v>
      </c>
      <c r="D16" s="16">
        <v>2019</v>
      </c>
      <c r="E16" s="16">
        <v>2020</v>
      </c>
      <c r="F16" s="16">
        <v>2021</v>
      </c>
      <c r="G16" s="16">
        <v>2022</v>
      </c>
      <c r="H16" s="16">
        <v>2023</v>
      </c>
      <c r="I16" s="16">
        <v>2024</v>
      </c>
      <c r="J16" s="16">
        <v>2025</v>
      </c>
      <c r="K16" s="20">
        <v>2026</v>
      </c>
    </row>
    <row r="17" spans="2:12">
      <c r="B17" s="18" t="s">
        <v>56</v>
      </c>
      <c r="C17" s="17">
        <v>686.5771999999999</v>
      </c>
      <c r="D17" s="17">
        <v>1134.9774</v>
      </c>
      <c r="E17" s="17">
        <v>6639.4917</v>
      </c>
      <c r="F17" s="17">
        <v>3499.3643</v>
      </c>
      <c r="G17" s="17">
        <v>838.49</v>
      </c>
      <c r="H17" s="17">
        <v>879.2184999999999</v>
      </c>
      <c r="I17" s="17">
        <v>758.0088</v>
      </c>
      <c r="J17" s="17">
        <v>1524.7432</v>
      </c>
      <c r="K17" s="21">
        <v>341.7187</v>
      </c>
    </row>
    <row r="18" spans="2:12">
      <c r="B18" s="18" t="s">
        <v>57</v>
      </c>
      <c r="C18" s="17">
        <v>2968.9009</v>
      </c>
      <c r="D18" s="17">
        <v>4280.2866</v>
      </c>
      <c r="E18" s="17">
        <v>27603.1455</v>
      </c>
      <c r="F18" s="17">
        <v>11298.4568</v>
      </c>
      <c r="G18" s="17">
        <v>6764.0168</v>
      </c>
      <c r="H18" s="17">
        <v>6640.3387</v>
      </c>
      <c r="I18" s="17">
        <v>5602.5239</v>
      </c>
      <c r="J18" s="17">
        <v>2837.6686</v>
      </c>
      <c r="K18" s="21">
        <v>1689.4067</v>
      </c>
    </row>
    <row r="19" spans="2:12">
      <c r="B19" s="18" t="s">
        <v>58</v>
      </c>
      <c r="C19" s="17">
        <v>6130.7373</v>
      </c>
      <c r="D19" s="17">
        <v>9871.7996</v>
      </c>
      <c r="E19" s="17">
        <v>66183.2975</v>
      </c>
      <c r="F19" s="17">
        <v>40953.2259</v>
      </c>
      <c r="G19" s="17">
        <v>11315.8739</v>
      </c>
      <c r="H19" s="17">
        <v>11829.2618</v>
      </c>
      <c r="I19" s="17">
        <v>11810.3492</v>
      </c>
      <c r="J19" s="17">
        <v>6051.7432</v>
      </c>
      <c r="K19" s="21">
        <v>4200.116</v>
      </c>
    </row>
    <row r="20" spans="2:12">
      <c r="B20" s="18" t="s">
        <v>59</v>
      </c>
      <c r="C20" s="17">
        <v>397.564</v>
      </c>
      <c r="D20" s="17">
        <v>40.13650000000001</v>
      </c>
      <c r="E20" s="17">
        <v>2735.7326</v>
      </c>
      <c r="F20" s="17">
        <v>1627.5056</v>
      </c>
      <c r="G20" s="17">
        <v>693.9537</v>
      </c>
      <c r="H20" s="17">
        <v>1470.7124</v>
      </c>
      <c r="I20" s="17">
        <v>401.7754</v>
      </c>
      <c r="J20" s="17">
        <v>381.1887</v>
      </c>
      <c r="K20" s="21">
        <v>173.0774</v>
      </c>
    </row>
    <row r="21" spans="2:12">
      <c r="B21" s="18" t="s">
        <v>49</v>
      </c>
      <c r="C21" s="17">
        <v>1184.8115</v>
      </c>
      <c r="D21" s="17">
        <v>3008.2042</v>
      </c>
      <c r="E21" s="17">
        <v>21618.5782</v>
      </c>
      <c r="F21" s="17">
        <v>9056.141100000001</v>
      </c>
      <c r="G21" s="17">
        <v>3016.1748</v>
      </c>
      <c r="H21" s="17">
        <v>2872.6275</v>
      </c>
      <c r="I21" s="17">
        <v>3009.9095</v>
      </c>
      <c r="J21" s="17">
        <v>8462.209800000001</v>
      </c>
      <c r="K21" s="21">
        <v>1845.477</v>
      </c>
    </row>
    <row r="22" spans="2:12">
      <c r="B22" s="23" t="s">
        <v>116</v>
      </c>
      <c r="C22" s="25">
        <f>SUM(C17:C21)</f>
        <v>0</v>
      </c>
      <c r="D22" s="25">
        <f>SUM(D17:D21)</f>
        <v>0</v>
      </c>
      <c r="E22" s="25">
        <f>SUM(E17:E21)</f>
        <v>0</v>
      </c>
      <c r="F22" s="25">
        <f>SUM(F17:F21)</f>
        <v>0</v>
      </c>
      <c r="G22" s="25">
        <f>SUM(G17:G21)</f>
        <v>0</v>
      </c>
      <c r="H22" s="25">
        <f>SUM(H17:H21)</f>
        <v>0</v>
      </c>
      <c r="I22" s="25">
        <f>SUM(I17:I21)</f>
        <v>0</v>
      </c>
      <c r="J22" s="25">
        <f>SUM(J17:J21)</f>
        <v>0</v>
      </c>
      <c r="K22" s="21">
        <f>SUM(K17:K21)</f>
        <v>0</v>
      </c>
    </row>
    <row r="24" spans="2:12" ht="20" customHeight="1">
      <c r="B24" s="26" t="s">
        <v>98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</row>
    <row r="25" spans="2:12">
      <c r="B25" s="14" t="s">
        <v>55</v>
      </c>
      <c r="C25" s="16">
        <v>2018</v>
      </c>
      <c r="D25" s="16">
        <v>2019</v>
      </c>
      <c r="E25" s="16">
        <v>2020</v>
      </c>
      <c r="F25" s="16">
        <v>2021</v>
      </c>
      <c r="G25" s="16">
        <v>2022</v>
      </c>
      <c r="H25" s="16">
        <v>2023</v>
      </c>
      <c r="I25" s="16">
        <v>2024</v>
      </c>
      <c r="J25" s="16">
        <v>2025</v>
      </c>
      <c r="K25" s="20">
        <v>2026</v>
      </c>
      <c r="L25" s="20">
        <v>2027</v>
      </c>
    </row>
    <row r="26" spans="2:12">
      <c r="B26" s="18" t="s">
        <v>56</v>
      </c>
      <c r="C26" s="17">
        <v>2206.7997</v>
      </c>
      <c r="D26" s="17">
        <v>2804.7855</v>
      </c>
      <c r="E26" s="17">
        <v>2612.26</v>
      </c>
      <c r="F26" s="17">
        <v>306.105</v>
      </c>
      <c r="G26" s="17">
        <v>716.6316</v>
      </c>
      <c r="H26" s="17">
        <v>2294.2712</v>
      </c>
      <c r="I26" s="17">
        <v>564.7586</v>
      </c>
      <c r="J26" s="17">
        <v>890.9138</v>
      </c>
      <c r="K26" s="21">
        <v>185.9995</v>
      </c>
      <c r="L26" s="21">
        <v>389.4148</v>
      </c>
    </row>
    <row r="27" spans="2:12">
      <c r="B27" s="18" t="s">
        <v>57</v>
      </c>
      <c r="C27" s="17">
        <v>5112.8235</v>
      </c>
      <c r="D27" s="17">
        <v>5778.016</v>
      </c>
      <c r="E27" s="17">
        <v>2285.9335</v>
      </c>
      <c r="F27" s="17">
        <v>4678.7734</v>
      </c>
      <c r="G27" s="17">
        <v>3831.2436</v>
      </c>
      <c r="H27" s="17">
        <v>5464.5506</v>
      </c>
      <c r="I27" s="17">
        <v>4639.4013</v>
      </c>
      <c r="J27" s="17">
        <v>5929.9828</v>
      </c>
      <c r="K27" s="21">
        <v>4633.646</v>
      </c>
      <c r="L27" s="21">
        <v>3995.487</v>
      </c>
    </row>
    <row r="28" spans="2:12">
      <c r="B28" s="18" t="s">
        <v>58</v>
      </c>
      <c r="C28" s="17">
        <v>8666.495500000001</v>
      </c>
      <c r="D28" s="17">
        <v>12772.6885</v>
      </c>
      <c r="E28" s="17">
        <v>13847.369</v>
      </c>
      <c r="F28" s="17">
        <v>14618.4803</v>
      </c>
      <c r="G28" s="17">
        <v>15053.2605</v>
      </c>
      <c r="H28" s="17">
        <v>14659.6785</v>
      </c>
      <c r="I28" s="17">
        <v>11609.5965</v>
      </c>
      <c r="J28" s="17">
        <v>10375.8795</v>
      </c>
      <c r="K28" s="21">
        <v>4928.5573</v>
      </c>
      <c r="L28" s="21">
        <v>8546.3338</v>
      </c>
    </row>
    <row r="29" spans="2:12">
      <c r="B29" s="18" t="s">
        <v>59</v>
      </c>
      <c r="C29" s="17">
        <v>1181.176</v>
      </c>
      <c r="D29" s="17">
        <v>533.474</v>
      </c>
      <c r="E29" s="17">
        <v>362.427</v>
      </c>
      <c r="F29" s="17">
        <v>862.2735</v>
      </c>
      <c r="G29" s="17">
        <v>954.25</v>
      </c>
      <c r="H29" s="17">
        <v>664.1895</v>
      </c>
      <c r="I29" s="17">
        <v>632.308</v>
      </c>
      <c r="J29" s="17">
        <v>190.612</v>
      </c>
      <c r="K29" s="21">
        <v>517.221</v>
      </c>
      <c r="L29" s="21">
        <v>973.711</v>
      </c>
    </row>
    <row r="30" spans="2:12">
      <c r="B30" s="18" t="s">
        <v>49</v>
      </c>
      <c r="C30" s="17">
        <v>3499.599</v>
      </c>
      <c r="D30" s="17">
        <v>2433.2306</v>
      </c>
      <c r="E30" s="17">
        <v>6363.747</v>
      </c>
      <c r="F30" s="17">
        <v>5275.1015</v>
      </c>
      <c r="G30" s="17">
        <v>3875.325</v>
      </c>
      <c r="H30" s="17">
        <v>3057.556</v>
      </c>
      <c r="I30" s="17">
        <v>2936.4313</v>
      </c>
      <c r="J30" s="17">
        <v>2029.132</v>
      </c>
      <c r="K30" s="21">
        <v>1763.6382</v>
      </c>
      <c r="L30" s="21">
        <v>2018.223</v>
      </c>
    </row>
    <row r="31" spans="2:12">
      <c r="B31" s="23" t="s">
        <v>116</v>
      </c>
      <c r="C31" s="25">
        <f>SUM(C26:C30)</f>
        <v>0</v>
      </c>
      <c r="D31" s="25">
        <f>SUM(D26:D30)</f>
        <v>0</v>
      </c>
      <c r="E31" s="25">
        <f>SUM(E26:E30)</f>
        <v>0</v>
      </c>
      <c r="F31" s="25">
        <f>SUM(F26:F30)</f>
        <v>0</v>
      </c>
      <c r="G31" s="25">
        <f>SUM(G26:G30)</f>
        <v>0</v>
      </c>
      <c r="H31" s="25">
        <f>SUM(H26:H30)</f>
        <v>0</v>
      </c>
      <c r="I31" s="25">
        <f>SUM(I26:I30)</f>
        <v>0</v>
      </c>
      <c r="J31" s="25">
        <f>SUM(J26:J30)</f>
        <v>0</v>
      </c>
      <c r="K31" s="21">
        <f>SUM(K26:K30)</f>
        <v>0</v>
      </c>
      <c r="L31" s="21">
        <f>SUM(L26:L30)</f>
        <v>0</v>
      </c>
    </row>
  </sheetData>
  <mergeCells count="5">
    <mergeCell ref="B2:N2"/>
    <mergeCell ref="B3:N3"/>
    <mergeCell ref="B6:L6"/>
    <mergeCell ref="B15:K15"/>
    <mergeCell ref="B24:L24"/>
  </mergeCells>
  <pageMargins left="0.3" right="0.3" top="0.4" bottom="0.4" header="0.3" footer="0.3"/>
  <pageSetup paperSize="1"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F9000"/>
    <pageSetUpPr fitToPage="1"/>
  </sheetPr>
  <dimension ref="B2:L24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 x14ac:dyDescent="0.25"/>
  <cols>
    <col min="1" max="1" width="2.7109375" customWidth="1"/>
    <col min="2" max="2" width="24.7109375" customWidth="1"/>
    <col min="3" max="11" width="9.7109375" customWidth="1"/>
    <col min="12" max="12" width="11.7109375" customWidth="1"/>
  </cols>
  <sheetData>
    <row r="2" spans="2:12" x14ac:dyDescent="0.25">
      <c r="B2" s="1" t="s">
        <v>117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 x14ac:dyDescent="0.25">
      <c r="B3" s="2" t="s">
        <v>118</v>
      </c>
      <c r="C3" s="2"/>
      <c r="D3" s="2"/>
      <c r="E3" s="2"/>
      <c r="F3" s="2"/>
      <c r="G3" s="2"/>
      <c r="H3" s="2"/>
      <c r="I3" s="2"/>
      <c r="J3" s="2"/>
      <c r="K3" s="2"/>
      <c r="L3" s="2"/>
    </row>
    <row r="6" spans="2:12" ht="20" customHeight="1" x14ac:dyDescent="0.25">
      <c r="B6" s="7" t="s">
        <v>119</v>
      </c>
      <c r="C6" s="7"/>
      <c r="D6" s="7"/>
      <c r="E6" s="7"/>
      <c r="F6" s="7"/>
      <c r="G6" s="7"/>
      <c r="H6" s="7"/>
      <c r="I6" s="7"/>
      <c r="J6" s="7"/>
      <c r="K6" s="7"/>
    </row>
    <row r="7" spans="2:12" x14ac:dyDescent="0.25">
      <c r="B7" s="14" t="s">
        <v>120</v>
      </c>
      <c r="C7" s="16">
        <v>2020</v>
      </c>
      <c r="D7" s="16">
        <v>2021</v>
      </c>
      <c r="E7" s="16">
        <v>2022</v>
      </c>
      <c r="F7" s="16">
        <v>2023</v>
      </c>
      <c r="G7" s="16">
        <v>2024</v>
      </c>
      <c r="H7" s="16">
        <v>2025</v>
      </c>
      <c r="I7" s="20">
        <v>2026</v>
      </c>
      <c r="J7" s="20">
        <v>2027</v>
      </c>
      <c r="K7" s="15" t="s">
        <v>64</v>
      </c>
    </row>
    <row r="8" spans="2:12" x14ac:dyDescent="0.25">
      <c r="B8" s="18" t="s">
        <v>121</v>
      </c>
      <c r="C8" s="17">
        <v>46512.4768</v>
      </c>
      <c r="D8" s="17">
        <v>29609.0112</v>
      </c>
      <c r="E8" s="17">
        <v>15320.7195</v>
      </c>
      <c r="F8" s="17">
        <v>15276.0938</v>
      </c>
      <c r="G8" s="17">
        <v>12254.3719</v>
      </c>
      <c r="H8" s="17">
        <v>12952.9452</v>
      </c>
      <c r="I8" s="21">
        <v>6971.548</v>
      </c>
      <c r="J8" s="21">
        <v>7055.79</v>
      </c>
      <c r="K8" s="25">
        <f>SUM(C8:J8)</f>
        <v>0</v>
      </c>
    </row>
    <row r="9" spans="2:12" x14ac:dyDescent="0.25">
      <c r="B9" s="18" t="s">
        <v>122</v>
      </c>
      <c r="C9" s="28">
        <v>37292.0667</v>
      </c>
      <c r="D9" s="28">
        <v>20210.7288</v>
      </c>
      <c r="E9" s="28">
        <v>10460.02</v>
      </c>
      <c r="F9" s="28">
        <v>11712.4458</v>
      </c>
      <c r="G9" s="28">
        <v>9401.5057</v>
      </c>
      <c r="H9" s="28">
        <v>9012.315199999999</v>
      </c>
      <c r="I9" s="29">
        <v>4200.8856</v>
      </c>
      <c r="J9" s="29">
        <v>3139.902</v>
      </c>
      <c r="K9" s="25">
        <f>SUM(C9:J9)</f>
        <v>0</v>
      </c>
    </row>
    <row r="10" spans="2:12" x14ac:dyDescent="0.25">
      <c r="B10" s="18" t="s">
        <v>123</v>
      </c>
      <c r="C10" s="17">
        <v>19361.9278</v>
      </c>
      <c r="D10" s="17">
        <v>12179.6292</v>
      </c>
      <c r="E10" s="17">
        <v>5724.9635</v>
      </c>
      <c r="F10" s="17">
        <v>6157.5325</v>
      </c>
      <c r="G10" s="17">
        <v>5032.6462</v>
      </c>
      <c r="H10" s="17">
        <v>4329.9434</v>
      </c>
      <c r="I10" s="21">
        <v>2623.742</v>
      </c>
      <c r="J10" s="21">
        <v>2064.5315</v>
      </c>
      <c r="K10" s="25">
        <f>SUM(C10:J10)</f>
        <v>0</v>
      </c>
    </row>
    <row r="11" spans="2:12" x14ac:dyDescent="0.25">
      <c r="B11" s="18" t="s">
        <v>124</v>
      </c>
      <c r="C11" s="28">
        <v>16430.7895</v>
      </c>
      <c r="D11" s="28">
        <v>11786.4669</v>
      </c>
      <c r="E11" s="28">
        <v>5635.4065</v>
      </c>
      <c r="F11" s="28">
        <v>5961.924</v>
      </c>
      <c r="G11" s="28">
        <v>4902.8027</v>
      </c>
      <c r="H11" s="28">
        <v>4566.9633</v>
      </c>
      <c r="I11" s="29">
        <v>2609.1064</v>
      </c>
      <c r="J11" s="29">
        <v>1233.4527</v>
      </c>
      <c r="K11" s="25">
        <f>SUM(C11:J11)</f>
        <v>0</v>
      </c>
    </row>
    <row r="12" spans="2:12" x14ac:dyDescent="0.25">
      <c r="B12" s="18" t="s">
        <v>125</v>
      </c>
      <c r="C12" s="17">
        <v>10878.1816</v>
      </c>
      <c r="D12" s="17">
        <v>7104.1057</v>
      </c>
      <c r="E12" s="17">
        <v>3739.9282</v>
      </c>
      <c r="F12" s="17">
        <v>4018.1045</v>
      </c>
      <c r="G12" s="17">
        <v>4223.5419</v>
      </c>
      <c r="H12" s="17">
        <v>2350.0454</v>
      </c>
      <c r="I12" s="21">
        <v>1283.642</v>
      </c>
      <c r="J12" s="21">
        <v>641.8969999999999</v>
      </c>
      <c r="K12" s="25">
        <f>SUM(C12:J12)</f>
        <v>0</v>
      </c>
    </row>
    <row r="13" spans="2:12" x14ac:dyDescent="0.25">
      <c r="B13" s="18" t="s">
        <v>126</v>
      </c>
      <c r="C13" s="28">
        <v>7296.2186</v>
      </c>
      <c r="D13" s="28">
        <v>4865.5582</v>
      </c>
      <c r="E13" s="28">
        <v>2622.3905</v>
      </c>
      <c r="F13" s="28">
        <v>3278.1496</v>
      </c>
      <c r="G13" s="28">
        <v>3357.0548</v>
      </c>
      <c r="H13" s="28">
        <v>2299.9069</v>
      </c>
      <c r="I13" s="29">
        <v>1035.859</v>
      </c>
      <c r="J13" s="29">
        <v>732.121</v>
      </c>
      <c r="K13" s="25">
        <f>SUM(C13:J13)</f>
        <v>0</v>
      </c>
    </row>
    <row r="14" spans="2:12" x14ac:dyDescent="0.25">
      <c r="B14" s="18" t="s">
        <v>127</v>
      </c>
      <c r="C14" s="17">
        <v>6316.6157</v>
      </c>
      <c r="D14" s="17">
        <v>3873.6708</v>
      </c>
      <c r="E14" s="17">
        <v>2035.4437</v>
      </c>
      <c r="F14" s="17">
        <v>2200.4856</v>
      </c>
      <c r="G14" s="17">
        <v>2057.798</v>
      </c>
      <c r="H14" s="17">
        <v>1959.67</v>
      </c>
      <c r="I14" s="21">
        <v>852.657</v>
      </c>
      <c r="J14" s="21">
        <v>461.533</v>
      </c>
      <c r="K14" s="25">
        <f>SUM(C14:J14)</f>
        <v>0</v>
      </c>
    </row>
    <row r="15" spans="2:12" x14ac:dyDescent="0.25">
      <c r="B15" s="18" t="s">
        <v>128</v>
      </c>
      <c r="C15" s="28">
        <v>3199.133</v>
      </c>
      <c r="D15" s="28">
        <v>1990.6946</v>
      </c>
      <c r="E15" s="28">
        <v>895.996</v>
      </c>
      <c r="F15" s="28">
        <v>838.9985</v>
      </c>
      <c r="G15" s="28">
        <v>557.7479</v>
      </c>
      <c r="H15" s="28">
        <v>608.203</v>
      </c>
      <c r="I15" s="29">
        <v>361.0614</v>
      </c>
      <c r="J15" s="29">
        <v>392.8175</v>
      </c>
      <c r="K15" s="25">
        <f>SUM(C15:J15)</f>
        <v>0</v>
      </c>
    </row>
    <row r="16" spans="2:12" x14ac:dyDescent="0.25">
      <c r="B16" s="18" t="s">
        <v>129</v>
      </c>
      <c r="C16" s="17">
        <v>1053.9846</v>
      </c>
      <c r="D16" s="17">
        <v>616.8486</v>
      </c>
      <c r="E16" s="17">
        <v>143.3713</v>
      </c>
      <c r="F16" s="17">
        <v>214.9927</v>
      </c>
      <c r="G16" s="17">
        <v>121.3164</v>
      </c>
      <c r="H16" s="17">
        <v>256.8642</v>
      </c>
      <c r="I16" s="21">
        <v>135.589</v>
      </c>
      <c r="J16" s="21">
        <v>120.326</v>
      </c>
      <c r="K16" s="25">
        <f>SUM(C16:J16)</f>
        <v>0</v>
      </c>
    </row>
    <row r="17" spans="2:11" x14ac:dyDescent="0.25">
      <c r="B17" s="18" t="s">
        <v>130</v>
      </c>
      <c r="C17" s="28">
        <v>687.6974</v>
      </c>
      <c r="D17" s="28">
        <v>386.4898</v>
      </c>
      <c r="E17" s="28">
        <v>74.93899999999999</v>
      </c>
      <c r="F17" s="28">
        <v>29.658</v>
      </c>
      <c r="G17" s="28">
        <v>32.758</v>
      </c>
      <c r="H17" s="28">
        <v>116.53</v>
      </c>
      <c r="I17" s="29">
        <v>178.0694</v>
      </c>
      <c r="J17" s="29">
        <v>42.017</v>
      </c>
      <c r="K17" s="25">
        <f>SUM(C17:J17)</f>
        <v>0</v>
      </c>
    </row>
    <row r="18" spans="2:11" x14ac:dyDescent="0.25">
      <c r="B18" s="18" t="s">
        <v>131</v>
      </c>
      <c r="C18" s="17">
        <v>426.923</v>
      </c>
      <c r="D18" s="17">
        <v>175.328</v>
      </c>
      <c r="E18" s="17">
        <v>178.8</v>
      </c>
      <c r="F18" s="17">
        <v>73.33</v>
      </c>
      <c r="G18" s="17">
        <v>0</v>
      </c>
      <c r="H18" s="17">
        <v>171.2</v>
      </c>
      <c r="I18" s="21">
        <v>0</v>
      </c>
      <c r="J18" s="21">
        <v>0</v>
      </c>
      <c r="K18" s="25">
        <f>SUM(C18:J18)</f>
        <v>0</v>
      </c>
    </row>
    <row r="19" spans="2:11" x14ac:dyDescent="0.25">
      <c r="B19" s="18" t="s">
        <v>132</v>
      </c>
      <c r="C19" s="28">
        <v>346.8787</v>
      </c>
      <c r="D19" s="28">
        <v>257.4847</v>
      </c>
      <c r="E19" s="28">
        <v>222.4997</v>
      </c>
      <c r="F19" s="28">
        <v>62.6817</v>
      </c>
      <c r="G19" s="28">
        <v>1.305</v>
      </c>
      <c r="H19" s="28">
        <v>34.017</v>
      </c>
      <c r="I19" s="29">
        <v>22.006</v>
      </c>
      <c r="J19" s="29">
        <v>31.5819</v>
      </c>
      <c r="K19" s="25">
        <f>SUM(C19:J19)</f>
        <v>0</v>
      </c>
    </row>
    <row r="20" spans="2:11" x14ac:dyDescent="0.25">
      <c r="B20" s="18" t="s">
        <v>133</v>
      </c>
      <c r="C20" s="17">
        <v>152.0005</v>
      </c>
      <c r="D20" s="17">
        <v>214.9835</v>
      </c>
      <c r="E20" s="17">
        <v>2.541</v>
      </c>
      <c r="F20" s="17">
        <v>0</v>
      </c>
      <c r="G20" s="17">
        <v>18.84</v>
      </c>
      <c r="H20" s="17">
        <v>0</v>
      </c>
      <c r="I20" s="21">
        <v>0.84</v>
      </c>
      <c r="J20" s="21">
        <v>0</v>
      </c>
      <c r="K20" s="25">
        <f>SUM(C20:J20)</f>
        <v>0</v>
      </c>
    </row>
    <row r="21" spans="2:11" x14ac:dyDescent="0.25">
      <c r="B21" s="18" t="s">
        <v>134</v>
      </c>
      <c r="C21" s="28">
        <v>255.309</v>
      </c>
      <c r="D21" s="28">
        <v>18.3</v>
      </c>
      <c r="E21" s="28">
        <v>0</v>
      </c>
      <c r="F21" s="28">
        <v>0</v>
      </c>
      <c r="G21" s="28">
        <v>0</v>
      </c>
      <c r="H21" s="28">
        <v>15.47</v>
      </c>
      <c r="I21" s="29">
        <v>0</v>
      </c>
      <c r="J21" s="29">
        <v>0</v>
      </c>
      <c r="K21" s="25">
        <f>SUM(C21:J21)</f>
        <v>0</v>
      </c>
    </row>
    <row r="22" spans="2:11" x14ac:dyDescent="0.25">
      <c r="B22" s="18" t="s">
        <v>135</v>
      </c>
      <c r="C22" s="17">
        <v>41.7791</v>
      </c>
      <c r="D22" s="17">
        <v>22.8574</v>
      </c>
      <c r="E22" s="17">
        <v>2.201</v>
      </c>
      <c r="F22" s="17">
        <v>8.007999999999999</v>
      </c>
      <c r="G22" s="17">
        <v>3.374</v>
      </c>
      <c r="H22" s="17">
        <v>0</v>
      </c>
      <c r="I22" s="21">
        <v>3.852</v>
      </c>
      <c r="J22" s="21">
        <v>7.2</v>
      </c>
      <c r="K22" s="25">
        <f>SUM(C22:J22)</f>
        <v>0</v>
      </c>
    </row>
    <row r="23" spans="2:11" x14ac:dyDescent="0.25">
      <c r="B23" s="18" t="s">
        <v>136</v>
      </c>
      <c r="C23" s="28">
        <v>0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9">
        <v>0</v>
      </c>
      <c r="J23" s="29">
        <v>0</v>
      </c>
      <c r="K23" s="25">
        <f>SUM(C23:J23)</f>
        <v>0</v>
      </c>
    </row>
    <row r="24" spans="2:11" x14ac:dyDescent="0.25">
      <c r="B24" s="18" t="s">
        <v>137</v>
      </c>
      <c r="C24" s="17">
        <v>0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21">
        <v>0</v>
      </c>
      <c r="J24" s="21">
        <v>0</v>
      </c>
      <c r="K24" s="25">
        <f>SUM(C24:J24)</f>
        <v>0</v>
      </c>
    </row>
  </sheetData>
  <mergeCells count="3">
    <mergeCell ref="B2:L2"/>
    <mergeCell ref="B3:L3"/>
    <mergeCell ref="B6:K6"/>
  </mergeCells>
  <conditionalFormatting sqref="K8:K24">
    <cfRule type="dataBar" priority="1">
      <dataBar>
        <cfvo type="min"/>
        <cfvo type="max"/>
        <color rgb="FFBF9000"/>
      </dataBar>
      <extLst>
        <ext xmlns:x14="http://schemas.microsoft.com/office/spreadsheetml/2009/9/main" uri="{B025F937-C7B1-47D3-B67F-A62EFF666E3E}">
          <x14:id>{DA7ABA51-AAAA-BBBB-0007-000000000001}</x14:id>
        </ext>
      </extLst>
    </cfRule>
  </conditionalFormatting>
  <pageMargins left="0.3" right="0.3" top="0.4" bottom="0.4" header="0.3" footer="0.3"/>
  <pageSetup paperSize="1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7-000000000001}">
            <x14:dataBar minLength="0" maxLength="100" border="1" gradient="0" negativeBarBorderColorSameAsPositive="0">
              <x14:cfvo type="autoMin"/>
              <x14:cfvo type="autoMax"/>
              <x14:borderColor rgb="FFBF9000"/>
              <x14:negativeFillColor rgb="FFFF0000"/>
              <x14:negativeBorderColor rgb="FFFF0000"/>
              <x14:axisColor rgb="FF000000"/>
            </x14:dataBar>
          </x14:cfRule>
          <xm:sqref>K8:K24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2:J440"/>
  <sheetViews>
    <sheetView showGridLines="0" workbookViewId="0">
      <pane ySplit="7" topLeftCell="A8" activePane="bottomLeft" state="frozen"/>
      <selection pane="bottomLeft"/>
    </sheetView>
  </sheetViews>
  <sheetFormatPr defaultRowHeight="15" x14ac:dyDescent="0.25"/>
  <cols>
    <col min="1" max="1" width="2.7109375" customWidth="1"/>
    <col min="2" max="2" width="30.7109375" customWidth="1"/>
    <col min="3" max="3" width="9.7109375" customWidth="1"/>
    <col min="4" max="4" width="26.7109375" customWidth="1"/>
    <col min="5" max="8" width="11.7109375" customWidth="1"/>
  </cols>
  <sheetData>
    <row r="2" spans="2:8" x14ac:dyDescent="0.25">
      <c r="B2" s="1" t="s">
        <v>138</v>
      </c>
      <c r="C2" s="1"/>
      <c r="D2" s="1"/>
      <c r="E2" s="1"/>
      <c r="F2" s="1"/>
      <c r="G2" s="1"/>
      <c r="H2" s="1"/>
    </row>
    <row r="3" spans="2:8" x14ac:dyDescent="0.25">
      <c r="B3" s="2" t="s">
        <v>139</v>
      </c>
      <c r="C3" s="2"/>
      <c r="D3" s="2"/>
      <c r="E3" s="2"/>
      <c r="F3" s="2"/>
      <c r="G3" s="2"/>
      <c r="H3" s="2"/>
    </row>
    <row r="6" spans="2:8" ht="20" customHeight="1" x14ac:dyDescent="0.25">
      <c r="B6" s="7" t="s">
        <v>140</v>
      </c>
      <c r="C6" s="7"/>
      <c r="D6" s="7"/>
      <c r="E6" s="7"/>
      <c r="F6" s="7"/>
      <c r="G6" s="7"/>
      <c r="H6" s="7"/>
    </row>
    <row r="7" spans="2:8" x14ac:dyDescent="0.25">
      <c r="B7" s="14" t="s">
        <v>141</v>
      </c>
      <c r="C7" s="15" t="s">
        <v>55</v>
      </c>
      <c r="D7" s="14" t="s">
        <v>142</v>
      </c>
      <c r="E7" s="15" t="s">
        <v>64</v>
      </c>
      <c r="F7" s="15" t="s">
        <v>53</v>
      </c>
      <c r="G7" s="15" t="s">
        <v>44</v>
      </c>
      <c r="H7" s="15" t="s">
        <v>65</v>
      </c>
    </row>
    <row r="8" spans="2:8" x14ac:dyDescent="0.25">
      <c r="B8" s="18" t="s">
        <v>143</v>
      </c>
      <c r="C8" s="18" t="s">
        <v>58</v>
      </c>
      <c r="D8" s="18" t="s">
        <v>144</v>
      </c>
      <c r="E8" s="17">
        <v>33211.3093</v>
      </c>
      <c r="F8" s="17">
        <v>27916.4357</v>
      </c>
      <c r="G8" s="17">
        <v>5294.873600000003</v>
      </c>
      <c r="H8" s="17">
        <v>290</v>
      </c>
    </row>
    <row r="9" spans="2:8" x14ac:dyDescent="0.25">
      <c r="B9" s="18" t="s">
        <v>145</v>
      </c>
      <c r="C9" s="18" t="s">
        <v>58</v>
      </c>
      <c r="D9" s="18" t="s">
        <v>146</v>
      </c>
      <c r="E9" s="17">
        <v>23493.4786</v>
      </c>
      <c r="F9" s="17">
        <v>10058.1275</v>
      </c>
      <c r="G9" s="17">
        <v>13435.3511</v>
      </c>
      <c r="H9" s="17">
        <v>347</v>
      </c>
    </row>
    <row r="10" spans="2:8" x14ac:dyDescent="0.25">
      <c r="B10" s="18" t="s">
        <v>147</v>
      </c>
      <c r="C10" s="18" t="s">
        <v>58</v>
      </c>
      <c r="D10" s="18" t="s">
        <v>148</v>
      </c>
      <c r="E10" s="17">
        <v>23153.0157</v>
      </c>
      <c r="F10" s="17">
        <v>4733.22</v>
      </c>
      <c r="G10" s="17">
        <v>18419.7957</v>
      </c>
      <c r="H10" s="17">
        <v>469</v>
      </c>
    </row>
    <row r="11" spans="2:8" x14ac:dyDescent="0.25">
      <c r="B11" s="18" t="s">
        <v>149</v>
      </c>
      <c r="C11" s="18" t="s">
        <v>58</v>
      </c>
      <c r="D11" s="18" t="s">
        <v>150</v>
      </c>
      <c r="E11" s="17">
        <v>21904.0436</v>
      </c>
      <c r="F11" s="17">
        <v>7435.601</v>
      </c>
      <c r="G11" s="17">
        <v>14468.4426</v>
      </c>
      <c r="H11" s="17">
        <v>418</v>
      </c>
    </row>
    <row r="12" spans="2:8" x14ac:dyDescent="0.25">
      <c r="B12" s="18" t="s">
        <v>151</v>
      </c>
      <c r="C12" s="18" t="s">
        <v>57</v>
      </c>
      <c r="D12" s="18" t="s">
        <v>152</v>
      </c>
      <c r="E12" s="17">
        <v>19129.417</v>
      </c>
      <c r="F12" s="17">
        <v>6915.0546</v>
      </c>
      <c r="G12" s="17">
        <v>12214.3624</v>
      </c>
      <c r="H12" s="17">
        <v>300</v>
      </c>
    </row>
    <row r="13" spans="2:8" x14ac:dyDescent="0.25">
      <c r="B13" s="18" t="s">
        <v>153</v>
      </c>
      <c r="C13" s="18" t="s">
        <v>58</v>
      </c>
      <c r="D13" s="18" t="s">
        <v>154</v>
      </c>
      <c r="E13" s="17">
        <v>17686.618</v>
      </c>
      <c r="F13" s="17">
        <v>5065.906</v>
      </c>
      <c r="G13" s="17">
        <v>12620.712</v>
      </c>
      <c r="H13" s="17">
        <v>426</v>
      </c>
    </row>
    <row r="14" spans="2:8" x14ac:dyDescent="0.25">
      <c r="B14" s="18" t="s">
        <v>155</v>
      </c>
      <c r="C14" s="18" t="s">
        <v>58</v>
      </c>
      <c r="D14" s="18" t="s">
        <v>146</v>
      </c>
      <c r="E14" s="17">
        <v>16687.4264</v>
      </c>
      <c r="F14" s="17">
        <v>6703.617</v>
      </c>
      <c r="G14" s="17">
        <v>9983.8094</v>
      </c>
      <c r="H14" s="17">
        <v>272</v>
      </c>
    </row>
    <row r="15" spans="2:8" x14ac:dyDescent="0.25">
      <c r="B15" s="18" t="s">
        <v>156</v>
      </c>
      <c r="C15" s="18" t="s">
        <v>58</v>
      </c>
      <c r="D15" s="18" t="s">
        <v>157</v>
      </c>
      <c r="E15" s="17">
        <v>16208.9322</v>
      </c>
      <c r="F15" s="17">
        <v>5510.3108</v>
      </c>
      <c r="G15" s="17">
        <v>10698.6214</v>
      </c>
      <c r="H15" s="17">
        <v>223</v>
      </c>
    </row>
    <row r="16" spans="2:8" x14ac:dyDescent="0.25">
      <c r="B16" s="18" t="s">
        <v>158</v>
      </c>
      <c r="C16" s="18" t="s">
        <v>58</v>
      </c>
      <c r="D16" s="18" t="s">
        <v>157</v>
      </c>
      <c r="E16" s="17">
        <v>14425.3208</v>
      </c>
      <c r="F16" s="17">
        <v>5948.188</v>
      </c>
      <c r="G16" s="17">
        <v>8477.132799999999</v>
      </c>
      <c r="H16" s="17">
        <v>344</v>
      </c>
    </row>
    <row r="17" spans="2:10" x14ac:dyDescent="0.25">
      <c r="B17" s="18" t="s">
        <v>159</v>
      </c>
      <c r="C17" s="18" t="s">
        <v>57</v>
      </c>
      <c r="D17" s="18" t="s">
        <v>144</v>
      </c>
      <c r="E17" s="17">
        <v>13588.9185</v>
      </c>
      <c r="F17" s="17">
        <v>5885.3065</v>
      </c>
      <c r="G17" s="17">
        <v>7703.612</v>
      </c>
      <c r="H17" s="17">
        <v>245</v>
      </c>
    </row>
    <row r="18" spans="2:10" x14ac:dyDescent="0.25">
      <c r="B18" s="18" t="s">
        <v>160</v>
      </c>
      <c r="C18" s="18" t="s">
        <v>58</v>
      </c>
      <c r="D18" s="18" t="s">
        <v>157</v>
      </c>
      <c r="E18" s="17">
        <v>13501.072</v>
      </c>
      <c r="F18" s="17">
        <v>5202.416</v>
      </c>
      <c r="G18" s="17">
        <v>8298.655999999999</v>
      </c>
      <c r="H18" s="17">
        <v>308</v>
      </c>
    </row>
    <row r="19" spans="2:10" x14ac:dyDescent="0.25">
      <c r="B19" s="18" t="s">
        <v>161</v>
      </c>
      <c r="C19" s="18" t="s">
        <v>49</v>
      </c>
      <c r="D19" s="18" t="s">
        <v>162</v>
      </c>
      <c r="E19" s="17">
        <v>13331.4763</v>
      </c>
      <c r="F19" s="17">
        <v>5559.812</v>
      </c>
      <c r="G19" s="17">
        <v>7771.6643</v>
      </c>
      <c r="H19" s="17">
        <v>283</v>
      </c>
    </row>
    <row r="20" spans="2:10" x14ac:dyDescent="0.25">
      <c r="B20" s="18" t="s">
        <v>163</v>
      </c>
      <c r="C20" s="18" t="s">
        <v>57</v>
      </c>
      <c r="D20" s="18" t="s">
        <v>157</v>
      </c>
      <c r="E20" s="17">
        <v>13291.4389</v>
      </c>
      <c r="F20" s="17">
        <v>7925.807</v>
      </c>
      <c r="G20" s="17">
        <v>5365.631899999999</v>
      </c>
      <c r="H20" s="17">
        <v>196</v>
      </c>
    </row>
    <row r="21" spans="2:10" x14ac:dyDescent="0.25">
      <c r="B21" s="18" t="s">
        <v>164</v>
      </c>
      <c r="C21" s="18" t="s">
        <v>58</v>
      </c>
      <c r="D21" s="18" t="s">
        <v>165</v>
      </c>
      <c r="E21" s="17">
        <v>13290.7522</v>
      </c>
      <c r="F21" s="17">
        <v>5579.9005</v>
      </c>
      <c r="G21" s="17">
        <v>7710.851700000001</v>
      </c>
      <c r="H21" s="17">
        <v>329</v>
      </c>
    </row>
    <row r="22" spans="2:10" x14ac:dyDescent="0.25">
      <c r="B22" s="18" t="s">
        <v>166</v>
      </c>
      <c r="C22" s="18" t="s">
        <v>58</v>
      </c>
      <c r="D22" s="18" t="s">
        <v>162</v>
      </c>
      <c r="E22" s="17">
        <v>12949.1048</v>
      </c>
      <c r="F22" s="17">
        <v>3578.835</v>
      </c>
      <c r="G22" s="17">
        <v>9370.269799999998</v>
      </c>
      <c r="H22" s="17">
        <v>174</v>
      </c>
    </row>
    <row r="25" spans="2:10" ht="20" customHeight="1" x14ac:dyDescent="0.25">
      <c r="B25" s="7" t="s">
        <v>167</v>
      </c>
      <c r="C25" s="7"/>
      <c r="D25" s="7"/>
      <c r="E25" s="7"/>
      <c r="F25" s="7"/>
      <c r="G25" s="7"/>
      <c r="H25" s="7"/>
      <c r="I25" s="7"/>
      <c r="J25" s="7"/>
    </row>
    <row r="26" spans="2:10" x14ac:dyDescent="0.25">
      <c r="B26" s="14" t="s">
        <v>142</v>
      </c>
      <c r="C26" s="16">
        <v>2020</v>
      </c>
      <c r="D26" s="16">
        <v>2021</v>
      </c>
      <c r="E26" s="16">
        <v>2022</v>
      </c>
      <c r="F26" s="16">
        <v>2023</v>
      </c>
      <c r="G26" s="16">
        <v>2024</v>
      </c>
      <c r="H26" s="16">
        <v>2025</v>
      </c>
      <c r="I26" s="20">
        <v>2026</v>
      </c>
      <c r="J26" s="20">
        <v>2027</v>
      </c>
    </row>
    <row r="27" spans="2:10" x14ac:dyDescent="0.25">
      <c r="B27" s="18" t="s">
        <v>144</v>
      </c>
      <c r="C27" s="17">
        <v>25306.5576</v>
      </c>
      <c r="D27" s="17">
        <v>12988.0225</v>
      </c>
      <c r="E27" s="17">
        <v>12493.472</v>
      </c>
      <c r="F27" s="17">
        <v>9882.4347</v>
      </c>
      <c r="G27" s="17">
        <v>2336.4516</v>
      </c>
      <c r="H27" s="17">
        <v>4027.3002</v>
      </c>
      <c r="I27" s="21">
        <v>1248.434</v>
      </c>
      <c r="J27" s="21">
        <v>2053.585</v>
      </c>
    </row>
    <row r="28" spans="2:10" x14ac:dyDescent="0.25">
      <c r="B28" s="18" t="s">
        <v>146</v>
      </c>
      <c r="C28" s="28">
        <v>21532.9607</v>
      </c>
      <c r="D28" s="28">
        <v>12421.0202</v>
      </c>
      <c r="E28" s="28">
        <v>5841.9835</v>
      </c>
      <c r="F28" s="28">
        <v>6593.8331</v>
      </c>
      <c r="G28" s="28">
        <v>5747.685</v>
      </c>
      <c r="H28" s="28">
        <v>4923.1125</v>
      </c>
      <c r="I28" s="29">
        <v>3853.8274</v>
      </c>
      <c r="J28" s="29">
        <v>1793.13</v>
      </c>
    </row>
    <row r="29" spans="2:10" x14ac:dyDescent="0.25">
      <c r="B29" s="18" t="s">
        <v>154</v>
      </c>
      <c r="C29" s="17">
        <v>17593.7547</v>
      </c>
      <c r="D29" s="17">
        <v>10006.1661</v>
      </c>
      <c r="E29" s="17">
        <v>4098.6005</v>
      </c>
      <c r="F29" s="17">
        <v>2827.94</v>
      </c>
      <c r="G29" s="17">
        <v>6261.7678</v>
      </c>
      <c r="H29" s="17">
        <v>3734.0984</v>
      </c>
      <c r="I29" s="21">
        <v>3739.0864</v>
      </c>
      <c r="J29" s="21">
        <v>1682.079</v>
      </c>
    </row>
    <row r="30" spans="2:10" x14ac:dyDescent="0.25">
      <c r="B30" s="18" t="s">
        <v>157</v>
      </c>
      <c r="C30" s="28">
        <v>11989.8758</v>
      </c>
      <c r="D30" s="28">
        <v>7574.6457</v>
      </c>
      <c r="E30" s="28">
        <v>2697.4988</v>
      </c>
      <c r="F30" s="28">
        <v>2558.05</v>
      </c>
      <c r="G30" s="28">
        <v>4189.969</v>
      </c>
      <c r="H30" s="28">
        <v>1119.6385</v>
      </c>
      <c r="I30" s="29">
        <v>1552.585</v>
      </c>
      <c r="J30" s="29">
        <v>2377.5475</v>
      </c>
    </row>
    <row r="31" spans="2:10" x14ac:dyDescent="0.25">
      <c r="B31" s="18" t="s">
        <v>162</v>
      </c>
      <c r="C31" s="17">
        <v>11627.2754</v>
      </c>
      <c r="D31" s="17">
        <v>6070.6939</v>
      </c>
      <c r="E31" s="17">
        <v>3667.3525</v>
      </c>
      <c r="F31" s="17">
        <v>2333.752</v>
      </c>
      <c r="G31" s="17">
        <v>5218.568</v>
      </c>
      <c r="H31" s="17">
        <v>2314.2958</v>
      </c>
      <c r="I31" s="21">
        <v>1292.358</v>
      </c>
      <c r="J31" s="21">
        <v>983.2125</v>
      </c>
    </row>
    <row r="32" spans="2:10" x14ac:dyDescent="0.25">
      <c r="B32" s="18" t="s">
        <v>148</v>
      </c>
      <c r="C32" s="28">
        <v>11065.1157</v>
      </c>
      <c r="D32" s="28">
        <v>5354.3886</v>
      </c>
      <c r="E32" s="28">
        <v>2724.9488</v>
      </c>
      <c r="F32" s="28">
        <v>2472.6616</v>
      </c>
      <c r="G32" s="28">
        <v>1948.0044</v>
      </c>
      <c r="H32" s="28">
        <v>1645.2768</v>
      </c>
      <c r="I32" s="29">
        <v>873.65</v>
      </c>
      <c r="J32" s="29">
        <v>698.79</v>
      </c>
    </row>
    <row r="33" spans="2:10" x14ac:dyDescent="0.25">
      <c r="B33" s="18" t="s">
        <v>152</v>
      </c>
      <c r="C33" s="17">
        <v>3368.9389</v>
      </c>
      <c r="D33" s="17">
        <v>2042.5059</v>
      </c>
      <c r="E33" s="17">
        <v>1582.1466</v>
      </c>
      <c r="F33" s="17">
        <v>1549.4876</v>
      </c>
      <c r="G33" s="17">
        <v>3661.295</v>
      </c>
      <c r="H33" s="17">
        <v>1499.9392</v>
      </c>
      <c r="I33" s="21">
        <v>777.4049</v>
      </c>
      <c r="J33" s="21">
        <v>404.451</v>
      </c>
    </row>
    <row r="34" spans="2:10" x14ac:dyDescent="0.25">
      <c r="B34" s="18" t="s">
        <v>168</v>
      </c>
      <c r="C34" s="28">
        <v>3352.229</v>
      </c>
      <c r="D34" s="28">
        <v>2838.179</v>
      </c>
      <c r="E34" s="28">
        <v>4369.18</v>
      </c>
      <c r="F34" s="28">
        <v>4453.986</v>
      </c>
      <c r="G34" s="28">
        <v>579.623</v>
      </c>
      <c r="H34" s="28">
        <v>519.62</v>
      </c>
      <c r="I34" s="29">
        <v>636.1899999999999</v>
      </c>
      <c r="J34" s="29">
        <v>0</v>
      </c>
    </row>
    <row r="35" spans="2:10" x14ac:dyDescent="0.25">
      <c r="B35" s="18" t="s">
        <v>169</v>
      </c>
      <c r="C35" s="17">
        <v>5949.0325</v>
      </c>
      <c r="D35" s="17">
        <v>11029.6872</v>
      </c>
      <c r="E35" s="17">
        <v>225.0584</v>
      </c>
      <c r="F35" s="17">
        <v>955.804</v>
      </c>
      <c r="G35" s="17">
        <v>182.7824</v>
      </c>
      <c r="H35" s="17">
        <v>477.809</v>
      </c>
      <c r="I35" s="21">
        <v>10.32</v>
      </c>
      <c r="J35" s="21">
        <v>629.95</v>
      </c>
    </row>
    <row r="36" spans="2:10" x14ac:dyDescent="0.25">
      <c r="B36" s="18" t="s">
        <v>150</v>
      </c>
      <c r="C36" s="28">
        <v>1831.612</v>
      </c>
      <c r="D36" s="28">
        <v>1154.749</v>
      </c>
      <c r="E36" s="28">
        <v>978.0164</v>
      </c>
      <c r="F36" s="28">
        <v>689.794</v>
      </c>
      <c r="G36" s="28">
        <v>1408.758</v>
      </c>
      <c r="H36" s="28">
        <v>732.77</v>
      </c>
      <c r="I36" s="29">
        <v>14.8</v>
      </c>
      <c r="J36" s="29">
        <v>1095.84</v>
      </c>
    </row>
    <row r="39" spans="2:10" ht="20" customHeight="1" x14ac:dyDescent="0.25">
      <c r="B39" s="7" t="s">
        <v>170</v>
      </c>
      <c r="C39" s="7"/>
      <c r="D39" s="7"/>
      <c r="E39" s="7"/>
    </row>
    <row r="40" spans="2:10" x14ac:dyDescent="0.25">
      <c r="B40" s="15" t="s">
        <v>171</v>
      </c>
      <c r="C40" s="15" t="s">
        <v>172</v>
      </c>
    </row>
    <row r="41" spans="2:10" x14ac:dyDescent="0.25">
      <c r="B41" s="17">
        <v>29</v>
      </c>
      <c r="C41" s="17">
        <v>255</v>
      </c>
    </row>
    <row r="42" spans="2:10" x14ac:dyDescent="0.25">
      <c r="B42" s="17">
        <v>31</v>
      </c>
      <c r="C42" s="17">
        <v>251</v>
      </c>
    </row>
    <row r="43" spans="2:10" x14ac:dyDescent="0.25">
      <c r="B43" s="17">
        <v>24</v>
      </c>
      <c r="C43" s="17">
        <v>234.89</v>
      </c>
    </row>
    <row r="44" spans="2:10" x14ac:dyDescent="0.25">
      <c r="B44" s="17">
        <v>29</v>
      </c>
      <c r="C44" s="17">
        <v>220</v>
      </c>
    </row>
    <row r="45" spans="2:10" x14ac:dyDescent="0.25">
      <c r="B45" s="17">
        <v>22</v>
      </c>
      <c r="C45" s="17">
        <v>162.74</v>
      </c>
    </row>
    <row r="46" spans="2:10" x14ac:dyDescent="0.25">
      <c r="B46" s="17">
        <v>31</v>
      </c>
      <c r="C46" s="17">
        <v>161</v>
      </c>
    </row>
    <row r="47" spans="2:10" x14ac:dyDescent="0.25">
      <c r="B47" s="17">
        <v>29</v>
      </c>
      <c r="C47" s="17">
        <v>160</v>
      </c>
    </row>
    <row r="48" spans="2:10" x14ac:dyDescent="0.25">
      <c r="B48" s="17">
        <v>17</v>
      </c>
      <c r="C48" s="17">
        <v>155.65</v>
      </c>
    </row>
    <row r="49" spans="2:3" x14ac:dyDescent="0.25">
      <c r="B49" s="17">
        <v>30</v>
      </c>
      <c r="C49" s="17">
        <v>155</v>
      </c>
    </row>
    <row r="50" spans="2:3" x14ac:dyDescent="0.25">
      <c r="B50" s="17">
        <v>31</v>
      </c>
      <c r="C50" s="17">
        <v>155</v>
      </c>
    </row>
    <row r="51" spans="2:3" x14ac:dyDescent="0.25">
      <c r="B51" s="17">
        <v>18</v>
      </c>
      <c r="C51" s="17">
        <v>150.6</v>
      </c>
    </row>
    <row r="52" spans="2:3" x14ac:dyDescent="0.25">
      <c r="B52" s="17">
        <v>27</v>
      </c>
      <c r="C52" s="17">
        <v>148.8</v>
      </c>
    </row>
    <row r="53" spans="2:3" x14ac:dyDescent="0.25">
      <c r="B53" s="17">
        <v>30</v>
      </c>
      <c r="C53" s="17">
        <v>140</v>
      </c>
    </row>
    <row r="54" spans="2:3" x14ac:dyDescent="0.25">
      <c r="B54" s="17">
        <v>24</v>
      </c>
      <c r="C54" s="17">
        <v>139.2</v>
      </c>
    </row>
    <row r="55" spans="2:3" x14ac:dyDescent="0.25">
      <c r="B55" s="17">
        <v>17</v>
      </c>
      <c r="C55" s="17">
        <v>137.5</v>
      </c>
    </row>
    <row r="56" spans="2:3" x14ac:dyDescent="0.25">
      <c r="B56" s="17">
        <v>20</v>
      </c>
      <c r="C56" s="17">
        <v>136.5</v>
      </c>
    </row>
    <row r="57" spans="2:3" x14ac:dyDescent="0.25">
      <c r="B57" s="17">
        <v>26</v>
      </c>
      <c r="C57" s="17">
        <v>134.85</v>
      </c>
    </row>
    <row r="58" spans="2:3" x14ac:dyDescent="0.25">
      <c r="B58" s="17">
        <v>15</v>
      </c>
      <c r="C58" s="17">
        <v>125.5</v>
      </c>
    </row>
    <row r="59" spans="2:3" x14ac:dyDescent="0.25">
      <c r="B59" s="17">
        <v>24</v>
      </c>
      <c r="C59" s="17">
        <v>123.2</v>
      </c>
    </row>
    <row r="60" spans="2:3" x14ac:dyDescent="0.25">
      <c r="B60" s="17">
        <v>30</v>
      </c>
      <c r="C60" s="17">
        <v>120</v>
      </c>
    </row>
    <row r="61" spans="2:3" x14ac:dyDescent="0.25">
      <c r="B61" s="17">
        <v>31</v>
      </c>
      <c r="C61" s="17">
        <v>120</v>
      </c>
    </row>
    <row r="62" spans="2:3" x14ac:dyDescent="0.25">
      <c r="B62" s="17">
        <v>29</v>
      </c>
      <c r="C62" s="17">
        <v>114</v>
      </c>
    </row>
    <row r="63" spans="2:3" x14ac:dyDescent="0.25">
      <c r="B63" s="17">
        <v>29</v>
      </c>
      <c r="C63" s="17">
        <v>112.8</v>
      </c>
    </row>
    <row r="64" spans="2:3" x14ac:dyDescent="0.25">
      <c r="B64" s="17">
        <v>20</v>
      </c>
      <c r="C64" s="17">
        <v>111.8</v>
      </c>
    </row>
    <row r="65" spans="2:3" x14ac:dyDescent="0.25">
      <c r="B65" s="17">
        <v>28</v>
      </c>
      <c r="C65" s="17">
        <v>110</v>
      </c>
    </row>
    <row r="66" spans="2:3" x14ac:dyDescent="0.25">
      <c r="B66" s="17">
        <v>31</v>
      </c>
      <c r="C66" s="17">
        <v>110</v>
      </c>
    </row>
    <row r="67" spans="2:3" x14ac:dyDescent="0.25">
      <c r="B67" s="17">
        <v>29</v>
      </c>
      <c r="C67" s="17">
        <v>110</v>
      </c>
    </row>
    <row r="68" spans="2:3" x14ac:dyDescent="0.25">
      <c r="B68" s="17">
        <v>30</v>
      </c>
      <c r="C68" s="17">
        <v>110</v>
      </c>
    </row>
    <row r="69" spans="2:3" x14ac:dyDescent="0.25">
      <c r="B69" s="17">
        <v>31</v>
      </c>
      <c r="C69" s="17">
        <v>110</v>
      </c>
    </row>
    <row r="70" spans="2:3" x14ac:dyDescent="0.25">
      <c r="B70" s="17">
        <v>31</v>
      </c>
      <c r="C70" s="17">
        <v>110</v>
      </c>
    </row>
    <row r="71" spans="2:3" x14ac:dyDescent="0.25">
      <c r="B71" s="17">
        <v>29</v>
      </c>
      <c r="C71" s="17">
        <v>110</v>
      </c>
    </row>
    <row r="72" spans="2:3" x14ac:dyDescent="0.25">
      <c r="B72" s="17">
        <v>24</v>
      </c>
      <c r="C72" s="17">
        <v>107.8</v>
      </c>
    </row>
    <row r="73" spans="2:3" x14ac:dyDescent="0.25">
      <c r="B73" s="17">
        <v>31</v>
      </c>
      <c r="C73" s="17">
        <v>105</v>
      </c>
    </row>
    <row r="74" spans="2:3" x14ac:dyDescent="0.25">
      <c r="B74" s="17">
        <v>30</v>
      </c>
      <c r="C74" s="17">
        <v>105</v>
      </c>
    </row>
    <row r="75" spans="2:3" x14ac:dyDescent="0.25">
      <c r="B75" s="17">
        <v>31</v>
      </c>
      <c r="C75" s="17">
        <v>105</v>
      </c>
    </row>
    <row r="76" spans="2:3" x14ac:dyDescent="0.25">
      <c r="B76" s="17">
        <v>28</v>
      </c>
      <c r="C76" s="17">
        <v>103</v>
      </c>
    </row>
    <row r="77" spans="2:3" x14ac:dyDescent="0.25">
      <c r="B77" s="17">
        <v>31</v>
      </c>
      <c r="C77" s="17">
        <v>102</v>
      </c>
    </row>
    <row r="78" spans="2:3" x14ac:dyDescent="0.25">
      <c r="B78" s="17">
        <v>29</v>
      </c>
      <c r="C78" s="17">
        <v>102</v>
      </c>
    </row>
    <row r="79" spans="2:3" x14ac:dyDescent="0.25">
      <c r="B79" s="17">
        <v>28</v>
      </c>
      <c r="C79" s="17">
        <v>100</v>
      </c>
    </row>
    <row r="80" spans="2:3" x14ac:dyDescent="0.25">
      <c r="B80" s="17">
        <v>30</v>
      </c>
      <c r="C80" s="17">
        <v>100</v>
      </c>
    </row>
    <row r="81" spans="2:3" x14ac:dyDescent="0.25">
      <c r="B81" s="17">
        <v>31</v>
      </c>
      <c r="C81" s="17">
        <v>100</v>
      </c>
    </row>
    <row r="82" spans="2:3" x14ac:dyDescent="0.25">
      <c r="B82" s="17">
        <v>29</v>
      </c>
      <c r="C82" s="17">
        <v>100</v>
      </c>
    </row>
    <row r="83" spans="2:3" x14ac:dyDescent="0.25">
      <c r="B83" s="17">
        <v>29</v>
      </c>
      <c r="C83" s="17">
        <v>100</v>
      </c>
    </row>
    <row r="84" spans="2:3" x14ac:dyDescent="0.25">
      <c r="B84" s="17">
        <v>11</v>
      </c>
      <c r="C84" s="17">
        <v>98.05</v>
      </c>
    </row>
    <row r="85" spans="2:3" x14ac:dyDescent="0.25">
      <c r="B85" s="17">
        <v>30</v>
      </c>
      <c r="C85" s="17">
        <v>98</v>
      </c>
    </row>
    <row r="86" spans="2:3" x14ac:dyDescent="0.25">
      <c r="B86" s="17">
        <v>21</v>
      </c>
      <c r="C86" s="17">
        <v>98</v>
      </c>
    </row>
    <row r="87" spans="2:3" x14ac:dyDescent="0.25">
      <c r="B87" s="17">
        <v>12</v>
      </c>
      <c r="C87" s="17">
        <v>97.5</v>
      </c>
    </row>
    <row r="88" spans="2:3" x14ac:dyDescent="0.25">
      <c r="B88" s="17">
        <v>19</v>
      </c>
      <c r="C88" s="17">
        <v>94.5</v>
      </c>
    </row>
    <row r="89" spans="2:3" x14ac:dyDescent="0.25">
      <c r="B89" s="17">
        <v>28</v>
      </c>
      <c r="C89" s="17">
        <v>92.15000000000001</v>
      </c>
    </row>
    <row r="90" spans="2:3" x14ac:dyDescent="0.25">
      <c r="B90" s="17">
        <v>17</v>
      </c>
      <c r="C90" s="17">
        <v>91.77</v>
      </c>
    </row>
    <row r="91" spans="2:3" x14ac:dyDescent="0.25">
      <c r="B91" s="17">
        <v>31</v>
      </c>
      <c r="C91" s="17">
        <v>90</v>
      </c>
    </row>
    <row r="92" spans="2:3" x14ac:dyDescent="0.25">
      <c r="B92" s="17">
        <v>30</v>
      </c>
      <c r="C92" s="17">
        <v>90</v>
      </c>
    </row>
    <row r="93" spans="2:3" x14ac:dyDescent="0.25">
      <c r="B93" s="17">
        <v>31</v>
      </c>
      <c r="C93" s="17">
        <v>90</v>
      </c>
    </row>
    <row r="94" spans="2:3" x14ac:dyDescent="0.25">
      <c r="B94" s="17">
        <v>30</v>
      </c>
      <c r="C94" s="17">
        <v>90</v>
      </c>
    </row>
    <row r="95" spans="2:3" x14ac:dyDescent="0.25">
      <c r="B95" s="17">
        <v>18</v>
      </c>
      <c r="C95" s="17">
        <v>89.90000000000001</v>
      </c>
    </row>
    <row r="96" spans="2:3" x14ac:dyDescent="0.25">
      <c r="B96" s="17">
        <v>11</v>
      </c>
      <c r="C96" s="17">
        <v>89.25</v>
      </c>
    </row>
    <row r="97" spans="2:3" x14ac:dyDescent="0.25">
      <c r="B97" s="17">
        <v>31</v>
      </c>
      <c r="C97" s="17">
        <v>88</v>
      </c>
    </row>
    <row r="98" spans="2:3" x14ac:dyDescent="0.25">
      <c r="B98" s="17">
        <v>18</v>
      </c>
      <c r="C98" s="17">
        <v>87</v>
      </c>
    </row>
    <row r="99" spans="2:3" x14ac:dyDescent="0.25">
      <c r="B99" s="17">
        <v>27</v>
      </c>
      <c r="C99" s="17">
        <v>86.40000000000001</v>
      </c>
    </row>
    <row r="100" spans="2:3" x14ac:dyDescent="0.25">
      <c r="B100" s="17">
        <v>16</v>
      </c>
      <c r="C100" s="17">
        <v>85.8</v>
      </c>
    </row>
    <row r="101" spans="2:3" x14ac:dyDescent="0.25">
      <c r="B101" s="17">
        <v>29</v>
      </c>
      <c r="C101" s="17">
        <v>85</v>
      </c>
    </row>
    <row r="102" spans="2:3" x14ac:dyDescent="0.25">
      <c r="B102" s="17">
        <v>30</v>
      </c>
      <c r="C102" s="17">
        <v>83.5</v>
      </c>
    </row>
    <row r="103" spans="2:3" x14ac:dyDescent="0.25">
      <c r="B103" s="17">
        <v>23</v>
      </c>
      <c r="C103" s="17">
        <v>80.84999999999999</v>
      </c>
    </row>
    <row r="104" spans="2:3" x14ac:dyDescent="0.25">
      <c r="B104" s="17">
        <v>10</v>
      </c>
      <c r="C104" s="17">
        <v>80</v>
      </c>
    </row>
    <row r="105" spans="2:3" x14ac:dyDescent="0.25">
      <c r="B105" s="17">
        <v>31</v>
      </c>
      <c r="C105" s="17">
        <v>80</v>
      </c>
    </row>
    <row r="106" spans="2:3" x14ac:dyDescent="0.25">
      <c r="B106" s="17">
        <v>30</v>
      </c>
      <c r="C106" s="17">
        <v>80</v>
      </c>
    </row>
    <row r="107" spans="2:3" x14ac:dyDescent="0.25">
      <c r="B107" s="17">
        <v>30</v>
      </c>
      <c r="C107" s="17">
        <v>80</v>
      </c>
    </row>
    <row r="108" spans="2:3" x14ac:dyDescent="0.25">
      <c r="B108" s="17">
        <v>31</v>
      </c>
      <c r="C108" s="17">
        <v>80</v>
      </c>
    </row>
    <row r="109" spans="2:3" x14ac:dyDescent="0.25">
      <c r="B109" s="17">
        <v>29</v>
      </c>
      <c r="C109" s="17">
        <v>80</v>
      </c>
    </row>
    <row r="110" spans="2:3" x14ac:dyDescent="0.25">
      <c r="B110" s="17">
        <v>15</v>
      </c>
      <c r="C110" s="17">
        <v>79.776</v>
      </c>
    </row>
    <row r="111" spans="2:3" x14ac:dyDescent="0.25">
      <c r="B111" s="17">
        <v>16</v>
      </c>
      <c r="C111" s="17">
        <v>79.5</v>
      </c>
    </row>
    <row r="112" spans="2:3" x14ac:dyDescent="0.25">
      <c r="B112" s="17">
        <v>20</v>
      </c>
      <c r="C112" s="17">
        <v>79.34999999999999</v>
      </c>
    </row>
    <row r="113" spans="2:3" x14ac:dyDescent="0.25">
      <c r="B113" s="17">
        <v>24</v>
      </c>
      <c r="C113" s="17">
        <v>78.54000000000001</v>
      </c>
    </row>
    <row r="114" spans="2:3" x14ac:dyDescent="0.25">
      <c r="B114" s="17">
        <v>9</v>
      </c>
      <c r="C114" s="17">
        <v>78.3</v>
      </c>
    </row>
    <row r="115" spans="2:3" x14ac:dyDescent="0.25">
      <c r="B115" s="17">
        <v>26</v>
      </c>
      <c r="C115" s="17">
        <v>78.3</v>
      </c>
    </row>
    <row r="116" spans="2:3" x14ac:dyDescent="0.25">
      <c r="B116" s="17">
        <v>26</v>
      </c>
      <c r="C116" s="17">
        <v>78.12</v>
      </c>
    </row>
    <row r="117" spans="2:3" x14ac:dyDescent="0.25">
      <c r="B117" s="17">
        <v>31</v>
      </c>
      <c r="C117" s="17">
        <v>78</v>
      </c>
    </row>
    <row r="118" spans="2:3" x14ac:dyDescent="0.25">
      <c r="B118" s="17">
        <v>31</v>
      </c>
      <c r="C118" s="17">
        <v>77.5</v>
      </c>
    </row>
    <row r="119" spans="2:3" x14ac:dyDescent="0.25">
      <c r="B119" s="17">
        <v>28</v>
      </c>
      <c r="C119" s="17">
        <v>77.5</v>
      </c>
    </row>
    <row r="120" spans="2:3" x14ac:dyDescent="0.25">
      <c r="B120" s="17">
        <v>30</v>
      </c>
      <c r="C120" s="17">
        <v>77.5</v>
      </c>
    </row>
    <row r="121" spans="2:3" x14ac:dyDescent="0.25">
      <c r="B121" s="17">
        <v>31</v>
      </c>
      <c r="C121" s="17">
        <v>77.5</v>
      </c>
    </row>
    <row r="122" spans="2:3" x14ac:dyDescent="0.25">
      <c r="B122" s="17">
        <v>31</v>
      </c>
      <c r="C122" s="17">
        <v>77.5</v>
      </c>
    </row>
    <row r="123" spans="2:3" x14ac:dyDescent="0.25">
      <c r="B123" s="17">
        <v>31</v>
      </c>
      <c r="C123" s="17">
        <v>77.5</v>
      </c>
    </row>
    <row r="124" spans="2:3" x14ac:dyDescent="0.25">
      <c r="B124" s="17">
        <v>31</v>
      </c>
      <c r="C124" s="17">
        <v>77.5</v>
      </c>
    </row>
    <row r="125" spans="2:3" x14ac:dyDescent="0.25">
      <c r="B125" s="17">
        <v>31</v>
      </c>
      <c r="C125" s="17">
        <v>77.5</v>
      </c>
    </row>
    <row r="126" spans="2:3" x14ac:dyDescent="0.25">
      <c r="B126" s="17">
        <v>30</v>
      </c>
      <c r="C126" s="17">
        <v>77.5</v>
      </c>
    </row>
    <row r="127" spans="2:3" x14ac:dyDescent="0.25">
      <c r="B127" s="17">
        <v>30</v>
      </c>
      <c r="C127" s="17">
        <v>77.5</v>
      </c>
    </row>
    <row r="128" spans="2:3" x14ac:dyDescent="0.25">
      <c r="B128" s="17">
        <v>31</v>
      </c>
      <c r="C128" s="17">
        <v>77.5</v>
      </c>
    </row>
    <row r="129" spans="2:3" x14ac:dyDescent="0.25">
      <c r="B129" s="17">
        <v>30</v>
      </c>
      <c r="C129" s="17">
        <v>77.5</v>
      </c>
    </row>
    <row r="130" spans="2:3" x14ac:dyDescent="0.25">
      <c r="B130" s="17">
        <v>30</v>
      </c>
      <c r="C130" s="17">
        <v>77.5</v>
      </c>
    </row>
    <row r="131" spans="2:3" x14ac:dyDescent="0.25">
      <c r="B131" s="17">
        <v>30</v>
      </c>
      <c r="C131" s="17">
        <v>77.5</v>
      </c>
    </row>
    <row r="132" spans="2:3" x14ac:dyDescent="0.25">
      <c r="B132" s="17">
        <v>31</v>
      </c>
      <c r="C132" s="17">
        <v>77.5</v>
      </c>
    </row>
    <row r="133" spans="2:3" x14ac:dyDescent="0.25">
      <c r="B133" s="17">
        <v>31</v>
      </c>
      <c r="C133" s="17">
        <v>77.5</v>
      </c>
    </row>
    <row r="134" spans="2:3" x14ac:dyDescent="0.25">
      <c r="B134" s="17">
        <v>11</v>
      </c>
      <c r="C134" s="17">
        <v>77</v>
      </c>
    </row>
    <row r="135" spans="2:3" x14ac:dyDescent="0.25">
      <c r="B135" s="17">
        <v>14</v>
      </c>
      <c r="C135" s="17">
        <v>76.8</v>
      </c>
    </row>
    <row r="136" spans="2:3" x14ac:dyDescent="0.25">
      <c r="B136" s="17">
        <v>29</v>
      </c>
      <c r="C136" s="17">
        <v>75.2</v>
      </c>
    </row>
    <row r="137" spans="2:3" x14ac:dyDescent="0.25">
      <c r="B137" s="17">
        <v>30</v>
      </c>
      <c r="C137" s="17">
        <v>75</v>
      </c>
    </row>
    <row r="138" spans="2:3" x14ac:dyDescent="0.25">
      <c r="B138" s="17">
        <v>22</v>
      </c>
      <c r="C138" s="17">
        <v>74.45999999999999</v>
      </c>
    </row>
    <row r="139" spans="2:3" x14ac:dyDescent="0.25">
      <c r="B139" s="17">
        <v>28</v>
      </c>
      <c r="C139" s="17">
        <v>74.40000000000001</v>
      </c>
    </row>
    <row r="140" spans="2:3" x14ac:dyDescent="0.25">
      <c r="B140" s="17">
        <v>15</v>
      </c>
      <c r="C140" s="17">
        <v>74.25</v>
      </c>
    </row>
    <row r="141" spans="2:3" x14ac:dyDescent="0.25">
      <c r="B141" s="17">
        <v>15</v>
      </c>
      <c r="C141" s="17">
        <v>74.25</v>
      </c>
    </row>
    <row r="142" spans="2:3" x14ac:dyDescent="0.25">
      <c r="B142" s="17">
        <v>14</v>
      </c>
      <c r="C142" s="17">
        <v>73.79000000000001</v>
      </c>
    </row>
    <row r="143" spans="2:3" x14ac:dyDescent="0.25">
      <c r="B143" s="17">
        <v>24</v>
      </c>
      <c r="C143" s="17">
        <v>73.15000000000001</v>
      </c>
    </row>
    <row r="144" spans="2:3" x14ac:dyDescent="0.25">
      <c r="B144" s="17">
        <v>31</v>
      </c>
      <c r="C144" s="17">
        <v>73</v>
      </c>
    </row>
    <row r="145" spans="2:3" x14ac:dyDescent="0.25">
      <c r="B145" s="17">
        <v>31</v>
      </c>
      <c r="C145" s="17">
        <v>73</v>
      </c>
    </row>
    <row r="146" spans="2:3" x14ac:dyDescent="0.25">
      <c r="B146" s="17">
        <v>20</v>
      </c>
      <c r="C146" s="17">
        <v>72.8</v>
      </c>
    </row>
    <row r="147" spans="2:3" x14ac:dyDescent="0.25">
      <c r="B147" s="17">
        <v>8</v>
      </c>
      <c r="C147" s="17">
        <v>72.8</v>
      </c>
    </row>
    <row r="148" spans="2:3" x14ac:dyDescent="0.25">
      <c r="B148" s="17">
        <v>20</v>
      </c>
      <c r="C148" s="17">
        <v>71.5</v>
      </c>
    </row>
    <row r="149" spans="2:3" x14ac:dyDescent="0.25">
      <c r="B149" s="17">
        <v>22</v>
      </c>
      <c r="C149" s="17">
        <v>71</v>
      </c>
    </row>
    <row r="150" spans="2:3" x14ac:dyDescent="0.25">
      <c r="B150" s="17">
        <v>31</v>
      </c>
      <c r="C150" s="17">
        <v>70</v>
      </c>
    </row>
    <row r="151" spans="2:3" x14ac:dyDescent="0.25">
      <c r="B151" s="17">
        <v>31</v>
      </c>
      <c r="C151" s="17">
        <v>70</v>
      </c>
    </row>
    <row r="152" spans="2:3" x14ac:dyDescent="0.25">
      <c r="B152" s="17">
        <v>28</v>
      </c>
      <c r="C152" s="17">
        <v>70</v>
      </c>
    </row>
    <row r="153" spans="2:3" x14ac:dyDescent="0.25">
      <c r="B153" s="17">
        <v>29</v>
      </c>
      <c r="C153" s="17">
        <v>70</v>
      </c>
    </row>
    <row r="154" spans="2:3" x14ac:dyDescent="0.25">
      <c r="B154" s="17">
        <v>31</v>
      </c>
      <c r="C154" s="17">
        <v>70</v>
      </c>
    </row>
    <row r="155" spans="2:3" x14ac:dyDescent="0.25">
      <c r="B155" s="17">
        <v>31</v>
      </c>
      <c r="C155" s="17">
        <v>70</v>
      </c>
    </row>
    <row r="156" spans="2:3" x14ac:dyDescent="0.25">
      <c r="B156" s="17">
        <v>31</v>
      </c>
      <c r="C156" s="17">
        <v>70</v>
      </c>
    </row>
    <row r="157" spans="2:3" x14ac:dyDescent="0.25">
      <c r="B157" s="17">
        <v>30</v>
      </c>
      <c r="C157" s="17">
        <v>70</v>
      </c>
    </row>
    <row r="158" spans="2:3" x14ac:dyDescent="0.25">
      <c r="B158" s="17">
        <v>30</v>
      </c>
      <c r="C158" s="17">
        <v>70</v>
      </c>
    </row>
    <row r="159" spans="2:3" x14ac:dyDescent="0.25">
      <c r="B159" s="17">
        <v>30</v>
      </c>
      <c r="C159" s="17">
        <v>70</v>
      </c>
    </row>
    <row r="160" spans="2:3" x14ac:dyDescent="0.25">
      <c r="B160" s="17">
        <v>30</v>
      </c>
      <c r="C160" s="17">
        <v>70</v>
      </c>
    </row>
    <row r="161" spans="2:3" x14ac:dyDescent="0.25">
      <c r="B161" s="17">
        <v>31</v>
      </c>
      <c r="C161" s="17">
        <v>70</v>
      </c>
    </row>
    <row r="162" spans="2:3" x14ac:dyDescent="0.25">
      <c r="B162" s="17">
        <v>29</v>
      </c>
      <c r="C162" s="17">
        <v>70</v>
      </c>
    </row>
    <row r="163" spans="2:3" x14ac:dyDescent="0.25">
      <c r="B163" s="17">
        <v>30</v>
      </c>
      <c r="C163" s="17">
        <v>70</v>
      </c>
    </row>
    <row r="164" spans="2:3" x14ac:dyDescent="0.25">
      <c r="B164" s="17">
        <v>31</v>
      </c>
      <c r="C164" s="17">
        <v>70</v>
      </c>
    </row>
    <row r="165" spans="2:3" x14ac:dyDescent="0.25">
      <c r="B165" s="17">
        <v>31</v>
      </c>
      <c r="C165" s="17">
        <v>70</v>
      </c>
    </row>
    <row r="166" spans="2:3" x14ac:dyDescent="0.25">
      <c r="B166" s="17">
        <v>31</v>
      </c>
      <c r="C166" s="17">
        <v>70</v>
      </c>
    </row>
    <row r="167" spans="2:3" x14ac:dyDescent="0.25">
      <c r="B167" s="17">
        <v>17</v>
      </c>
      <c r="C167" s="17">
        <v>69.84999999999999</v>
      </c>
    </row>
    <row r="168" spans="2:3" x14ac:dyDescent="0.25">
      <c r="B168" s="17">
        <v>24</v>
      </c>
      <c r="C168" s="17">
        <v>69.3</v>
      </c>
    </row>
    <row r="169" spans="2:3" x14ac:dyDescent="0.25">
      <c r="B169" s="17">
        <v>20</v>
      </c>
      <c r="C169" s="17">
        <v>69</v>
      </c>
    </row>
    <row r="170" spans="2:3" x14ac:dyDescent="0.25">
      <c r="B170" s="17">
        <v>12</v>
      </c>
      <c r="C170" s="17">
        <v>68.25</v>
      </c>
    </row>
    <row r="171" spans="2:3" x14ac:dyDescent="0.25">
      <c r="B171" s="17">
        <v>24</v>
      </c>
      <c r="C171" s="17">
        <v>68.23999999999999</v>
      </c>
    </row>
    <row r="172" spans="2:3" x14ac:dyDescent="0.25">
      <c r="B172" s="17">
        <v>28</v>
      </c>
      <c r="C172" s="17">
        <v>67.89</v>
      </c>
    </row>
    <row r="173" spans="2:3" x14ac:dyDescent="0.25">
      <c r="B173" s="17">
        <v>14</v>
      </c>
      <c r="C173" s="17">
        <v>67.5</v>
      </c>
    </row>
    <row r="174" spans="2:3" x14ac:dyDescent="0.25">
      <c r="B174" s="17">
        <v>14</v>
      </c>
      <c r="C174" s="17">
        <v>67.5</v>
      </c>
    </row>
    <row r="175" spans="2:3" x14ac:dyDescent="0.25">
      <c r="B175" s="17">
        <v>30</v>
      </c>
      <c r="C175" s="17">
        <v>67</v>
      </c>
    </row>
    <row r="176" spans="2:3" x14ac:dyDescent="0.25">
      <c r="B176" s="17">
        <v>27</v>
      </c>
      <c r="C176" s="17">
        <v>66.98999999999999</v>
      </c>
    </row>
    <row r="177" spans="2:3" x14ac:dyDescent="0.25">
      <c r="B177" s="17">
        <v>19</v>
      </c>
      <c r="C177" s="17">
        <v>66.78</v>
      </c>
    </row>
    <row r="178" spans="2:3" x14ac:dyDescent="0.25">
      <c r="B178" s="17">
        <v>10</v>
      </c>
      <c r="C178" s="17">
        <v>65.92</v>
      </c>
    </row>
    <row r="179" spans="2:3" x14ac:dyDescent="0.25">
      <c r="B179" s="17">
        <v>31</v>
      </c>
      <c r="C179" s="17">
        <v>65</v>
      </c>
    </row>
    <row r="180" spans="2:3" x14ac:dyDescent="0.25">
      <c r="B180" s="17">
        <v>29</v>
      </c>
      <c r="C180" s="17">
        <v>65</v>
      </c>
    </row>
    <row r="181" spans="2:3" x14ac:dyDescent="0.25">
      <c r="B181" s="17">
        <v>31</v>
      </c>
      <c r="C181" s="17">
        <v>65</v>
      </c>
    </row>
    <row r="182" spans="2:3" x14ac:dyDescent="0.25">
      <c r="B182" s="17">
        <v>24</v>
      </c>
      <c r="C182" s="17">
        <v>64</v>
      </c>
    </row>
    <row r="183" spans="2:3" x14ac:dyDescent="0.25">
      <c r="B183" s="17">
        <v>18</v>
      </c>
      <c r="C183" s="17">
        <v>63.8</v>
      </c>
    </row>
    <row r="184" spans="2:3" x14ac:dyDescent="0.25">
      <c r="B184" s="17">
        <v>11</v>
      </c>
      <c r="C184" s="17">
        <v>63.64</v>
      </c>
    </row>
    <row r="185" spans="2:3" x14ac:dyDescent="0.25">
      <c r="B185" s="17">
        <v>26</v>
      </c>
      <c r="C185" s="17">
        <v>63.51</v>
      </c>
    </row>
    <row r="186" spans="2:3" x14ac:dyDescent="0.25">
      <c r="B186" s="17">
        <v>25</v>
      </c>
      <c r="C186" s="17">
        <v>63.101</v>
      </c>
    </row>
    <row r="187" spans="2:3" x14ac:dyDescent="0.25">
      <c r="B187" s="17">
        <v>14</v>
      </c>
      <c r="C187" s="17">
        <v>63</v>
      </c>
    </row>
    <row r="188" spans="2:3" x14ac:dyDescent="0.25">
      <c r="B188" s="17">
        <v>21</v>
      </c>
      <c r="C188" s="17">
        <v>63</v>
      </c>
    </row>
    <row r="189" spans="2:3" x14ac:dyDescent="0.25">
      <c r="B189" s="17">
        <v>26</v>
      </c>
      <c r="C189" s="17">
        <v>63</v>
      </c>
    </row>
    <row r="190" spans="2:3" x14ac:dyDescent="0.25">
      <c r="B190" s="17">
        <v>30</v>
      </c>
      <c r="C190" s="17">
        <v>62.856</v>
      </c>
    </row>
    <row r="191" spans="2:3" x14ac:dyDescent="0.25">
      <c r="B191" s="17">
        <v>21</v>
      </c>
      <c r="C191" s="17">
        <v>62.56</v>
      </c>
    </row>
    <row r="192" spans="2:3" x14ac:dyDescent="0.25">
      <c r="B192" s="17">
        <v>13</v>
      </c>
      <c r="C192" s="17">
        <v>62.37</v>
      </c>
    </row>
    <row r="193" spans="2:3" x14ac:dyDescent="0.25">
      <c r="B193" s="17">
        <v>7</v>
      </c>
      <c r="C193" s="17">
        <v>62.1</v>
      </c>
    </row>
    <row r="194" spans="2:3" x14ac:dyDescent="0.25">
      <c r="B194" s="17">
        <v>16</v>
      </c>
      <c r="C194" s="17">
        <v>61.6</v>
      </c>
    </row>
    <row r="195" spans="2:3" x14ac:dyDescent="0.25">
      <c r="B195" s="17">
        <v>21</v>
      </c>
      <c r="C195" s="17">
        <v>61.2</v>
      </c>
    </row>
    <row r="196" spans="2:3" x14ac:dyDescent="0.25">
      <c r="B196" s="17">
        <v>25</v>
      </c>
      <c r="C196" s="17">
        <v>61.155</v>
      </c>
    </row>
    <row r="197" spans="2:3" x14ac:dyDescent="0.25">
      <c r="B197" s="17">
        <v>19</v>
      </c>
      <c r="C197" s="17">
        <v>61</v>
      </c>
    </row>
    <row r="198" spans="2:3" x14ac:dyDescent="0.25">
      <c r="B198" s="17">
        <v>19</v>
      </c>
      <c r="C198" s="17">
        <v>61</v>
      </c>
    </row>
    <row r="199" spans="2:3" x14ac:dyDescent="0.25">
      <c r="B199" s="17">
        <v>18</v>
      </c>
      <c r="C199" s="17">
        <v>60.9</v>
      </c>
    </row>
    <row r="200" spans="2:3" x14ac:dyDescent="0.25">
      <c r="B200" s="17">
        <v>28</v>
      </c>
      <c r="C200" s="17">
        <v>60.45</v>
      </c>
    </row>
    <row r="201" spans="2:3" x14ac:dyDescent="0.25">
      <c r="B201" s="17">
        <v>28</v>
      </c>
      <c r="C201" s="17">
        <v>60.45</v>
      </c>
    </row>
    <row r="202" spans="2:3" x14ac:dyDescent="0.25">
      <c r="B202" s="17">
        <v>31</v>
      </c>
      <c r="C202" s="17">
        <v>60.33</v>
      </c>
    </row>
    <row r="203" spans="2:3" x14ac:dyDescent="0.25">
      <c r="B203" s="17">
        <v>31</v>
      </c>
      <c r="C203" s="17">
        <v>60.33</v>
      </c>
    </row>
    <row r="204" spans="2:3" x14ac:dyDescent="0.25">
      <c r="B204" s="17">
        <v>29</v>
      </c>
      <c r="C204" s="17">
        <v>60.33</v>
      </c>
    </row>
    <row r="205" spans="2:3" x14ac:dyDescent="0.25">
      <c r="B205" s="17">
        <v>31</v>
      </c>
      <c r="C205" s="17">
        <v>60</v>
      </c>
    </row>
    <row r="206" spans="2:3" x14ac:dyDescent="0.25">
      <c r="B206" s="17">
        <v>31</v>
      </c>
      <c r="C206" s="17">
        <v>60</v>
      </c>
    </row>
    <row r="207" spans="2:3" x14ac:dyDescent="0.25">
      <c r="B207" s="17">
        <v>29</v>
      </c>
      <c r="C207" s="17">
        <v>60</v>
      </c>
    </row>
    <row r="208" spans="2:3" x14ac:dyDescent="0.25">
      <c r="B208" s="17">
        <v>15</v>
      </c>
      <c r="C208" s="17">
        <v>60</v>
      </c>
    </row>
    <row r="209" spans="2:3" x14ac:dyDescent="0.25">
      <c r="B209" s="17">
        <v>15</v>
      </c>
      <c r="C209" s="17">
        <v>59.8</v>
      </c>
    </row>
    <row r="210" spans="2:3" x14ac:dyDescent="0.25">
      <c r="B210" s="17">
        <v>21</v>
      </c>
      <c r="C210" s="17">
        <v>59.654</v>
      </c>
    </row>
    <row r="211" spans="2:3" x14ac:dyDescent="0.25">
      <c r="B211" s="17">
        <v>12</v>
      </c>
      <c r="C211" s="17">
        <v>59.4</v>
      </c>
    </row>
    <row r="212" spans="2:3" x14ac:dyDescent="0.25">
      <c r="B212" s="17">
        <v>16</v>
      </c>
      <c r="C212" s="17">
        <v>59.28</v>
      </c>
    </row>
    <row r="213" spans="2:3" x14ac:dyDescent="0.25">
      <c r="B213" s="17">
        <v>31</v>
      </c>
      <c r="C213" s="17">
        <v>58.5</v>
      </c>
    </row>
    <row r="214" spans="2:3" x14ac:dyDescent="0.25">
      <c r="B214" s="17">
        <v>17</v>
      </c>
      <c r="C214" s="17">
        <v>58.3</v>
      </c>
    </row>
    <row r="215" spans="2:3" x14ac:dyDescent="0.25">
      <c r="B215" s="17">
        <v>21</v>
      </c>
      <c r="C215" s="17">
        <v>57.8</v>
      </c>
    </row>
    <row r="216" spans="2:3" x14ac:dyDescent="0.25">
      <c r="B216" s="17">
        <v>8</v>
      </c>
      <c r="C216" s="17">
        <v>57.2</v>
      </c>
    </row>
    <row r="217" spans="2:3" x14ac:dyDescent="0.25">
      <c r="B217" s="17">
        <v>16</v>
      </c>
      <c r="C217" s="17">
        <v>57.2</v>
      </c>
    </row>
    <row r="218" spans="2:3" x14ac:dyDescent="0.25">
      <c r="B218" s="17">
        <v>31</v>
      </c>
      <c r="C218" s="17">
        <v>57</v>
      </c>
    </row>
    <row r="219" spans="2:3" x14ac:dyDescent="0.25">
      <c r="B219" s="17">
        <v>17</v>
      </c>
      <c r="C219" s="17">
        <v>57</v>
      </c>
    </row>
    <row r="220" spans="2:3" x14ac:dyDescent="0.25">
      <c r="B220" s="17">
        <v>30</v>
      </c>
      <c r="C220" s="17">
        <v>57</v>
      </c>
    </row>
    <row r="221" spans="2:3" x14ac:dyDescent="0.25">
      <c r="B221" s="17">
        <v>18</v>
      </c>
      <c r="C221" s="17">
        <v>56.84</v>
      </c>
    </row>
    <row r="222" spans="2:3" x14ac:dyDescent="0.25">
      <c r="B222" s="17">
        <v>29</v>
      </c>
      <c r="C222" s="17">
        <v>56.4</v>
      </c>
    </row>
    <row r="223" spans="2:3" x14ac:dyDescent="0.25">
      <c r="B223" s="17">
        <v>31</v>
      </c>
      <c r="C223" s="17">
        <v>56.35</v>
      </c>
    </row>
    <row r="224" spans="2:3" x14ac:dyDescent="0.25">
      <c r="B224" s="17">
        <v>22</v>
      </c>
      <c r="C224" s="17">
        <v>56.21</v>
      </c>
    </row>
    <row r="225" spans="2:3" x14ac:dyDescent="0.25">
      <c r="B225" s="17">
        <v>31</v>
      </c>
      <c r="C225" s="17">
        <v>56</v>
      </c>
    </row>
    <row r="226" spans="2:3" x14ac:dyDescent="0.25">
      <c r="B226" s="17">
        <v>28</v>
      </c>
      <c r="C226" s="17">
        <v>56</v>
      </c>
    </row>
    <row r="227" spans="2:3" x14ac:dyDescent="0.25">
      <c r="B227" s="17">
        <v>31</v>
      </c>
      <c r="C227" s="17">
        <v>56</v>
      </c>
    </row>
    <row r="228" spans="2:3" x14ac:dyDescent="0.25">
      <c r="B228" s="17">
        <v>30</v>
      </c>
      <c r="C228" s="17">
        <v>56</v>
      </c>
    </row>
    <row r="229" spans="2:3" x14ac:dyDescent="0.25">
      <c r="B229" s="17">
        <v>31</v>
      </c>
      <c r="C229" s="17">
        <v>56</v>
      </c>
    </row>
    <row r="230" spans="2:3" x14ac:dyDescent="0.25">
      <c r="B230" s="17">
        <v>24</v>
      </c>
      <c r="C230" s="17">
        <v>56</v>
      </c>
    </row>
    <row r="231" spans="2:3" x14ac:dyDescent="0.25">
      <c r="B231" s="17">
        <v>30</v>
      </c>
      <c r="C231" s="17">
        <v>56</v>
      </c>
    </row>
    <row r="232" spans="2:3" x14ac:dyDescent="0.25">
      <c r="B232" s="17">
        <v>31</v>
      </c>
      <c r="C232" s="17">
        <v>56</v>
      </c>
    </row>
    <row r="233" spans="2:3" x14ac:dyDescent="0.25">
      <c r="B233" s="17">
        <v>31</v>
      </c>
      <c r="C233" s="17">
        <v>56</v>
      </c>
    </row>
    <row r="234" spans="2:3" x14ac:dyDescent="0.25">
      <c r="B234" s="17">
        <v>11</v>
      </c>
      <c r="C234" s="17">
        <v>56</v>
      </c>
    </row>
    <row r="235" spans="2:3" x14ac:dyDescent="0.25">
      <c r="B235" s="17">
        <v>31</v>
      </c>
      <c r="C235" s="17">
        <v>56</v>
      </c>
    </row>
    <row r="236" spans="2:3" x14ac:dyDescent="0.25">
      <c r="B236" s="17">
        <v>28</v>
      </c>
      <c r="C236" s="17">
        <v>56</v>
      </c>
    </row>
    <row r="237" spans="2:3" x14ac:dyDescent="0.25">
      <c r="B237" s="17">
        <v>28</v>
      </c>
      <c r="C237" s="17">
        <v>55.8</v>
      </c>
    </row>
    <row r="238" spans="2:3" x14ac:dyDescent="0.25">
      <c r="B238" s="17">
        <v>16</v>
      </c>
      <c r="C238" s="17">
        <v>55.65</v>
      </c>
    </row>
    <row r="239" spans="2:3" x14ac:dyDescent="0.25">
      <c r="B239" s="17">
        <v>31</v>
      </c>
      <c r="C239" s="17">
        <v>55.5</v>
      </c>
    </row>
    <row r="240" spans="2:3" x14ac:dyDescent="0.25">
      <c r="B240" s="17">
        <v>29</v>
      </c>
      <c r="C240" s="17">
        <v>55.5</v>
      </c>
    </row>
    <row r="241" spans="2:3" x14ac:dyDescent="0.25">
      <c r="B241" s="17">
        <v>22</v>
      </c>
      <c r="C241" s="17">
        <v>55.3</v>
      </c>
    </row>
    <row r="242" spans="2:3" x14ac:dyDescent="0.25">
      <c r="B242" s="17">
        <v>20</v>
      </c>
      <c r="C242" s="17">
        <v>55.2</v>
      </c>
    </row>
    <row r="243" spans="2:3" x14ac:dyDescent="0.25">
      <c r="B243" s="17">
        <v>31</v>
      </c>
      <c r="C243" s="17">
        <v>55</v>
      </c>
    </row>
    <row r="244" spans="2:3" x14ac:dyDescent="0.25">
      <c r="B244" s="17">
        <v>28</v>
      </c>
      <c r="C244" s="17">
        <v>55</v>
      </c>
    </row>
    <row r="245" spans="2:3" x14ac:dyDescent="0.25">
      <c r="B245" s="17">
        <v>30</v>
      </c>
      <c r="C245" s="17">
        <v>55</v>
      </c>
    </row>
    <row r="246" spans="2:3" x14ac:dyDescent="0.25">
      <c r="B246" s="17">
        <v>31</v>
      </c>
      <c r="C246" s="17">
        <v>55</v>
      </c>
    </row>
    <row r="247" spans="2:3" x14ac:dyDescent="0.25">
      <c r="B247" s="17">
        <v>31</v>
      </c>
      <c r="C247" s="17">
        <v>55</v>
      </c>
    </row>
    <row r="248" spans="2:3" x14ac:dyDescent="0.25">
      <c r="B248" s="17">
        <v>28</v>
      </c>
      <c r="C248" s="17">
        <v>55</v>
      </c>
    </row>
    <row r="249" spans="2:3" x14ac:dyDescent="0.25">
      <c r="B249" s="17">
        <v>31</v>
      </c>
      <c r="C249" s="17">
        <v>55</v>
      </c>
    </row>
    <row r="250" spans="2:3" x14ac:dyDescent="0.25">
      <c r="B250" s="17">
        <v>31</v>
      </c>
      <c r="C250" s="17">
        <v>55</v>
      </c>
    </row>
    <row r="251" spans="2:3" x14ac:dyDescent="0.25">
      <c r="B251" s="17">
        <v>16</v>
      </c>
      <c r="C251" s="17">
        <v>55</v>
      </c>
    </row>
    <row r="252" spans="2:3" x14ac:dyDescent="0.25">
      <c r="B252" s="17">
        <v>31</v>
      </c>
      <c r="C252" s="17">
        <v>55</v>
      </c>
    </row>
    <row r="253" spans="2:3" x14ac:dyDescent="0.25">
      <c r="B253" s="17">
        <v>31</v>
      </c>
      <c r="C253" s="17">
        <v>55</v>
      </c>
    </row>
    <row r="254" spans="2:3" x14ac:dyDescent="0.25">
      <c r="B254" s="17">
        <v>17</v>
      </c>
      <c r="C254" s="17">
        <v>55</v>
      </c>
    </row>
    <row r="255" spans="2:3" x14ac:dyDescent="0.25">
      <c r="B255" s="17">
        <v>30</v>
      </c>
      <c r="C255" s="17">
        <v>55</v>
      </c>
    </row>
    <row r="256" spans="2:3" x14ac:dyDescent="0.25">
      <c r="B256" s="17">
        <v>25</v>
      </c>
      <c r="C256" s="17">
        <v>54.78</v>
      </c>
    </row>
    <row r="257" spans="2:3" x14ac:dyDescent="0.25">
      <c r="B257" s="17">
        <v>30</v>
      </c>
      <c r="C257" s="17">
        <v>54.25</v>
      </c>
    </row>
    <row r="258" spans="2:3" x14ac:dyDescent="0.25">
      <c r="B258" s="17">
        <v>31</v>
      </c>
      <c r="C258" s="17">
        <v>54.25</v>
      </c>
    </row>
    <row r="259" spans="2:3" x14ac:dyDescent="0.25">
      <c r="B259" s="17">
        <v>31</v>
      </c>
      <c r="C259" s="17">
        <v>54.25</v>
      </c>
    </row>
    <row r="260" spans="2:3" x14ac:dyDescent="0.25">
      <c r="B260" s="17">
        <v>30</v>
      </c>
      <c r="C260" s="17">
        <v>54.25</v>
      </c>
    </row>
    <row r="261" spans="2:3" x14ac:dyDescent="0.25">
      <c r="B261" s="17">
        <v>31</v>
      </c>
      <c r="C261" s="17">
        <v>54.25</v>
      </c>
    </row>
    <row r="262" spans="2:3" x14ac:dyDescent="0.25">
      <c r="B262" s="17">
        <v>30</v>
      </c>
      <c r="C262" s="17">
        <v>54.25</v>
      </c>
    </row>
    <row r="263" spans="2:3" x14ac:dyDescent="0.25">
      <c r="B263" s="17">
        <v>31</v>
      </c>
      <c r="C263" s="17">
        <v>54.25</v>
      </c>
    </row>
    <row r="264" spans="2:3" x14ac:dyDescent="0.25">
      <c r="B264" s="17">
        <v>18</v>
      </c>
      <c r="C264" s="17">
        <v>54</v>
      </c>
    </row>
    <row r="265" spans="2:3" x14ac:dyDescent="0.25">
      <c r="B265" s="17">
        <v>25</v>
      </c>
      <c r="C265" s="17">
        <v>53.95</v>
      </c>
    </row>
    <row r="266" spans="2:3" x14ac:dyDescent="0.25">
      <c r="B266" s="17">
        <v>17</v>
      </c>
      <c r="C266" s="17">
        <v>53.9</v>
      </c>
    </row>
    <row r="267" spans="2:3" x14ac:dyDescent="0.25">
      <c r="B267" s="17">
        <v>20</v>
      </c>
      <c r="C267" s="17">
        <v>53.6</v>
      </c>
    </row>
    <row r="268" spans="2:3" x14ac:dyDescent="0.25">
      <c r="B268" s="17">
        <v>24</v>
      </c>
      <c r="C268" s="17">
        <v>53.32</v>
      </c>
    </row>
    <row r="269" spans="2:3" x14ac:dyDescent="0.25">
      <c r="B269" s="17">
        <v>22</v>
      </c>
      <c r="C269" s="17">
        <v>53.29</v>
      </c>
    </row>
    <row r="270" spans="2:3" x14ac:dyDescent="0.25">
      <c r="B270" s="17">
        <v>15</v>
      </c>
      <c r="C270" s="17">
        <v>53.04</v>
      </c>
    </row>
    <row r="271" spans="2:3" x14ac:dyDescent="0.25">
      <c r="B271" s="17">
        <v>28</v>
      </c>
      <c r="C271" s="17">
        <v>53.01</v>
      </c>
    </row>
    <row r="272" spans="2:3" x14ac:dyDescent="0.25">
      <c r="B272" s="17">
        <v>29</v>
      </c>
      <c r="C272" s="17">
        <v>53</v>
      </c>
    </row>
    <row r="273" spans="2:3" x14ac:dyDescent="0.25">
      <c r="B273" s="17">
        <v>16</v>
      </c>
      <c r="C273" s="17">
        <v>53</v>
      </c>
    </row>
    <row r="274" spans="2:3" x14ac:dyDescent="0.25">
      <c r="B274" s="17">
        <v>11</v>
      </c>
      <c r="C274" s="17">
        <v>52.5</v>
      </c>
    </row>
    <row r="275" spans="2:3" x14ac:dyDescent="0.25">
      <c r="B275" s="17">
        <v>6</v>
      </c>
      <c r="C275" s="17">
        <v>52.25</v>
      </c>
    </row>
    <row r="276" spans="2:3" x14ac:dyDescent="0.25">
      <c r="B276" s="17">
        <v>31</v>
      </c>
      <c r="C276" s="17">
        <v>52</v>
      </c>
    </row>
    <row r="277" spans="2:3" x14ac:dyDescent="0.25">
      <c r="B277" s="17">
        <v>30</v>
      </c>
      <c r="C277" s="17">
        <v>52</v>
      </c>
    </row>
    <row r="278" spans="2:3" x14ac:dyDescent="0.25">
      <c r="B278" s="17">
        <v>31</v>
      </c>
      <c r="C278" s="17">
        <v>52</v>
      </c>
    </row>
    <row r="279" spans="2:3" x14ac:dyDescent="0.25">
      <c r="B279" s="17">
        <v>30</v>
      </c>
      <c r="C279" s="17">
        <v>52</v>
      </c>
    </row>
    <row r="280" spans="2:3" x14ac:dyDescent="0.25">
      <c r="B280" s="17">
        <v>29</v>
      </c>
      <c r="C280" s="17">
        <v>51.7</v>
      </c>
    </row>
    <row r="281" spans="2:3" x14ac:dyDescent="0.25">
      <c r="B281" s="17">
        <v>26</v>
      </c>
      <c r="C281" s="17">
        <v>51.3</v>
      </c>
    </row>
    <row r="282" spans="2:3" x14ac:dyDescent="0.25">
      <c r="B282" s="17">
        <v>17</v>
      </c>
      <c r="C282" s="17">
        <v>51.3</v>
      </c>
    </row>
    <row r="283" spans="2:3" x14ac:dyDescent="0.25">
      <c r="B283" s="17">
        <v>15</v>
      </c>
      <c r="C283" s="17">
        <v>50.88</v>
      </c>
    </row>
    <row r="284" spans="2:3" x14ac:dyDescent="0.25">
      <c r="B284" s="17">
        <v>15</v>
      </c>
      <c r="C284" s="17">
        <v>50.4</v>
      </c>
    </row>
    <row r="285" spans="2:3" x14ac:dyDescent="0.25">
      <c r="B285" s="17">
        <v>30</v>
      </c>
      <c r="C285" s="17">
        <v>50.2</v>
      </c>
    </row>
    <row r="286" spans="2:3" x14ac:dyDescent="0.25">
      <c r="B286" s="17">
        <v>28</v>
      </c>
      <c r="C286" s="17">
        <v>50.2</v>
      </c>
    </row>
    <row r="287" spans="2:3" x14ac:dyDescent="0.25">
      <c r="B287" s="17">
        <v>31</v>
      </c>
      <c r="C287" s="17">
        <v>50.2</v>
      </c>
    </row>
    <row r="288" spans="2:3" x14ac:dyDescent="0.25">
      <c r="B288" s="17">
        <v>30</v>
      </c>
      <c r="C288" s="17">
        <v>50</v>
      </c>
    </row>
    <row r="289" spans="2:3" x14ac:dyDescent="0.25">
      <c r="B289" s="17">
        <v>31</v>
      </c>
      <c r="C289" s="17">
        <v>50</v>
      </c>
    </row>
    <row r="290" spans="2:3" x14ac:dyDescent="0.25">
      <c r="B290" s="17">
        <v>31</v>
      </c>
      <c r="C290" s="17">
        <v>50</v>
      </c>
    </row>
    <row r="291" spans="2:3" x14ac:dyDescent="0.25">
      <c r="B291" s="17">
        <v>30</v>
      </c>
      <c r="C291" s="17">
        <v>50</v>
      </c>
    </row>
    <row r="292" spans="2:3" x14ac:dyDescent="0.25">
      <c r="B292" s="17">
        <v>31</v>
      </c>
      <c r="C292" s="17">
        <v>50</v>
      </c>
    </row>
    <row r="293" spans="2:3" x14ac:dyDescent="0.25">
      <c r="B293" s="17">
        <v>31</v>
      </c>
      <c r="C293" s="17">
        <v>50</v>
      </c>
    </row>
    <row r="294" spans="2:3" x14ac:dyDescent="0.25">
      <c r="B294" s="17">
        <v>31</v>
      </c>
      <c r="C294" s="17">
        <v>50</v>
      </c>
    </row>
    <row r="295" spans="2:3" x14ac:dyDescent="0.25">
      <c r="B295" s="17">
        <v>31</v>
      </c>
      <c r="C295" s="17">
        <v>50</v>
      </c>
    </row>
    <row r="296" spans="2:3" x14ac:dyDescent="0.25">
      <c r="B296" s="17">
        <v>6</v>
      </c>
      <c r="C296" s="17">
        <v>50</v>
      </c>
    </row>
    <row r="297" spans="2:3" x14ac:dyDescent="0.25">
      <c r="B297" s="17">
        <v>28</v>
      </c>
      <c r="C297" s="17">
        <v>50</v>
      </c>
    </row>
    <row r="298" spans="2:3" x14ac:dyDescent="0.25">
      <c r="B298" s="17">
        <v>31</v>
      </c>
      <c r="C298" s="17">
        <v>50</v>
      </c>
    </row>
    <row r="299" spans="2:3" x14ac:dyDescent="0.25">
      <c r="B299" s="17">
        <v>28</v>
      </c>
      <c r="C299" s="17">
        <v>50</v>
      </c>
    </row>
    <row r="300" spans="2:3" x14ac:dyDescent="0.25">
      <c r="B300" s="17">
        <v>30</v>
      </c>
      <c r="C300" s="17">
        <v>50</v>
      </c>
    </row>
    <row r="301" spans="2:3" x14ac:dyDescent="0.25">
      <c r="B301" s="17">
        <v>31</v>
      </c>
      <c r="C301" s="17">
        <v>50</v>
      </c>
    </row>
    <row r="302" spans="2:3" x14ac:dyDescent="0.25">
      <c r="B302" s="17">
        <v>30</v>
      </c>
      <c r="C302" s="17">
        <v>50</v>
      </c>
    </row>
    <row r="303" spans="2:3" x14ac:dyDescent="0.25">
      <c r="B303" s="17">
        <v>31</v>
      </c>
      <c r="C303" s="17">
        <v>50</v>
      </c>
    </row>
    <row r="304" spans="2:3" x14ac:dyDescent="0.25">
      <c r="B304" s="17">
        <v>31</v>
      </c>
      <c r="C304" s="17">
        <v>50</v>
      </c>
    </row>
    <row r="305" spans="2:3" x14ac:dyDescent="0.25">
      <c r="B305" s="17">
        <v>30</v>
      </c>
      <c r="C305" s="17">
        <v>50</v>
      </c>
    </row>
    <row r="306" spans="2:3" x14ac:dyDescent="0.25">
      <c r="B306" s="17">
        <v>31</v>
      </c>
      <c r="C306" s="17">
        <v>50</v>
      </c>
    </row>
    <row r="307" spans="2:3" x14ac:dyDescent="0.25">
      <c r="B307" s="17">
        <v>31</v>
      </c>
      <c r="C307" s="17">
        <v>50</v>
      </c>
    </row>
    <row r="308" spans="2:3" x14ac:dyDescent="0.25">
      <c r="B308" s="17">
        <v>31</v>
      </c>
      <c r="C308" s="17">
        <v>50</v>
      </c>
    </row>
    <row r="309" spans="2:3" x14ac:dyDescent="0.25">
      <c r="B309" s="17">
        <v>30</v>
      </c>
      <c r="C309" s="17">
        <v>50</v>
      </c>
    </row>
    <row r="310" spans="2:3" x14ac:dyDescent="0.25">
      <c r="B310" s="17">
        <v>31</v>
      </c>
      <c r="C310" s="17">
        <v>50</v>
      </c>
    </row>
    <row r="311" spans="2:3" x14ac:dyDescent="0.25">
      <c r="B311" s="17">
        <v>31</v>
      </c>
      <c r="C311" s="17">
        <v>50</v>
      </c>
    </row>
    <row r="312" spans="2:3" x14ac:dyDescent="0.25">
      <c r="B312" s="17">
        <v>30</v>
      </c>
      <c r="C312" s="17">
        <v>50</v>
      </c>
    </row>
    <row r="313" spans="2:3" x14ac:dyDescent="0.25">
      <c r="B313" s="17">
        <v>30</v>
      </c>
      <c r="C313" s="17">
        <v>50</v>
      </c>
    </row>
    <row r="314" spans="2:3" x14ac:dyDescent="0.25">
      <c r="B314" s="17">
        <v>30</v>
      </c>
      <c r="C314" s="17">
        <v>50</v>
      </c>
    </row>
    <row r="315" spans="2:3" x14ac:dyDescent="0.25">
      <c r="B315" s="17">
        <v>28</v>
      </c>
      <c r="C315" s="17">
        <v>50</v>
      </c>
    </row>
    <row r="316" spans="2:3" x14ac:dyDescent="0.25">
      <c r="B316" s="17">
        <v>23</v>
      </c>
      <c r="C316" s="17">
        <v>49.8575</v>
      </c>
    </row>
    <row r="317" spans="2:3" x14ac:dyDescent="0.25">
      <c r="B317" s="17">
        <v>25</v>
      </c>
      <c r="C317" s="17">
        <v>49.815</v>
      </c>
    </row>
    <row r="318" spans="2:3" x14ac:dyDescent="0.25">
      <c r="B318" s="17">
        <v>23</v>
      </c>
      <c r="C318" s="17">
        <v>49.665</v>
      </c>
    </row>
    <row r="319" spans="2:3" x14ac:dyDescent="0.25">
      <c r="B319" s="17">
        <v>23</v>
      </c>
      <c r="C319" s="17">
        <v>49.58</v>
      </c>
    </row>
    <row r="320" spans="2:3" x14ac:dyDescent="0.25">
      <c r="B320" s="17">
        <v>17</v>
      </c>
      <c r="C320" s="17">
        <v>49.5</v>
      </c>
    </row>
    <row r="321" spans="2:3" x14ac:dyDescent="0.25">
      <c r="B321" s="17">
        <v>31</v>
      </c>
      <c r="C321" s="17">
        <v>49.5</v>
      </c>
    </row>
    <row r="322" spans="2:3" x14ac:dyDescent="0.25">
      <c r="B322" s="17">
        <v>28</v>
      </c>
      <c r="C322" s="17">
        <v>49.5</v>
      </c>
    </row>
    <row r="323" spans="2:3" x14ac:dyDescent="0.25">
      <c r="B323" s="17">
        <v>26</v>
      </c>
      <c r="C323" s="17">
        <v>49.5</v>
      </c>
    </row>
    <row r="324" spans="2:3" x14ac:dyDescent="0.25">
      <c r="B324" s="17">
        <v>15</v>
      </c>
      <c r="C324" s="17">
        <v>49.44</v>
      </c>
    </row>
    <row r="325" spans="2:3" x14ac:dyDescent="0.25">
      <c r="B325" s="17">
        <v>29</v>
      </c>
      <c r="C325" s="17">
        <v>48.88</v>
      </c>
    </row>
    <row r="326" spans="2:3" x14ac:dyDescent="0.25">
      <c r="B326" s="17">
        <v>19</v>
      </c>
      <c r="C326" s="17">
        <v>48.825</v>
      </c>
    </row>
    <row r="327" spans="2:3" x14ac:dyDescent="0.25">
      <c r="B327" s="17">
        <v>19</v>
      </c>
      <c r="C327" s="17">
        <v>48.8</v>
      </c>
    </row>
    <row r="328" spans="2:3" x14ac:dyDescent="0.25">
      <c r="B328" s="17">
        <v>28</v>
      </c>
      <c r="C328" s="17">
        <v>48.36</v>
      </c>
    </row>
    <row r="329" spans="2:3" x14ac:dyDescent="0.25">
      <c r="B329" s="17">
        <v>18</v>
      </c>
      <c r="C329" s="17">
        <v>48.36</v>
      </c>
    </row>
    <row r="330" spans="2:3" x14ac:dyDescent="0.25">
      <c r="B330" s="17">
        <v>31</v>
      </c>
      <c r="C330" s="17">
        <v>48</v>
      </c>
    </row>
    <row r="331" spans="2:3" x14ac:dyDescent="0.25">
      <c r="B331" s="17">
        <v>24</v>
      </c>
      <c r="C331" s="17">
        <v>48</v>
      </c>
    </row>
    <row r="332" spans="2:3" x14ac:dyDescent="0.25">
      <c r="B332" s="17">
        <v>23</v>
      </c>
      <c r="C332" s="17">
        <v>47.971</v>
      </c>
    </row>
    <row r="333" spans="2:3" x14ac:dyDescent="0.25">
      <c r="B333" s="17">
        <v>27</v>
      </c>
      <c r="C333" s="17">
        <v>47.85</v>
      </c>
    </row>
    <row r="334" spans="2:3" x14ac:dyDescent="0.25">
      <c r="B334" s="17">
        <v>22</v>
      </c>
      <c r="C334" s="17">
        <v>47.815</v>
      </c>
    </row>
    <row r="335" spans="2:3" x14ac:dyDescent="0.25">
      <c r="B335" s="17">
        <v>11</v>
      </c>
      <c r="C335" s="17">
        <v>47.6</v>
      </c>
    </row>
    <row r="336" spans="2:3" x14ac:dyDescent="0.25">
      <c r="B336" s="17">
        <v>22</v>
      </c>
      <c r="C336" s="17">
        <v>47.304</v>
      </c>
    </row>
    <row r="337" spans="2:3" x14ac:dyDescent="0.25">
      <c r="B337" s="17">
        <v>24</v>
      </c>
      <c r="C337" s="17">
        <v>47.3</v>
      </c>
    </row>
    <row r="338" spans="2:3" x14ac:dyDescent="0.25">
      <c r="B338" s="17">
        <v>12</v>
      </c>
      <c r="C338" s="17">
        <v>47.3</v>
      </c>
    </row>
    <row r="339" spans="2:3" x14ac:dyDescent="0.25">
      <c r="B339" s="17">
        <v>14</v>
      </c>
      <c r="C339" s="17">
        <v>47</v>
      </c>
    </row>
    <row r="340" spans="2:3" x14ac:dyDescent="0.25">
      <c r="B340" s="17">
        <v>29</v>
      </c>
      <c r="C340" s="17">
        <v>47</v>
      </c>
    </row>
    <row r="341" spans="2:3" x14ac:dyDescent="0.25">
      <c r="B341" s="17">
        <v>25</v>
      </c>
      <c r="C341" s="17">
        <v>46.98</v>
      </c>
    </row>
    <row r="342" spans="2:3" x14ac:dyDescent="0.25">
      <c r="B342" s="17">
        <v>16</v>
      </c>
      <c r="C342" s="17">
        <v>46.75</v>
      </c>
    </row>
    <row r="343" spans="2:3" x14ac:dyDescent="0.25">
      <c r="B343" s="17">
        <v>18</v>
      </c>
      <c r="C343" s="17">
        <v>46.4</v>
      </c>
    </row>
    <row r="344" spans="2:3" x14ac:dyDescent="0.25">
      <c r="B344" s="17">
        <v>23</v>
      </c>
      <c r="C344" s="17">
        <v>46.2</v>
      </c>
    </row>
    <row r="345" spans="2:3" x14ac:dyDescent="0.25">
      <c r="B345" s="17">
        <v>18</v>
      </c>
      <c r="C345" s="17">
        <v>46.2</v>
      </c>
    </row>
    <row r="346" spans="2:3" x14ac:dyDescent="0.25">
      <c r="B346" s="17">
        <v>25</v>
      </c>
      <c r="C346" s="17">
        <v>46.17</v>
      </c>
    </row>
    <row r="347" spans="2:3" x14ac:dyDescent="0.25">
      <c r="B347" s="17">
        <v>22</v>
      </c>
      <c r="C347" s="17">
        <v>46.15</v>
      </c>
    </row>
    <row r="348" spans="2:3" x14ac:dyDescent="0.25">
      <c r="B348" s="17">
        <v>22</v>
      </c>
      <c r="C348" s="17">
        <v>46.15</v>
      </c>
    </row>
    <row r="349" spans="2:3" x14ac:dyDescent="0.25">
      <c r="B349" s="17">
        <v>16</v>
      </c>
      <c r="C349" s="17">
        <v>45.6</v>
      </c>
    </row>
    <row r="350" spans="2:3" x14ac:dyDescent="0.25">
      <c r="B350" s="17">
        <v>30</v>
      </c>
      <c r="C350" s="17">
        <v>45.5</v>
      </c>
    </row>
    <row r="351" spans="2:3" x14ac:dyDescent="0.25">
      <c r="B351" s="17">
        <v>27</v>
      </c>
      <c r="C351" s="17">
        <v>45.414</v>
      </c>
    </row>
    <row r="352" spans="2:3" x14ac:dyDescent="0.25">
      <c r="B352" s="17">
        <v>31</v>
      </c>
      <c r="C352" s="17">
        <v>45</v>
      </c>
    </row>
    <row r="353" spans="2:3" x14ac:dyDescent="0.25">
      <c r="B353" s="17">
        <v>30</v>
      </c>
      <c r="C353" s="17">
        <v>45</v>
      </c>
    </row>
    <row r="354" spans="2:3" x14ac:dyDescent="0.25">
      <c r="B354" s="17">
        <v>31</v>
      </c>
      <c r="C354" s="17">
        <v>45</v>
      </c>
    </row>
    <row r="355" spans="2:3" x14ac:dyDescent="0.25">
      <c r="B355" s="17">
        <v>31</v>
      </c>
      <c r="C355" s="17">
        <v>45</v>
      </c>
    </row>
    <row r="356" spans="2:3" x14ac:dyDescent="0.25">
      <c r="B356" s="17">
        <v>31</v>
      </c>
      <c r="C356" s="17">
        <v>45</v>
      </c>
    </row>
    <row r="357" spans="2:3" x14ac:dyDescent="0.25">
      <c r="B357" s="17">
        <v>30</v>
      </c>
      <c r="C357" s="17">
        <v>45</v>
      </c>
    </row>
    <row r="358" spans="2:3" x14ac:dyDescent="0.25">
      <c r="B358" s="17">
        <v>31</v>
      </c>
      <c r="C358" s="17">
        <v>45</v>
      </c>
    </row>
    <row r="359" spans="2:3" x14ac:dyDescent="0.25">
      <c r="B359" s="17">
        <v>14</v>
      </c>
      <c r="C359" s="17">
        <v>45</v>
      </c>
    </row>
    <row r="360" spans="2:3" x14ac:dyDescent="0.25">
      <c r="B360" s="17">
        <v>31</v>
      </c>
      <c r="C360" s="17">
        <v>45</v>
      </c>
    </row>
    <row r="361" spans="2:3" x14ac:dyDescent="0.25">
      <c r="B361" s="17">
        <v>24</v>
      </c>
      <c r="C361" s="17">
        <v>44.8</v>
      </c>
    </row>
    <row r="362" spans="2:3" x14ac:dyDescent="0.25">
      <c r="B362" s="17">
        <v>8</v>
      </c>
      <c r="C362" s="17">
        <v>44.8</v>
      </c>
    </row>
    <row r="363" spans="2:3" x14ac:dyDescent="0.25">
      <c r="B363" s="17">
        <v>13</v>
      </c>
      <c r="C363" s="17">
        <v>44.52</v>
      </c>
    </row>
    <row r="364" spans="2:3" x14ac:dyDescent="0.25">
      <c r="B364" s="17">
        <v>25</v>
      </c>
      <c r="C364" s="17">
        <v>44.5</v>
      </c>
    </row>
    <row r="365" spans="2:3" x14ac:dyDescent="0.25">
      <c r="B365" s="17">
        <v>11</v>
      </c>
      <c r="C365" s="17">
        <v>44.45</v>
      </c>
    </row>
    <row r="366" spans="2:3" x14ac:dyDescent="0.25">
      <c r="B366" s="17">
        <v>16</v>
      </c>
      <c r="C366" s="17">
        <v>44.356</v>
      </c>
    </row>
    <row r="367" spans="2:3" x14ac:dyDescent="0.25">
      <c r="B367" s="17">
        <v>16</v>
      </c>
      <c r="C367" s="17">
        <v>44.3144</v>
      </c>
    </row>
    <row r="368" spans="2:3" x14ac:dyDescent="0.25">
      <c r="B368" s="17">
        <v>21</v>
      </c>
      <c r="C368" s="17">
        <v>44.03</v>
      </c>
    </row>
    <row r="369" spans="2:3" x14ac:dyDescent="0.25">
      <c r="B369" s="17">
        <v>17</v>
      </c>
      <c r="C369" s="17">
        <v>44</v>
      </c>
    </row>
    <row r="370" spans="2:3" x14ac:dyDescent="0.25">
      <c r="B370" s="17">
        <v>30</v>
      </c>
      <c r="C370" s="17">
        <v>44</v>
      </c>
    </row>
    <row r="371" spans="2:3" x14ac:dyDescent="0.25">
      <c r="B371" s="17">
        <v>16</v>
      </c>
      <c r="C371" s="17">
        <v>44</v>
      </c>
    </row>
    <row r="372" spans="2:3" x14ac:dyDescent="0.25">
      <c r="B372" s="17">
        <v>16</v>
      </c>
      <c r="C372" s="17">
        <v>44</v>
      </c>
    </row>
    <row r="373" spans="2:3" x14ac:dyDescent="0.25">
      <c r="B373" s="17">
        <v>21</v>
      </c>
      <c r="C373" s="17">
        <v>43.86</v>
      </c>
    </row>
    <row r="374" spans="2:3" x14ac:dyDescent="0.25">
      <c r="B374" s="17">
        <v>22</v>
      </c>
      <c r="C374" s="17">
        <v>43.8</v>
      </c>
    </row>
    <row r="375" spans="2:3" x14ac:dyDescent="0.25">
      <c r="B375" s="17">
        <v>20</v>
      </c>
      <c r="C375" s="17">
        <v>43.55</v>
      </c>
    </row>
    <row r="376" spans="2:3" x14ac:dyDescent="0.25">
      <c r="B376" s="17">
        <v>9</v>
      </c>
      <c r="C376" s="17">
        <v>43.5</v>
      </c>
    </row>
    <row r="377" spans="2:3" x14ac:dyDescent="0.25">
      <c r="B377" s="17">
        <v>15</v>
      </c>
      <c r="C377" s="17">
        <v>43.2</v>
      </c>
    </row>
    <row r="378" spans="2:3" x14ac:dyDescent="0.25">
      <c r="B378" s="17">
        <v>5</v>
      </c>
      <c r="C378" s="17">
        <v>43.2</v>
      </c>
    </row>
    <row r="379" spans="2:3" x14ac:dyDescent="0.25">
      <c r="B379" s="17">
        <v>12</v>
      </c>
      <c r="C379" s="17">
        <v>42.9</v>
      </c>
    </row>
    <row r="380" spans="2:3" x14ac:dyDescent="0.25">
      <c r="B380" s="17">
        <v>8</v>
      </c>
      <c r="C380" s="17">
        <v>42.9</v>
      </c>
    </row>
    <row r="381" spans="2:3" x14ac:dyDescent="0.25">
      <c r="B381" s="17">
        <v>12</v>
      </c>
      <c r="C381" s="17">
        <v>42.9</v>
      </c>
    </row>
    <row r="382" spans="2:3" x14ac:dyDescent="0.25">
      <c r="B382" s="17">
        <v>19</v>
      </c>
      <c r="C382" s="17">
        <v>42.7</v>
      </c>
    </row>
    <row r="383" spans="2:3" x14ac:dyDescent="0.25">
      <c r="B383" s="17">
        <v>30</v>
      </c>
      <c r="C383" s="17">
        <v>42.68</v>
      </c>
    </row>
    <row r="384" spans="2:3" x14ac:dyDescent="0.25">
      <c r="B384" s="17">
        <v>16</v>
      </c>
      <c r="C384" s="17">
        <v>42.625</v>
      </c>
    </row>
    <row r="385" spans="2:3" x14ac:dyDescent="0.25">
      <c r="B385" s="17">
        <v>17</v>
      </c>
      <c r="C385" s="17">
        <v>42.625</v>
      </c>
    </row>
    <row r="386" spans="2:3" x14ac:dyDescent="0.25">
      <c r="B386" s="17">
        <v>20</v>
      </c>
      <c r="C386" s="17">
        <v>42.25</v>
      </c>
    </row>
    <row r="387" spans="2:3" x14ac:dyDescent="0.25">
      <c r="B387" s="17">
        <v>21</v>
      </c>
      <c r="C387" s="17">
        <v>42.231</v>
      </c>
    </row>
    <row r="388" spans="2:3" x14ac:dyDescent="0.25">
      <c r="B388" s="17">
        <v>31</v>
      </c>
      <c r="C388" s="17">
        <v>42</v>
      </c>
    </row>
    <row r="389" spans="2:3" x14ac:dyDescent="0.25">
      <c r="B389" s="17">
        <v>31</v>
      </c>
      <c r="C389" s="17">
        <v>42</v>
      </c>
    </row>
    <row r="390" spans="2:3" x14ac:dyDescent="0.25">
      <c r="B390" s="17">
        <v>28</v>
      </c>
      <c r="C390" s="17">
        <v>42</v>
      </c>
    </row>
    <row r="391" spans="2:3" x14ac:dyDescent="0.25">
      <c r="B391" s="17">
        <v>30</v>
      </c>
      <c r="C391" s="17">
        <v>42</v>
      </c>
    </row>
    <row r="392" spans="2:3" x14ac:dyDescent="0.25">
      <c r="B392" s="17">
        <v>31</v>
      </c>
      <c r="C392" s="17">
        <v>42</v>
      </c>
    </row>
    <row r="393" spans="2:3" x14ac:dyDescent="0.25">
      <c r="B393" s="17">
        <v>30</v>
      </c>
      <c r="C393" s="17">
        <v>42</v>
      </c>
    </row>
    <row r="394" spans="2:3" x14ac:dyDescent="0.25">
      <c r="B394" s="17">
        <v>31</v>
      </c>
      <c r="C394" s="17">
        <v>42</v>
      </c>
    </row>
    <row r="395" spans="2:3" x14ac:dyDescent="0.25">
      <c r="B395" s="17">
        <v>31</v>
      </c>
      <c r="C395" s="17">
        <v>42</v>
      </c>
    </row>
    <row r="396" spans="2:3" x14ac:dyDescent="0.25">
      <c r="B396" s="17">
        <v>31</v>
      </c>
      <c r="C396" s="17">
        <v>42</v>
      </c>
    </row>
    <row r="397" spans="2:3" x14ac:dyDescent="0.25">
      <c r="B397" s="17">
        <v>31</v>
      </c>
      <c r="C397" s="17">
        <v>42</v>
      </c>
    </row>
    <row r="398" spans="2:3" x14ac:dyDescent="0.25">
      <c r="B398" s="17">
        <v>31</v>
      </c>
      <c r="C398" s="17">
        <v>42</v>
      </c>
    </row>
    <row r="399" spans="2:3" x14ac:dyDescent="0.25">
      <c r="B399" s="17">
        <v>28</v>
      </c>
      <c r="C399" s="17">
        <v>42</v>
      </c>
    </row>
    <row r="400" spans="2:3" x14ac:dyDescent="0.25">
      <c r="B400" s="17">
        <v>28</v>
      </c>
      <c r="C400" s="17">
        <v>42</v>
      </c>
    </row>
    <row r="401" spans="2:3" x14ac:dyDescent="0.25">
      <c r="B401" s="17">
        <v>31</v>
      </c>
      <c r="C401" s="17">
        <v>42</v>
      </c>
    </row>
    <row r="402" spans="2:3" x14ac:dyDescent="0.25">
      <c r="B402" s="17">
        <v>31</v>
      </c>
      <c r="C402" s="17">
        <v>42</v>
      </c>
    </row>
    <row r="403" spans="2:3" x14ac:dyDescent="0.25">
      <c r="B403" s="17">
        <v>30</v>
      </c>
      <c r="C403" s="17">
        <v>42</v>
      </c>
    </row>
    <row r="404" spans="2:3" x14ac:dyDescent="0.25">
      <c r="B404" s="17">
        <v>28</v>
      </c>
      <c r="C404" s="17">
        <v>42</v>
      </c>
    </row>
    <row r="405" spans="2:3" x14ac:dyDescent="0.25">
      <c r="B405" s="17">
        <v>31</v>
      </c>
      <c r="C405" s="17">
        <v>42</v>
      </c>
    </row>
    <row r="406" spans="2:3" x14ac:dyDescent="0.25">
      <c r="B406" s="17">
        <v>30</v>
      </c>
      <c r="C406" s="17">
        <v>42</v>
      </c>
    </row>
    <row r="407" spans="2:3" x14ac:dyDescent="0.25">
      <c r="B407" s="17">
        <v>30</v>
      </c>
      <c r="C407" s="17">
        <v>42</v>
      </c>
    </row>
    <row r="408" spans="2:3" x14ac:dyDescent="0.25">
      <c r="B408" s="17">
        <v>30</v>
      </c>
      <c r="C408" s="17">
        <v>42</v>
      </c>
    </row>
    <row r="409" spans="2:3" x14ac:dyDescent="0.25">
      <c r="B409" s="17">
        <v>31</v>
      </c>
      <c r="C409" s="17">
        <v>42</v>
      </c>
    </row>
    <row r="410" spans="2:3" x14ac:dyDescent="0.25">
      <c r="B410" s="17">
        <v>31</v>
      </c>
      <c r="C410" s="17">
        <v>42</v>
      </c>
    </row>
    <row r="411" spans="2:3" x14ac:dyDescent="0.25">
      <c r="B411" s="17">
        <v>13</v>
      </c>
      <c r="C411" s="17">
        <v>42</v>
      </c>
    </row>
    <row r="412" spans="2:3" x14ac:dyDescent="0.25">
      <c r="B412" s="17">
        <v>31</v>
      </c>
      <c r="C412" s="17">
        <v>42</v>
      </c>
    </row>
    <row r="413" spans="2:3" x14ac:dyDescent="0.25">
      <c r="B413" s="17">
        <v>13</v>
      </c>
      <c r="C413" s="17">
        <v>42</v>
      </c>
    </row>
    <row r="414" spans="2:3" x14ac:dyDescent="0.25">
      <c r="B414" s="17">
        <v>9</v>
      </c>
      <c r="C414" s="17">
        <v>42</v>
      </c>
    </row>
    <row r="415" spans="2:3" x14ac:dyDescent="0.25">
      <c r="B415" s="17">
        <v>31</v>
      </c>
      <c r="C415" s="17">
        <v>42</v>
      </c>
    </row>
    <row r="416" spans="2:3" x14ac:dyDescent="0.25">
      <c r="B416" s="17">
        <v>26</v>
      </c>
      <c r="C416" s="17">
        <v>41.85</v>
      </c>
    </row>
    <row r="417" spans="2:3" x14ac:dyDescent="0.25">
      <c r="B417" s="17">
        <v>17</v>
      </c>
      <c r="C417" s="17">
        <v>41.8</v>
      </c>
    </row>
    <row r="418" spans="2:3" x14ac:dyDescent="0.25">
      <c r="B418" s="17">
        <v>16</v>
      </c>
      <c r="C418" s="17">
        <v>41.6</v>
      </c>
    </row>
    <row r="419" spans="2:3" x14ac:dyDescent="0.25">
      <c r="B419" s="17">
        <v>8</v>
      </c>
      <c r="C419" s="17">
        <v>41.6</v>
      </c>
    </row>
    <row r="420" spans="2:3" x14ac:dyDescent="0.25">
      <c r="B420" s="17">
        <v>24</v>
      </c>
      <c r="C420" s="17">
        <v>41.6</v>
      </c>
    </row>
    <row r="421" spans="2:3" x14ac:dyDescent="0.25">
      <c r="B421" s="17">
        <v>16</v>
      </c>
      <c r="C421" s="17">
        <v>41.6</v>
      </c>
    </row>
    <row r="422" spans="2:3" x14ac:dyDescent="0.25">
      <c r="B422" s="17">
        <v>25</v>
      </c>
      <c r="C422" s="17">
        <v>41.5</v>
      </c>
    </row>
    <row r="423" spans="2:3" x14ac:dyDescent="0.25">
      <c r="B423" s="17">
        <v>19</v>
      </c>
      <c r="C423" s="17">
        <v>41.48</v>
      </c>
    </row>
    <row r="424" spans="2:3" x14ac:dyDescent="0.25">
      <c r="B424" s="17">
        <v>30</v>
      </c>
      <c r="C424" s="17">
        <v>41</v>
      </c>
    </row>
    <row r="425" spans="2:3" x14ac:dyDescent="0.25">
      <c r="B425" s="17">
        <v>30</v>
      </c>
      <c r="C425" s="17">
        <v>41</v>
      </c>
    </row>
    <row r="426" spans="2:3" x14ac:dyDescent="0.25">
      <c r="B426" s="17">
        <v>31</v>
      </c>
      <c r="C426" s="17">
        <v>41</v>
      </c>
    </row>
    <row r="427" spans="2:3" x14ac:dyDescent="0.25">
      <c r="B427" s="17">
        <v>31</v>
      </c>
      <c r="C427" s="17">
        <v>41</v>
      </c>
    </row>
    <row r="428" spans="2:3" x14ac:dyDescent="0.25">
      <c r="B428" s="17">
        <v>31</v>
      </c>
      <c r="C428" s="17">
        <v>41</v>
      </c>
    </row>
    <row r="429" spans="2:3" x14ac:dyDescent="0.25">
      <c r="B429" s="17">
        <v>24</v>
      </c>
      <c r="C429" s="17">
        <v>40.964</v>
      </c>
    </row>
    <row r="430" spans="2:3" x14ac:dyDescent="0.25">
      <c r="B430" s="17">
        <v>19</v>
      </c>
      <c r="C430" s="17">
        <v>40.95</v>
      </c>
    </row>
    <row r="431" spans="2:3" x14ac:dyDescent="0.25">
      <c r="B431" s="17">
        <v>19</v>
      </c>
      <c r="C431" s="17">
        <v>40.95</v>
      </c>
    </row>
    <row r="432" spans="2:3" x14ac:dyDescent="0.25">
      <c r="B432" s="17">
        <v>28</v>
      </c>
      <c r="C432" s="17">
        <v>40.92</v>
      </c>
    </row>
    <row r="433" spans="2:3" x14ac:dyDescent="0.25">
      <c r="B433" s="17">
        <v>31</v>
      </c>
      <c r="C433" s="17">
        <v>40.9</v>
      </c>
    </row>
    <row r="434" spans="2:3" x14ac:dyDescent="0.25">
      <c r="B434" s="17">
        <v>30</v>
      </c>
      <c r="C434" s="17">
        <v>40.9</v>
      </c>
    </row>
    <row r="435" spans="2:3" x14ac:dyDescent="0.25">
      <c r="B435" s="17">
        <v>5</v>
      </c>
      <c r="C435" s="17">
        <v>40.8</v>
      </c>
    </row>
    <row r="436" spans="2:3" x14ac:dyDescent="0.25">
      <c r="B436" s="17">
        <v>18</v>
      </c>
      <c r="C436" s="17">
        <v>40.8</v>
      </c>
    </row>
    <row r="437" spans="2:3" x14ac:dyDescent="0.25">
      <c r="B437" s="17">
        <v>5</v>
      </c>
      <c r="C437" s="17">
        <v>40.8</v>
      </c>
    </row>
    <row r="438" spans="2:3" x14ac:dyDescent="0.25">
      <c r="B438" s="17">
        <v>12</v>
      </c>
      <c r="C438" s="17">
        <v>40.8</v>
      </c>
    </row>
    <row r="439" spans="2:3" x14ac:dyDescent="0.25">
      <c r="B439" s="17">
        <v>30</v>
      </c>
      <c r="C439" s="17">
        <v>40.7</v>
      </c>
    </row>
    <row r="440" spans="2:3" x14ac:dyDescent="0.25">
      <c r="B440" s="17">
        <v>18</v>
      </c>
      <c r="C440" s="17">
        <v>40.6</v>
      </c>
    </row>
  </sheetData>
  <mergeCells count="5">
    <mergeCell ref="B2:H2"/>
    <mergeCell ref="B3:H3"/>
    <mergeCell ref="B6:H6"/>
    <mergeCell ref="B25:J25"/>
    <mergeCell ref="B39:E39"/>
  </mergeCells>
  <conditionalFormatting sqref="E8:E22">
    <cfRule type="dataBar" priority="1">
      <dataBar>
        <cfvo type="min"/>
        <cfvo type="max"/>
        <color rgb="FF7030A0"/>
      </dataBar>
      <extLst>
        <ext xmlns:x14="http://schemas.microsoft.com/office/spreadsheetml/2009/9/main" uri="{B025F937-C7B1-47D3-B67F-A62EFF666E3E}">
          <x14:id>{DA7ABA51-AAAA-BBBB-0008-000000000001}</x14:id>
        </ext>
      </extLst>
    </cfRule>
  </conditionalFormatting>
  <pageMargins left="0.3" right="0.3" top="0.4" bottom="0.4" header="0.3" footer="0.3"/>
  <pageSetup paperSize="1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8-000000000001}">
            <x14:dataBar minLength="0" maxLength="100" border="1" gradient="0" negativeBarBorderColorSameAsPositive="0">
              <x14:cfvo type="autoMin"/>
              <x14:cfvo type="autoMax"/>
              <x14:borderColor rgb="FF7030A0"/>
              <x14:negativeFillColor rgb="FFFF0000"/>
              <x14:negativeBorderColor rgb="FFFF0000"/>
              <x14:axisColor rgb="FF000000"/>
            </x14:dataBar>
          </x14:cfRule>
          <xm:sqref>E8:E22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C00000"/>
    <pageSetUpPr fitToPage="1"/>
  </sheetPr>
  <dimension ref="B2:N61"/>
  <sheetViews>
    <sheetView showGridLines="0" workbookViewId="0"/>
  </sheetViews>
  <sheetFormatPr defaultRowHeight="15"/>
  <cols>
    <col min="1" max="1" width="2.7109375" customWidth="1"/>
    <col min="2" max="2" width="26.7109375" customWidth="1"/>
    <col min="3" max="14" width="9.7109375" customWidth="1"/>
  </cols>
  <sheetData>
    <row r="2" spans="2:14">
      <c r="B2" s="1" t="s">
        <v>173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2:14">
      <c r="B3" s="2" t="s">
        <v>174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6" spans="2:14" ht="20" customHeight="1">
      <c r="B6" s="5" t="s">
        <v>175</v>
      </c>
      <c r="C6" s="5"/>
      <c r="D6" s="5"/>
      <c r="E6" s="5"/>
    </row>
    <row r="7" spans="2:14">
      <c r="B7" s="30" t="s">
        <v>176</v>
      </c>
      <c r="C7" s="31" t="s">
        <v>177</v>
      </c>
      <c r="D7" s="31"/>
      <c r="E7" s="31"/>
    </row>
    <row r="8" spans="2:14">
      <c r="B8" s="30" t="s">
        <v>178</v>
      </c>
      <c r="C8" s="32">
        <v>0</v>
      </c>
      <c r="D8" s="32"/>
      <c r="E8" s="32"/>
    </row>
    <row r="9" spans="2:14">
      <c r="B9" s="30" t="s">
        <v>179</v>
      </c>
      <c r="C9" s="33">
        <v>1</v>
      </c>
      <c r="D9" s="33"/>
      <c r="E9" s="33"/>
    </row>
    <row r="10" spans="2:14">
      <c r="B10" s="30" t="s">
        <v>180</v>
      </c>
      <c r="C10" s="34">
        <v>0</v>
      </c>
      <c r="D10" s="34"/>
      <c r="E10" s="34"/>
    </row>
    <row r="11" spans="2:14">
      <c r="B11" s="30" t="s">
        <v>181</v>
      </c>
      <c r="C11" s="31" t="s">
        <v>94</v>
      </c>
      <c r="D11" s="31"/>
      <c r="E11" s="31"/>
    </row>
    <row r="13" spans="2:14" ht="20" customHeight="1">
      <c r="B13" s="7" t="s">
        <v>182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spans="2:14">
      <c r="B14" s="14" t="s">
        <v>183</v>
      </c>
      <c r="C14" s="15" t="s">
        <v>86</v>
      </c>
      <c r="D14" s="15" t="s">
        <v>87</v>
      </c>
      <c r="E14" s="15" t="s">
        <v>88</v>
      </c>
      <c r="F14" s="15" t="s">
        <v>89</v>
      </c>
      <c r="G14" s="15" t="s">
        <v>90</v>
      </c>
      <c r="H14" s="15" t="s">
        <v>91</v>
      </c>
      <c r="I14" s="15" t="s">
        <v>92</v>
      </c>
      <c r="J14" s="15" t="s">
        <v>93</v>
      </c>
      <c r="K14" s="15" t="s">
        <v>94</v>
      </c>
      <c r="L14" s="15" t="s">
        <v>95</v>
      </c>
      <c r="M14" s="15" t="s">
        <v>96</v>
      </c>
      <c r="N14" s="15" t="s">
        <v>97</v>
      </c>
    </row>
    <row r="15" spans="2:14">
      <c r="B15" s="18" t="s">
        <v>177</v>
      </c>
      <c r="C15" s="17">
        <v>2282.61105</v>
      </c>
      <c r="D15" s="17">
        <v>3072.01685</v>
      </c>
      <c r="E15" s="17">
        <v>2313.48415</v>
      </c>
      <c r="F15" s="17">
        <v>2274.507825</v>
      </c>
      <c r="G15" s="17">
        <v>1589.601875</v>
      </c>
      <c r="H15" s="17">
        <v>1370.05175</v>
      </c>
      <c r="I15" s="17">
        <v>1306.436325</v>
      </c>
      <c r="J15" s="17">
        <v>1245.677625</v>
      </c>
      <c r="K15" s="17">
        <v>1515.4383</v>
      </c>
      <c r="L15" s="17">
        <v>2050.317675</v>
      </c>
      <c r="M15" s="17">
        <v>1344.783825</v>
      </c>
      <c r="N15" s="17">
        <v>1425.26985</v>
      </c>
    </row>
    <row r="16" spans="2:14">
      <c r="B16" s="18" t="s">
        <v>184</v>
      </c>
      <c r="C16" s="17">
        <v>2331.3456</v>
      </c>
      <c r="D16" s="17">
        <v>3242.643133333333</v>
      </c>
      <c r="E16" s="17">
        <v>2452.0467</v>
      </c>
      <c r="F16" s="17">
        <v>2323.8248</v>
      </c>
      <c r="G16" s="17">
        <v>1480.8669</v>
      </c>
      <c r="H16" s="17">
        <v>1371.5984</v>
      </c>
      <c r="I16" s="17">
        <v>1295.816366666667</v>
      </c>
      <c r="J16" s="17">
        <v>1211.909366666667</v>
      </c>
      <c r="K16" s="17">
        <v>1621.180633333333</v>
      </c>
      <c r="L16" s="17">
        <v>2132.550833333333</v>
      </c>
      <c r="M16" s="17">
        <v>1240.659633333333</v>
      </c>
      <c r="N16" s="17">
        <v>806.3173666666667</v>
      </c>
    </row>
    <row r="17" spans="2:14">
      <c r="B17" s="18" t="s">
        <v>185</v>
      </c>
      <c r="C17" s="17">
        <v>1933.502583333333</v>
      </c>
      <c r="D17" s="17">
        <v>2767.98955</v>
      </c>
      <c r="E17" s="17">
        <v>2082.86935</v>
      </c>
      <c r="F17" s="17">
        <v>2054.312466666667</v>
      </c>
      <c r="G17" s="17">
        <v>1459.746016666667</v>
      </c>
      <c r="H17" s="17">
        <v>1224.888666666667</v>
      </c>
      <c r="I17" s="17">
        <v>1258.94175</v>
      </c>
      <c r="J17" s="17">
        <v>1115.338283333333</v>
      </c>
      <c r="K17" s="17">
        <v>1463.838083333333</v>
      </c>
      <c r="L17" s="17">
        <v>1795.539</v>
      </c>
      <c r="M17" s="17">
        <v>1192.92015</v>
      </c>
      <c r="N17" s="17">
        <v>1127.578033333333</v>
      </c>
    </row>
    <row r="18" spans="2:14">
      <c r="B18" s="18" t="s">
        <v>186</v>
      </c>
      <c r="C18" s="17">
        <v>1643.7977</v>
      </c>
      <c r="D18" s="17">
        <v>2083.21442</v>
      </c>
      <c r="E18" s="17">
        <v>1614.52331</v>
      </c>
      <c r="F18" s="17">
        <v>1584.22778</v>
      </c>
      <c r="G18" s="17">
        <v>1154.09354</v>
      </c>
      <c r="H18" s="17">
        <v>997.7466400000001</v>
      </c>
      <c r="I18" s="17">
        <v>999.65198</v>
      </c>
      <c r="J18" s="17">
        <v>1210.45329</v>
      </c>
      <c r="K18" s="17">
        <v>1988.70389</v>
      </c>
      <c r="L18" s="17">
        <v>1586.17207</v>
      </c>
      <c r="M18" s="17">
        <v>1044.36847</v>
      </c>
      <c r="N18" s="17">
        <v>916.2710999999999</v>
      </c>
    </row>
    <row r="20" spans="2:14" ht="20" customHeight="1">
      <c r="B20" s="5" t="s">
        <v>187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2:14">
      <c r="B21" s="14"/>
      <c r="C21" s="15" t="s">
        <v>86</v>
      </c>
      <c r="D21" s="15" t="s">
        <v>87</v>
      </c>
      <c r="E21" s="15" t="s">
        <v>88</v>
      </c>
      <c r="F21" s="15" t="s">
        <v>89</v>
      </c>
      <c r="G21" s="15" t="s">
        <v>90</v>
      </c>
      <c r="H21" s="15" t="s">
        <v>91</v>
      </c>
      <c r="I21" s="15" t="s">
        <v>92</v>
      </c>
      <c r="J21" s="15" t="s">
        <v>93</v>
      </c>
      <c r="K21" s="15" t="s">
        <v>94</v>
      </c>
      <c r="L21" s="15" t="s">
        <v>95</v>
      </c>
      <c r="M21" s="15" t="s">
        <v>96</v>
      </c>
      <c r="N21" s="15" t="s">
        <v>97</v>
      </c>
    </row>
    <row r="22" spans="2:14">
      <c r="B22" s="18" t="s">
        <v>188</v>
      </c>
      <c r="C22" s="17">
        <f>INDEX($C$15:$N$18,MATCH($C$7,$B$15:$B$18,0),1)</f>
        <v>0</v>
      </c>
      <c r="D22" s="17">
        <f>INDEX($C$15:$N$18,MATCH($C$7,$B$15:$B$18,0),2)</f>
        <v>0</v>
      </c>
      <c r="E22" s="17">
        <f>INDEX($C$15:$N$18,MATCH($C$7,$B$15:$B$18,0),3)</f>
        <v>0</v>
      </c>
      <c r="F22" s="17">
        <f>INDEX($C$15:$N$18,MATCH($C$7,$B$15:$B$18,0),4)</f>
        <v>0</v>
      </c>
      <c r="G22" s="17">
        <f>INDEX($C$15:$N$18,MATCH($C$7,$B$15:$B$18,0),5)</f>
        <v>0</v>
      </c>
      <c r="H22" s="17">
        <f>INDEX($C$15:$N$18,MATCH($C$7,$B$15:$B$18,0),6)</f>
        <v>0</v>
      </c>
      <c r="I22" s="17">
        <f>INDEX($C$15:$N$18,MATCH($C$7,$B$15:$B$18,0),7)</f>
        <v>0</v>
      </c>
      <c r="J22" s="17">
        <f>INDEX($C$15:$N$18,MATCH($C$7,$B$15:$B$18,0),8)</f>
        <v>0</v>
      </c>
      <c r="K22" s="17">
        <f>INDEX($C$15:$N$18,MATCH($C$7,$B$15:$B$18,0),9)</f>
        <v>0</v>
      </c>
      <c r="L22" s="17">
        <f>INDEX($C$15:$N$18,MATCH($C$7,$B$15:$B$18,0),10)</f>
        <v>0</v>
      </c>
      <c r="M22" s="17">
        <f>INDEX($C$15:$N$18,MATCH($C$7,$B$15:$B$18,0),11)</f>
        <v>0</v>
      </c>
      <c r="N22" s="17">
        <f>INDEX($C$15:$N$18,MATCH($C$7,$B$15:$B$18,0),12)</f>
        <v>0</v>
      </c>
    </row>
    <row r="23" spans="2:14">
      <c r="B23" s="23" t="s">
        <v>189</v>
      </c>
      <c r="C23" s="35">
        <f>C22*(1+$C$8)*$C$9+IF($C$11=C21,$C$10,0)</f>
        <v>0</v>
      </c>
      <c r="D23" s="35">
        <f>D22*(1+$C$8)*$C$9+IF($C$11=D21,$C$10,0)</f>
        <v>0</v>
      </c>
      <c r="E23" s="35">
        <f>E22*(1+$C$8)*$C$9+IF($C$11=E21,$C$10,0)</f>
        <v>0</v>
      </c>
      <c r="F23" s="35">
        <f>F22*(1+$C$8)*$C$9+IF($C$11=F21,$C$10,0)</f>
        <v>0</v>
      </c>
      <c r="G23" s="35">
        <f>G22*(1+$C$8)*$C$9+IF($C$11=G21,$C$10,0)</f>
        <v>0</v>
      </c>
      <c r="H23" s="35">
        <f>H22*(1+$C$8)*$C$9+IF($C$11=H21,$C$10,0)</f>
        <v>0</v>
      </c>
      <c r="I23" s="35">
        <f>I22*(1+$C$8)*$C$9+IF($C$11=I21,$C$10,0)</f>
        <v>0</v>
      </c>
      <c r="J23" s="35">
        <f>J22*(1+$C$8)*$C$9+IF($C$11=J21,$C$10,0)</f>
        <v>0</v>
      </c>
      <c r="K23" s="35">
        <f>K22*(1+$C$8)*$C$9+IF($C$11=K21,$C$10,0)</f>
        <v>0</v>
      </c>
      <c r="L23" s="35">
        <f>L22*(1+$C$8)*$C$9+IF($C$11=L21,$C$10,0)</f>
        <v>0</v>
      </c>
      <c r="M23" s="35">
        <f>M22*(1+$C$8)*$C$9+IF($C$11=M21,$C$10,0)</f>
        <v>0</v>
      </c>
      <c r="N23" s="35">
        <f>N22*(1+$C$8)*$C$9+IF($C$11=N21,$C$10,0)</f>
        <v>0</v>
      </c>
    </row>
    <row r="25" spans="2:14" ht="20" customHeight="1">
      <c r="B25" s="5" t="s">
        <v>190</v>
      </c>
      <c r="C25" s="5"/>
      <c r="D25" s="5"/>
      <c r="E25" s="5"/>
    </row>
    <row r="26" spans="2:14">
      <c r="B26" s="18" t="s">
        <v>191</v>
      </c>
      <c r="C26" s="17">
        <f>SUM(C22:N22)</f>
        <v>0</v>
      </c>
    </row>
    <row r="27" spans="2:14">
      <c r="B27" s="23" t="s">
        <v>192</v>
      </c>
      <c r="C27" s="35">
        <f>SUM(C23:N23)</f>
        <v>0</v>
      </c>
    </row>
    <row r="28" spans="2:14">
      <c r="B28" s="18" t="s">
        <v>193</v>
      </c>
      <c r="C28" s="36">
        <v>15923.1696</v>
      </c>
    </row>
    <row r="29" spans="2:14">
      <c r="B29" s="23" t="s">
        <v>194</v>
      </c>
      <c r="C29" s="35">
        <f>$C$27+$C$28</f>
        <v>0</v>
      </c>
    </row>
    <row r="31" spans="2:14" ht="20" customHeight="1">
      <c r="B31" s="7" t="s">
        <v>195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</row>
    <row r="32" spans="2:14">
      <c r="B32" s="14" t="s">
        <v>103</v>
      </c>
      <c r="C32" s="15" t="s">
        <v>86</v>
      </c>
      <c r="D32" s="15" t="s">
        <v>87</v>
      </c>
      <c r="E32" s="15" t="s">
        <v>88</v>
      </c>
      <c r="F32" s="15" t="s">
        <v>89</v>
      </c>
      <c r="G32" s="15" t="s">
        <v>90</v>
      </c>
      <c r="H32" s="15" t="s">
        <v>91</v>
      </c>
      <c r="I32" s="15" t="s">
        <v>92</v>
      </c>
      <c r="J32" s="15" t="s">
        <v>93</v>
      </c>
      <c r="K32" s="15" t="s">
        <v>94</v>
      </c>
      <c r="L32" s="15" t="s">
        <v>95</v>
      </c>
      <c r="M32" s="15" t="s">
        <v>96</v>
      </c>
      <c r="N32" s="15" t="s">
        <v>97</v>
      </c>
    </row>
    <row r="33" spans="2:14">
      <c r="B33" s="18" t="s">
        <v>196</v>
      </c>
      <c r="C33" s="17">
        <f>C23</f>
        <v>0</v>
      </c>
      <c r="D33" s="17">
        <f>D23</f>
        <v>0</v>
      </c>
      <c r="E33" s="17">
        <f>E23</f>
        <v>0</v>
      </c>
      <c r="F33" s="17">
        <f>F23</f>
        <v>0</v>
      </c>
      <c r="G33" s="17">
        <f>G23</f>
        <v>0</v>
      </c>
      <c r="H33" s="17">
        <f>H23</f>
        <v>0</v>
      </c>
      <c r="I33" s="17">
        <f>I23</f>
        <v>0</v>
      </c>
      <c r="J33" s="17">
        <f>J23</f>
        <v>0</v>
      </c>
      <c r="K33" s="17">
        <f>K23</f>
        <v>0</v>
      </c>
      <c r="L33" s="17">
        <f>L23</f>
        <v>0</v>
      </c>
      <c r="M33" s="17">
        <f>M23</f>
        <v>0</v>
      </c>
      <c r="N33" s="17">
        <f>N23</f>
        <v>0</v>
      </c>
    </row>
    <row r="34" spans="2:14">
      <c r="B34" s="18" t="s">
        <v>109</v>
      </c>
      <c r="C34" s="17">
        <v>1088.333</v>
      </c>
      <c r="D34" s="17">
        <v>2092.4001</v>
      </c>
      <c r="E34" s="17">
        <v>2910.1523</v>
      </c>
      <c r="F34" s="17">
        <v>2004.0124</v>
      </c>
      <c r="G34" s="17">
        <v>901.152</v>
      </c>
      <c r="H34" s="17">
        <v>215.305</v>
      </c>
      <c r="I34" s="17">
        <v>167.5</v>
      </c>
      <c r="J34" s="17">
        <v>51.06</v>
      </c>
      <c r="K34" s="17">
        <v>2986.8719</v>
      </c>
      <c r="L34" s="17">
        <v>2955.9469</v>
      </c>
      <c r="M34" s="17">
        <v>546.936</v>
      </c>
      <c r="N34" s="17">
        <v>3.5</v>
      </c>
    </row>
    <row r="35" spans="2:14">
      <c r="B35" s="18" t="s">
        <v>197</v>
      </c>
      <c r="C35" s="17">
        <v>1400.9949</v>
      </c>
      <c r="D35" s="17">
        <v>2023.3805</v>
      </c>
      <c r="E35" s="17">
        <v>2228.4465</v>
      </c>
      <c r="F35" s="17">
        <v>2621.2351</v>
      </c>
      <c r="G35" s="17">
        <v>1753.1826</v>
      </c>
      <c r="H35" s="17">
        <v>1169.5851</v>
      </c>
      <c r="I35" s="17">
        <v>939.4538</v>
      </c>
      <c r="J35" s="17">
        <v>979.7175</v>
      </c>
      <c r="K35" s="17">
        <v>1487.0255</v>
      </c>
      <c r="L35" s="17">
        <v>2468.751</v>
      </c>
      <c r="M35" s="17">
        <v>1324.048</v>
      </c>
      <c r="N35" s="17">
        <v>861.7330000000001</v>
      </c>
    </row>
    <row r="36" spans="2:14">
      <c r="B36" s="18" t="s">
        <v>198</v>
      </c>
      <c r="C36" s="17">
        <v>2433.6238</v>
      </c>
      <c r="D36" s="17">
        <v>5025.1422</v>
      </c>
      <c r="E36" s="17">
        <v>2051.1556</v>
      </c>
      <c r="F36" s="17">
        <v>1881.5364</v>
      </c>
      <c r="G36" s="17">
        <v>940.6905</v>
      </c>
      <c r="H36" s="17">
        <v>1023.714</v>
      </c>
      <c r="I36" s="17">
        <v>1472.8685</v>
      </c>
      <c r="J36" s="17">
        <v>1211.9996</v>
      </c>
      <c r="K36" s="17">
        <v>1844.9944</v>
      </c>
      <c r="L36" s="17">
        <v>1940.158</v>
      </c>
      <c r="M36" s="17">
        <v>1047.007</v>
      </c>
      <c r="N36" s="17">
        <v>709.6768</v>
      </c>
    </row>
    <row r="55" spans="2:4" ht="20" customHeight="1">
      <c r="B55" s="27" t="s">
        <v>199</v>
      </c>
      <c r="C55" s="27"/>
      <c r="D55" s="27"/>
    </row>
    <row r="56" spans="2:4">
      <c r="B56" s="14" t="s">
        <v>55</v>
      </c>
      <c r="C56" s="15" t="s">
        <v>200</v>
      </c>
      <c r="D56" s="15" t="s">
        <v>201</v>
      </c>
    </row>
    <row r="57" spans="2:4">
      <c r="B57" s="18" t="s">
        <v>56</v>
      </c>
      <c r="C57" s="37">
        <v>0.04589747951384983</v>
      </c>
      <c r="D57" s="36">
        <f>$C$27*C57</f>
        <v>0</v>
      </c>
    </row>
    <row r="58" spans="2:4">
      <c r="B58" s="18" t="s">
        <v>57</v>
      </c>
      <c r="C58" s="37">
        <v>0.2506235705412687</v>
      </c>
      <c r="D58" s="36">
        <f>$C$27*C58</f>
        <v>0</v>
      </c>
    </row>
    <row r="59" spans="2:4">
      <c r="B59" s="18" t="s">
        <v>58</v>
      </c>
      <c r="C59" s="37">
        <v>0.4704779391371361</v>
      </c>
      <c r="D59" s="36">
        <f>$C$27*C59</f>
        <v>0</v>
      </c>
    </row>
    <row r="60" spans="2:4">
      <c r="B60" s="18" t="s">
        <v>59</v>
      </c>
      <c r="C60" s="37">
        <v>0.0338183058472656</v>
      </c>
      <c r="D60" s="36">
        <f>$C$27*C60</f>
        <v>0</v>
      </c>
    </row>
    <row r="61" spans="2:4">
      <c r="B61" s="18" t="s">
        <v>49</v>
      </c>
      <c r="C61" s="37">
        <v>0.1991827049604797</v>
      </c>
      <c r="D61" s="36">
        <f>$C$27*C61</f>
        <v>0</v>
      </c>
    </row>
  </sheetData>
  <mergeCells count="13">
    <mergeCell ref="B2:N2"/>
    <mergeCell ref="B3:N3"/>
    <mergeCell ref="B6:E6"/>
    <mergeCell ref="C7:E7"/>
    <mergeCell ref="C8:E8"/>
    <mergeCell ref="C9:E9"/>
    <mergeCell ref="C10:E10"/>
    <mergeCell ref="C11:E11"/>
    <mergeCell ref="B13:N13"/>
    <mergeCell ref="B20:N20"/>
    <mergeCell ref="B25:E25"/>
    <mergeCell ref="B31:N31"/>
    <mergeCell ref="B55:D55"/>
  </mergeCells>
  <dataValidations count="2">
    <dataValidation type="list" allowBlank="1" showInputMessage="1" showErrorMessage="1" sqref="C7">
      <formula1>"2022-2025,2023-2025,2018-19 &amp; 22-25,All ex-2020/21"</formula1>
    </dataValidation>
    <dataValidation type="list" allowBlank="1" showInputMessage="1" showErrorMessage="1" sqref="C11">
      <formula1>"Jan,Feb,Mar,Apr,May,Jun,Jul,Aug,Sep,Oct,Nov,Dec"</formula1>
    </dataValidation>
  </dataValidations>
  <pageMargins left="0.3" right="0.3" top="0.4" bottom="0.4" header="0.3" footer="0.3"/>
  <pageSetup paperSize="1" fitToHeight="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C55A11"/>
    <pageSetUpPr fitToPage="1"/>
  </sheetPr>
  <dimension ref="B2:K22"/>
  <sheetViews>
    <sheetView showGridLines="0" workbookViewId="0"/>
  </sheetViews>
  <sheetFormatPr defaultRowHeight="15"/>
  <cols>
    <col min="1" max="1" width="2.7109375" customWidth="1"/>
    <col min="2" max="2" width="16.7109375" customWidth="1"/>
    <col min="3" max="11" width="11.7109375" customWidth="1"/>
  </cols>
  <sheetData>
    <row r="2" spans="2:11">
      <c r="B2" s="1" t="s">
        <v>202</v>
      </c>
      <c r="C2" s="1"/>
      <c r="D2" s="1"/>
      <c r="E2" s="1"/>
      <c r="F2" s="1"/>
      <c r="G2" s="1"/>
      <c r="H2" s="1"/>
      <c r="I2" s="1"/>
      <c r="J2" s="1"/>
      <c r="K2" s="1"/>
    </row>
    <row r="3" spans="2:11">
      <c r="B3" s="2" t="s">
        <v>203</v>
      </c>
      <c r="C3" s="2"/>
      <c r="D3" s="2"/>
      <c r="E3" s="2"/>
      <c r="F3" s="2"/>
      <c r="G3" s="2"/>
      <c r="H3" s="2"/>
      <c r="I3" s="2"/>
      <c r="J3" s="2"/>
      <c r="K3" s="2"/>
    </row>
    <row r="6" spans="2:11" ht="20" customHeight="1">
      <c r="B6" s="38" t="s">
        <v>204</v>
      </c>
      <c r="C6" s="38"/>
      <c r="D6" s="38"/>
      <c r="E6" s="38"/>
      <c r="F6" s="38"/>
      <c r="G6" s="38"/>
      <c r="H6" s="38"/>
    </row>
    <row r="7" spans="2:11">
      <c r="B7" s="39" t="s">
        <v>205</v>
      </c>
      <c r="C7" s="40">
        <v>0.7</v>
      </c>
      <c r="D7" s="40">
        <v>0.85</v>
      </c>
      <c r="E7" s="40">
        <v>1</v>
      </c>
      <c r="F7" s="40">
        <v>1.15</v>
      </c>
      <c r="G7" s="40">
        <v>1.3</v>
      </c>
      <c r="H7" s="40">
        <v>1.5</v>
      </c>
    </row>
    <row r="8" spans="2:11">
      <c r="B8" s="41">
        <v>-0.1</v>
      </c>
      <c r="C8" s="42">
        <f>'Scenario 2027'!$C$26*(1+$B8)*C$7</f>
        <v>0</v>
      </c>
      <c r="D8" s="42">
        <f>'Scenario 2027'!$C$26*(1+$B8)*D$7</f>
        <v>0</v>
      </c>
      <c r="E8" s="42">
        <f>'Scenario 2027'!$C$26*(1+$B8)*E$7</f>
        <v>0</v>
      </c>
      <c r="F8" s="42">
        <f>'Scenario 2027'!$C$26*(1+$B8)*F$7</f>
        <v>0</v>
      </c>
      <c r="G8" s="42">
        <f>'Scenario 2027'!$C$26*(1+$B8)*G$7</f>
        <v>0</v>
      </c>
      <c r="H8" s="42">
        <f>'Scenario 2027'!$C$26*(1+$B8)*H$7</f>
        <v>0</v>
      </c>
    </row>
    <row r="9" spans="2:11">
      <c r="B9" s="41">
        <v>-0.05</v>
      </c>
      <c r="C9" s="42">
        <f>'Scenario 2027'!$C$26*(1+$B9)*C$7</f>
        <v>0</v>
      </c>
      <c r="D9" s="42">
        <f>'Scenario 2027'!$C$26*(1+$B9)*D$7</f>
        <v>0</v>
      </c>
      <c r="E9" s="42">
        <f>'Scenario 2027'!$C$26*(1+$B9)*E$7</f>
        <v>0</v>
      </c>
      <c r="F9" s="42">
        <f>'Scenario 2027'!$C$26*(1+$B9)*F$7</f>
        <v>0</v>
      </c>
      <c r="G9" s="42">
        <f>'Scenario 2027'!$C$26*(1+$B9)*G$7</f>
        <v>0</v>
      </c>
      <c r="H9" s="42">
        <f>'Scenario 2027'!$C$26*(1+$B9)*H$7</f>
        <v>0</v>
      </c>
    </row>
    <row r="10" spans="2:11">
      <c r="B10" s="41">
        <v>0</v>
      </c>
      <c r="C10" s="42">
        <f>'Scenario 2027'!$C$26*(1+$B10)*C$7</f>
        <v>0</v>
      </c>
      <c r="D10" s="42">
        <f>'Scenario 2027'!$C$26*(1+$B10)*D$7</f>
        <v>0</v>
      </c>
      <c r="E10" s="43">
        <f>'Scenario 2027'!$C$26*(1+$B10)*E$7</f>
        <v>0</v>
      </c>
      <c r="F10" s="42">
        <f>'Scenario 2027'!$C$26*(1+$B10)*F$7</f>
        <v>0</v>
      </c>
      <c r="G10" s="42">
        <f>'Scenario 2027'!$C$26*(1+$B10)*G$7</f>
        <v>0</v>
      </c>
      <c r="H10" s="42">
        <f>'Scenario 2027'!$C$26*(1+$B10)*H$7</f>
        <v>0</v>
      </c>
    </row>
    <row r="11" spans="2:11">
      <c r="B11" s="41">
        <v>0.05</v>
      </c>
      <c r="C11" s="42">
        <f>'Scenario 2027'!$C$26*(1+$B11)*C$7</f>
        <v>0</v>
      </c>
      <c r="D11" s="42">
        <f>'Scenario 2027'!$C$26*(1+$B11)*D$7</f>
        <v>0</v>
      </c>
      <c r="E11" s="42">
        <f>'Scenario 2027'!$C$26*(1+$B11)*E$7</f>
        <v>0</v>
      </c>
      <c r="F11" s="42">
        <f>'Scenario 2027'!$C$26*(1+$B11)*F$7</f>
        <v>0</v>
      </c>
      <c r="G11" s="42">
        <f>'Scenario 2027'!$C$26*(1+$B11)*G$7</f>
        <v>0</v>
      </c>
      <c r="H11" s="42">
        <f>'Scenario 2027'!$C$26*(1+$B11)*H$7</f>
        <v>0</v>
      </c>
    </row>
    <row r="12" spans="2:11">
      <c r="B12" s="41">
        <v>0.1</v>
      </c>
      <c r="C12" s="42">
        <f>'Scenario 2027'!$C$26*(1+$B12)*C$7</f>
        <v>0</v>
      </c>
      <c r="D12" s="42">
        <f>'Scenario 2027'!$C$26*(1+$B12)*D$7</f>
        <v>0</v>
      </c>
      <c r="E12" s="42">
        <f>'Scenario 2027'!$C$26*(1+$B12)*E$7</f>
        <v>0</v>
      </c>
      <c r="F12" s="42">
        <f>'Scenario 2027'!$C$26*(1+$B12)*F$7</f>
        <v>0</v>
      </c>
      <c r="G12" s="42">
        <f>'Scenario 2027'!$C$26*(1+$B12)*G$7</f>
        <v>0</v>
      </c>
      <c r="H12" s="42">
        <f>'Scenario 2027'!$C$26*(1+$B12)*H$7</f>
        <v>0</v>
      </c>
    </row>
    <row r="13" spans="2:11">
      <c r="B13" s="41">
        <v>0.15</v>
      </c>
      <c r="C13" s="42">
        <f>'Scenario 2027'!$C$26*(1+$B13)*C$7</f>
        <v>0</v>
      </c>
      <c r="D13" s="42">
        <f>'Scenario 2027'!$C$26*(1+$B13)*D$7</f>
        <v>0</v>
      </c>
      <c r="E13" s="42">
        <f>'Scenario 2027'!$C$26*(1+$B13)*E$7</f>
        <v>0</v>
      </c>
      <c r="F13" s="42">
        <f>'Scenario 2027'!$C$26*(1+$B13)*F$7</f>
        <v>0</v>
      </c>
      <c r="G13" s="42">
        <f>'Scenario 2027'!$C$26*(1+$B13)*G$7</f>
        <v>0</v>
      </c>
      <c r="H13" s="42">
        <f>'Scenario 2027'!$C$26*(1+$B13)*H$7</f>
        <v>0</v>
      </c>
    </row>
    <row r="14" spans="2:11">
      <c r="B14" s="2" t="s">
        <v>206</v>
      </c>
    </row>
    <row r="17" spans="2:7" ht="20" customHeight="1">
      <c r="B17" s="38" t="s">
        <v>207</v>
      </c>
      <c r="C17" s="38"/>
      <c r="D17" s="38"/>
      <c r="E17" s="38"/>
      <c r="F17" s="38"/>
      <c r="G17" s="38"/>
    </row>
    <row r="18" spans="2:7">
      <c r="B18" s="14" t="s">
        <v>208</v>
      </c>
      <c r="C18" s="15" t="s">
        <v>209</v>
      </c>
      <c r="D18" s="15" t="s">
        <v>210</v>
      </c>
      <c r="E18" s="15" t="s">
        <v>211</v>
      </c>
      <c r="F18" s="15" t="s">
        <v>212</v>
      </c>
      <c r="G18" s="15" t="s">
        <v>213</v>
      </c>
    </row>
    <row r="19" spans="2:7">
      <c r="B19" s="18" t="s">
        <v>214</v>
      </c>
      <c r="C19" s="17">
        <v>15253.13797</v>
      </c>
      <c r="D19" s="17">
        <v>21790.1971</v>
      </c>
      <c r="E19" s="17">
        <v>28327.25623</v>
      </c>
      <c r="F19" s="17">
        <f>C19-D19</f>
        <v>0</v>
      </c>
      <c r="G19" s="17">
        <f>E19-D19</f>
        <v>0</v>
      </c>
    </row>
    <row r="20" spans="2:7">
      <c r="B20" s="18" t="s">
        <v>215</v>
      </c>
      <c r="C20" s="17">
        <v>18521.667535</v>
      </c>
      <c r="D20" s="17">
        <v>21790.1971</v>
      </c>
      <c r="E20" s="17">
        <v>25058.726665</v>
      </c>
      <c r="F20" s="17">
        <f>C20-D20</f>
        <v>0</v>
      </c>
      <c r="G20" s="17">
        <f>E20-D20</f>
        <v>0</v>
      </c>
    </row>
    <row r="21" spans="2:7">
      <c r="B21" s="18" t="s">
        <v>216</v>
      </c>
      <c r="C21" s="17">
        <v>19611.17739</v>
      </c>
      <c r="D21" s="17">
        <v>21790.1971</v>
      </c>
      <c r="E21" s="17">
        <v>23969.21681</v>
      </c>
      <c r="F21" s="17">
        <f>C21-D21</f>
        <v>0</v>
      </c>
      <c r="G21" s="17">
        <f>E21-D21</f>
        <v>0</v>
      </c>
    </row>
    <row r="22" spans="2:7">
      <c r="B22" s="18" t="s">
        <v>217</v>
      </c>
      <c r="C22" s="17">
        <v>21790.1971</v>
      </c>
      <c r="D22" s="17">
        <v>21790.1971</v>
      </c>
      <c r="E22" s="17">
        <v>22090.1971</v>
      </c>
      <c r="F22" s="17">
        <f>C22-D22</f>
        <v>0</v>
      </c>
      <c r="G22" s="17">
        <f>E22-D22</f>
        <v>0</v>
      </c>
    </row>
  </sheetData>
  <mergeCells count="4">
    <mergeCell ref="B2:K2"/>
    <mergeCell ref="B3:K3"/>
    <mergeCell ref="B6:H6"/>
    <mergeCell ref="B17:G17"/>
  </mergeCells>
  <conditionalFormatting sqref="C8:H13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3" right="0.3" top="0.4" bottom="0.4" header="0.3" footer="0.3"/>
  <pageSetup paperSize="1" fitToHeight="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548235"/>
    <pageSetUpPr fitToPage="1"/>
  </sheetPr>
  <dimension ref="B2:F29"/>
  <sheetViews>
    <sheetView showGridLines="0" workbookViewId="0"/>
  </sheetViews>
  <sheetFormatPr defaultRowHeight="15"/>
  <cols>
    <col min="1" max="1" width="2.7109375" customWidth="1"/>
    <col min="2" max="2" width="22.7109375" customWidth="1"/>
    <col min="3" max="3" width="12.7109375" customWidth="1"/>
    <col min="4" max="4" width="40.7109375" customWidth="1"/>
    <col min="5" max="6" width="12.7109375" customWidth="1"/>
    <col min="8" max="8" width="22.7109375" customWidth="1"/>
  </cols>
  <sheetData>
    <row r="2" spans="2:6">
      <c r="B2" s="1" t="s">
        <v>218</v>
      </c>
      <c r="C2" s="1"/>
      <c r="D2" s="1"/>
      <c r="E2" s="1"/>
      <c r="F2" s="1"/>
    </row>
    <row r="3" spans="2:6">
      <c r="B3" s="2" t="s">
        <v>219</v>
      </c>
      <c r="C3" s="2"/>
      <c r="D3" s="2"/>
      <c r="E3" s="2"/>
      <c r="F3" s="2"/>
    </row>
    <row r="6" spans="2:6" ht="20" customHeight="1">
      <c r="B6" s="27" t="s">
        <v>220</v>
      </c>
      <c r="C6" s="27"/>
      <c r="D6" s="27"/>
      <c r="E6" s="27"/>
    </row>
    <row r="7" spans="2:6">
      <c r="B7" s="14" t="s">
        <v>221</v>
      </c>
      <c r="C7" s="15" t="s">
        <v>222</v>
      </c>
      <c r="D7" s="14" t="s">
        <v>223</v>
      </c>
    </row>
    <row r="8" spans="2:6">
      <c r="B8" s="23" t="s">
        <v>224</v>
      </c>
      <c r="C8" s="44">
        <v>0.175</v>
      </c>
      <c r="D8" s="18" t="s">
        <v>225</v>
      </c>
    </row>
    <row r="9" spans="2:6">
      <c r="B9" s="23" t="s">
        <v>226</v>
      </c>
      <c r="C9" s="44">
        <v>0.65</v>
      </c>
      <c r="D9" s="18" t="s">
        <v>123</v>
      </c>
    </row>
    <row r="10" spans="2:6">
      <c r="B10" s="23" t="s">
        <v>227</v>
      </c>
      <c r="C10" s="44">
        <v>0.85</v>
      </c>
      <c r="D10" s="18" t="s">
        <v>125</v>
      </c>
    </row>
    <row r="11" spans="2:6">
      <c r="B11" s="23" t="s">
        <v>228</v>
      </c>
      <c r="C11" s="44">
        <v>0.05</v>
      </c>
      <c r="D11" s="18" t="s">
        <v>229</v>
      </c>
    </row>
    <row r="12" spans="2:6">
      <c r="B12" s="23" t="s">
        <v>230</v>
      </c>
      <c r="C12" s="44">
        <v>0.2</v>
      </c>
      <c r="D12" s="18" t="s">
        <v>231</v>
      </c>
    </row>
    <row r="13" spans="2:6">
      <c r="B13" s="23" t="s">
        <v>130</v>
      </c>
      <c r="C13" s="44">
        <v>0</v>
      </c>
      <c r="D13" s="18" t="s">
        <v>232</v>
      </c>
    </row>
    <row r="16" spans="2:6" ht="20" customHeight="1">
      <c r="B16" s="27" t="s">
        <v>233</v>
      </c>
      <c r="C16" s="27"/>
      <c r="D16" s="27"/>
      <c r="E16" s="27"/>
    </row>
    <row r="17" spans="2:5">
      <c r="B17" s="14" t="s">
        <v>52</v>
      </c>
      <c r="C17" s="15" t="s">
        <v>53</v>
      </c>
      <c r="D17" s="15" t="s">
        <v>44</v>
      </c>
      <c r="E17" s="15" t="s">
        <v>64</v>
      </c>
    </row>
    <row r="18" spans="2:5">
      <c r="B18" s="16">
        <v>2016</v>
      </c>
      <c r="C18" s="17">
        <v>4238.876805</v>
      </c>
      <c r="D18" s="17">
        <v>2843.4441975</v>
      </c>
      <c r="E18" s="25">
        <f>C18+D18</f>
        <v>0</v>
      </c>
    </row>
    <row r="19" spans="2:5">
      <c r="B19" s="16">
        <v>2017</v>
      </c>
      <c r="C19" s="17">
        <v>4222.0921375</v>
      </c>
      <c r="D19" s="17">
        <v>4400.7561725</v>
      </c>
      <c r="E19" s="25">
        <f>C19+D19</f>
        <v>0</v>
      </c>
    </row>
    <row r="20" spans="2:5">
      <c r="B20" s="16">
        <v>2018</v>
      </c>
      <c r="C20" s="17">
        <v>4733.922434999999</v>
      </c>
      <c r="D20" s="17">
        <v>2804.2227625</v>
      </c>
      <c r="E20" s="25">
        <f>C20+D20</f>
        <v>0</v>
      </c>
    </row>
    <row r="21" spans="2:5">
      <c r="B21" s="16">
        <v>2019</v>
      </c>
      <c r="C21" s="17">
        <v>5354.9320875</v>
      </c>
      <c r="D21" s="17">
        <v>4765.7607075</v>
      </c>
      <c r="E21" s="25">
        <f>C21+D21</f>
        <v>0</v>
      </c>
    </row>
    <row r="22" spans="2:5">
      <c r="B22" s="16">
        <v>2020</v>
      </c>
      <c r="C22" s="17">
        <v>6404.1064625</v>
      </c>
      <c r="D22" s="17">
        <v>28239.093225</v>
      </c>
      <c r="E22" s="25">
        <f>C22+D22</f>
        <v>0</v>
      </c>
    </row>
    <row r="23" spans="2:5">
      <c r="B23" s="16">
        <v>2021</v>
      </c>
      <c r="C23" s="17">
        <v>6499.106255</v>
      </c>
      <c r="D23" s="17">
        <v>15875.9128175</v>
      </c>
      <c r="E23" s="25">
        <f>C23+D23</f>
        <v>0</v>
      </c>
    </row>
    <row r="24" spans="2:5">
      <c r="B24" s="16">
        <v>2022</v>
      </c>
      <c r="C24" s="17">
        <v>5682.3477375</v>
      </c>
      <c r="D24" s="17">
        <v>5520.3298425</v>
      </c>
      <c r="E24" s="25">
        <f>C24+D24</f>
        <v>0</v>
      </c>
    </row>
    <row r="25" spans="2:5">
      <c r="B25" s="16">
        <v>2023</v>
      </c>
      <c r="C25" s="17">
        <v>5999.8846225</v>
      </c>
      <c r="D25" s="17">
        <v>5903.8741425</v>
      </c>
      <c r="E25" s="25">
        <f>C25+D25</f>
        <v>0</v>
      </c>
    </row>
    <row r="26" spans="2:5">
      <c r="B26" s="16">
        <v>2024</v>
      </c>
      <c r="C26" s="17">
        <v>4916.37182</v>
      </c>
      <c r="D26" s="17">
        <v>5721.66524</v>
      </c>
      <c r="E26" s="25">
        <f>C26+D26</f>
        <v>0</v>
      </c>
    </row>
    <row r="27" spans="2:5">
      <c r="B27" s="16">
        <v>2025</v>
      </c>
      <c r="C27" s="17">
        <v>4228.280385</v>
      </c>
      <c r="D27" s="17">
        <v>4216.2302825</v>
      </c>
      <c r="E27" s="25">
        <f>C27+D27</f>
        <v>0</v>
      </c>
    </row>
    <row r="28" spans="2:5">
      <c r="B28" s="20">
        <v>2026</v>
      </c>
      <c r="C28" s="21">
        <v>2585.9664675</v>
      </c>
      <c r="D28" s="21">
        <v>2136.9807025</v>
      </c>
      <c r="E28" s="21">
        <f>C28+D28</f>
        <v>0</v>
      </c>
    </row>
    <row r="29" spans="2:5">
      <c r="B29" s="20">
        <v>2027</v>
      </c>
      <c r="C29" s="21">
        <v>3507.6762475</v>
      </c>
      <c r="D29" s="21">
        <v>0</v>
      </c>
      <c r="E29" s="21">
        <f>C29+D29</f>
        <v>0</v>
      </c>
    </row>
  </sheetData>
  <mergeCells count="4">
    <mergeCell ref="B2:F2"/>
    <mergeCell ref="B3:F3"/>
    <mergeCell ref="B6:E6"/>
    <mergeCell ref="B16:E16"/>
  </mergeCells>
  <pageMargins left="0.3" right="0.3" top="0.4" bottom="0.4" header="0.3" footer="0.3"/>
  <pageSetup paperSize="1" fitToHeight="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7F7F7F"/>
  </sheetPr>
  <dimension ref="B2:H23"/>
  <sheetViews>
    <sheetView showGridLines="0" workbookViewId="0"/>
  </sheetViews>
  <sheetFormatPr defaultRowHeight="15"/>
  <cols>
    <col min="1" max="1" width="2.7109375" customWidth="1"/>
    <col min="2" max="2" width="26.7109375" customWidth="1"/>
    <col min="3" max="8" width="14.7109375" customWidth="1"/>
  </cols>
  <sheetData>
    <row r="2" spans="2:8">
      <c r="B2" s="1" t="s">
        <v>234</v>
      </c>
      <c r="C2" s="1"/>
      <c r="D2" s="1"/>
      <c r="E2" s="1"/>
      <c r="F2" s="1"/>
      <c r="G2" s="1"/>
      <c r="H2" s="1"/>
    </row>
    <row r="5" spans="2:8" ht="30" customHeight="1">
      <c r="B5" s="3" t="s">
        <v>235</v>
      </c>
      <c r="C5" s="4" t="s">
        <v>236</v>
      </c>
      <c r="D5" s="4"/>
      <c r="E5" s="4"/>
      <c r="F5" s="4"/>
      <c r="G5" s="4"/>
      <c r="H5" s="4"/>
    </row>
    <row r="6" spans="2:8" ht="30" customHeight="1">
      <c r="B6" s="3" t="s">
        <v>2</v>
      </c>
      <c r="C6" s="4" t="s">
        <v>237</v>
      </c>
      <c r="D6" s="4"/>
      <c r="E6" s="4"/>
      <c r="F6" s="4"/>
      <c r="G6" s="4"/>
      <c r="H6" s="4"/>
    </row>
    <row r="7" spans="2:8" ht="30" customHeight="1">
      <c r="B7" s="3" t="s">
        <v>238</v>
      </c>
      <c r="C7" s="4" t="s">
        <v>239</v>
      </c>
      <c r="D7" s="4"/>
      <c r="E7" s="4"/>
      <c r="F7" s="4"/>
      <c r="G7" s="4"/>
      <c r="H7" s="4"/>
    </row>
    <row r="8" spans="2:8" ht="30" customHeight="1">
      <c r="B8" s="3" t="s">
        <v>10</v>
      </c>
      <c r="C8" s="4" t="s">
        <v>240</v>
      </c>
      <c r="D8" s="4"/>
      <c r="E8" s="4"/>
      <c r="F8" s="4"/>
      <c r="G8" s="4"/>
      <c r="H8" s="4"/>
    </row>
    <row r="9" spans="2:8" ht="30" customHeight="1">
      <c r="B9" s="3" t="s">
        <v>55</v>
      </c>
      <c r="C9" s="4" t="s">
        <v>241</v>
      </c>
      <c r="D9" s="4"/>
      <c r="E9" s="4"/>
      <c r="F9" s="4"/>
      <c r="G9" s="4"/>
      <c r="H9" s="4"/>
    </row>
    <row r="10" spans="2:8" ht="30" customHeight="1">
      <c r="B10" s="3" t="s">
        <v>242</v>
      </c>
      <c r="C10" s="4" t="s">
        <v>243</v>
      </c>
      <c r="D10" s="4"/>
      <c r="E10" s="4"/>
      <c r="F10" s="4"/>
      <c r="G10" s="4"/>
      <c r="H10" s="4"/>
    </row>
    <row r="11" spans="2:8" ht="30" customHeight="1">
      <c r="B11" s="3" t="s">
        <v>244</v>
      </c>
      <c r="C11" s="4" t="s">
        <v>245</v>
      </c>
      <c r="D11" s="4"/>
      <c r="E11" s="4"/>
      <c r="F11" s="4"/>
      <c r="G11" s="4"/>
      <c r="H11" s="4"/>
    </row>
    <row r="12" spans="2:8" ht="30" customHeight="1">
      <c r="B12" s="3" t="s">
        <v>246</v>
      </c>
      <c r="C12" s="4" t="s">
        <v>247</v>
      </c>
      <c r="D12" s="4"/>
      <c r="E12" s="4"/>
      <c r="F12" s="4"/>
      <c r="G12" s="4"/>
      <c r="H12" s="4"/>
    </row>
    <row r="13" spans="2:8" ht="30" customHeight="1">
      <c r="B13" s="3" t="s">
        <v>248</v>
      </c>
      <c r="C13" s="4" t="s">
        <v>249</v>
      </c>
      <c r="D13" s="4"/>
      <c r="E13" s="4"/>
      <c r="F13" s="4"/>
      <c r="G13" s="4"/>
      <c r="H13" s="4"/>
    </row>
    <row r="14" spans="2:8" ht="30" customHeight="1">
      <c r="B14" s="3" t="s">
        <v>250</v>
      </c>
      <c r="C14" s="4" t="s">
        <v>251</v>
      </c>
      <c r="D14" s="4"/>
      <c r="E14" s="4"/>
      <c r="F14" s="4"/>
      <c r="G14" s="4"/>
      <c r="H14" s="4"/>
    </row>
    <row r="15" spans="2:8" ht="30" customHeight="1">
      <c r="B15" s="3" t="s">
        <v>252</v>
      </c>
      <c r="C15" s="4" t="s">
        <v>253</v>
      </c>
      <c r="D15" s="4"/>
      <c r="E15" s="4"/>
      <c r="F15" s="4"/>
      <c r="G15" s="4"/>
      <c r="H15" s="4"/>
    </row>
    <row r="16" spans="2:8" ht="30" customHeight="1">
      <c r="B16" s="3" t="s">
        <v>254</v>
      </c>
      <c r="C16" s="4" t="s">
        <v>255</v>
      </c>
      <c r="D16" s="4"/>
      <c r="E16" s="4"/>
      <c r="F16" s="4"/>
      <c r="G16" s="4"/>
      <c r="H16" s="4"/>
    </row>
    <row r="17" spans="2:8" ht="30" customHeight="1">
      <c r="B17" s="3" t="s">
        <v>256</v>
      </c>
      <c r="C17" s="4" t="s">
        <v>257</v>
      </c>
      <c r="D17" s="4"/>
      <c r="E17" s="4"/>
      <c r="F17" s="4"/>
      <c r="G17" s="4"/>
      <c r="H17" s="4"/>
    </row>
    <row r="19" spans="2:8" ht="20" customHeight="1">
      <c r="B19" s="7" t="s">
        <v>258</v>
      </c>
      <c r="C19" s="7"/>
      <c r="D19" s="7"/>
      <c r="E19" s="7"/>
      <c r="F19" s="7"/>
      <c r="G19" s="7"/>
      <c r="H19" s="7"/>
    </row>
    <row r="20" spans="2:8">
      <c r="B20" s="45" t="s">
        <v>259</v>
      </c>
      <c r="C20" s="4" t="s">
        <v>260</v>
      </c>
      <c r="D20" s="4"/>
      <c r="E20" s="4"/>
      <c r="F20" s="4"/>
      <c r="G20" s="4"/>
      <c r="H20" s="4"/>
    </row>
    <row r="21" spans="2:8">
      <c r="B21" s="46" t="s">
        <v>261</v>
      </c>
      <c r="C21" s="4" t="s">
        <v>262</v>
      </c>
      <c r="D21" s="4"/>
      <c r="E21" s="4"/>
      <c r="F21" s="4"/>
      <c r="G21" s="4"/>
      <c r="H21" s="4"/>
    </row>
    <row r="22" spans="2:8">
      <c r="B22" s="47" t="s">
        <v>263</v>
      </c>
      <c r="C22" s="4" t="s">
        <v>264</v>
      </c>
      <c r="D22" s="4"/>
      <c r="E22" s="4"/>
      <c r="F22" s="4"/>
      <c r="G22" s="4"/>
      <c r="H22" s="4"/>
    </row>
    <row r="23" spans="2:8">
      <c r="B23" s="48" t="s">
        <v>265</v>
      </c>
      <c r="C23" s="4" t="s">
        <v>266</v>
      </c>
      <c r="D23" s="4"/>
      <c r="E23" s="4"/>
      <c r="F23" s="4"/>
      <c r="G23" s="4"/>
      <c r="H23" s="4"/>
    </row>
  </sheetData>
  <mergeCells count="19">
    <mergeCell ref="B2:H2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C16:H16"/>
    <mergeCell ref="C17:H17"/>
    <mergeCell ref="B19:H19"/>
    <mergeCell ref="C20:H20"/>
    <mergeCell ref="C21:H21"/>
    <mergeCell ref="C22:H22"/>
    <mergeCell ref="C23:H23"/>
  </mergeCells>
  <pageMargins left="0.3" right="0.3" top="0.4" bottom="0.4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Cover</vt:lpstr>
      <vt:lpstr>Dashboard</vt:lpstr>
      <vt:lpstr>Summary</vt:lpstr>
      <vt:lpstr>Monthly</vt:lpstr>
      <vt:lpstr>PADD Charts</vt:lpstr>
      <vt:lpstr>PADD Detail</vt:lpstr>
      <vt:lpstr>Units</vt:lpstr>
      <vt:lpstr>Refinery Detail</vt:lpstr>
      <vt:lpstr>Scenario 2027</vt:lpstr>
      <vt:lpstr>Sensitivity</vt:lpstr>
      <vt:lpstr>Mogas Overlay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2026-06-24T00:58:37Z</dcterms:created>
  <dcterms:modified xsi:type="dcterms:W3CDTF">2026-06-24T00:58:37Z</dcterms:modified>
</cp:coreProperties>
</file>